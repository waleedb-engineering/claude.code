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ckpit" sheetId="1" state="visible" r:id="rId3"/>
    <sheet name="Anforderungen" sheetId="2" state="visible" r:id="rId4"/>
    <sheet name="Filter" sheetId="3" state="visible" r:id="rId5"/>
    <sheet name="Auswertung" sheetId="4" state="visible" r:id="rId6"/>
    <sheet name="Komponenten" sheetId="5" state="visible" r:id="rId7"/>
    <sheet name="Organigramm" sheetId="6" state="visible" r:id="rId8"/>
    <sheet name="Lesehilf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<sst xmlns="http://schemas.openxmlformats.org/spreadsheetml/2006/main" count="15520" uniqueCount="6319">
  <si>
    <t xml:space="preserve">Cockpit – Anforderungen Autostrom / LKW-Laden</t>
  </si>
  <si>
    <t xml:space="preserve">Status, Erfüllung und Dokumentationsqualität auf einen Blick</t>
  </si>
  <si>
    <t xml:space="preserve">Alle Kennzahlen rechnen direkt aus den Registern „Anforderungen“ und „Komponenten“ – inklusive des vollständigen Bieterfragenkatalogs.</t>
  </si>
  <si>
    <t xml:space="preserve">Kennzahl</t>
  </si>
  <si>
    <t xml:space="preserve">Wert</t>
  </si>
  <si>
    <t xml:space="preserve">Anforderungen gesamt</t>
  </si>
  <si>
    <t xml:space="preserve">Erfasst</t>
  </si>
  <si>
    <t xml:space="preserve">Bewertet</t>
  </si>
  <si>
    <t xml:space="preserve">Erfüllt</t>
  </si>
  <si>
    <t xml:space="preserve">davon vollständig dokumentiert</t>
  </si>
  <si>
    <t xml:space="preserve">Trifft nicht zu</t>
  </si>
  <si>
    <t xml:space="preserve">Erfüllt ohne Datum</t>
  </si>
  <si>
    <t xml:space="preserve">Erfüllt ohne Nachweis / Notiz</t>
  </si>
  <si>
    <t xml:space="preserve">Trifft nicht zu ohne Begründung</t>
  </si>
  <si>
    <t xml:space="preserve">Erfüllungsgrad</t>
  </si>
  <si>
    <t xml:space="preserve">Dokumentationsgrad erfüllt</t>
  </si>
  <si>
    <t xml:space="preserve">Komponenten/Schnittstellen erfüllt</t>
  </si>
  <si>
    <t xml:space="preserve">Bieterfragen im Register</t>
  </si>
  <si>
    <t xml:space="preserve">Offene Zuordnungen (Komponente/Partner)</t>
  </si>
  <si>
    <t xml:space="preserve">Anforderungen – Autostrom / LKW-Laden</t>
  </si>
  <si>
    <t xml:space="preserve">Zentrales Anforderungsregister: Der Block „Erfüllung / Nachweis“ verbindet Status, tatsächliches Erfüllungsdatum und Dokumentation.</t>
  </si>
  <si>
    <t xml:space="preserve">Logik: erfasst → bewertet → erfüllt. Bei „erfüllt“ sind Datum und Nachweis/Notiz erforderlich, bei „trifft nicht zu“ eine Begründung. Gelb markierte Zuordnungen (Partner/Komponente) sind fachlich zu prüfen.</t>
  </si>
  <si>
    <t xml:space="preserve">Anforderung &amp; Zuordnung</t>
  </si>
  <si>
    <t xml:space="preserve">Erfüllung / Nachweis (Konzept)</t>
  </si>
  <si>
    <t xml:space="preserve">ID</t>
  </si>
  <si>
    <t xml:space="preserve">Dokument</t>
  </si>
  <si>
    <t xml:space="preserve">Fundstelle</t>
  </si>
  <si>
    <t xml:space="preserve">Themenfeld</t>
  </si>
  <si>
    <t xml:space="preserve">Kernaussage</t>
  </si>
  <si>
    <t xml:space="preserve">Anforderung / Frage (Originaltext)</t>
  </si>
  <si>
    <t xml:space="preserve">Bemerkung</t>
  </si>
  <si>
    <t xml:space="preserve">Partner</t>
  </si>
  <si>
    <t xml:space="preserve">Komponente(n)</t>
  </si>
  <si>
    <t xml:space="preserve">Status</t>
  </si>
  <si>
    <t xml:space="preserve">Erfüllt am</t>
  </si>
  <si>
    <t xml:space="preserve">Nachweis / Notiz</t>
  </si>
  <si>
    <t xml:space="preserve">ANF-001</t>
  </si>
  <si>
    <t xml:space="preserve">Betreibervertrag</t>
  </si>
  <si>
    <t xml:space="preserve">§ 25 (1)</t>
  </si>
  <si>
    <t xml:space="preserve">Reservierung</t>
  </si>
  <si>
    <t xml:space="preserve">OCPI Schnittstelle</t>
  </si>
  <si>
    <t xml:space="preserve">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t>
  </si>
  <si>
    <t xml:space="preserve">eRound</t>
  </si>
  <si>
    <t xml:space="preserve">OCPI Buchungskalender</t>
  </si>
  <si>
    <t xml:space="preserve">trifft nicht zu</t>
  </si>
  <si>
    <t xml:space="preserve">Automatisch ausgewertet: Außerhalb des betrachteten Leistungsumfangs (Schranken, Kennzeichenerfassung, dynamische Anzeige).</t>
  </si>
  <si>
    <t xml:space="preserve">ANF-002</t>
  </si>
  <si>
    <t xml:space="preserve">§ 25 (2)</t>
  </si>
  <si>
    <t xml:space="preserve">OCPI Kostenfrei</t>
  </si>
  <si>
    <t xml:space="preserve">Der Auftragnehmer ist verpflichtet, jeder Reservierungsplattform die Anbindung über die in Absatz 1 genannte Schnittstelle kostenfrei zu ermöglichen, soweit die Reservierungsplattform die folgenden Mindestvoraussetzungen erfüllt:</t>
  </si>
  <si>
    <t xml:space="preserve">ANF-003</t>
  </si>
  <si>
    <t xml:space="preserve">§ 25 (2) a</t>
  </si>
  <si>
    <t xml:space="preserve">Die Reservierungsplattform stellt dem Auftragnehmer für die Anbindung der Reservierungsplattform keine Anbindungskosten in Rechnung</t>
  </si>
  <si>
    <t xml:space="preserve">Anbindung</t>
  </si>
  <si>
    <t xml:space="preserve">ANF-004</t>
  </si>
  <si>
    <t xml:space="preserve">§ 25 (2) b</t>
  </si>
  <si>
    <t xml:space="preserve">Anbindung verpflichtend, wenn alle AN angebunden werden oder AG2 auffordert</t>
  </si>
  <si>
    <t xml:space="preserve">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t>
  </si>
  <si>
    <t xml:space="preserve">ANF-005</t>
  </si>
  <si>
    <t xml:space="preserve">§ 25 (2) c</t>
  </si>
  <si>
    <t xml:space="preserve">Reservierung mit Vorlauf von max. 7 Tagen und min. 15 min.
Kostenfreie Stornierung und Änderung bis 30min vorher.
Kennzeichenabgleich zur Unterbindung von Doppelbuchungen.</t>
  </si>
  <si>
    <t xml:space="preserve">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t>
  </si>
  <si>
    <t xml:space="preserve">erfasst</t>
  </si>
  <si>
    <t xml:space="preserve">ANF-006</t>
  </si>
  <si>
    <t xml:space="preserve">§ 25 (2) d</t>
  </si>
  <si>
    <t xml:space="preserve">Entschädigung an AN von der Reservierungsplattform i.H.v. mind. 30€ nach 15/30 min Wartezeit bei No-Show.</t>
  </si>
  <si>
    <t xml:space="preserve">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t>
  </si>
  <si>
    <t xml:space="preserve">Abrechnungskomponente</t>
  </si>
  <si>
    <t xml:space="preserve">ANF-007</t>
  </si>
  <si>
    <t xml:space="preserve">§ 25 (3)</t>
  </si>
  <si>
    <t xml:space="preserve">Anpassung an Marktstandards mit 2 Monaten Vorlauf.</t>
  </si>
  <si>
    <t xml:space="preserve">Der Auftraggeber 2 ist berechtigt, die in Absatz 2 definierten Mindestvoraussetzungen im Fall abweichender Marktstandards mit einer Vorlaufzeit von zwei Monaten anzupassen</t>
  </si>
  <si>
    <t xml:space="preserve">ANF-008</t>
  </si>
  <si>
    <t xml:space="preserve">§ 25 (4)</t>
  </si>
  <si>
    <t xml:space="preserve">Ladepunkte an einem Standort können von der Reservierung ausgenommen werden.</t>
  </si>
  <si>
    <t xml:space="preserve">Der Auftragnehmer kann CCS- und MCS-Ladepunkten an einem Standort von der Reservierungsmöglichkeit ausnehmen.</t>
  </si>
  <si>
    <t xml:space="preserve">ANF-009</t>
  </si>
  <si>
    <t xml:space="preserve">§ 25 (5)</t>
  </si>
  <si>
    <t xml:space="preserve">Zufahrt &amp; Schranke</t>
  </si>
  <si>
    <t xml:space="preserve">Bauliche Maßnahme zur Reservierung an jedem Ladepunkt.</t>
  </si>
  <si>
    <t xml:space="preserve">Der Auftragnehmer hat geeignete Vorkehrungen, insbesondere die in Vertragsanlage 4: Leistungsbeschreibung Errichtung vorgesehenen baulichen Maßnahmen, zu treffen, um ein anderweitiges Laden an dem Ladepunkt der Ladeeinrichtung während des reservierten Zeitraums zu verhindern.</t>
  </si>
  <si>
    <t xml:space="preserve">Schrankensteuerung</t>
  </si>
  <si>
    <t xml:space="preserve">Schrankenhersteller</t>
  </si>
  <si>
    <t xml:space="preserve">Schrankenanlage</t>
  </si>
  <si>
    <t xml:space="preserve">ANF-010</t>
  </si>
  <si>
    <t xml:space="preserve">§ 25 (6)</t>
  </si>
  <si>
    <t xml:space="preserve">Mindestens 40% der Ladepunkte müssen reserviert werden können.</t>
  </si>
  <si>
    <t xml:space="preserve">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t>
  </si>
  <si>
    <t xml:space="preserve">40% der Schranken offen lassen?</t>
  </si>
  <si>
    <t xml:space="preserve">ANF-011</t>
  </si>
  <si>
    <t xml:space="preserve">§ 31 (1)</t>
  </si>
  <si>
    <t xml:space="preserve">Authentifizierung &amp; Zugang</t>
  </si>
  <si>
    <t xml:space="preserve">Es muss Adhoc geladen werden können</t>
  </si>
  <si>
    <t xml:space="preserve">Der Auftragnehmer ist verpflichtet, potenziellen Endnutzern diskriminierungsfrei zu angemessenen Bedingungen ein Ad-hoc-Laden (punktuelles Aufladen i. S. d. AFIR) zu ermöglichen, soweit 
es ihm zumutbar ist (z. B. mit Blick auf die Bonität des Endnutzers).</t>
  </si>
  <si>
    <t xml:space="preserve">Adhoc muss möglich sein -&gt; Schranke -&gt; wie?</t>
  </si>
  <si>
    <t xml:space="preserve">eRound / SCS</t>
  </si>
  <si>
    <t xml:space="preserve">Authentifizierungskomponente / Schrankensteuerung</t>
  </si>
  <si>
    <t xml:space="preserve">ANF-012</t>
  </si>
  <si>
    <t xml:space="preserve">§ 38 (1)</t>
  </si>
  <si>
    <t xml:space="preserve">Nutzungszeit &amp; Entgelte</t>
  </si>
  <si>
    <t xml:space="preserve">Blockadeentgelte und maximale Nutzungsdauer</t>
  </si>
  <si>
    <t xml:space="preserve">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t>
  </si>
  <si>
    <t xml:space="preserve">Schnittstelle Nutzungszeit</t>
  </si>
  <si>
    <t xml:space="preserve">ANF-013</t>
  </si>
  <si>
    <t xml:space="preserve">§ 38 (1) a</t>
  </si>
  <si>
    <t xml:space="preserve">Maximale Nutzungsdauer Zwischenladen ist 1h.</t>
  </si>
  <si>
    <t xml:space="preserve">bei MCS-Ladepunkten und CCS-Ladepunkten zum Zwischenladen 1 Stunde.</t>
  </si>
  <si>
    <t xml:space="preserve">ANF-014</t>
  </si>
  <si>
    <t xml:space="preserve">§ 38 (1) b</t>
  </si>
  <si>
    <t xml:space="preserve">Maximale Nutzungsdauer Übernachtladen ist 12h.</t>
  </si>
  <si>
    <t xml:space="preserve">bei CCS-Ladepunkten zum Übernachtladen und MCS- oder CCS-Ladepunkte zum Zwischenladen, die zum Übernachtladen freigegeben wurden, 12 Stunden.</t>
  </si>
  <si>
    <t xml:space="preserve">ANF-015</t>
  </si>
  <si>
    <t xml:space="preserve">§ 38 (2)</t>
  </si>
  <si>
    <t xml:space="preserve">Bei nidriger Auslastung kann die maximale Nutzungszeit vom AN verlängert werden.
Bei nachfolgender Reservierung kann die maximale Nutzungszeit verkürzt werden.
Bei Verkürzung zusätzliche Karenzzeit vor Blockadeentgeld von 5min.</t>
  </si>
  <si>
    <t xml:space="preserve">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t>
  </si>
  <si>
    <t xml:space="preserve">SCS: Reaktionszeit System</t>
  </si>
  <si>
    <t xml:space="preserve">ANF-016</t>
  </si>
  <si>
    <t xml:space="preserve">§ 38 (3)</t>
  </si>
  <si>
    <t xml:space="preserve">Maximale Nutzungszeit endet mit Ablauf Reservierung.
Maximale Nutzungsdauer kann vom AN verlängert werden.</t>
  </si>
  <si>
    <t xml:space="preserve">Hat ein Mobilitätsdienstleister einen Ladepunkt reserviert, so endet die maximale Nutzungszeit mit dem Ablauf des reservierten Zeitraums, auch wenn der Ladeplatz erst später belegt wurde, es sei denn, der Betreiber räumt ihm eine längere maximale Nutzungszeit ein.</t>
  </si>
  <si>
    <t xml:space="preserve">ANF-017</t>
  </si>
  <si>
    <t xml:space="preserve">§ 38 (4)</t>
  </si>
  <si>
    <t xml:space="preserve">Ladestart 15min Wartezeit
Blockadeentgeld
ggf. Pönalisierung
Entfall maximale Nutzungsdauer</t>
  </si>
  <si>
    <t xml:space="preserve">Wird ein Ladevorgang nicht innerhalb von 15 Minuten nach Besetzung des Stellplatzes gestartet, entfällt die maximale Nutzungszeit und es kann ein Blockadeentgelt erhoben werden.</t>
  </si>
  <si>
    <t xml:space="preserve">OCPI Buchungskalender / Abrechnungskomponente / Belegungsdetektion / Pönalisierungssystem</t>
  </si>
  <si>
    <t xml:space="preserve">ANF-018</t>
  </si>
  <si>
    <t xml:space="preserve">§ 38 (5)</t>
  </si>
  <si>
    <t xml:space="preserve">Kein Blockadeentgeld während Nachtruhezeiten, Sonn- und Feiertage der Bundesländer.</t>
  </si>
  <si>
    <t xml:space="preserve">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t>
  </si>
  <si>
    <t xml:space="preserve">Einfluss auf Reservierung?</t>
  </si>
  <si>
    <t xml:space="preserve">ANF-019</t>
  </si>
  <si>
    <t xml:space="preserve">§ 38 (6)</t>
  </si>
  <si>
    <t xml:space="preserve">Blockadeentgeld Höhe 0,50€ / 0,15€ pro Min.</t>
  </si>
  <si>
    <t xml:space="preserve">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t>
  </si>
  <si>
    <t xml:space="preserve">ANF-020</t>
  </si>
  <si>
    <t xml:space="preserve">§ 38 (7)</t>
  </si>
  <si>
    <t xml:space="preserve">Änderungen an maximaler Nutzungsdauer, Blockadeentgelt und Sperrzeiten mit Vorlauf möglich.</t>
  </si>
  <si>
    <t xml:space="preserve">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t>
  </si>
  <si>
    <t xml:space="preserve">ANF-021</t>
  </si>
  <si>
    <t xml:space="preserve">§ 38 (8)</t>
  </si>
  <si>
    <t xml:space="preserve">Mindestabnahmemenge und Vergütung bei Unterschreitung.</t>
  </si>
  <si>
    <t xml:space="preserve">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t>
  </si>
  <si>
    <t xml:space="preserve">ANF-022</t>
  </si>
  <si>
    <t xml:space="preserve">§ 38 (9)</t>
  </si>
  <si>
    <t xml:space="preserve">Warnung NutzerIn vor Blockadeentgeld</t>
  </si>
  <si>
    <t xml:space="preserve">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t>
  </si>
  <si>
    <t xml:space="preserve">ggf. Mitteilung?</t>
  </si>
  <si>
    <t xml:space="preserve">Abrechnungskomponente / Beschilderung</t>
  </si>
  <si>
    <t xml:space="preserve">ggf. Thema für eRound ansonsten Beschilderung -&gt; Bau GU</t>
  </si>
  <si>
    <t xml:space="preserve">ANF-023</t>
  </si>
  <si>
    <t xml:space="preserve">§ 42 (5)</t>
  </si>
  <si>
    <t xml:space="preserve">Betrieb &amp; Auslastung</t>
  </si>
  <si>
    <t xml:space="preserve">Updates verpflichtend.</t>
  </si>
  <si>
    <t xml:space="preserve">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t>
  </si>
  <si>
    <t xml:space="preserve">Alpitronic</t>
  </si>
  <si>
    <t xml:space="preserve">Ladeeinrichtung</t>
  </si>
  <si>
    <t xml:space="preserve">Betrifft LIS</t>
  </si>
  <si>
    <t xml:space="preserve">ANF-024</t>
  </si>
  <si>
    <t xml:space="preserve">§ 22 (3)</t>
  </si>
  <si>
    <t xml:space="preserve">Bei nidriger Auslastung:
Zwischenladepunkte können zwischen 17 und 6 Uhr für Übernachtladen freigegeben werden.
Aber mind. 40% Zwischenladepunkte, aber mind. 2 MCS und 1 CCS.</t>
  </si>
  <si>
    <t xml:space="preserve">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t>
  </si>
  <si>
    <t xml:space="preserve">40% Zwischenladen</t>
  </si>
  <si>
    <t xml:space="preserve">OCPI Buchungskalender / Dynamische Anzeige</t>
  </si>
  <si>
    <t xml:space="preserve">erfüllt</t>
  </si>
  <si>
    <t xml:space="preserve">eRound regelt - SCS zeigt an</t>
  </si>
  <si>
    <t xml:space="preserve">ANF-025</t>
  </si>
  <si>
    <t xml:space="preserve">§ 4 (52)</t>
  </si>
  <si>
    <t xml:space="preserve">Mindestens AN plus ein weiterer.</t>
  </si>
  <si>
    <t xml:space="preserve">"Reservierungssystem“: Ein System zur Reservierung von Ladepunkten, das Mobilitätsdienstleistern ermöglicht, Ladepunkte bei dem Auftragnehmer und mindestens einem weiteren Ladepunktbetreiber zu reservieren.</t>
  </si>
  <si>
    <t xml:space="preserve">Mehr als 1 Anbieter</t>
  </si>
  <si>
    <t xml:space="preserve">Autostrom+</t>
  </si>
  <si>
    <t xml:space="preserve">bewertet</t>
  </si>
  <si>
    <t xml:space="preserve">ANF-026</t>
  </si>
  <si>
    <t xml:space="preserve">Vertragsanlage 4</t>
  </si>
  <si>
    <t xml:space="preserve">§ 3.13.2</t>
  </si>
  <si>
    <t xml:space="preserve">Schrankenanlage auf Schrankeninsel</t>
  </si>
  <si>
    <t xml:space="preserve">Anforderungen an Lade-, Schrankeninseln und physische Zufahrtbeschränkungen</t>
  </si>
  <si>
    <t xml:space="preserve">Schranke auf Schrankeninsel geplant</t>
  </si>
  <si>
    <t xml:space="preserve">ANF-027</t>
  </si>
  <si>
    <t xml:space="preserve">§ 3.13.2 (1)</t>
  </si>
  <si>
    <t xml:space="preserve">Schranke an Einfahrt Ladepunkt und Ausfahrt Ladepunkt.
Bei Schrägparken Poller?</t>
  </si>
  <si>
    <t xml:space="preserve">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t>
  </si>
  <si>
    <t xml:space="preserve">Schranke gefordert aus allen Richtungen</t>
  </si>
  <si>
    <t xml:space="preserve">Schranken auf beiden Seiten gepplant</t>
  </si>
  <si>
    <t xml:space="preserve">ANF-028</t>
  </si>
  <si>
    <t xml:space="preserve">§ 3.13.4</t>
  </si>
  <si>
    <t xml:space="preserve">Anzeige &amp; Beschilderung</t>
  </si>
  <si>
    <t xml:space="preserve">Darstellung statischer und dynamischer Infos.</t>
  </si>
  <si>
    <t xml:space="preserve">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t>
  </si>
  <si>
    <t xml:space="preserve">LED Anzeigen</t>
  </si>
  <si>
    <t xml:space="preserve">Dynamische Anzeige</t>
  </si>
  <si>
    <t xml:space="preserve">LIS zeigt Zustand an, Rest auf Anzeige</t>
  </si>
  <si>
    <t xml:space="preserve">ANF-029</t>
  </si>
  <si>
    <t xml:space="preserve">§ 3.13.5</t>
  </si>
  <si>
    <t xml:space="preserve">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t>
  </si>
  <si>
    <t xml:space="preserve">Öffnen bei Ladevorgangs-Ende wiederspricht sich mit Vertragsanlage 6 §10 Abs 2
Und funktioniert für Poller nicht -&gt; da LKW darüber steht.
Einheitliche Ansteuerung reduziert komplexität Bei Partnern</t>
  </si>
  <si>
    <t xml:space="preserve">Schrankenhersteller / SCS / eRound</t>
  </si>
  <si>
    <t xml:space="preserve">Sicherheitseinrichtung geplant
LED in Schrankenbaum geplant
Integration des Schrankenstatus in eRound</t>
  </si>
  <si>
    <t xml:space="preserve">ANF-030</t>
  </si>
  <si>
    <t xml:space="preserve">§ 3.13.2.2</t>
  </si>
  <si>
    <t xml:space="preserve">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t>
  </si>
  <si>
    <t xml:space="preserve">Längsparken</t>
  </si>
  <si>
    <t xml:space="preserve">–</t>
  </si>
  <si>
    <t xml:space="preserve">Los 2 hat keine Poller - betrifft nur längsparkplätze</t>
  </si>
  <si>
    <t xml:space="preserve">ANF-031</t>
  </si>
  <si>
    <t xml:space="preserve">§ 3.6</t>
  </si>
  <si>
    <t xml:space="preserve">Bau &amp; Dokumentation</t>
  </si>
  <si>
    <t xml:space="preserve">Antrag auf Baufreigabe und Ausführungs-, Werk- und Montageplanung</t>
  </si>
  <si>
    <t xml:space="preserve">Mitwirkung an Planung und Freigabe</t>
  </si>
  <si>
    <t xml:space="preserve">ANF-032</t>
  </si>
  <si>
    <t xml:space="preserve">§ 3.7</t>
  </si>
  <si>
    <t xml:space="preserve">Bestandsunterlagen (As-Built)</t>
  </si>
  <si>
    <t xml:space="preserve">Verantwortlich für Dokumentation und Erstellung Unterlagen</t>
  </si>
  <si>
    <t xml:space="preserve">ANF-033</t>
  </si>
  <si>
    <t xml:space="preserve">Vertragsanlage 6</t>
  </si>
  <si>
    <t xml:space="preserve">§ 8</t>
  </si>
  <si>
    <t xml:space="preserve">Öffnung innerhalb von 45 Sekunden.</t>
  </si>
  <si>
    <t xml:space="preserve">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</si>
  <si>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45 Sekunden (!)
Wie (wer) Erfüllt das?
Bieterfrage 441 nach Bezahlterminal ?</t>
  </si>
  <si>
    <t xml:space="preserve">ANF-034</t>
  </si>
  <si>
    <t xml:space="preserve">§ 9 (1)</t>
  </si>
  <si>
    <t xml:space="preserve">Belegungsdetektion</t>
  </si>
  <si>
    <t xml:space="preserve">Belegungsdetektion ist gefordert.</t>
  </si>
  <si>
    <t xml:space="preserve">Jeder MCS- / CCS-Ladepunkt muss über eine Detektion verfügen. Die MCS- / CCSLadeplatzdetektion ist so auszustatten, dass Objekte auf dem zum MCS- / CCSLadepunkt gehörigen MCS- / CCS-Ladeplatz detektiert werden können.</t>
  </si>
  <si>
    <t xml:space="preserve">Deckensensoren
Pönalisierung / Falschparker</t>
  </si>
  <si>
    <t xml:space="preserve">Schrankenhersteller / SCS</t>
  </si>
  <si>
    <t xml:space="preserve">Radarsensor stellt Belegung der Ladesäule bereit</t>
  </si>
  <si>
    <t xml:space="preserve">ANF-035</t>
  </si>
  <si>
    <t xml:space="preserve">§ 9 (2)</t>
  </si>
  <si>
    <t xml:space="preserve">Roaming-Infos müssen veröffentlicht werden
Pönalisierung gefordert.
Entfernung Falschparker gefordert.</t>
  </si>
  <si>
    <t xml:space="preserve">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t>
  </si>
  <si>
    <t xml:space="preserve">Pönalisierung / Falschparker</t>
  </si>
  <si>
    <t xml:space="preserve">OCPI Buchungskalender / Kennzeichenerfassung / Pönalisierungssystem</t>
  </si>
  <si>
    <t xml:space="preserve">ANF-036</t>
  </si>
  <si>
    <t xml:space="preserve">§ 10 (1)</t>
  </si>
  <si>
    <t xml:space="preserve">Einfahrtsschranke
Ausfahrtsschranke
Bei Nichtbelegung beide Schranken geschlossen.</t>
  </si>
  <si>
    <t xml:space="preserve">Jeder Ladeplatz ist mit einer Einfahrts- und einer Ausfahrtsschranke auszustatten. Die Schranken sind wie folgt zu betreiben:
1) Grundstellung: Beide Schranken sind bei Nichtbelegung des Ladeplatzes geschlossen.</t>
  </si>
  <si>
    <t xml:space="preserve">Schranke wird konfiguriert, sodass diese zu ist</t>
  </si>
  <si>
    <t xml:space="preserve">ANF-037</t>
  </si>
  <si>
    <t xml:space="preserve">§ 10 (2)</t>
  </si>
  <si>
    <t xml:space="preserve">Einfahrtsschranke öffnet nach Authentifizierung.</t>
  </si>
  <si>
    <t xml:space="preserve">2) Einfahrt: Die Einfahrtschranke öffnet sich nach erfolgreicher Authentifizierung und gewährt Zugang zum Ladeplatz. Sie bleibt während des gesamten Ladevorgangs geöffnet.</t>
  </si>
  <si>
    <t xml:space="preserve">Schnittstelle notwendig:
Öffnen direkt nach Authentifizierung
Schließen bei Ende Ladevorgang</t>
  </si>
  <si>
    <t xml:space="preserve">Radarsensor erkennt Einfahrt bleibt geöffnet bis die Zone wieder frei ist.</t>
  </si>
  <si>
    <t xml:space="preserve">ANF-038</t>
  </si>
  <si>
    <t xml:space="preserve">§ 10 (3)</t>
  </si>
  <si>
    <t xml:space="preserve">Ausfahrtsschranke öffnet bei Ankunft LKW.</t>
  </si>
  <si>
    <t xml:space="preserve">3) Ausfahrtsschaltung: Sobald der Lkw seine Parkposition auf dem Ladeplatz erreicht hat, öffnet sich die Ausfahrtsschranke.</t>
  </si>
  <si>
    <t xml:space="preserve">Ausfahrtsschranke also recht dumm -&gt; komplett durch SCS möglich?</t>
  </si>
  <si>
    <t xml:space="preserve">Die Schranke kann selbstständig öffnen und schließen</t>
  </si>
  <si>
    <t xml:space="preserve">ANF-039</t>
  </si>
  <si>
    <t xml:space="preserve">§ 10 (4)</t>
  </si>
  <si>
    <t xml:space="preserve">Ausfahrtsschranke schließt nach Verlassen des LKW.
Fernsteuerung der Schranken.</t>
  </si>
  <si>
    <t xml:space="preserve">4) Verlassen des Ladeplatzes: Nach Abschluss des Ladevorgangs und dem Verlassen des Ladeplatzes schließt sich die Ausfahrtsschranke wieder. Zudem ist dafür zu sorgen, dass die Einfahrts- und Ausfahrtsschranken im Notfall geöffnet werden können</t>
  </si>
  <si>
    <t xml:space="preserve">Schließen nach Ausfahrt -&gt; Schranke selbst</t>
  </si>
  <si>
    <t xml:space="preserve">Schranke schließt von alleine</t>
  </si>
  <si>
    <t xml:space="preserve">ANF-040</t>
  </si>
  <si>
    <t xml:space="preserve">§ 4</t>
  </si>
  <si>
    <t xml:space="preserve">Bezahlterminal für mehrere MCS/CCS Ladepunkte möglich.</t>
  </si>
  <si>
    <t xml:space="preserve">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t>
  </si>
  <si>
    <t xml:space="preserve">Bezahlterminal kann für mehrere MCS / CCS genutzt werden</t>
  </si>
  <si>
    <t xml:space="preserve">Authentifizierungskomponente</t>
  </si>
  <si>
    <t xml:space="preserve">Jede LIS hat ein Display, rest in KANN-Anforderung</t>
  </si>
  <si>
    <t xml:space="preserve">ANF-041</t>
  </si>
  <si>
    <t xml:space="preserve">Vertragsanlage 10</t>
  </si>
  <si>
    <t xml:space="preserve">§ 3.1</t>
  </si>
  <si>
    <t xml:space="preserve">Monitoring &amp; Reporting</t>
  </si>
  <si>
    <t xml:space="preserve">Benennung Datenpunkte zu Reservierungen im Monatsbericht.</t>
  </si>
  <si>
    <t xml:space="preserve">ab_total_reservations Anzahl Reservierungen je Ladepunkt ab_total_reservations_cancelled Anzahl stornierter Reservierungen je Ladepunkt ab_reservations_no-show Anzahl nicht eingehaltener Reservierungen je Ladepunkt</t>
  </si>
  <si>
    <t xml:space="preserve">Datentabelle Monatsbericht Verfügbarkeit</t>
  </si>
  <si>
    <t xml:space="preserve">Monitoring</t>
  </si>
  <si>
    <t xml:space="preserve">ANF-042</t>
  </si>
  <si>
    <t xml:space="preserve">§ 5 (d)</t>
  </si>
  <si>
    <t xml:space="preserve">total_reservation_cost Gesamtsumme aller Kosten im Zusammenhang mit der Reservierung eines Ladepunkts, einschließlich Festpreisbestandteilen (€)</t>
  </si>
  <si>
    <t xml:space="preserve">Datentabelle Reservierungskosten</t>
  </si>
  <si>
    <t xml:space="preserve">ANF-043</t>
  </si>
  <si>
    <t xml:space="preserve">Vertragsanlage 13</t>
  </si>
  <si>
    <t xml:space="preserve">§ 8 (1)</t>
  </si>
  <si>
    <t xml:space="preserve">Mehrfachbuchungen unterbinden</t>
  </si>
  <si>
    <t xml:space="preserve">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</si>
  <si>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identisch zu Paragraph 38 - 1</t>
  </si>
  <si>
    <t xml:space="preserve">ANF-044</t>
  </si>
  <si>
    <t xml:space="preserve">Bieterfragenkatalog</t>
  </si>
  <si>
    <t xml:space="preserve">§ 351</t>
  </si>
  <si>
    <t xml:space="preserve">Nein, auch bei installierten Zufahrtsbeschränkungen sind Sensoren als Redundanz zum Zweck der Detektion des Belegungsstatus des Ladeplatzes vorzusehen.</t>
  </si>
  <si>
    <t xml:space="preserve"> // Antwort: Nein, auch bei installierten Zufahrtsbeschränkungen sind Sensoren als Redundanz zum Zweck der Detektion des Belegungsstatus des Ladeplatzes vorzusehen.</t>
  </si>
  <si>
    <t xml:space="preserve">SCS</t>
  </si>
  <si>
    <t xml:space="preserve">ANF-045</t>
  </si>
  <si>
    <t xml:space="preserve">§ 373</t>
  </si>
  <si>
    <t xml:space="preserve">OCPI Schnittstelle für Reservierungen ist gefordert.</t>
  </si>
  <si>
    <t xml:space="preserve">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</si>
  <si>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OCPI Schnittstelle //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</si>
  <si>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ANF-046</t>
  </si>
  <si>
    <t xml:space="preserve">§ 374</t>
  </si>
  <si>
    <t xml:space="preserve">Anbindung muss deutschlandweit sichergestellt sein.</t>
  </si>
  <si>
    <t xml:space="preserve">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t>
  </si>
  <si>
    <t xml:space="preserve"> // Antwort: Es muss sichergestellt sein, dass die Reservierung für alle Rastanlagen mit Ladeinfrastruktur für E-LKW auf Bundesautobahnen möglich ist.</t>
  </si>
  <si>
    <t xml:space="preserve">Reservierungsplattform</t>
  </si>
  <si>
    <t xml:space="preserve">ANF-047</t>
  </si>
  <si>
    <t xml:space="preserve">§ 375</t>
  </si>
  <si>
    <t xml:space="preserve">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t>
  </si>
  <si>
    <t xml:space="preserve">leer 10.12.2025 // Antwort: Der Auftragnehmer muss nicht mit einer Belegung durch einen Reservierungsvorgang von 75min (beim Zwischenladen) rechnen. Der entsprechende Paragraph (jetzt §38) wurde im Betreibervertrag mit der Aufforderung zur Angebotsabge (Dezember 2025) überarbeitet. Die zuvor vorgesehene Wartezeit von 15 Minuten ist entfallen. Nach der neuen Regelung des § 38 Abs. 3 kann ein Blockadeentgelt im Fall einer Reservierung nach Ablauf des reservierten Zeitraums (ohne Wartezeit) erhoben werden.</t>
  </si>
  <si>
    <t xml:space="preserve">offen</t>
  </si>
  <si>
    <t xml:space="preserve">ANF-048</t>
  </si>
  <si>
    <t xml:space="preserve">§ 376</t>
  </si>
  <si>
    <t xml:space="preserve">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t>
  </si>
  <si>
    <t xml:space="preserve">Verweis Ausschreibungsunterlagen // Antwort: Der Betreibervertrag wird mit der Aufforderung der Abgabe verbindlicher Angebote aktualisiert.</t>
  </si>
  <si>
    <t xml:space="preserve">ANF-049</t>
  </si>
  <si>
    <t xml:space="preserve">§ 377</t>
  </si>
  <si>
    <t xml:space="preserve">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t>
  </si>
  <si>
    <t xml:space="preserve">ANF-050</t>
  </si>
  <si>
    <t xml:space="preserve">§ 378</t>
  </si>
  <si>
    <t xml:space="preserve">Anpassung möglich, bei ungewolltem Nutzerverhalten.</t>
  </si>
  <si>
    <t xml:space="preserve">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</si>
  <si>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 //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</si>
  <si>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ANF-051</t>
  </si>
  <si>
    <t xml:space="preserve">§ 455</t>
  </si>
  <si>
    <t xml:space="preserve">Reservierungsplattform ist nicht Teil der Ausschreibung.</t>
  </si>
  <si>
    <t xml:space="preserve">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</si>
  <si>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Zentrales Reservierungssystem //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</si>
  <si>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ANF-052</t>
  </si>
  <si>
    <t xml:space="preserve">§ 370</t>
  </si>
  <si>
    <t xml:space="preserve">Sämtliche Infos via gängigen Roamingprotokoll / Marktstandard zur verfügung stellen.</t>
  </si>
  <si>
    <t xml:space="preserve">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t>
  </si>
  <si>
    <t xml:space="preserve"> // Antwort: Es ist vom AN sicherzustellen, dass sämtliche Statusinformationen der Reservierungen bereitgestellt werden, die mittels der gängigen Roamingprotokolle übermittelt werden können und dem gängigen Marktstandard entsprechen.</t>
  </si>
  <si>
    <t xml:space="preserve">ANF-053</t>
  </si>
  <si>
    <t xml:space="preserve">Nr. 1 / S. 1</t>
  </si>
  <si>
    <t xml:space="preserve">Vergabeverfahren &amp; Angebot</t>
  </si>
  <si>
    <t xml:space="preserve">Klarstellung: Der Zuschlag wird nicht bereits auf die Erstangebote erteilt. Eine auf die Erstangebote bezogene Bindefrist ist daher gegenstandslos.</t>
  </si>
  <si>
    <t xml:space="preserve">Erster Verfahrensbrief, Formblatt A1, Fragenkatalog Nr. 61: In der Antwort auf Bieterfrage 61 ist ausgeführt, dass die Erstangebote indikativ sein werden und erst die Folgeangebote verbindlich. Unter Ziffer 3.1 des Ersten Verfahrensbriefs zum Verhandlungsverfahren heißt es entsprechend, dass der Auftraggeber den Zuschlag nicht auf das jeweils wirtschaftlichste Erstangebot erteilen wird. Unter Ziffer 4.6 des Ersten Verfahrensbriefs zum Verhandlungsverfahren heißt es allerdings, dass das Erstangebot zuschlagsfähig sein muss. Zudem soll der Bieter im Formblatt A1 – Angebotsschreiben erklären, sich bis zum Ablauf der Bindefrist an sein Erstangebot gebunden zu halten. Vor diesem Hintergrund bitten wir um Klarstellung: Ist unser Verständnis richtig, dass die Erstangebote rein indikativer Natur sind, also vom Auftraggeber unter keinen Umständen bezuschlagt werden können? Wie ist die Bindefrist zu verstehen?</t>
  </si>
  <si>
    <t xml:space="preserve">Bezug lt. Katalog: Erster Verfahrensvrief
Katalogdatum: 08.01.2025 // Antwort: Der Zuschlag wird nicht bereits auf die Erstangeboite erteilt. Eine auf die Erstangebote bezogene Bindefrist ist daher gegenstandslos.</t>
  </si>
  <si>
    <t xml:space="preserve">ANF-054</t>
  </si>
  <si>
    <t xml:space="preserve">Nr. 2 / S. 1</t>
  </si>
  <si>
    <t xml:space="preserve">Zusage / Ankündigung: Der AG beabsichtigt, die Unterlagen im weiteren Vergabeverfahren zur Verfügung zu stellen.</t>
  </si>
  <si>
    <t xml:space="preserve">Wann werden Anlage 04 Anhang 2 (Regelschnitt und Details für die Gestaltung der LKW- Ladeinfrastruktur) und Anlage 04 Anhang 3 (Markierungs- und Beschilderungsplan) zur Verfügung gestellt?</t>
  </si>
  <si>
    <t xml:space="preserve">Bezug lt. Katalog: LB Errichtung
Katalogdatum: 08.01.2025 // Antwort: Der AG beabsichtigt, die Unterlagen im weiteren Vergabeverfahren zur Verfügung zu stellen. Die Erstellung eines Erstangebotes ist unabhängig davon auch ohne die genannten Unterlagen möglich.</t>
  </si>
  <si>
    <t xml:space="preserve">tbd</t>
  </si>
  <si>
    <t xml:space="preserve">Beschilderung</t>
  </si>
  <si>
    <t xml:space="preserve">ANF-055</t>
  </si>
  <si>
    <t xml:space="preserve">Nr. 3 / S. 1</t>
  </si>
  <si>
    <t xml:space="preserve">Vertrag &amp; Recht</t>
  </si>
  <si>
    <t xml:space="preserve">Klarstellung: Eine entsprechende Vertragsfassung wird allen für das Verhandlungsverfahren ausgewählten Bewerbern und Bewerbergemeinschaften mit Beantwortung zur Verfügung gestellt.</t>
  </si>
  <si>
    <t xml:space="preserve">Wir bitte zur besseren Nachverfolgung der Unterlagenfortschreibung um Zusendung einer ChangeVersion, um nachzuvollziehen in welchen Punkte das Vertragswerk angepasst wurde.</t>
  </si>
  <si>
    <t xml:space="preserve">Bezug lt. Katalog: Vertrag
Katalogdatum: 09.01.2025 // Antwort: Eine entsprechende Vertragsfassung wird allen für das Verhandlungsverfahren ausgewählten Bewerbern und Bewerbergemeinschaften mit Beantwortung zur Verfügung gestellt.</t>
  </si>
  <si>
    <t xml:space="preserve">ANF-056</t>
  </si>
  <si>
    <t xml:space="preserve">Nr. 4 / S. 1</t>
  </si>
  <si>
    <t xml:space="preserve">Zusage / Ankündigung: Anlage 9 zum Vertrag wird dem AN nach Vertragsschluss zu Verfügung gestellt (vgl. Vertragsanlage 4 LB Errichtung, S.13).</t>
  </si>
  <si>
    <t xml:space="preserve">Die für die zweite Phase der Ausschreibung geteilten Unterlagen enthalten NICHT die Vertragsanlagen 7 ("Logos") und 9 ("Ansprechpartner (losspezifisch)"). Wenn diese bewusst nicht geteilt werden - wann kann mit diesen gerechnet werden?</t>
  </si>
  <si>
    <t xml:space="preserve">Bezug lt. Katalog: Vertrag
Katalogdatum: 09.01.2025 // Antwort: Anlage 9 zum Vertrag wird dem AN nach Vertragsschluss zu Verfügung gestellt (vgl. Vertragsanlage 4 LB Errichtung, S.13). Der AG beabsichtigt, die Anlage 7 im weiteren Vergabeverfahren zur Verfügung zu stellen. Die Erstellung eines Erstangebotes ist unabhängig davon auch ohne die genannten Unterlagen möglich.</t>
  </si>
  <si>
    <t xml:space="preserve">ANF-057</t>
  </si>
  <si>
    <t xml:space="preserve">Nr. 5 / S. 1</t>
  </si>
  <si>
    <t xml:space="preserve">Flächen &amp; Genehmigungen</t>
  </si>
  <si>
    <t xml:space="preserve">Klarstellung: Die Unterlagen Vertragsanlage 2 ("Standortübersicht (losspezifisch)") und Anlage 2 zum Verfahrensbrief ("Gesamtübersicht über die Lose") wurden entsprechend aktualisiert und stehen Ihnen in der überarbeiteten Version zur …</t>
  </si>
  <si>
    <t xml:space="preserve">wir bitten um Klärung der folgenden Frage betreffend Anlage 2 zum Verfahrensbrief, Vertragsanlage 2_Standortübersicht und Vertragsanlage 3. In diesen Dokumenten ergeben sich teilweise Inkonsistenzen hinsichtlich der Anzahl der Ladepunkte je Standort. Könnten Sie diese bitte erläutern? Beispiel: Los 1, Standort Schwalenberg Ost: - laut Vertragsanlage 2_Standortübersicht, Los 1 und laut Anlage 2 zum Ersten Verfahrensbrief sollen an dem Standort 1 MCS-Ladepunkt, 1 CCS (Zwischenladepunkt) aufgebaut werden - laut Anlage 3 Los 1 (Vorplanungsdokument) sollen an dem Standort 6 MCS-Ladepunkte und 30 CCS Ladepunkt aufgebaut werden (keine Unterscheidung von Zwischenladen und Übernachtladen)</t>
  </si>
  <si>
    <t xml:space="preserve">Bezug lt. Katalog: Anlage 2/3
Katalogdatum: 09.01.2025 // Antwort: Die Unterlagen Vertragsanlage 2 ("Standortübersicht (losspezifisch)") und Anlage 2 zum Verfahrensbrief ("Gesamtübersicht über die Lose") wurden entsprechend aktualisiert und stehen Ihnen in der überarbeiteten Version zur Verfügung. Diese aktualisierten Dokumente sind dem Erstangebot zu Grunde zu legen. In den unverbindlichen Vorplanungen (Vertragsanlage 3 "Angaben und Informationen zu den Standorten (losspezifisch)") wird nicht zwischen CCS 400 und CCS 100 Ladepunkten unterschieden, da von gleichen baulichen Anforderungen auszugehen ist. Etwaige Unterschiede bei z. B. Kabelquerschnitten und anderen Komponenten sind zu berücksichtigen.</t>
  </si>
  <si>
    <t xml:space="preserve">ANF-058</t>
  </si>
  <si>
    <t xml:space="preserve">Nr. 6 / S. 1</t>
  </si>
  <si>
    <t xml:space="preserve">Netzanschluss &amp; Energie</t>
  </si>
  <si>
    <t xml:space="preserve">Klarstellung: Die Unterlagen Vertragsanlage 2 ("Standortübersicht (losspezifish)") und Anlage 2 zum Verfahrensbrief ("Gesamtübersicht über die Lose") wurden entsprechend aktualisiert und stehen Ihnen in der überarbeiteten Version zur Verfügung.</t>
  </si>
  <si>
    <t xml:space="preserve">Es ist aufgefallen, dass in den Standortübersichten sowie in der Gesamtübersicht über die Lose (Anlagen 02) die Angaben in den Spalten "Nr. BAB" sowie "Geogr. Länge" und "Geogr. Breite" in weiten Teilen nicht mit der jeweiligen Kennung und Bezeichnung der Rastanlage (PWC-Anlage) zusammenpassen. Wir bitten um Überprüfung. Darüber hinaus unterscheiden sich die Angaben zur jeweiligen Anzahl der Ladepunkte in den Dokumenten der Vertragsanlagen 02 und der Vertragsanlage 05. Wir bitten um Überprüfung dieses Widerspruchs. Des Weiteren bitten wir um Überprüfung der Unterlagen in "Vertragsanlage 3 - Angaben und Informationen zu den einzelnen Standorten (losspezifisch)", da die dort enthaltenen Angaben teilweise nicht mit den vorgenannten Dokumenten aus "Anlage 2" übereinstimmen. Außerdem scheint in "Anlage 3" bei der "lfd. Nr." 74 die Angabe der "Nr. BAB" fehlerhaft zu sein.</t>
  </si>
  <si>
    <t xml:space="preserve">Bezug lt. Katalog: Vertragsanlage 02 Standortübersicht (losspezifisch) - Stand 06.01.2025 / Anlage 02_zum Verfahrensbrief_Gesamtübersich t über die Lose - Stand 06.01.2025 / Vertragsanlage 3 - Angaben und Informationen zu den einzelnen Standorten (losspezifisch) - Stand 06.01.2025 / Vertragsanlage 5 - Details zum Netzanschluss - Stand 06.01.25
Katalogdatum: 10.01.2025 // Antwort: Die Unterlagen Vertragsanlage 2 ("Standortübersicht (losspezifish)") und Anlage 2 zum Verfahrensbrief ("Gesamtübersicht über die Lose") wurden entsprechend aktualisiert und stehen Ihnen in der überarbeiteten Version zur Verfügung. Diese aktualisierten Dokumente sind dem Erstangebot zu Grunde zu legen. Die Angaben der Vertragsanlage 05 (Stand 06.01.2025) sind korrekt.</t>
  </si>
  <si>
    <t xml:space="preserve">ANF-059</t>
  </si>
  <si>
    <t xml:space="preserve">Nr. 7 / S. 2</t>
  </si>
  <si>
    <t xml:space="preserve">Klarstellung: Die Unterlagen Anlage 5 zum Verfahrensbrief wurden entsprechend aktualisiert und stehen Ihnen in der überarbeiteten Version zur Verfügung.</t>
  </si>
  <si>
    <t xml:space="preserve">Es ist aufgefallen, dass die Karte der Standorte fälschlicherweise als "Anlage 4 zum Verfahrensbrief" betitelt ist, während die Dateibezeichnung "Anlage 05..." ist. Wir bitten um Überprüfung. Des Weiteren bitten wir um Überprüfung der dargestellten Standorte, da mindestens 3 Standorte aus Los 4 nicht dargestellt sind.</t>
  </si>
  <si>
    <t xml:space="preserve">Bezug lt. Katalog: Anlage 05 zum Verfahrensbrief - Karte zur Losaufteilung - Stand 06.01.2025
Katalogdatum: 10.01.2025 // Antwort: Die Unterlagen Anlage 5 zum Verfahrensbrief wurden entsprechend aktualisiert und stehen Ihnen in der überarbeiteten Version zur Verfügung. Diese aktualisierte Dokumente ist dem Erstangebot zu Grunde zu legen.</t>
  </si>
  <si>
    <t xml:space="preserve">Automatisch ausgewertet: Betrifft das Vergabeverfahren (Angebot, Wertung, Unterlagen), nicht die zu erbringende Leistung. Keiner Komponente zugeordnet.</t>
  </si>
  <si>
    <t xml:space="preserve">ANF-060</t>
  </si>
  <si>
    <t xml:space="preserve">Nr. 8 / S. 2</t>
  </si>
  <si>
    <t xml:space="preserve">Zusage / Ankündigung: Siehe die Antwort auf Frage 1. Die Bieter sind dennoch aufgefordert ein zuschlagsfähiges Erstangebot abzugeben.</t>
  </si>
  <si>
    <t xml:space="preserve">Bindung an Erstangebot: Im ersten Verfahrensbrief ist in 4.6 von der Abgabe eines "zuschlagsfähigen" Erstangebots die Rede. Wird somit in der Verhandlungsphase nur das verhandelt, was als "Verhandlungsbedarf" im Formblatt A6 explizit angemeldet wird und der Rest ist bereits bindend im Falle eines Zuschlags?</t>
  </si>
  <si>
    <t xml:space="preserve">Bezug lt. Katalog: Verfahrensbrief in 4.6
Katalogdatum: 14.01.2025 // Antwort: Siehe die Antwort auf Frage 1. Die Bieter sind dennoch aufgefordert ein zuschlagsfähiges Erstangebot abzugeben. In den Verhandlungen wird der von den Bietern im Formblatt A6 addressierte Verhandlungsbedarf behandelt. Im Anschluss an die Verhandlungen werden den Bietern entsprechend der Ergebnisse der Verhandlungen überarbeitete Vergabeunterlagen zur Verfügung gestellt. Auf der Grundlage dieser überarbeiteten Vergabeunterlagen werden die Bieter aufgefordert werden ein verbindliches Angbeot abzugeben. Dieses verbindliche Angbeot, auf das der AG beabsichtigt den Zuschlag zu erteilen, wird vollständig neu einzureichen sein und nicht auf Bestandteile des Erstangebots bezunehmen.</t>
  </si>
  <si>
    <t xml:space="preserve">ANF-061</t>
  </si>
  <si>
    <t xml:space="preserve">Nr. 9 / S. 2</t>
  </si>
  <si>
    <t xml:space="preserve">Klarstellung: Die Pflicht, mit allen Mobilitätsdienstleistern diskriminierungsfrei Verträge zu schließen ist in §27(1) des Hauptvertrags geregelt.</t>
  </si>
  <si>
    <t xml:space="preserve">Müssen die Teilnehmer einen Vertrag mit jedem möglichen Mobilitätsdienstleister für das Durchleitungsmodell abschließen oder kann dies von einem einzelnen Akteur aggregiert werden? Vergleichbar mit einer Roaming-Plattform im MSP-Geschäft.</t>
  </si>
  <si>
    <t xml:space="preserve">Bezug lt. Katalog: BYOP
Katalogdatum: 14.01.2025 // Antwort: Die Pflicht, mit allen Mobilitätsdienstleistern diskriminierungsfrei Verträge zu schließen ist in §27(1) des Hauptvertrags geregelt. Der Mobilitätsdienstleister kann dabei optional das Durchleitungsmodell wählen und den Strom bilanziell bereitstellen (§28 des Hauptvertrags). Erforderlich ist auch bei Wahl des Durchleitungsmodells der Abschluss einer Vereinbarung zwischen Ladepunktbetreiber und Mobilitätsdienstleister (vgl. Anlage 14 ). Es entstehen also bilaterale Verträge zur Durchleitung. Eine vertragliche Plattform-Lösung ist nicht zwingend vorgesehen, aber denkbar.</t>
  </si>
  <si>
    <t xml:space="preserve">ANF-062</t>
  </si>
  <si>
    <t xml:space="preserve">Nr. 10 / S. 2</t>
  </si>
  <si>
    <t xml:space="preserve">Bestätigt: der Rastplatz mit der Kennung DE-ST-001249 ist "Brockenblick Ost".</t>
  </si>
  <si>
    <t xml:space="preserve">Bezieht sich "Parkplatz Brockenblick Ost" (DE-ST-001249) tatsächlich auf "Parkplatz Brocken Nord"?</t>
  </si>
  <si>
    <t xml:space="preserve">Bezug lt. Katalog: Standortbezeichnung
Katalogdatum: 14.01.2025 // Antwort: Ja, der Rastplatz mit der Kennung DE-ST-001249 ist "Brockenblick Ost". Für die Indentifikation der Standorte sind die angegebene Kennung und die in Anlage 2 zum Verfahrensbrief "Gesamtübersicht über die Lose" genannten Geokoordinaten maßgebend. Rastanalagenbezeichungen können in unterschiedlichen Kartensystemen (insb. von Drittanbietern) abweichen bzw. sind nicht immer aktuell.</t>
  </si>
  <si>
    <t xml:space="preserve">ANF-063</t>
  </si>
  <si>
    <t xml:space="preserve">Nr. 11 / S. 2</t>
  </si>
  <si>
    <t xml:space="preserve">Verweis des Auftraggebers auf die Antwort zu Bieterfrage 6.</t>
  </si>
  <si>
    <t xml:space="preserve">Die zur Verfügung gestellten standortspezifischen Dokumente bieten keine kongruenten Informationen. Die Anzahl der CCS/MCS-Ladepunkte pro Standort ist in den Unterlagen nicht konsistent: - 20250106_Vertragsanlage 02_Standortübersicht (losspezifisch) - 20250106_Vertragsanlage 05_Details zum Netzanschluss Bitte bestätigen Sie, welche Version korrekt ist und passen Sie die Dokumente entsprechend an.</t>
  </si>
  <si>
    <t xml:space="preserve">Bezug lt. Katalog: Ladeinfrastruktur je Standort
Katalogdatum: 14.01.2025 // Antwort: siehe die Antwort auf Frage 6</t>
  </si>
  <si>
    <t xml:space="preserve">Automatisch ausgewertet: Die Antwort des Auftraggebers verweist ausschließlich auf Bieterfrage 6. Keine eigenständige Anforderung – der Inhalt ist unter der dort erfassten Zeile nachzuhalten.</t>
  </si>
  <si>
    <t xml:space="preserve">ANF-064</t>
  </si>
  <si>
    <t xml:space="preserve">Nr. 12 / S. 2</t>
  </si>
  <si>
    <t xml:space="preserve">Klarstellung: Siehe Anlage 1 zum Verfahrensbrief - Betreibervertrag, §39 Abs. 3: "Das Errichtungsentgelt für den betreffenden Standort wird, sofern die jeweils nachfolgenden Zahlungsvoraussetzungen vorliegen, [...] gezahlt, […]."</t>
  </si>
  <si>
    <t xml:space="preserve">Sie schreiben: "Der Abschluss der Errichtungsphase wird mit der Verkehrsfreigabe des letzten Standortes im Los erreicht." Werden erst im Anschluss daran die ersten 50% der Errichtungskosten aller Standorte überwiesen, oder kann man nach jeder einzelnen Errichtung bereits 50% der Errichtungskosten anfordern?</t>
  </si>
  <si>
    <t xml:space="preserve">Bezug lt. Katalog: -
Katalogdatum: 15.01.2024 // Antwort: Siehe Anlage 1 zum Verfahrensbrief - Betreibervertrag, §39 Abs. 3: "Das Errichtungsentgelt für den betreffenden Standort wird, sofern die jeweils nachfolgenden Zahlungsvoraussetzungen vorliegen, [...] gezahlt, […]."</t>
  </si>
  <si>
    <t xml:space="preserve">ANF-065</t>
  </si>
  <si>
    <t xml:space="preserve">Nr. 13 / S. 2</t>
  </si>
  <si>
    <t xml:space="preserve">Verweis des Auftraggebers auf die Antwort zu Bieterfrage 1.</t>
  </si>
  <si>
    <t xml:space="preserve">Nach Ablauf der Angebotsfrist bleibt der Bieter bis zum Ablauf der vom öffentlichen Auftraggeber festgelegten Bindefrist an sein Angebot gebunden." Inwiefern ist damit das Erstangebot bindend?</t>
  </si>
  <si>
    <t xml:space="preserve">Bezug lt. Katalog: -
Katalogdatum: 15.01.2024 // Antwort: siehe die Antwort auf Frage 1</t>
  </si>
  <si>
    <t xml:space="preserve">Automatisch ausgewertet: Die Antwort des Auftraggebers verweist ausschließlich auf Bieterfrage 1. Keine eigenständige Anforderung – der Inhalt ist unter der dort erfassten Zeile nachzuhalten.</t>
  </si>
  <si>
    <t xml:space="preserve">ANF-066</t>
  </si>
  <si>
    <t xml:space="preserve">Nr. 14 / S. 2</t>
  </si>
  <si>
    <t xml:space="preserve">Klarstellung: Etwaige IT Entwicklungskosten sind im Betreiberentgelt kalkulieren. Soweit das Vorgehen als unzweckmäßig erachtet wird, kann dies im Rahmen des Verhanldungsbedarfs (Formblatt A6) an den AG addressiert werden.</t>
  </si>
  <si>
    <t xml:space="preserve">In welcher Kostenposition Ihrer Vorlage werden IT Entwicklungskosten für die Entwicklung von bspw. Reservierungstool und Durchleitungsmodell hinterlegt?</t>
  </si>
  <si>
    <t xml:space="preserve">Bezug lt. Katalog: -
Katalogdatum: 15.01.2024 // Antwort: Etwaige IT Entwicklungskosten sind im Betreiberentgelt kalkulieren. Soweit das Vorgehen als unzweckmäßig erachtet wird, kann dies im Rahmen des Verhanldungsbedarfs (Formblatt A6) an den AG addressiert werden.</t>
  </si>
  <si>
    <t xml:space="preserve">ANF-067</t>
  </si>
  <si>
    <t xml:space="preserve">Nr. 15 / S. 2</t>
  </si>
  <si>
    <t xml:space="preserve">Klarstellung: Die Verlustenergie wäre nach den aktuellen vertraglichen Regelungen im Angebot in das Betreiberentgelt einzupreisen.</t>
  </si>
  <si>
    <t xml:space="preserve">In welchem Kostenposten wird die im Durchleitungsmodell auftretende Verlustenergie hinterlegt? Derzeit schätzen wir die Kosten dafür auf 2-stellige Millionenbeträge pro Jahr.</t>
  </si>
  <si>
    <t xml:space="preserve">Bezug lt. Katalog: -
Katalogdatum: 15.01.2024 // Antwort: Die Verlustenergie wäre nach den aktuellen vertraglichen Regelungen im Angebot in das Betreiberentgelt einzupreisen. Einzelheiten können in den Bietergesprächen thematisiert werden.</t>
  </si>
  <si>
    <t xml:space="preserve">ANF-068</t>
  </si>
  <si>
    <t xml:space="preserve">Nr. 16 / S. 2</t>
  </si>
  <si>
    <t xml:space="preserve">Klarstellung: Die bilanzielle Zuordnung der Energie im Durchleitungsmodell erfolgt über eine Zuordnungsermächtigung des EMP/MSP zu einem Bilanzkreis.</t>
  </si>
  <si>
    <t xml:space="preserve">In welchem Kostenposten werden Risikopositionen zu Lieferantenausfällen beim Durchleitungsmodell hinterlegt? Diese sind auslastungsabhängig und somit nicht prognostizierbar.</t>
  </si>
  <si>
    <t xml:space="preserve">Bezug lt. Katalog: -
Katalogdatum: 15.01.2024 // Antwort: Die bilanzielle Zuordnung der Energie im Durchleitungsmodell erfolgt über eine Zuordnungsermächtigung des EMP/MSP zu einem Bilanzkreis. Diese Zuordnungsermächtigung kann solange durch den Betreiber genutzt werden, bis der Bilanzkreis, auf den sich die Zuordnungsermächtigung bezieht, gekündigt wurde. Der Betreiber muss - entsprechend einem normalen Netzbetreiber - also sicherstellen, dass nach Kündigung des Bilanzkreises (Veröffentlichung der ÜNB) keine Ladevorgänge mehr im Rahmen des Durchleitungsmodells erfolgen. "Lieferantenausfälle" führen beim Betreiber daher grundsätzlich nicht zu Kosten bezogen auf die im Rahmen des Durchleitungsmodells entnommenen Strommengen.</t>
  </si>
  <si>
    <t xml:space="preserve">ANF-069</t>
  </si>
  <si>
    <t xml:space="preserve">Nr. 17 / S. 2</t>
  </si>
  <si>
    <t xml:space="preserve">Klarstellung: Alle Standorte sind mit der ausgeschriebenen Anzahl an Ladepunkten zu errichten. Soweit die Netzanschlusskapazität an einzelnen Standorten nicht (rechtzeitig) vorliegt, kann der AG an diesen Standorten einen die …</t>
  </si>
  <si>
    <t xml:space="preserve">Sollen die Standorte mit dem Komplettsetup errichtet werden, ohne dass der endgültige Netzanschluss vorliegt? In diesem Fall können die Leistungsvorgaben der Ausschreibung nicht erfüllt werden.</t>
  </si>
  <si>
    <t xml:space="preserve">Bezug lt. Katalog: -
Katalogdatum: 15.01.2024 // Antwort: Alle Standorte sind mit der ausgeschriebenen Anzahl an Ladepunkten zu errichten. Soweit die Netzanschlusskapazität an einzelnen Standorten nicht (rechtzeitig) vorliegt, kann der AG an diesen Standorten einen die Anschlusskapazität teilweise ersetzenden Speicher aufstellen (Anlage 1 zum Verfahrensbrief - Betreibervertrag, §44).</t>
  </si>
  <si>
    <t xml:space="preserve">ANF-070</t>
  </si>
  <si>
    <t xml:space="preserve">Nr. 18 / S. 2</t>
  </si>
  <si>
    <t xml:space="preserve">Klarstellung: Der Betreiber kann diese Kosten bei der Kalkulation seines EMP-Entgelts bzw. seines Ad hoc - Ladetarifs berücksichtigten.</t>
  </si>
  <si>
    <t xml:space="preserve">Wie wird im Zusammenhang mit Verlustenergien mit nicht absehbaren Veränderungen und damit einhergehenden regulatorischen Änderungen umgegangen (z.B. dynamische Netzentgelte oder neue Strompreiszonen)? Sollen diese Risiken im Angebot berücksichtigt werden oder können hier steigende Kosten auch im Laufe des Betriebes an den Bund weitergereicht werden?</t>
  </si>
  <si>
    <t xml:space="preserve">Bezug lt. Katalog: -
Katalogdatum: 15.01.2024 // Antwort: Der Betreiber kann diese Kosten bei der Kalkulation seines EMP-Entgelts bzw. seines Ad hoc - Ladetarifs berücksichtigten. Beim Durchleitungsmodell können die Kosten der Netznutzung ebenfalls berücksichtigt werden.</t>
  </si>
  <si>
    <t xml:space="preserve">ANF-071</t>
  </si>
  <si>
    <t xml:space="preserve">Nr. 19 / S. 2</t>
  </si>
  <si>
    <t xml:space="preserve">Klarstellung: Eine Anpassung des Beginns der Vertragslaufzeit auf Zeitpunkt der Inbetriebnahme der Standorte ist nicht vorgesehen.</t>
  </si>
  <si>
    <t xml:space="preserve">Die Laufzeit beträgt weiterhin 8 Jahre ab Loszuschlag, also voraussichtlich bis 2033? Ein großteil der Standorte muss erst 2029 und 2030 gebaut werden. Die tatsächliche Laufzeit würde für diese Standorte nur 3-4 Jahre betragen. Erwägen Sie die Option, dass die Vertragslaufzeit ab Inbetriebnahme der Standorte startet?</t>
  </si>
  <si>
    <t xml:space="preserve">Bezug lt. Katalog: -
Katalogdatum: 15.01.2024 // Antwort: Eine Anpassung des Beginns der Vertragslaufzeit auf Zeitpunkt der Inbetriebnahme der Standorte ist nicht vorgesehen. Der tatsächliche Zeitpunkt der Inbetriebnahme der einzelnen Standorte obliegt auch der Planung des AN (Vertragsanlage 4 - Kapitel 2.2.1).</t>
  </si>
  <si>
    <t xml:space="preserve">ANF-072</t>
  </si>
  <si>
    <t xml:space="preserve">Nr. 20 / S. 2</t>
  </si>
  <si>
    <t xml:space="preserve">Verweis des Auftraggebers auf die Antwort zu Bieterfrage 5.</t>
  </si>
  <si>
    <t xml:space="preserve">Viele der Geokoordinaten in Vertragsanlage 2 und Anlage 2 zum Verfahrensbrief stimmen nicht mit den Rastplätzen überein. Wir bitten Sie, zu spezifizieren welche Angabe massgeblich ist und die unzutreffenden Angaben zu korrigieren.</t>
  </si>
  <si>
    <t xml:space="preserve">Bezug lt. Katalog: –
Katalogdatum: 15.01.2025 // Antwort: Siehe Antwort auf Frage 5</t>
  </si>
  <si>
    <t xml:space="preserve">Automatisch ausgewertet: Die Antwort des Auftraggebers verweist ausschließlich auf Bieterfrage 5. Keine eigenständige Anforderung – der Inhalt ist unter der dort erfassten Zeile nachzuhalten.</t>
  </si>
  <si>
    <t xml:space="preserve">ANF-073</t>
  </si>
  <si>
    <t xml:space="preserve">Nr. 21 / S. 2</t>
  </si>
  <si>
    <t xml:space="preserve">Klarstellung: Die Angaben der Vertragsanlage 03 sind im Fall des Rastplatzes DE-BW-006550 Eichhäuser Hof nicht korrekt.</t>
  </si>
  <si>
    <t xml:space="preserve">In Vertragsanlage 3 steht bei DE-BW-006550 Rastplatz Eichhäuser Hof, dass kein WC vorhanden ist. Jedoch sieht es in einschlägigen Karten-/Bewertungsdiensten danach aus, dass ein WC vorhanden und benutzbar ist. Liegt hier ein Fehler vor? Bitte spezifizieren Sie welche Information richtig ist.</t>
  </si>
  <si>
    <t xml:space="preserve">Bezug lt. Katalog: –
Katalogdatum: 15.01.2025 // Antwort: Die Angaben der Vertragsanlage 03 sind im Fall des Rastplatzes DE-BW-006550 Eichhäuser Hof nicht korrekt. Es ist korrekt, dass auf der Anlage mittlerweile ein WC vorhanen ist.</t>
  </si>
  <si>
    <t xml:space="preserve">ANF-074</t>
  </si>
  <si>
    <t xml:space="preserve">Nr. 22 / S. 3</t>
  </si>
  <si>
    <t xml:space="preserve">Klarstellung: Eine Freigabe aller Standorte soll bis zum 31.12.2030 erfolgen. Ein Unterschied zwischen der Inbetriebnahme und der Verkehrsfreigabe besteht nicht.</t>
  </si>
  <si>
    <t xml:space="preserve">In der aktuellsten Vertragsfassung vom 06.01. ist in §11.4 von einer vorgesehenen spätesten Inbetriebnahme zum 31.12.2028 die Rede. In Vertragsanlage 04 (Leistungsbeschreibung Errichtung) unter Punkt 2.2.1 ist dagegen von einer Verkehrsfreigabe von 100% der Standorte spätestens zum 31.12.2030 die Rede. Könnten Sie spezifizieren, welche Angabe korrekt ist? Könnten Sie darüber hinaus spezifizieren, ob zwischen Betriebs- und Verkehrsfreigabe ein Unterschied besteht?</t>
  </si>
  <si>
    <t xml:space="preserve">Bezug lt. Katalog: –
Katalogdatum: 15.01.2025 // Antwort: Eine Freigabe aller Standorte soll bis zum 31.12.2030 erfolgen. Ein Unterschied zwischen der Inbetriebnahme und der Verkehrsfreigabe besteht nicht. Die Regelungen im Vertrag und der Vertragsanlage 4 werden vor Aufforderung zur Abgabe verbindlicher Angebote noch aufeinander abgestimmt.</t>
  </si>
  <si>
    <t xml:space="preserve">ANF-075</t>
  </si>
  <si>
    <t xml:space="preserve">Nr. 23 / S. 3</t>
  </si>
  <si>
    <t xml:space="preserve">Klarstellung: Zu etwaigen weiteren Ausschreibungen können keine Angaben gemacht werden.</t>
  </si>
  <si>
    <t xml:space="preserve">Kann es basierend auf dem Ausgang dieser Ausschreibung Einschränkungen bei der Losvergabe der kommenden Ausschreibung (bemannte Rastanlagen) geben? Z.B. zur Vermeidung lokaler Monopole?</t>
  </si>
  <si>
    <t xml:space="preserve">Bezug lt. Katalog: –
Katalogdatum: 15.01.2025 // Antwort: Zu etwaigen weiteren Ausschreibungen können keine Angaben gemacht werden.</t>
  </si>
  <si>
    <t xml:space="preserve">ANF-076</t>
  </si>
  <si>
    <t xml:space="preserve">Nr. 24 / S. 3</t>
  </si>
  <si>
    <t xml:space="preserve">Klarstellung: Das Betreiberentgelt als Vergütungsbestandteil richtet sich nach §40 des Vertrags (Anlage 01 zum Verfahrensbrief).</t>
  </si>
  <si>
    <t xml:space="preserve">Was ist im Detail unter dem "Betreiberentgelt" zu verstehen und aus welchen Bestandteilen setzt sich diese zusammen?</t>
  </si>
  <si>
    <t xml:space="preserve">Bezug lt. Katalog: Hauptvertrag
Katalogdatum: 17.01.2025 // Antwort: Das Betreiberentgelt als Vergütungsbestandteil richtet sich nach §40 des Vertrags (Anlage 01 zum Verfahrensbrief). Es bezieht sich grundsätzlich auf den Betrieb der Ladeinfrastruktur. Die Kalkulation des Betreiberentgelts unterliegt der Kalkulationsfreiheit der Bieter. Der AG behält sich vor, sich von den Bietern eine Aufschlüsselung der Bestandteile des kalkulierten Betreiberentgelts mit Abgabe der verbindlichen Angabeote einreichen zu lassen.</t>
  </si>
  <si>
    <t xml:space="preserve">ANF-077</t>
  </si>
  <si>
    <t xml:space="preserve">Nr. 25 / S. 3</t>
  </si>
  <si>
    <t xml:space="preserve">Verneint: das Ad-hoc Entgelt soll nicht gemindert werden. § 19 Abs.</t>
  </si>
  <si>
    <t xml:space="preserve">§ 19: Ist es gewollt, dass bei Nutzung des Reservierungssystems und Ad-hoc Ladung die Erlöse für den AN gemindert werden?</t>
  </si>
  <si>
    <t xml:space="preserve">Bezug lt. Katalog: Hauptvertrag
Katalogdatum: 17.01.2025 // Antwort: Nein, das Ad-hoc Entgelt soll nicht gemindert werden. § 19 Abs. 6 sieht lediglich eine Anrechnung eines gzahlten Reservierungsentgelts vor.</t>
  </si>
  <si>
    <t xml:space="preserve">eRound / Reservierungsplattform</t>
  </si>
  <si>
    <t xml:space="preserve">Authentifizierungskomponente / OCPI Buchungskalender / Reservierungsplattform</t>
  </si>
  <si>
    <t xml:space="preserve">ANF-078</t>
  </si>
  <si>
    <t xml:space="preserve">Nr. 26 / S. 3</t>
  </si>
  <si>
    <t xml:space="preserve">Klarstellung: Die Angebotsfrist ist angemessen und auskömmlich. Eine Fristverlängerung erfolgt nicht.</t>
  </si>
  <si>
    <t xml:space="preserve">Es ist eine Abgabefrist des Erstangebots bis zum 27.02.2025, 12 Uhr vorgesehen. Die Klärung der Fragen als Basis für die Angebotskalkulation und Erstellung der Konzepte sowie die danach erforderlichen Prüfungs-, Freigabe und insbesondere hochrangigen Gremienbeteiligungen mit anschließender Finalisierung der Angebote sind bis zum 27.02.2025 ist terminlich nicht möglich. Wir bitten daher um Verlängerung der Abgabefrist für das Erstangebot bis zum 20.03.2025.</t>
  </si>
  <si>
    <t xml:space="preserve">Bezug lt. Katalog: Frist für Abgabe Erstangebote
Katalogdatum: 17.01.2025 // Antwort: Die Angebotsfrist ist angemessen und auskömmlich. Eine Fristverlängerung erfolgt nicht.</t>
  </si>
  <si>
    <t xml:space="preserve">ANF-079</t>
  </si>
  <si>
    <t xml:space="preserve">Nr. 27 / S. 3</t>
  </si>
  <si>
    <t xml:space="preserve">Klarstellung: Die ladeplatzbezogene Beleuchtung ist an die Niederspannungsanalage der Ladeinfrastruktur anzuschließen.</t>
  </si>
  <si>
    <t xml:space="preserve">In diesem Kapitel wird beschrieben, dass der Anschluss und die Abrechnung der Mastbeleuchtung über das Energienetz der Rastanlage erfolgt. Gleichzeitig soll die Beleuchtungsanlage an die Niederspannungsanlage der E-Mobilität angeschlossen werden. Wir bitten um Prüfung, welche der beiden Vorgaben tatsächlich zutrifft.</t>
  </si>
  <si>
    <t xml:space="preserve">Bezug lt. Katalog: LB Errichtung, Kapitl 3.10.1
Katalogdatum: 17.01.2025
Zuordnung prüfen (Komponente/Partner nicht eindeutig) // Antwort: Die ladeplatzbezogene Beleuchtung ist an die Niederspannungsanalage der Ladeinfrastruktur anzuschließen.</t>
  </si>
  <si>
    <t xml:space="preserve">Zuordnung prüfen</t>
  </si>
  <si>
    <t xml:space="preserve">ANF-080</t>
  </si>
  <si>
    <t xml:space="preserve">Nr. 28 / S. 3</t>
  </si>
  <si>
    <t xml:space="preserve">Klarstellung: Die Endausbauleistung für jeden Standort finden Sie in der Vertragsanlage 5 "Details zum Netzanschluss" in der Spalte "beantragte Leistung 2035".</t>
  </si>
  <si>
    <t xml:space="preserve">Sämtliche Kabelführungen sind auf die Endausbauleistung im Jahr 2035 zu bemessen.Wir bitten um Angabe der Endausbauleistung für jeden Standort.</t>
  </si>
  <si>
    <t xml:space="preserve">Bezug lt. Katalog: LB Errichtung, Kapitel 4.11.6
Katalogdatum: 17.01.2025 // Antwort: Die Endausbauleistung für jeden Standort finden Sie in der Vertragsanlage 5 "Details zum Netzanschluss" in der Spalte "beantragte Leistung 2035".</t>
  </si>
  <si>
    <t xml:space="preserve">ANF-081</t>
  </si>
  <si>
    <t xml:space="preserve">Nr. 29 / S. 3</t>
  </si>
  <si>
    <t xml:space="preserve">Klarstellung: Es ist vorgesehen, dass das Infrastrukturentgelt über alle Standorte berechnet wird.</t>
  </si>
  <si>
    <t xml:space="preserve">Wird das Infrastrukturentgelt standortbezogen, losbezogen (und damit anbieterbezogen) oder über alle Standorte berechnet?</t>
  </si>
  <si>
    <t xml:space="preserve">Bezug lt. Katalog: Infrastrukturentgelt
Katalogdatum: 17.01.2025 // Antwort: Es ist vorgesehen, dass das Infrastrukturentgelt über alle Standorte berechnet wird.</t>
  </si>
  <si>
    <t xml:space="preserve">ANF-082</t>
  </si>
  <si>
    <t xml:space="preserve">Nr. 30 / S. 3</t>
  </si>
  <si>
    <t xml:space="preserve">Klarstellung: An der MS-Unterstation können Komponenten wie Ladetechnik, Schaltanlage und Versorgungstransformator angeschlossen sein.</t>
  </si>
  <si>
    <t xml:space="preserve">In allen Unterlagen im Ordner Vorplanung ist neben der MS-Station, auch eine MS-Unterstation. Welche Funktion hat die MS-Unterstation?</t>
  </si>
  <si>
    <t xml:space="preserve">Bezug lt. Katalog: Dokument: Vorplanung
Katalogdatum: 17.01.2025 // Antwort: An der MS-Unterstation können Komponenten wie Ladetechnik, Schaltanlage und Versorgungstransformator angeschlossen sein. MS-Übergabestation und MS- Unterstation können auch örtlich voneinander getrennt aufgestellt sein.</t>
  </si>
  <si>
    <t xml:space="preserve">ANF-083</t>
  </si>
  <si>
    <t xml:space="preserve">Nr. 31 / S. 3</t>
  </si>
  <si>
    <t xml:space="preserve">Klarstellung: Die in Vertragsanlage 4, Kapitel 3.10.1 aufgeführten Anforderungen an die Beleuchtung sind zu erfüllen.</t>
  </si>
  <si>
    <t xml:space="preserve">In den Vorplanungen einzelner Standorte wird Beleuchtung wie folgt benötigt (Beschreibung rauskopiert): e 6 LKW-Stellplätze ist ein 10,00m hoher Lichtmast vorzusehen. Alternativ ist pro 8 LKW-Stellplätze ein 12,00m hoher Lichtmast vorzusehen. Frage: Entfällt die Anforderung, wenn jeder Stellplatz eine eigene Beleuchtung (Lichtmast) erhält? Und sind die Anforderungen dann wie in Anlage 4 "Leistungsbeschreibung Errichtung" zu erfüllen?</t>
  </si>
  <si>
    <t xml:space="preserve">Bezug lt. Katalog: Dokument: Vorplanung
Katalogdatum: 17.01.2025
Zuordnung prüfen (Komponente/Partner nicht eindeutig) // Antwort: Die in Vertragsanlage 4, Kapitel 3.10.1 aufgeführten Anforderungen an die Beleuchtung sind zu erfüllen. Dazu kann auf eine der beiden in der Vorplanung (Vertragsanlage 3 - Vorplanung) genannten Varianten zurückgegriffen werden. Sofern der Bieter eine andere Variante vorsieht, hat er die Einhaltung der in Vertragsanlage 4, Kapitel 3.10.1 aufgeführten Anforderungen an die Beleuchtung nachzuweisen.</t>
  </si>
  <si>
    <t xml:space="preserve">ANF-084</t>
  </si>
  <si>
    <t xml:space="preserve">Nr. 32 / S. 3</t>
  </si>
  <si>
    <t xml:space="preserve">Klarstellung: Die Installationsaktivitäten sind in den jeweiligen Kostengruppen mitzuberücksichtigen.</t>
  </si>
  <si>
    <t xml:space="preserve">Dokument: "20250106_Anlage 06_zum Verfahrensbrief_Aufschlüssel_Preise Errichtung" --&gt; Sind alle Installationsaktivitäten (Ladehardware, CCTV, Trafo, Unterstation etc.) in Position 3.9 (Zeile 26) und Position 3.10 (Zeile 27) aufzuführen oder wird der gesamte Kostenpunkt "Installation" an anderer Stelle aufgeführt?</t>
  </si>
  <si>
    <t xml:space="preserve">Bezug lt. Katalog: Preise Errichtung
Katalogdatum: 17.01.2025 // Antwort: Die Installationsaktivitäten sind in den jeweiligen Kostengruppen mitzuberücksichtigen.</t>
  </si>
  <si>
    <t xml:space="preserve">ANF-085</t>
  </si>
  <si>
    <t xml:space="preserve">Nr. 33 / S. 3</t>
  </si>
  <si>
    <t xml:space="preserve">Zusage / Ankündigung: Die Möglichkeiten und Rahmenbedingungen der Reservierung werden Teil der Bieterverhandlungen sein, hierbei wird insbesondere auch zu erörtern sein, inwieweit die Reservierung von Energiemengen bzw. die Angabe des benötigten …</t>
  </si>
  <si>
    <t xml:space="preserve">Im Betriebskonzept ist es erforderlich, dass etwaiges Falschparken durch z.B. Diesel LKW nicht passieren kann. Müssen die Stellplätze eine Schranke aufweisen, also muss das Standortlayout Schranken integriert haben oder kann man in dem Betriebskonzept und Layout auch andere Lösungen aufzeigen?</t>
  </si>
  <si>
    <t xml:space="preserve">Bezug lt. Katalog: Betriebskonzept
Katalogdatum: 17.01.2025 // Antwort: Die Möglichkeiten und Rahmenbedingungen der Reservierung werden Teil der Bieterverhandlungen sein, hierbei wird insbesondere auch zu erörtern sein, inwieweit die Reservierung von Energiemengen bzw. die Angabe des benötigten Energiebedarfs im Rahmen des Reservierungsprozesses möglich sein soll bzw. sinnvoll ist und wie ein Freihalten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</si>
  <si>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Schrankensteuerung / OCPI Buchungskalender / Pönalisierungssystem</t>
  </si>
  <si>
    <t xml:space="preserve">ANF-086</t>
  </si>
  <si>
    <t xml:space="preserve">Nr. 34 / S. 3</t>
  </si>
  <si>
    <t xml:space="preserve">Klarstellung: Sofern sich Ihre Frage auf die Dokumente Anlage 2 zum Verfahrensbrief "Gesamtübersicht über die Lose", Vertragsanlage 2 "Standortübersicht (losspezifisch)" und Anlage 5 zum Verfahrensbrief "Karte zur Losaufteilung" bezieht wurden …</t>
  </si>
  <si>
    <t xml:space="preserve">Aus der Bereitstellung der neuen Unterlagen am 17.01. geht nicht hervor, welche Änderungen im Vergleich zu den Originalversionen vorgenommen wurden. Kann das bitte kenntlich gemacht werden?</t>
  </si>
  <si>
    <t xml:space="preserve">Bezug lt. Katalog: Change Log
Katalogdatum: 17.01.2025 // Antwort: Sofern sich Ihre Frage auf die Dokumente Anlage 2 zum Verfahrensbrief "Gesamtübersicht über die Lose", Vertragsanlage 2 "Standortübersicht (losspezifisch)" und Anlage 5 zum Verfahrensbrief "Karte zur Losaufteilung" bezieht wurden folgende Informationen aktualisert: Anlage 2 zum Verfahrensbrief "Gesamtübersicht über die Lose": Die Anzahl der Ladepunkte, die BAB-Nr., die Geogr. Länge und Breite sowie die Anzahl der Ladepunkte wurden korrigiert. Vertragsanlage 2 "Standortübersicht (losspezifisch)": Die Anzahl der Ladepunkte, die BAB-Nr., die Geogr. Länge und Breite, die Anzahl der Ladepunkte sowie die zusammenfassende Tabelle wurden korrigiert. Anlage 5 zum Verfahrensbrief "Karte zur Losaufteilung": Fehlende Standorte wurden ergänzt.</t>
  </si>
  <si>
    <t xml:space="preserve">ANF-087</t>
  </si>
  <si>
    <t xml:space="preserve">Nr. 35 / S. 3</t>
  </si>
  <si>
    <t xml:space="preserve">Verneint: es wurde - wie sich aus den §§ 27 ff. ergibt - nicht gestrichen.</t>
  </si>
  <si>
    <t xml:space="preserve">Ist das Durchleitungsmodell nicht mehr Grundvoraussetzung für ein Angebot? In den neuen Vertragsunterlagen wurde es unter §3 gestrichen.</t>
  </si>
  <si>
    <t xml:space="preserve">Bezug lt. Katalog: Vertrag
Katalogdatum: 20.01.2025 // Antwort: Nein, es wurde - wie sich aus den §§ 27 ff. ergibt - nicht gestrichen. Mit der Streichung in § 3 des Vertrages wurde nur verdeutlicht, dass es sich beim Durchleitungsmodell um eine besondere Form des "EMP-Ladens", nämlich die Gewährung von Zugang ohne bilanzielle Bereitstellung von Strom, handelt.</t>
  </si>
  <si>
    <t xml:space="preserve">ANF-088</t>
  </si>
  <si>
    <t xml:space="preserve">Nr. 36 / S. 3</t>
  </si>
  <si>
    <t xml:space="preserve">Vorgaben bleiben unverändert: Soweit nicht ausdrücklich etwas anderes geregelt wird, sind die Bieter an die Vorgaben der Vertragsanlage 4 (Leistungsbeschreibung Errichtung) gebunden.</t>
  </si>
  <si>
    <t xml:space="preserve">Warum sind gemäß Vorplanungen die MCS-Aufstellflächen 4 Meter breit und die CCS Aufstellflächen nur 3 Meter breit? Sind wir daran gebunden so zu bauen?</t>
  </si>
  <si>
    <t xml:space="preserve">Bezug lt. Katalog: Leistungsbeschreibung
Katalogdatum: 20.01.2025 // Antwort: Soweit nicht ausdrücklich etwas anderes geregelt wird, sind die Bieter an die Vorgaben der Vertragsanlage 4 (Leistungsbeschreibung Errichtung) gebunden. Den Bietern steht es frei, anderweitige Aufstellflächen als Verhandlungsbedarf mit dem Erstangebot einzureichen.</t>
  </si>
  <si>
    <t xml:space="preserve">ANF-089</t>
  </si>
  <si>
    <t xml:space="preserve">Nr. 37 / S. 4</t>
  </si>
  <si>
    <t xml:space="preserve">Klarstellung: Ein entsprechendes Vorgehen ist aktuell nicht vorgesehen. Gegenstand dieses Vergabeverfahrens ist ausschließlich LKW Ladeinfrastruktur.</t>
  </si>
  <si>
    <t xml:space="preserve">Ist es beabsichtigt, im weiteren Verlauf des Verfahrens den Bietern Zusagen darüber zu machen, dass an ausgewählten Standorten mit erfolgtem Zuschlag in der Zukunft per geplanter Erweiterung die Errichtung von zusätzlicher PKW-Ladeinfrastruktur gestattet werden wird, soweit dies technisch umsetzbar ist und bislang noch nicht durch vergangene Ausschreibungen des Bundes abgedeckt wurde bzw. könnte dies Gegenstand der Verhandlungen sein?</t>
  </si>
  <si>
    <t xml:space="preserve">Bezug lt. Katalog: –
Katalogdatum: 20.01.2025 // Antwort: Ein entsprechendes Vorgehen ist aktuell nicht vorgesehen. Gegenstand dieses Vergabeverfahrens ist ausschließlich LKW Ladeinfrastruktur.</t>
  </si>
  <si>
    <t xml:space="preserve">ANF-090</t>
  </si>
  <si>
    <t xml:space="preserve">Nr. 38 / S. 4</t>
  </si>
  <si>
    <t xml:space="preserve">Klarstellung: Da es sich bei der Angabe um Mindestmengen handelt, können die Mengengrudnsätzlich auch in den jeweiligen Jahren vorgezogen werden.</t>
  </si>
  <si>
    <t xml:space="preserve">Der Bau verteilt sich auf 2026 bis 2030, wobei hier die Mindestmenge angegeben wird. Können die Mengen in den jeweiligen Jahren vorgezogen werden? Wenn ja, bis zu welchem Maße?</t>
  </si>
  <si>
    <t xml:space="preserve">Bezug lt. Katalog: Leistungsbeschreibung Errichtung
Katalogdatum: 20.01.2025 // Antwort: Da es sich bei der Angabe um Mindestmengen handelt, können die Mengengrudnsätzlich auch in den jeweiligen Jahren vorgezogen werden. Einzelheiten können zum Gegenstand der Bieterverhandlungen gemacht werden.</t>
  </si>
  <si>
    <t xml:space="preserve">ANF-091</t>
  </si>
  <si>
    <t xml:space="preserve">Nr. 39 / S. 4</t>
  </si>
  <si>
    <t xml:space="preserve">Klarstellung: Die entsprechenden Informationen werden den Bietern im weiteren Vergabeverfahren mitgeteilt, sobald sie dem AG von dem jeweilgien Netzbetreiber vorliegen.</t>
  </si>
  <si>
    <t xml:space="preserve">Wie und wann erhält man Info zur MSP-Ebene, 10/20 oder 30 kV macht einen großen Preisunterschied und ist für die Kalkulation wesentlich.</t>
  </si>
  <si>
    <t xml:space="preserve">Bezug lt. Katalog: –
Katalogdatum: 20.01.2025 // Antwort: Die entsprechenden Informationen werden den Bietern im weiteren Vergabeverfahren mitgeteilt, sobald sie dem AG von dem jeweilgien Netzbetreiber vorliegen.</t>
  </si>
  <si>
    <t xml:space="preserve">ANF-092</t>
  </si>
  <si>
    <t xml:space="preserve">Nr. 40 / S. 4</t>
  </si>
  <si>
    <t xml:space="preserve">Klarstellung: Es wird auf §24 Abs. 3 des Vertrages sowie Ziffer 10 der Vertragsanlage 06 "Anforderungen an die Ladeeinrichtung" verwiesen.</t>
  </si>
  <si>
    <t xml:space="preserve">An jedem Ladepunkt sollen CEE Steckdosen für die Trailer vorhanden sein, muss die Abrechnung eichrechtskonform erfolgen? Zu welchen Konditionen sind die Stromerlöse zwischen AG und AN zu kalkulieren? Sind festgelegte Preise vorgesehen?</t>
  </si>
  <si>
    <t xml:space="preserve">Bezug lt. Katalog: Vertragsanlage 06
Katalogdatum: 20.01.2025 // Antwort: Es wird auf §24 Abs. 3 des Vertrages sowie Ziffer 10 der Vertragsanlage 06 "Anforderungen an die Ladeeinrichtung" verwiesen. Einzelheiten können zum Gegenstand der Bieterverhandlungen gemacht werden.</t>
  </si>
  <si>
    <t xml:space="preserve">Alpitronic / eRound</t>
  </si>
  <si>
    <t xml:space="preserve">Abrechnungskomponente / Ladeeinrichtung</t>
  </si>
  <si>
    <t xml:space="preserve">ANF-093</t>
  </si>
  <si>
    <t xml:space="preserve">Nr. 41 / S. 4</t>
  </si>
  <si>
    <t xml:space="preserve">Sonstiges / Zuordnung prüfen</t>
  </si>
  <si>
    <t xml:space="preserve">Klarstellung: Der AG wird die Unterlagen im weiteren Vergabeverfahren zur Verfügung stellen.</t>
  </si>
  <si>
    <t xml:space="preserve">Kap. 3.1: Lt. Seite 16 ist die Tabelle von Seite 15 nur beispielhaft. Eine vollständige Liste der zu erstellenden und einzureichenden Unterlagen kann dem Anhang 8 entnommenen werden. Diese fehlt in den Ausschreibungsunterlagen. Bitte um Verteilung des Anhangs 8.</t>
  </si>
  <si>
    <t xml:space="preserve">Bezug lt. Katalog: Leistungsbeschreibung Errichtung
Katalogdatum: 20.01.2025
Zuordnung prüfen (Komponente/Partner nicht eindeutig) // Antwort: Der AG wird die Unterlagen im weiteren Vergabeverfahren zur Verfügung stellen.</t>
  </si>
  <si>
    <t xml:space="preserve">ANF-094</t>
  </si>
  <si>
    <t xml:space="preserve">Nr. 42 / S. 4</t>
  </si>
  <si>
    <t xml:space="preserve">Klarstellung: Es ist nicht klar, was mit Sicherheitsaudits gemeint ist. Sofern Verkehrssicherheitsaudits gemeint sind, haben diese einmalig im Rahmen der Baufreigabefreigabe zu erfolgen.</t>
  </si>
  <si>
    <t xml:space="preserve">Sind Sicherheitsaudits durchzuführen? Wenn ja, sind die Leistungen vom AN zu erbringen und wie oft durchzuführen?</t>
  </si>
  <si>
    <t xml:space="preserve">Bezug lt. Katalog: Sicherheitsaudits
Katalogdatum: 20.01.2025 // Antwort: Es ist nicht klar, was mit Sicherheitsaudits gemeint ist. Sofern Verkehrssicherheitsaudits gemeint sind, haben diese einmalig im Rahmen der Baufreigabefreigabe zu erfolgen.</t>
  </si>
  <si>
    <t xml:space="preserve">ANF-095</t>
  </si>
  <si>
    <t xml:space="preserve">Nr. 43 / S. 4</t>
  </si>
  <si>
    <t xml:space="preserve">Klarstellung: Eine Kanalnetzberechnung ist erforderlich, sofern das Regenwassernetz angepasst/ verändert wird.</t>
  </si>
  <si>
    <t xml:space="preserve">Kap. 3.8.2: Den vorliegenden Unterlagen ist nicht zu entnehmen, ob eine Kanalnetzberechnung der gesamten Rastanlage erforderlich ist. Bitte um Präzisierung der erforderlichen Leistungen.</t>
  </si>
  <si>
    <t xml:space="preserve">Bezug lt. Katalog: –
Katalogdatum: 20.01.2025 // Antwort: Eine Kanalnetzberechnung ist erforderlich, sofern das Regenwassernetz angepasst/ verändert wird.</t>
  </si>
  <si>
    <t xml:space="preserve">ANF-096</t>
  </si>
  <si>
    <t xml:space="preserve">Nr. 44 / S. 4</t>
  </si>
  <si>
    <t xml:space="preserve">Klarstellung: Ein entsprechendes Vorgehen ist, soweit hinsichtlich der jeweiligen konkreten Unterlage sinnvoll, vorgesehen.</t>
  </si>
  <si>
    <t xml:space="preserve">Bereitstellung von ChangeVersion für sämtliche Unterlagen: Wir bitte darum, bei zukünftigen Änderung der Ausschreibungsunterlagen eine ChangeVersion des jeweiligen Dokuments bereitzustellen um ein Anpassung der Vergabeunterlagen nachvollziehen zu können.</t>
  </si>
  <si>
    <t xml:space="preserve">Bezug lt. Katalog: –
Katalogdatum: 20.01.2025 // Antwort: Ein entsprechendes Vorgehen ist, soweit hinsichtlich der jeweiligen konkreten Unterlage sinnvoll, vorgesehen.</t>
  </si>
  <si>
    <t xml:space="preserve">ANF-097</t>
  </si>
  <si>
    <t xml:space="preserve">Nr. 45 / S. 4</t>
  </si>
  <si>
    <t xml:space="preserve">Klarstellung: Zu den Systemkosten wird aktuell im Vertrag keine ausdrückliche Aussage getroffen. Allerdings ist der Auftragnehmer nach § 44 Abs.</t>
  </si>
  <si>
    <t xml:space="preserve">§ 44, Abs. 1.: Der AG kann an Standorten Speicher aufstellen. Wir bitten um Bestätigung, dass der AG auch die Kosten des Systemanschlusses trägt.</t>
  </si>
  <si>
    <t xml:space="preserve">Bezug lt. Katalog: Hauptvertrag
Katalogdatum: 20.01.2025 // Antwort: Zu den Systemkosten wird aktuell im Vertrag keine ausdrückliche Aussage getroffen. Allerdings ist der Auftragnehmer nach § 44 Abs. 2 des Vertrages nur dafür verantwortlich, den Speicher instand zu halten und die für den Betrieb des Speichers erforderlichen Versicherungen abzuschließen. Im Umkehrschluss bedeutet dies: Der AG trägt die Kosten für Errichtung und Systemeinbindung. Die Thematik Speicher wird Gegenstand der Bietergespräche sein.</t>
  </si>
  <si>
    <t xml:space="preserve">ANF-098</t>
  </si>
  <si>
    <t xml:space="preserve">Nr. 46 / S. 4</t>
  </si>
  <si>
    <t xml:space="preserve">Klarstellung: Anzahl und Größe der zum Einsatz kommenden Speicher stehen aktuell noch nicht fest, da der Anschlussprozess der Standorte parallel zum Vergabeverfahren läuft.</t>
  </si>
  <si>
    <t xml:space="preserve">§ 44, Abs. 1. sowie § 18 Abs. 4: Der AG kann an Standorten Speicher aufstellen. Für die Instandhaltung des Speichers soll der AN verpflichtet sein. Zur Kalkulation de Instandhaltungskosten bitten wir um Angabe der Anzahl und jeweiligen Größe der Speicher.</t>
  </si>
  <si>
    <t xml:space="preserve">Bezug lt. Katalog: –
Katalogdatum: 20.01.2025 // Antwort: Anzahl und Größe der zum Einsatz kommenden Speicher stehen aktuell noch nicht fest, da der Anschlussprozess der Standorte parallel zum Vergabeverfahren läuft. Es wird auf die die Kostenerstattungsregelung in § 44, Abs.2 Satz 2 des Vertrages verwiesen.</t>
  </si>
  <si>
    <t xml:space="preserve">ANF-099</t>
  </si>
  <si>
    <t xml:space="preserve">Nr. 47 / S. 4</t>
  </si>
  <si>
    <t xml:space="preserve">Klarstellung: Für die Kalkulation der Erstangebote ist zu unterstellen, dass keine Vermarktung erfolgt. Etwaige Vermarktungstätigkeiten können zum Gegenstand der Bieterverhandlungen gemacht werden.</t>
  </si>
  <si>
    <t xml:space="preserve">§ 44, Abs. 3.: Der AN kann einen Speicher vermarkten, allerdings nur nach Zustimmung des AG. Zur Kalkulation möglicher Einnahmen bitten wir um Festlegung von Randbedingungen, unter denen eine Zustimmung des AG erfolgt. Andernfalls ist eine Kalkulation von Einnahmen nicht möglich.</t>
  </si>
  <si>
    <t xml:space="preserve">Bezug lt. Katalog: –
Katalogdatum: 20.01.2025 // Antwort: Für die Kalkulation der Erstangebote ist zu unterstellen, dass keine Vermarktung erfolgt. Etwaige Vermarktungstätigkeiten können zum Gegenstand der Bieterverhandlungen gemacht werden.</t>
  </si>
  <si>
    <t xml:space="preserve">ANF-100</t>
  </si>
  <si>
    <t xml:space="preserve">Nr. 48 / S. 4</t>
  </si>
  <si>
    <t xml:space="preserve">Verneint: dieses Verständnis ist nicht korrekt. Die Startleistung ist eine Mindestleistung, die dann relevant wird, wenn sowohl die für 2030 geplanten Leistungen für die zu errichtenden Ladepunkte als auch die beantragte …</t>
  </si>
  <si>
    <t xml:space="preserve">Details zum Netzanschluss: Ist das Verständnis richtig, dass die Startleistung 2026 bereits heute vorliegend ist und somit in 2026 auf jeden Fall zur Verfügung stehen wird?</t>
  </si>
  <si>
    <t xml:space="preserve">Bezug lt. Katalog: Vertragsanlage 05
Katalogdatum: 21.01.2025 // Antwort: Nein, dieses Verständnis ist nicht korrekt. Die Startleistung ist eine Mindestleistung, die dann relevant wird, wenn sowohl die für 2030 geplanten Leistungen für die zu errichtenden Ladepunkte als auch die beantragte Netzanschlussleistung zur Deckung des prognostizierten Ladebedarfs 2035 am Standort längerfristig nicht verfügbar sind. Die konkrete Verfügbarkeit und der ggf. notwendigte Pfad für eine Leistungserhöhung an den einzelnen Standorten sind erst nach Eingang der Angebote durch die zuständigen Netzbetreiber bekannt.</t>
  </si>
  <si>
    <t xml:space="preserve">ANF-101</t>
  </si>
  <si>
    <t xml:space="preserve">Nr. 49 / S. 4</t>
  </si>
  <si>
    <t xml:space="preserve">Bestätigt: dies ist möglich.</t>
  </si>
  <si>
    <t xml:space="preserve">Ist es möglich, einen bisher nicht angegebenen Nachunternehmer erst im finalen Angebot zu benennen und die einschlägigen Formblätter A.2 bis A.5 vorzulegen, wenn zum Zeitpunkt der Abgabe des ersten, unverbindlichen Angebots noch nicht feststeht, welches Unternehmen als Nachunternehmer eingebunden werden soll?</t>
  </si>
  <si>
    <t xml:space="preserve">Bezug lt. Katalog: Nachunternehmer
Katalogdatum: 21.01.2025 // Antwort: Ja, dies ist möglich.</t>
  </si>
  <si>
    <t xml:space="preserve">ANF-102</t>
  </si>
  <si>
    <t xml:space="preserve">Nr. 50 / S. 4</t>
  </si>
  <si>
    <t xml:space="preserve">Klarstellung: Bei der Personalaufstellung im Rahmen des Errichtungskonzepts sind die Personen zu benennen, die im Auftragsfall die Errichtung vornehmen.</t>
  </si>
  <si>
    <t xml:space="preserve">Gehen wir recht in der Annahme, dass beim Errichtungskonzept (Personalaufstellung) lediglich die beim Bieter angestellten Personale zu nennen sind (und nur diese bewertet werden) und damit Personale von Nachunternehmern nicht zu nennen sind (und damit nicht bewertet werden)?</t>
  </si>
  <si>
    <t xml:space="preserve">Bezug lt. Katalog: Konzept zur Errichtung, Anlage 03 Zuschlagskriterien
Katalogdatum: 21.01.2025 // Antwort: Bei der Personalaufstellung im Rahmen des Errichtungskonzepts sind die Personen zu benennen, die im Auftragsfall die Errichtung vornehmen. Das kann Personal des Bieters bzw. eines Mitglieds der Bietergemeinschaft sein. Es darf aber auch Personal eines Unterauftragnehmers angegeben, wenn dieses im Rahmen der Errichtung relevante Tätigkeiten übernehmen, solange der Einsatz des konkreten Personals verbindlich zugesichert werden kann.</t>
  </si>
  <si>
    <t xml:space="preserve">ANF-103</t>
  </si>
  <si>
    <t xml:space="preserve">Nr. 51 / S. 4</t>
  </si>
  <si>
    <t xml:space="preserve">Verneint: das Durchleitungsmodell steht nicht zur Disposiition des Auftragnehmers, ihr Verstädnis ist unzutreffend.</t>
  </si>
  <si>
    <t xml:space="preserve">Gehen wir recht in der Annahme, dass das in § 24 der Anlage 01 Betreibervertrag beschriebenen "Vertriebsmodell" Durchleitungsmodell alternativ zu verstehen ist und von der Wahl des Auftragnehmers abhängt? Hierfür sprechen das "oder" sowie das "alternativ" im § 24 sowie die eingehenden Formulierungen von § 25 Abs. 1 ("verpflichtet, (...) ein Ad-Hoc-Laden (...) zu ermöglichen") und § 27 Abs. 1 ("verpflichtet, Mobilitätsdienstleistern für deren Kunden den Zugang (...) zu ermöglichen") gegenüber § 28 Abs. 1 ("Für die Nutzung im Rahmen des Durchleitungsmodells verpflichtet sich ..."). Unser Verständnis ist hier, dass die in diesem Paragrafen oder in § 30 genannten Verpflichtungen nur bei optionaler Wahl des Durchleitungsmodells zum Tragen kommen. Dagegen sprechen die Formulierungen in Vertragsanlage 14, z.B. in der Präambel. Darüber hinaus findet sich in der genannten Anlage 14 noch der Verweis auf Zugang für Endnutzer, welche im Hauptvertrag gestrichen wurde.</t>
  </si>
  <si>
    <t xml:space="preserve">Bezug lt. Katalog: Anlage 01 / Anlage 14 / Zugangsarten
Katalogdatum: 21.01.2025 // Antwort: Nein, das Durchleitungsmodell steht nicht zur Disposiition des Auftragnehmers, ihr Verstädnis ist unzutreffend. Der Auftragnehmer muss Nutzern sowohl das Ad hoc-Laden ernöglichen, als auch EMP Zugang gewähren (Roaming oder bilaterale Verträge). Im Falle des "EMP Ladens" gibt es zwei Alternatiiven: die Gewährung eines Nutzungsrechtes für Kunden des EMP einschließlich Ladestrom oder - bei Wahl des Durchleitungsmodells durch den EMP - eine Nutzung ohne Strombereitstellung. Dem vom EMP benannten Bilanzkreis wird im letzen Fall der geladenen Strom (ggf. zzgl. rechnerischer Verlustquote) zugeordnet.</t>
  </si>
  <si>
    <t xml:space="preserve">Authentifizierungskomponente / OCPI Buchungskalender</t>
  </si>
  <si>
    <t xml:space="preserve">ANF-104</t>
  </si>
  <si>
    <t xml:space="preserve">Nr. 52 / S. 5</t>
  </si>
  <si>
    <t xml:space="preserve">Technik Ladeinfrastruktur</t>
  </si>
  <si>
    <t xml:space="preserve">Klarstellung: Die Form der Angabe, KPI (bspw. Stromstärke über Temperatur und Zeit) oder Leistungskurven der Ladeeinrichtung (Anm.: Ladekurven beziehen sich auf Fahrzeuge), bleiben dem Bieter überlassen.</t>
  </si>
  <si>
    <t xml:space="preserve">Ziff. 2.1., 2.2.1., 2.2.2. Das Derating-Verhalten ist dem AG anzugeben. In welcher Form wird die Angabe erwartet? Ladekurven oder KPIs zu den jeweiligen Temperaturen?</t>
  </si>
  <si>
    <t xml:space="preserve">Bezug lt. Katalog: Vertragsanlage 06
Katalogdatum: 22.01.2025 // Antwort: Die Form der Angabe, KPI (bspw. Stromstärke über Temperatur und Zeit) oder Leistungskurven der Ladeeinrichtung (Anm.: Ladekurven beziehen sich auf Fahrzeuge), bleiben dem Bieter überlassen. Es muss jedoch eindeutig ersichtlich sein, in welchem Bereich und aus welchem Grund De-Rating stattfindet.</t>
  </si>
  <si>
    <t xml:space="preserve">ANF-105</t>
  </si>
  <si>
    <t xml:space="preserve">Nr. 53 / S. 5</t>
  </si>
  <si>
    <t xml:space="preserve">Verneint: es gibt keine konkrete Vorgabe, welche Ladeplätze mit den CCS-Übernacht- und welche mit den CCS-Zwischenladepunkte ausgestattet werden sollen.</t>
  </si>
  <si>
    <t xml:space="preserve">Gibt es innerhalb der für CCS vorgesehenen Ladeplätze konkretere Vorgaben, welche Ladeplätze mit den CCS-Übernacht- und welche mit den CCS-Zwischenladepunkte ausgestattet werden sollen? (z.B CCS- Zwischenladen immer direkt neben MCS?)</t>
  </si>
  <si>
    <t xml:space="preserve">Bezug lt. Katalog: Vertragsanlage 03
Katalogdatum: 22.01.2025 // Antwort: Nein, es gibt keine konkrete Vorgabe, welche Ladeplätze mit den CCS-Übernacht- und welche mit den CCS-Zwischenladepunkte ausgestattet werden sollen. Folgende Rahmenbedingungen sind bei der Planung zu beachten: Realisierbarkeit in Bezug auf konkrete Betriebsanforderungen des Bieters, Begrenzung des Umfangs von Tiefbauarbeiten, Begrenzung des Umfangs von Kabelwegen, Leistungsstärke des jeweiligen Ladepunktes (Generell gilt: Je leistungstärker der Ladepunkt ist, umso näher sollte er an der Leistungselektronik / bzw. Transformator verortet sein).</t>
  </si>
  <si>
    <t xml:space="preserve">ANF-106</t>
  </si>
  <si>
    <t xml:space="preserve">Nr. 54 / S. 5</t>
  </si>
  <si>
    <t xml:space="preserve">Klarstellung: Die Entscheidung erfolgt im Einvernehmen zwischen dem AG und dem AN. Soweit ein Einvernehmen nicht hergestellt werden kann, trifft der AG die Entscheidung.</t>
  </si>
  <si>
    <t xml:space="preserve">Wer entscheidet, wann, welche Ladepunkte wie gedrosselt werden, wenn zu Projektbeginn nicht ausreichend Netzanschlussleistung bereitsteht?</t>
  </si>
  <si>
    <t xml:space="preserve">Bezug lt. Katalog: Vertragsanlage 05
Katalogdatum: 22.01.2025 // Antwort: Die Entscheidung erfolgt im Einvernehmen zwischen dem AG und dem AN. Soweit ein Einvernehmen nicht hergestellt werden kann, trifft der AG die Entscheidung. Grundsätzlich gilt: Aus fachlicher Sicht haben die MCS-Ladepunkte Leistungsvorrang und sollten dementsprechend nach Möglichkeit nicht gedrosselt werden.</t>
  </si>
  <si>
    <t xml:space="preserve">ANF-107</t>
  </si>
  <si>
    <t xml:space="preserve">Nr. 55 / S. 5</t>
  </si>
  <si>
    <t xml:space="preserve">Verweis des Auftraggebers auf die Antwort zu Bieterfrage 41.</t>
  </si>
  <si>
    <t xml:space="preserve">Vertragsanlage 4, Anhang 8 (Unterlagenliste Baufreigabe) ist nicht Teil der Ausschreibungsunterlagen. (Fehlt)</t>
  </si>
  <si>
    <t xml:space="preserve">Bezug lt. Katalog: Vertragsanlage 04
Katalogdatum: 22.01.2025 // Antwort: Siehe Frage 41.</t>
  </si>
  <si>
    <t xml:space="preserve">Automatisch ausgewertet: Die Antwort des Auftraggebers verweist ausschließlich auf Bieterfrage 41. Keine eigenständige Anforderung – der Inhalt ist unter der dort erfassten Zeile nachzuhalten.</t>
  </si>
  <si>
    <t xml:space="preserve">ANF-108</t>
  </si>
  <si>
    <t xml:space="preserve">Nr. 56 / S. 5</t>
  </si>
  <si>
    <t xml:space="preserve">Anpassung der Unterlagen: Das Formblatt A1 wurde entsprechend korrigiert.</t>
  </si>
  <si>
    <t xml:space="preserve">Im Dokument ist die gesperrt eingetragene Angabe "2024" beim Datum der Angebotsanforderung nicht veränderbar - tatsächlich kam die Aufforderung zur Angebotsabgabe aber erst im Jahr 2025.</t>
  </si>
  <si>
    <t xml:space="preserve">Bezug lt. Katalog: Formblatt A1
Katalogdatum: 22.01.2025 // Antwort: Das Formblatt A1 wurde entsprechend korrigiert.</t>
  </si>
  <si>
    <t xml:space="preserve">Automatisch ausgewertet: Die Antwort kündigt lediglich eine Anpassung der Vergabeunterlagen an. Die Anforderung selbst steht im geänderten Dokument und ist dort nachzuhalten.</t>
  </si>
  <si>
    <t xml:space="preserve">ANF-109</t>
  </si>
  <si>
    <t xml:space="preserve">Nr. 57 / S. 5</t>
  </si>
  <si>
    <t xml:space="preserve">Klarstellung: Die Angabe von 4,44m linksseitig der Referenzplanung ist bedeutungungslos. Es handelt sich um einen Fehler in der Bemaßung, 1,50m ist korrekt.</t>
  </si>
  <si>
    <t xml:space="preserve">Welche Bedeutung hat die Angabe von 4,44m linksseitig in der Referenzplanung für die Ladepunkte entlang des linksseitigen Parkstreifens und warum ist diese nicht auch 1,5m?</t>
  </si>
  <si>
    <t xml:space="preserve">Bezug lt. Katalog: Anhang 01 a
Katalogdatum: 22.01.2025 // Antwort: Die Angabe von 4,44m linksseitig der Referenzplanung ist bedeutungungslos. Es handelt sich um einen Fehler in der Bemaßung, 1,50m ist korrekt.</t>
  </si>
  <si>
    <t xml:space="preserve">ANF-110</t>
  </si>
  <si>
    <t xml:space="preserve">Nr. 58 / S. 5</t>
  </si>
  <si>
    <t xml:space="preserve">Klarstellung: Kostenerhöhungen sind grds. der Risikosphäre des Bieters zugeordnet. Eine wichtige Ausnahme enthält allerdings § 36 des Vertrags, der einen Erstattungsanspruch bei nachträglichen Änderungen der technischen und rechtlichen Normen …</t>
  </si>
  <si>
    <t xml:space="preserve">Im Falle einer Gesetzesänderung (Bsp. Steuer, Lizensen, Genehmigungen) und damit verbundenen Kostenerhöhungen - können diese an die Autobahn weitergegeben werden? Neben einem Vorab- Risikoaufschlag auf die Preiskalkulation können nach Antwort auf Frage #18 solche Risiken nur bei der Kalkulation der Ladetarife an den Endkunden weitergegeben werden. Ist das korrekt?</t>
  </si>
  <si>
    <t xml:space="preserve">Bezug lt. Katalog: –
Katalogdatum: 22.01.2025 // Antwort: Kostenerhöhungen sind grds. der Risikosphäre des Bieters zugeordnet. Eine wichtige Ausnahme enthält allerdings § 36 des Vertrags, der einen Erstattungsanspruch bei nachträglichen Änderungen der technischen und rechtlichen Normen vorsieht. Die Möglichkeit, Steuern, Abgaben, Umlagen und sonstige gesetzliche Belastungen weiterzugeben, sieht § 30 für das Durchleitungsmodell im Verhälnis zum EMP vor.</t>
  </si>
  <si>
    <t xml:space="preserve">ANF-111</t>
  </si>
  <si>
    <t xml:space="preserve">Nr. 59 / S. 5</t>
  </si>
  <si>
    <t xml:space="preserve">Klarstellung: Wie in Vertragsanlage 4 "Leistungsbeschreibung Errichtung" in Kapitel 4.11.7. beschrieben sind zunächst die "[...] elektrotechnischen Komponenten zur Energieverteilung und Übertragung [...] so zu bemessen, dass die veranschlagte …</t>
  </si>
  <si>
    <t xml:space="preserve">"Details zum Netzanschluss" gibt die beantragte Leistung 2035 an. Ist es korrekt, dass die Trafotechnik für diese Leistung initial aufzubauen ist?</t>
  </si>
  <si>
    <t xml:space="preserve">Bezug lt. Katalog: Vertragsanlage 05
Katalogdatum: 23.01.2025 // Antwort: Wie in Vertragsanlage 4 "Leistungsbeschreibung Errichtung" in Kapitel 4.11.7. beschrieben sind zunächst die "[...] elektrotechnischen Komponenten zur Energieverteilung und Übertragung [...] so zu bemessen, dass die veranschlagte Endausbauleistung 2035 (siehe Vertragsanlage 05 "Details zum Netzanschluss", Spalte "beantragte Leistung 2035") ohne Einschränkungen auf und innerhalb des Standortes übertragen bzw. verteilt werden kann. Die Trafoleistung ist zunächst mindetstens gemäß des Ausbauzustandes 2030 (siehe Vertragsanlage 05 "Details zum Netzanschluss", Spalte "LIS-Bedarf 2030") zu bemessen.</t>
  </si>
  <si>
    <t xml:space="preserve">ANF-112</t>
  </si>
  <si>
    <t xml:space="preserve">Nr. 60 / S. 5</t>
  </si>
  <si>
    <t xml:space="preserve">Klarstellung: Bei der Ermittlung der Netzanschlussleistung wurde jeder MCS Ladepunkt mit 800 kW und jeder CCS Ladepunkt zum Zwischenladen mit 400 kW berücksichtigt.</t>
  </si>
  <si>
    <t xml:space="preserve">"Details zum Netzanschluss": Wie wurden die Anschlussleistungen kalkuiert? Wurde der Bedarf der CEE- LIS berücksichtig?</t>
  </si>
  <si>
    <t xml:space="preserve">Bezug lt. Katalog: Vertragsanlage 05
Katalogdatum: 23.01.2025 // Antwort: Bei der Ermittlung der Netzanschlussleistung wurde jeder MCS Ladepunkt mit 800 kW und jeder CCS Ladepunkt zum Zwischenladen mit 400 kW berücksichtigt. Die Leistung der Übernachtladepunkte wurde für die Berechnung der Netzanschlussleistung nicht berücksichtigt, da die Leistung zum Zwischenladen höher ist. In der Regel ist davon auszugehen, dass Zwischenladen und Übernachtladen nicht zeitgleich stattfinden. Auf Grund der vergleichsweise geringen Leistungsaufnahme der CEE-Ladeinfrastruktur wurde diese nicht separat in der Netzanschlussleistungs-Kalkulation berücksichtigt.</t>
  </si>
  <si>
    <t xml:space="preserve">ANF-113</t>
  </si>
  <si>
    <t xml:space="preserve">Nr. 61 / S. 5</t>
  </si>
  <si>
    <t xml:space="preserve">Klarstellung: Die Frage ist unverständlich.</t>
  </si>
  <si>
    <t xml:space="preserve">Ein zwingender Aufbau von geteilten Leistungseinheiten ist gemäß Ausschreibungsunterlagen nicht zwingend gefordert. Ohne Aufbau von geteilten Leistungseinheiten sind höhere Ladeleistungen erforderlich. Die angegebenen Netzanschlussleistungen passen hier nicht zusammen. Wie soll damit umgegangen werden?</t>
  </si>
  <si>
    <t xml:space="preserve">Bezug lt. Katalog: –
Katalogdatum: 23.01.2025 // Antwort: Die Frage ist unverständlich.</t>
  </si>
  <si>
    <t xml:space="preserve">ANF-114</t>
  </si>
  <si>
    <t xml:space="preserve">Nr. 62 / S. 5</t>
  </si>
  <si>
    <t xml:space="preserve">Klarstellung: Die Netzanschlussbegehren wurden auf Basis der Verortung der Übergabestation in den unverbindlichen Vorplanungen gestellt.</t>
  </si>
  <si>
    <t xml:space="preserve">Ist davon auszugehen, dass sich der Netzanschlussübergabepunkt an der in den Vorplanungen eingeplante MS-Station befindet?</t>
  </si>
  <si>
    <t xml:space="preserve">Bezug lt. Katalog: –
Katalogdatum: 23.01.2025 // Antwort: Die Netzanschlussbegehren wurden auf Basis der Verortung der Übergabestation in den unverbindlichen Vorplanungen gestellt. Aussagen über den finalen Standort können jedoch erst nach erfolgter Beauftragung und Planung des Netzanschlusses durch den zuständigen Verteilnetzbetreiber getätigt werden. Für die Kalkulation sollten zunächst die Standorte aus den unverbindlichen Vorplanungen genutzt werden.</t>
  </si>
  <si>
    <t xml:space="preserve">ANF-115</t>
  </si>
  <si>
    <t xml:space="preserve">Nr. 63 / S. 5</t>
  </si>
  <si>
    <t xml:space="preserve">Klarstellung: Ob die Übergabe- und Transformatorstation zusammen oder getrennt errichtet werden, können Sie durch ihr standortspezifisches Konzept bestimmen bzw. kann sich in Einzelfällen durch die spezifische Anforderung des zuständigen …</t>
  </si>
  <si>
    <t xml:space="preserve">Besteht das Umspannstationskonzept aus einer Übergabestation und Unterstation?</t>
  </si>
  <si>
    <t xml:space="preserve">Bezug lt. Katalog: –
Katalogdatum: 23.01.2025 // Antwort: Ob die Übergabe- und Transformatorstation zusammen oder getrennt errichtet werden, können Sie durch ihr standortspezifisches Konzept bestimmen bzw. kann sich in Einzelfällen durch die spezifische Anforderung des zuständigen Verteilnetzbetreibers ergeben.</t>
  </si>
  <si>
    <t xml:space="preserve">ANF-116</t>
  </si>
  <si>
    <t xml:space="preserve">Nr. 64 / S. 5</t>
  </si>
  <si>
    <t xml:space="preserve">Bestätigt: mehrere Unterstationen sind denkbar. Die finale Ausgestalltung ist im Planungsprozess mit dem AG abzustimmen.</t>
  </si>
  <si>
    <t xml:space="preserve">Sind mehrere Unterstationen denkbar?</t>
  </si>
  <si>
    <t xml:space="preserve">Bezug lt. Katalog: –
Katalogdatum: 23.01.2025 // Antwort: Ja, mehrere Unterstationen sind denkbar. Die finale Ausgestalltung ist im Planungsprozess mit dem AG abzustimmen. Wesentliche Kritierien sind die konkreten Platzverhältnisse vor Ort und das Gebot der Flächensparsamkeit.</t>
  </si>
  <si>
    <t xml:space="preserve">ANF-117</t>
  </si>
  <si>
    <t xml:space="preserve">Nr. 65 / S. 5</t>
  </si>
  <si>
    <t xml:space="preserve">Klarstellung: Übergabe- und Trafostationen sollen in Standardfarbe nach RAL ausgeführt werden. Der konkrete Farbton wird im weiteren Verfahren bekannt gegeben.</t>
  </si>
  <si>
    <t xml:space="preserve">Gibt es konkrete Anforderungen an Material und Design der Umspannstationen?</t>
  </si>
  <si>
    <t xml:space="preserve">Bezug lt. Katalog: –
Katalogdatum: 23.01.2025 // Antwort: Übergabe- und Trafostationen sollen in Standardfarbe nach RAL ausgeführt werden. Der konkrete Farbton wird im weiteren Verfahren bekannt gegeben.</t>
  </si>
  <si>
    <t xml:space="preserve">ANF-118</t>
  </si>
  <si>
    <t xml:space="preserve">Nr. 66 / S. 5</t>
  </si>
  <si>
    <t xml:space="preserve">Verweis des Auftraggebers auf die Antwort zu Bieterfrage 59.</t>
  </si>
  <si>
    <t xml:space="preserve">Soll die Trafoleistung der Umspannstationen exakt der beantragten Netzleistung 2035 entsprechen?</t>
  </si>
  <si>
    <t xml:space="preserve">Bezug lt. Katalog: –
Katalogdatum: 23.01.2025 // Antwort: Siehe hierzu die Antwort auf die Bieterfrage 59.</t>
  </si>
  <si>
    <t xml:space="preserve">Automatisch ausgewertet: Die Antwort des Auftraggebers verweist ausschließlich auf Bieterfrage 59. Keine eigenständige Anforderung – der Inhalt ist unter der dort erfassten Zeile nachzuhalten.</t>
  </si>
  <si>
    <t xml:space="preserve">ANF-119</t>
  </si>
  <si>
    <t xml:space="preserve">Nr. 67 / S. 5</t>
  </si>
  <si>
    <t xml:space="preserve">Verneint: diese basieren für die unverbindliche Vorplanung auf technischen Grundannahmen und können bei konkreter Planung abweichen.</t>
  </si>
  <si>
    <t xml:space="preserve">Sind die genannten Maße der Umspannstation aus den Plänen von 12x4x3,2m einzuhalten?</t>
  </si>
  <si>
    <t xml:space="preserve">Bezug lt. Katalog: –
Katalogdatum: 23.01.2025 // Antwort: Nein, diese basieren für die unverbindliche Vorplanung auf technischen Grundannahmen und können bei konkreter Planung abweichen.</t>
  </si>
  <si>
    <t xml:space="preserve">ANF-120</t>
  </si>
  <si>
    <t xml:space="preserve">Nr. 68 / S. 5</t>
  </si>
  <si>
    <t xml:space="preserve">Klarstellung: Die Thematik Eichrecht wird in § 8 des Vertrags geregelt. Sollten eichrechtskonforme Lösungen am Markt verfügbar sein, so sind diese zu wählen.</t>
  </si>
  <si>
    <t xml:space="preserve">Wie wird damit umgegangen, wenn zum Errichtungszeitpunkt keine in Deutschland eichrechtskonforme MCS-Lösung vorliegt? Ergänzend: wie wird in diesem Fall damit vorgegangen, sofern der im Errichtungskonzept benannte Hersteller (Lieferant) keine, aber ein alternativer Hersteller (nicht gebundener Lieferant) zum ggf. höheren Marktpreis eine eichrechtskonforme MCS-Lösung anbieten kann? Zum heutigen Tag existiert kein marktfähiges MCS-Produkt.</t>
  </si>
  <si>
    <t xml:space="preserve">Bezug lt. Katalog: –
Katalogdatum: 23.01.2025 // Antwort: Die Thematik Eichrecht wird in § 8 des Vertrags geregelt. Sollten eichrechtskonforme Lösungen am Markt verfügbar sein, so sind diese zu wählen.</t>
  </si>
  <si>
    <t xml:space="preserve">ANF-121</t>
  </si>
  <si>
    <t xml:space="preserve">Nr. 69 / S. 6</t>
  </si>
  <si>
    <t xml:space="preserve">Klarstellung: Siehe dazu insbesondere Vertragsanlage 4, Ziffer 4.11.7 Abs. 2 - 4: "Eine entsprechende Dimensionierung auf die Endausbauleistung für das Jahr 2035 ist notwendig, um eine im Zuge der zukünftigen Skalierung der Standorte, …</t>
  </si>
  <si>
    <t xml:space="preserve">Die vom AN errichteten elektrotechnischen Komponenten zur Energieverteilung und Übertragung sind so zu bemessen, dass die Endausbauleistung 2035 ohne Einschränkungen innerhalb des Standortes übertragen und verteilt werden kann. Was heißt ohne Einschränkung? Soll jeder CCS-Ladeplatz in einen MCS-Ladeplatz umgewandelt werden können? Bleibt es bei 1000 KW Maximalleistung?</t>
  </si>
  <si>
    <t xml:space="preserve">Bezug lt. Katalog: Ausbau 2035, Anlage 04, Ziff. 4.11.7.
Katalogdatum: 24.01.2025 // Antwort: Siehe dazu insbesondere Vertragsanlage 4, Ziffer 4.11.7 Abs. 2 - 4: "Eine entsprechende Dimensionierung auf die Endausbauleistung für das Jahr 2035 ist notwendig, um eine im Zuge der zukünftigen Skalierung der Standorte, weitestgehend ohne große Umbauarbeiten zu bewerkstelligen. Aus diesem Grund sind Komponenten wie Kabel und Kabelreserven in ihrer Verlegung und Querschnitt so zu berücksichtigen, dass diese im Falle einer Leistungserhöhung des Standortes weiterhin ausreichend sind und nicht getauscht werden müssen. Alle Schaltanlagen sind für Endausbauleistung 2035 auszulegen. Evtl. zusätzliche Schaltfelder sind für einen notwendigen Ausbau im Rahmen einer Skalierung auf die Endausbauleistung vorzusehen." sowie auch Ziffer 4.11.6 der selben Anlage. Die höhere Netzanschlussleistung von 2035 gegenüber 2030 kommt zustande, da bei Skalierung des Standorts zusätzliche MCS- und/oder CCS-Ladepunkte errichtet werden. Bei den zusätzlichen Ladepunkten wird auch von einer Maximalleistung von 1000 kW ausgegangen. Ein Umwandlung von CCS- in MCS- Ladepunkte ist bisher nicht angedacht. Von den in Vertragsanlage 6 "Anforderungen an die Ladeeinrichtung" beschriebenen Angaben ist für die Dimensionierung zunächst auszugehen.</t>
  </si>
  <si>
    <t xml:space="preserve">ANF-122</t>
  </si>
  <si>
    <t xml:space="preserve">Nr. 70 / S. 6</t>
  </si>
  <si>
    <t xml:space="preserve">Klarstellung: Aktuell ist nicht vorgesehen, dass die Skalierung der Standorte auf die Ausbauleistung von 2035 per Umwandlung von CCS- in MCS-Ladepunkten erfolgt.</t>
  </si>
  <si>
    <t xml:space="preserve">Es gibt Fälle, z.B. Nr. 49 Geiseltal Ost, bei denen die Ausbauleistung 2035 selbst bei Aufrüstung aller CCS- Ladepunkte auf MCS mit den vorgegebenen Maximalleitungen nicht benötigt wird. Wie soll mit der überschüssigen Leistung verfahren werden?</t>
  </si>
  <si>
    <t xml:space="preserve">Bezug lt. Katalog: Ausbau 2035, Anlage 5
Katalogdatum: 24.01.2025
Zuordnung prüfen (Komponente/Partner nicht eindeutig) // Antwort: Aktuell ist nicht vorgesehen, dass die Skalierung der Standorte auf die Ausbauleistung von 2035 per Umwandlung von CCS- in MCS-Ladepunkten erfolgt. Die Skalierung wird durch zusätzliche Ladepunkte vorgenommen. Die volle Leistungskapazität wird nur abgerufen, wenn der tatsächliche Ausbau im Rahmen der Skalierung es erfordert.</t>
  </si>
  <si>
    <t xml:space="preserve">ANF-123</t>
  </si>
  <si>
    <t xml:space="preserve">Nr. 71 / S. 6</t>
  </si>
  <si>
    <t xml:space="preserve">Klarstellung: Die angegebenen 2,03m ist das Standardmaß eines Doppelstabmattenzauns.</t>
  </si>
  <si>
    <t xml:space="preserve">Warum wird die Zaunhöhe für die Einzäunung der Nebenaggregate mit exakt 2,03m angegeben? Was passiert bei kleinen Abweichungen?</t>
  </si>
  <si>
    <t xml:space="preserve">Bezug lt. Katalog: Vertragsanlage 04 Leistungsbeschreibung Errichtung, Ziff. 3.8.4.
Katalogdatum: 24.01.2025 // Antwort: Die angegebenen 2,03m ist das Standardmaß eines Doppelstabmattenzauns.</t>
  </si>
  <si>
    <t xml:space="preserve">ANF-124</t>
  </si>
  <si>
    <t xml:space="preserve">Nr. 72 / S. 6</t>
  </si>
  <si>
    <t xml:space="preserve">Klarstellung: Der AN kann die Anordnung der Ladeinseln den örtlichen Gegebenheiten anpassen, sodass die Schleppkurven zum Ein- und Ausrangieren konfliktfrei eingehalten werden können.</t>
  </si>
  <si>
    <t xml:space="preserve">Das Referenzlayout kann am Standort Am Sonneborn nicht eingehalten werden. Es sollen linksseitig 5 Ladeeinrichtungen errichtet werden. Die realen Breiten der Durchfahrtstrasse und des Parkstreifens unterschreiten die Breiten des Musterlayouts deutlich. Ist vorgesehen, dass der Auftragnehmer in diesem oder in ähnlichen Fällen auch die Ausführung und Kosten für eine Verbreiterung der relevanten Park- und Fahrspuren im Rahmen der Errichtung übernehmen soll?</t>
  </si>
  <si>
    <t xml:space="preserve">Bezug lt. Katalog: Anlage 03, Los 1 Vorplanungen; Musterlayout Bsp. Standort Nr. 9, Kennung DE- HE-490004:
Katalogdatum: 24.01.2025 // Antwort: Der AN kann die Anordnung der Ladeinseln den örtlichen Gegebenheiten anpassen, sodass die Schleppkurven zum Ein- und Ausrangieren konfliktfrei eingehalten werden können. Soweit eine entsprechende Planung aus Sicht des Bieters nicht möglich ist, ist er verpflichtet, dies dem AG als Unklarheit/Widerspruch in den Vergabeunterlagen darzulegen.</t>
  </si>
  <si>
    <t xml:space="preserve">ANF-125</t>
  </si>
  <si>
    <t xml:space="preserve">Nr. 73 / S. 6</t>
  </si>
  <si>
    <t xml:space="preserve">Klarstellung: Die Angaben der Anlage 2 zum Verfahrensbrief "Gesamtübersicht über die Lose" zur BAB-Nr sind korrekt.</t>
  </si>
  <si>
    <t xml:space="preserve">Wir nehmen Bezug auf die Antworten auf die Bieterfragen 5 und 6 und die zugehörige Nachlieferung (Suffixe v2, Stand 14.01.2025). In den nachgesendeten losspezifischen Standortlisten ist die Spalte „Nr. BAB“ weiterhin nicht korrekt und stimmt nicht mit den restlichen VGU überein. Wir bitten um erneute Korrektur.</t>
  </si>
  <si>
    <t xml:space="preserve">Bezug lt. Katalog: Standortübersicht // Antwort: Die Angaben der Anlage 2 zum Verfahrensbrief "Gesamtübersicht über die Lose" zur BAB-Nr sind korrekt. Die Vertragsanlage 02 "Standortübersicht (losspezifisch) wird mit der nächsten Aktualisierung korrigiert.</t>
  </si>
  <si>
    <t xml:space="preserve">ANF-126</t>
  </si>
  <si>
    <t xml:space="preserve">Nr. 74 / S. 6</t>
  </si>
  <si>
    <t xml:space="preserve">Verweis des Auftraggebers auf die Antwort zu Bieterfrage 56.</t>
  </si>
  <si>
    <t xml:space="preserve">Im genannten Dokument ist das Datum der Angebotsaufforderung beschränkt auf das Jahr 2024. Wir bitten um Anpassung des Dokuments, da sich die Jahreszahl nicht verändern lässt.</t>
  </si>
  <si>
    <t xml:space="preserve">Bezug lt. Katalog: Formblatt A1 // Antwort: Siehe Antwort auf die Bieterfrage 56.</t>
  </si>
  <si>
    <t xml:space="preserve">Automatisch ausgewertet: Die Antwort des Auftraggebers verweist ausschließlich auf Bieterfrage 56. Keine eigenständige Anforderung – der Inhalt ist unter der dort erfassten Zeile nachzuhalten.</t>
  </si>
  <si>
    <t xml:space="preserve">ANF-127</t>
  </si>
  <si>
    <t xml:space="preserve">Nr. 75 / S. 6</t>
  </si>
  <si>
    <t xml:space="preserve">Verneint: es ist nicht der Ausdruck Bauzeitenplan gemeint. Richtigerweise muss es jedoch Rahmenterminpläne inkl.</t>
  </si>
  <si>
    <t xml:space="preserve">Bei den Zuschlagskriterien unter „Erforderliche Angaben im Angebot“ wird der Ausdruck „Rahmenterminplan (inkl. Errichtungsterminplanung)“ verwendet. Der Ausdruck “Errichtungsterminplanung” kommt nicht in der LB Errichtung vor. Gehen wir recht in der Annahme, dass der in LB Errichtung; Ziffer 2.2 verwendete Ausdruck „Bauzeitenplan“ gemeint ist? Wir bitten um Aufklärung und ggf. um Anpassung/Homogenisierung der VGU.</t>
  </si>
  <si>
    <t xml:space="preserve">Bezug lt. Katalog: Zuschlagskriterien // Antwort: Nein, es ist nicht der Ausdruck Bauzeitenplan gemeint. Richtigerweise muss es jedoch Rahmenterminpläne inkl. Standortterminpläne heißen. Die zur Rede stehenden Standortterminpläne beinhalten Planungs- und Bauzeitenpläne.</t>
  </si>
  <si>
    <t xml:space="preserve">ANF-128</t>
  </si>
  <si>
    <t xml:space="preserve">Nr. 76 / S. 6</t>
  </si>
  <si>
    <t xml:space="preserve">Klarstellung: Die Übergabestation ist in den Kapiteln 3.8.4 und 4.11.6 der Vertragsanlage 4 "Leistungsbeschreibung Errichtung" beschrieben.</t>
  </si>
  <si>
    <t xml:space="preserve">Was versteht man unter einer Übergabestation? Ist darin eine Transformatorenstation inbegriffen oder sind Übergabe- und Transformatorenstation verschiedene Komponenten?</t>
  </si>
  <si>
    <t xml:space="preserve">Bezug lt. Katalog: Vertragsanlage 04 // Antwort: Die Übergabestation ist in den Kapiteln 3.8.4 und 4.11.6 der Vertragsanlage 4 "Leistungsbeschreibung Errichtung" beschrieben. Der AG verweist zudem auf die Antwort der Bieterfrage 63.</t>
  </si>
  <si>
    <t xml:space="preserve">ANF-129</t>
  </si>
  <si>
    <t xml:space="preserve">Nr. 77 / S. 6</t>
  </si>
  <si>
    <t xml:space="preserve">Klarstellung: Es ist richtig, dass die Übergabestation für die beantragte Leistung des Jahres 2035 auszulegen ist.</t>
  </si>
  <si>
    <t xml:space="preserve">Gehen wir recht in der Annahme, dass die nötigen Transformatorenstationen für die Netzanschlüsse wie folgt auszulegen sind: Die Übergabestation für die beantragten Leistungen des Jahres 2035, die nachgelagerten Transformatorenstationen für die beantragten Leistungen des Jahres 2026?</t>
  </si>
  <si>
    <t xml:space="preserve">Bezug lt. Katalog: Vertragsanlage 04 // Antwort: Es ist richtig, dass die Übergabestation für die beantragte Leistung des Jahres 2035 auszulegen ist. Für die Auslegung der Trafostationen verweisen wir auf die Antwort zu Frage 59. Die Definition Anwendung der Startleistung entnehmen Sie bitte der Antwort zu Frage 48.</t>
  </si>
  <si>
    <t xml:space="preserve">ANF-130</t>
  </si>
  <si>
    <t xml:space="preserve">Nr. 78 / S. 6</t>
  </si>
  <si>
    <t xml:space="preserve">Klarstellung: Aktuell sind keine Spülbohrungen zur Verbindung zweier gegenüberliegender Rastanlagen, zur Herstellung von Netzanschlüssen, einzukalkulieren.</t>
  </si>
  <si>
    <t xml:space="preserve">Sind aus Sicht der Vergabestelle Spülbohrungen für Arbeiten unter bzw. an den Autobahnen einzukalkulieren?</t>
  </si>
  <si>
    <t xml:space="preserve">Bezug lt. Katalog: Vertragsanlage 04 // Antwort: Aktuell sind keine Spülbohrungen zur Verbindung zweier gegenüberliegender Rastanlagen, zur Herstellung von Netzanschlüssen, einzukalkulieren. Spülbohrungen für andere Zwecke, z. B. Durchörterung zur Unterquerung von Parkplätzen sind ggf. als Baumethode durch den Bieter einzukalkulieren.</t>
  </si>
  <si>
    <t xml:space="preserve">ANF-131</t>
  </si>
  <si>
    <t xml:space="preserve">Nr. 79 / S. 6</t>
  </si>
  <si>
    <t xml:space="preserve">Klarstellung: Ihre Annahme ist zutreffend. Gerne stellen wir wie folgt klar: 1) Maßgeblich für die Wertung des Angebotspreises (Ziffer 1 der Zuschlagskriterien) sind allein die Angaben im Preisblatt (Anlage 04 zum Verfahrensbrief "Preisblatt").</t>
  </si>
  <si>
    <t xml:space="preserve">In der Aufforderung zur Abgabe eines Erstangebots heißt es: „Für die Wertung des Angebotspreises (Ziffer 1 der Zuschlagskriterien) sind allein die Angaben im Preisblatt (Formblatt 2) relevant.“ Wir bitten um Prüfung und Korrektur, da das Preisblatt Anlage 04 zum Verfahrensbrief ist. Weiter heißt es: „Die Kalkulationsübersicht (Formblatt 3) dient der Vorbereitung der Bieterverhandlungen und wird nicht Vertragsbestandteil.“ Gehen wir recht in der Annahme, dass hier Anlage 06 zum Verfahrensbrief (Aufschlüsselung Preise Errichtung) gemeint ist?</t>
  </si>
  <si>
    <t xml:space="preserve">Bezug lt. Katalog: Aufforderung zur Erstangebotsabgabe // Antwort: Ihre Annahme ist zutreffend. Gerne stellen wir wie folgt klar: 1) Maßgeblich für die Wertung des Angebotspreises (Ziffer 1 der Zuschlagskriterien) sind allein die Angaben im Preisblatt (Anlage 04 zum Verfahrensbrief "Preisblatt"). 2) Die Kalkulationsübersicht (Anlage 06 zum Verfahrensbrief "Aufschlüsselung Preise Errichtung") dient der Bieterverhandlungen und wird nicht Vertragsbestandteil.</t>
  </si>
  <si>
    <t xml:space="preserve">ANF-132</t>
  </si>
  <si>
    <t xml:space="preserve">Nr. 80 / S. 6</t>
  </si>
  <si>
    <t xml:space="preserve">Bestätigt: die Annahme ist richtig. Die lokale, zum Ladeplatz gehörige Beleuchtung, wird mittels Bewegungsensorik gesteuert.</t>
  </si>
  <si>
    <t xml:space="preserve">In der Leistungbeschreibung Errichtung heißt es: „Jeder Ladepunkt ist so auszustatten, dass Objekte auf dem zum Ladepunkt gehörigen Ladeplatz detektiert und diese Informationen der Beleuchtungssteuerung zugeführt werden können.“ Gehen wir recht in der Annahme, dass mit „Beleuchtungssteuerung“ die unter 3.10.1 genannte „Bewegungssensorik“ gemeint ist</t>
  </si>
  <si>
    <t xml:space="preserve">Bezug lt. Katalog: Vertragsanlage 04
Zuordnung prüfen (Komponente/Partner nicht eindeutig) // Antwort: Ja, die Annahme ist richtig. Die lokale, zum Ladeplatz gehörige Beleuchtung, wird mittels Bewegungsensorik gesteuert.</t>
  </si>
  <si>
    <t xml:space="preserve">ANF-133</t>
  </si>
  <si>
    <t xml:space="preserve">Nr. 81 / S. 7</t>
  </si>
  <si>
    <t xml:space="preserve">Klarstellung: Der AG zahlt eine Vergütung für die Errichtung und den Betrieb der Ladeinfrastruktur auf Basis der individuellen Angebotspreise der ausgewählten Betreiber.</t>
  </si>
  <si>
    <t xml:space="preserve">Zur Ermittlung des Betreiberentgelts reichen die zurzeit bekannten Informationen zum Infrastrukturentgelt nicht aus. Dieses ist gem. BV §41.4 Teil der Kalkulation der Zugangsentgelte des Auftragnehmers. Ohne Transparenz bzgl. der Höhe des Infrastrukturentgelts (z.B. fester Betrag oder eine Formel), kann der Bieter nicht die zu erwartende Auslastung prognostizieren, was Grundlage für die Bildung des Betreiberentgelts ist. Wir bitten zudem um Erläuterung, inwiefern die Auftraggeber dem Auftragnehmer mit Blick auf das Infrastrukturentgelt nach BV §41 das Auslastungsrisiko abnimmt (vgl. BV §30.3), zumal gem. BV §41.3 der AG2 die Höhe des Infrastrukturentgelts gegenüber dem AN einseitig anpassen kann.</t>
  </si>
  <si>
    <t xml:space="preserve">Bezug lt. Katalog: Betreibervertrag § 41
Zuordnung prüfen (Komponente/Partner nicht eindeutig) // Antwort: Der AG zahlt eine Vergütung für die Errichtung und den Betrieb der Ladeinfrastruktur auf Basis der individuellen Angebotspreise der ausgewählten Betreiber. Die Höhe dieser Zahlung ist unabhängig davon, in welchem Umfang die Ladeinfrastruktur von Dritten genutzt wird. Insoweit nimmt der AG den ausgewählten Betreibern einen großen Teil des Auslastungsrisikos ab. Der AG wird das Infrastrukturentgelt auf Basis der finalen Angebotspreise für alle Lose einheitlich festlegen und behält sich vor, die Höhe des Entgelts während der Laufzeit des Vertrages anzupassen. Die genaue Herleitung und Ausgestaltung dieses Verfahrens wird Gegenstand der Bieterverhandlungen sein. Bei der Erstellung des indikativen Angebots sollen alle Bieter davon ausgehen, dass das Infrastrukturentgelt 20 Ct./kWh zzgl. USt. beträgt. Der AG weist aber ausdrücklich darauf hin, dass es sich dabei lediglich um eine vorläufige Festlegung für die Erstellung der Erstangebote handelt.“</t>
  </si>
  <si>
    <t xml:space="preserve">ANF-134</t>
  </si>
  <si>
    <t xml:space="preserve">Nr. 82 / S. 7</t>
  </si>
  <si>
    <t xml:space="preserve">Klarstellung: Es erfolgt folgende Klarstellung: Für den Fall, dass nur ein MCS-Ladepunkt vorhanden ist, ist auch nur ein MCS-Ladepunkt für das Zwischenladen nachts freizuhalten.</t>
  </si>
  <si>
    <t xml:space="preserve">Wir bitten um Überprüfung der Vorgabe in BV §16.4 (min. zwei MCS-Ladepunkte bzw. ein CCS-Ladepunkt sind zum Zwischenladen nachts freizuhalten), da es Standorte gibt, bei denen nur 1 MCS- und 1 CCS- Ladepunkt installiert werden sollen.</t>
  </si>
  <si>
    <t xml:space="preserve">Bezug lt. Katalog: Betreibervertrag §16.4
Zuordnung prüfen (Komponente/Partner nicht eindeutig) // Antwort: Es erfolgt folgende Klarstellung: Für den Fall, dass nur ein MCS-Ladepunkt vorhanden ist, ist auch nur ein MCS-Ladepunkt für das Zwischenladen nachts freizuhalten. Der AG wird eine entsprechend angepasste Fassung des Vertrags im weiteren Vergabeverfahren zur Verfügung stellen.</t>
  </si>
  <si>
    <t xml:space="preserve">ANF-135</t>
  </si>
  <si>
    <t xml:space="preserve">Nr. 83 / S. 7</t>
  </si>
  <si>
    <t xml:space="preserve">Verneint: die Einnahnmen aus dem Reservierungsentgelt sind nach dem aktuellen Stand des Vertrags nicht in der Angebotskalkulation zu berücksichtigen.</t>
  </si>
  <si>
    <t xml:space="preserve">Wie soll das Reservierungsentgelt in der Angebotskalkulation des AN berücksichtigt werden. Durch die Anbindung an Reservierungs-Plattform entstehen Kosten für den AN, allerdings wird gem. BV §19.9 das Reservierungsentgelt durch den AG2 unter Berücksichtigung der Kosten für die Nutzung der Reservierungsplattformen festgelegt. Wie ist die Berücksichtigung der Kosten konkret geplant?</t>
  </si>
  <si>
    <t xml:space="preserve">Bezug lt. Katalog: Betreibervertrag §19 // Antwort: Nein, die Einnahnmen aus dem Reservierungsentgelt sind nach dem aktuellen Stand des Vertrags nicht in der Angebotskalkulation zu berücksichtigen. Nach § 19 Abs. 3 des Vertrags sind die Einnahmen an den AG abzuführen. Soweit ein Teil des Reservierungsentgeltes mit den Zugangsentgelten verrechnet wird ( § 19 Abs. 6 des Vertrags), tritt dieser Teil nur an die Stelle des sonst in voller Höhe zu zahlenden Zugangsentgeltes und stellt auch insoweit keine Mehreinnahmen des Betreibers da, die Kalkulationsrelevanz haben könnten.</t>
  </si>
  <si>
    <t xml:space="preserve">OCPI Buchungskalender / Reservierungsplattform</t>
  </si>
  <si>
    <t xml:space="preserve">ANF-136</t>
  </si>
  <si>
    <t xml:space="preserve">Nr. 84 / S. 7</t>
  </si>
  <si>
    <t xml:space="preserve">Klarstellung: Es ist bei der Konvertierung in das Pdf ein Formatierungsfehler aufgetreten. Der Text von § 56 ("Schadenersatz bei unzulässiger Wettbewerbsbeschränkung") ist am Ende von § 55 Abs.</t>
  </si>
  <si>
    <t xml:space="preserve">Wir bitten um Überprüfung, ob der fehlende §56 im Betreibervertrag noch ergänzt wird.</t>
  </si>
  <si>
    <t xml:space="preserve">Bezug lt. Katalog: Betreibervertrag §56 // Antwort: Es ist bei der Konvertierung in das Pdf ein Formatierungsfehler aufgetreten. Der Text von § 56 ("Schadenersatz bei unzulässiger Wettbewerbsbeschränkung") ist am Ende von § 55 Abs. 3 aufgeführt ("Wenn der Auftragnehmer ......... gekündigt oder bereits erfüllt ist.") Wir werden das mit dem nächsten Vertragsupdate bereinigen.</t>
  </si>
  <si>
    <t xml:space="preserve">ANF-137</t>
  </si>
  <si>
    <t xml:space="preserve">Nr. 85 / S. 7</t>
  </si>
  <si>
    <t xml:space="preserve">Klarstellung: Der AG verweist auf die Antwort zur Bieterfrage 46.</t>
  </si>
  <si>
    <t xml:space="preserve">Wann wird der Auftraggeber die Information bereitstellen, an welchen Standorten und zu welchem Zeitpunkt Speicher zum Einsatz kommen? Da der Auftragnehmer für die Instandhaltung und Versicherung der Speicher verantwortlich sein soll, benötigen die Bieter diese Informationen.</t>
  </si>
  <si>
    <t xml:space="preserve">Bezug lt. Katalog: Betreibervertrag §44 // Antwort: Der AG verweist auf die Antwort zur Bieterfrage 46.</t>
  </si>
  <si>
    <t xml:space="preserve">ANF-138</t>
  </si>
  <si>
    <t xml:space="preserve">Nr. 86 / S. 7</t>
  </si>
  <si>
    <t xml:space="preserve">Klarstellung: Die Frist zur Abgabe des Erstangebots wird auf den 20.03.2025, 12 Uhr verlängert.</t>
  </si>
  <si>
    <t xml:space="preserve">Verlängerung der Frist zur Abgabe eines Erstangebots</t>
  </si>
  <si>
    <t xml:space="preserve">Bezug lt. Katalog: – // Antwort: Die Frist zur Abgabe des Erstangebots wird auf den 20.03.2025, 12 Uhr verlängert.</t>
  </si>
  <si>
    <t xml:space="preserve">ANF-139</t>
  </si>
  <si>
    <t xml:space="preserve">Nr. 87 / S. 7</t>
  </si>
  <si>
    <t xml:space="preserve">Klarstellung: Bezugspunkt der Vertragsstrafe ist das durchschnittliche Errichtungsentgelt, das der Bieter angeboten hat (keine Mengengewichtung).</t>
  </si>
  <si>
    <t xml:space="preserve">Bezieht sich der Prozentsatz der Vertragsstrafe aus § 14 auf das Entrichtungsgeld des jeweiligen Standorts, oder ggf. auch nur auf einen Teilbereich des Standorts der nicht gemäß Terminplan in Betrieb genommen werden kann?</t>
  </si>
  <si>
    <t xml:space="preserve">Bezug lt. Katalog: Hauptvertrag
Katalogdatum: 27.01.2025 // Antwort: Bezugspunkt der Vertragsstrafe ist das durchschnittliche Errichtungsentgelt, das der Bieter angeboten hat (keine Mengengewichtung). Eine qualitative Betrachtung für Standorte, die teilweise in Betrieb genommen worden sind, sieht die Regelung nicht vor. Die Regelung in § 14 ist allerdings in der aktuellen Fassung unvollständig, da eine Verknüpfung des säumigen Anteils von Standorten mit der Vertragsstrafe fehlt. Wir werden die Regelung wie folgt konkretisieren: „Erfolgt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der vom Auftragnehmer zu vertreten entgegen des verbindlichen Vertragstermins keine vollständige Betriebsfreigabe erhalten hat, eine Vertragsstrafe zu zahlen. Die Höhe der täglichen Vertragsstrafe beträgt 0,1 % des gemäß Preisblatt des Betreibers durchschnittlich zu zahlenden Errichtungsentgeltes geteilt durch den Prozentsatz der vertragswidrig und vom Auftragnehmer zu vertreten nicht vollständig freigegebenen Standorte, maximal jedoch 5 % des durchschnittlichen Errichtungsentgeltes. Die sonstigen vertraglichen und gesetzlichen Rechte der Auftraggeber im Falle von Verzögerungen bleiben von der Vertragsstrafe unberührt.“</t>
  </si>
  <si>
    <t xml:space="preserve">ANF-140</t>
  </si>
  <si>
    <t xml:space="preserve">Nr. 88 / S. 7</t>
  </si>
  <si>
    <t xml:space="preserve">Bestätigt: diese Annahme ist zutreffend. Der AG wird den Zuschlag nicht auf die Erstangebote erteilen.</t>
  </si>
  <si>
    <t xml:space="preserve">In der Vergabebekanntmachung hieß es: "Der Erwerber behält sich das Recht vor, den Auftrag aufgrund der ursprünglichen Angebote ohne weitere Verhandlungen zu vergeben." Gemäß Aufforderung zum Erstangebot vom 06.01.2025 sollen Verhandlungen aber stattfinden. Gehen wir also recht in der Annahme, dass kein Zuschlag auf ein Erstangebot, sondern erst auf ein weiteres, endgültiges Angebot erfolgen wird?</t>
  </si>
  <si>
    <t xml:space="preserve">Bezug lt. Katalog: –
Katalogdatum: 27.01.2025 // Antwort: Ja, diese Annahme ist zutreffend. Der AG wird den Zuschlag nicht auf die Erstangebote erteilen.</t>
  </si>
  <si>
    <t xml:space="preserve">ANF-141</t>
  </si>
  <si>
    <t xml:space="preserve">Nr. 89 / S. 7</t>
  </si>
  <si>
    <t xml:space="preserve">Klarstellung: Die Informationen zur Mobilfunkabdeckung ergeben sich aus dem Gigabitgrundbuchs mit Stand 07/2024 (https://gigabitgrundbuch.bund.de/GIGA/DE/Downloads_Suche/start.html).</t>
  </si>
  <si>
    <t xml:space="preserve">In der Anlage "Details zum Netzanschluss" wird für jeden Standort eine 5G-Verfügbarkeit angegeben. Mit welchen Bandbreiten ist mindestens zu rechnen? Gibt es für die Standorte folgende Angaben: Gemessener Pegel RSRP [dBm], Gemessener Pegel RSRQ [dBm]?</t>
  </si>
  <si>
    <t xml:space="preserve">Bezug lt. Katalog: –
Katalogdatum: 29.01.2025 // Antwort: Die Informationen zur Mobilfunkabdeckung ergeben sich aus dem Gigabitgrundbuchs mit Stand 07/2024 (https://gigabitgrundbuch.bund.de/GIGA/DE/Downloads_Suche/start.html). Darüber hinaus gehende Informationen liegen dem AG nicht vor.</t>
  </si>
  <si>
    <t xml:space="preserve">ANF-142</t>
  </si>
  <si>
    <t xml:space="preserve">Nr. 90 / S. 7</t>
  </si>
  <si>
    <t xml:space="preserve">Klarstellung: Die genannten sechs Status aus Vertragsanlage 11 sind dem OCPI Standard entnommen. BLOCKED = The EVSE/Connector is not accessible because of a physical barrier, i.e. a car.</t>
  </si>
  <si>
    <t xml:space="preserve">Was ist mit dem Status BLOCKED OUTOFORDER PLANNED REMOVED UNKNOWN INOPERATIVE exakt gemeint? Wie unterscheiden diese sich?</t>
  </si>
  <si>
    <t xml:space="preserve">Bezug lt. Katalog: Vertragsanlage 11
Katalogdatum: 29.01.2025 // Antwort: Die genannten sechs Status aus Vertragsanlage 11 sind dem OCPI Standard entnommen. BLOCKED = The EVSE/Connector is not accessible because of a physical barrier, i.e. a car. OUTOFORDER = The EVSE/Connector is currently out of order, some part/components may be broken/defect. PLANNED = The EVSE/Connector is planned, will be operating soon. REMOVED = The EVSE/Connector was discontinued/removed. UNKNOWN = No status information available (also used when offline). INOPERATIVE =The EVSE/Connector is not yet active, or temporarily not available for use, but not broken or defect.</t>
  </si>
  <si>
    <t xml:space="preserve">ANF-143</t>
  </si>
  <si>
    <t xml:space="preserve">Nr. 91 / S. 7</t>
  </si>
  <si>
    <t xml:space="preserve">Klarstellung: Der AG verweist auf die Antwort auf Bieterfrage 33. Dementsprechend ist für die Erstellung der Erstangebote davon auszugehen, dass blockierende Objekte nicht zu Ausfallzeiten führen werden.</t>
  </si>
  <si>
    <t xml:space="preserve">Führen blockierende Objekte (z.B. Falschparker, die nicht laden) zu einer pönalisierenden Ausfallzeit?</t>
  </si>
  <si>
    <t xml:space="preserve">Bezug lt. Katalog: –
Katalogdatum: 29.01.2025 // Antwort: Der AG verweist auf die Antwort auf Bieterfrage 33. Dementsprechend ist für die Erstellung der Erstangebote davon auszugehen, dass blockierende Objekte nicht zu Ausfallzeiten führen werden.</t>
  </si>
  <si>
    <t xml:space="preserve">Pönalisierungssystem</t>
  </si>
  <si>
    <t xml:space="preserve">ANF-144</t>
  </si>
  <si>
    <t xml:space="preserve">Nr. 92 / S. 7</t>
  </si>
  <si>
    <t xml:space="preserve">Klarstellung: Diesem Vorschlag kann nicht zugestimmt werden. Es müssen auch artfremde Objekte detektiert werden.</t>
  </si>
  <si>
    <t xml:space="preserve">"Für die Ableitung einer technischen Lösung der Objektdetektion ist die Abgrenzung des Begriffs "Objektdetektion" wesentlich. Vorschlag: Können wir für die weitere Ausarbeitung der technsichen Lösung den Begriff "Objekt" durch "Kraftfahrzeug" ersetzten?</t>
  </si>
  <si>
    <t xml:space="preserve">Bezug lt. Katalog: –
Katalogdatum: 29.01.2025 // Antwort: Diesem Vorschlag kann nicht zugestimmt werden. Es müssen auch artfremde Objekte detektiert werden.</t>
  </si>
  <si>
    <t xml:space="preserve">ANF-145</t>
  </si>
  <si>
    <t xml:space="preserve">Nr. 93 / S. 7</t>
  </si>
  <si>
    <t xml:space="preserve">Klarstellung: Eine Stoffpreisgleitklausel ist nicht vorgesehen.</t>
  </si>
  <si>
    <t xml:space="preserve">Kann für das finanzielle Angebot eine Preisgleitklausel in Bezug zu einschlägigen Materialpreisindizes je relevanter Komponentengruppe angewendet werden?</t>
  </si>
  <si>
    <t xml:space="preserve">Bezug lt. Katalog: –
Katalogdatum: 29.01.2025 // Antwort: Eine Stoffpreisgleitklausel ist nicht vorgesehen.</t>
  </si>
  <si>
    <t xml:space="preserve">ANF-146</t>
  </si>
  <si>
    <t xml:space="preserve">Nr. 94 / S. 7</t>
  </si>
  <si>
    <t xml:space="preserve">Klarstellung: Nach dem jetzigen Stand der Vertragsunterlagen sind die Kosten in das Betreiberentgelt einzukalkulieren.</t>
  </si>
  <si>
    <t xml:space="preserve">Gemäß §7 kann der Ladepunktbetreiber die Kosten für den Messstellenbetrieb nicht an den Mobilitätsdienstleister weitergeben, da das Infrastrukturentgelt von der Autobahn GmbH festgelegt wird. Wer übernimmt die Kosten für den Messstellenbetrieb?</t>
  </si>
  <si>
    <t xml:space="preserve">Bezug lt. Katalog: Durchleitungsmodell
Katalogdatum: 30.01.2025 // Antwort: Nach dem jetzigen Stand der Vertragsunterlagen sind die Kosten in das Betreiberentgelt einzukalkulieren.</t>
  </si>
  <si>
    <t xml:space="preserve">ANF-147</t>
  </si>
  <si>
    <t xml:space="preserve">Nr. 95 / S. 8</t>
  </si>
  <si>
    <t xml:space="preserve">Verweis des Auftraggebers auf die Antwort zu Bieterfrage 60.</t>
  </si>
  <si>
    <t xml:space="preserve">Details zum Netzanschluss: Die Anzahl der Ladepunkte und die geforderten Leistungen passen nicht zu den Aufbauanforderungen insbesondere hinsichtlich der geforderten (gleichzeitigen) Ladeleistungen (auch nicht zur Leistung 2035). Wie ist hiermit umzugehen? Beispiel: DE-BB-444901: gemäß Anforderungen an die Ladeleistungen wird u.M. eine NA-Leistung von 4682 kW benötigt. In der Anlage wird als beantragte NA-Leistung 2800 kW angegeben.</t>
  </si>
  <si>
    <t xml:space="preserve">Bezug lt. Katalog: Vertragsanlage 05
Katalogdatum: 31.01.2025 // Antwort: Siehe Antwort auf die Bieterfrage 60.</t>
  </si>
  <si>
    <t xml:space="preserve">Automatisch ausgewertet: Die Antwort des Auftraggebers verweist ausschließlich auf Bieterfrage 60. Keine eigenständige Anforderung – der Inhalt ist unter der dort erfassten Zeile nachzuhalten.</t>
  </si>
  <si>
    <t xml:space="preserve">ANF-148</t>
  </si>
  <si>
    <t xml:space="preserve">Nr. 96 / S. 8</t>
  </si>
  <si>
    <t xml:space="preserve">Zusage / Ankündigung: Siehe Antwort auf die Bieterfrage 33. Danach werden die Möglichkeiten und Rahmenbedingungen der Reservierung Teil der Bieterverhandlungen sein.</t>
  </si>
  <si>
    <t xml:space="preserve">Ist die (a) Überwachung der Gesamtanlage und/oder (b) die Objektidentifikation und/oder (c) eine Kennzeichenidentifikation z.B. im Zusammenhang mit dem Reservierungssystem mittels Kameratechnik seitens des AG erlaubt und erwünscht? Wenn ja, welche zusätzlichen genehmigungs-/freigabetechnischen Schritte müssen hierfür angegangen grob angegangen werden?</t>
  </si>
  <si>
    <t xml:space="preserve">Bezug lt. Katalog: Überwachung, Kennzeichenidentifikation
Katalogdatum: 31.01.2025 // Antwort: Siehe Antwort auf die Bieterfrage 33. Danach werden die Möglichkeiten und Rahmenbedingungen der Reservierung Teil der Bieterverhandlungen sein. Dazu gehört auch wie ein Freihalten/Überwachen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</si>
  <si>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eRound / SCS / Reservierungsplattform</t>
  </si>
  <si>
    <t xml:space="preserve">Kennzeichenerfassung / OCPI Buchungskalender / Reservierungsplattform / Pönalisierungssystem</t>
  </si>
  <si>
    <t xml:space="preserve">ANF-149</t>
  </si>
  <si>
    <t xml:space="preserve">Nr. 97 / S. 8</t>
  </si>
  <si>
    <t xml:space="preserve">Klarstellung: Die Vorplanungen der Standorte DE-BB-444901 Elsteraue und DE-BY-000329 Kirchholz Süd wurden entsprechend aktualisiert und werden den Bietern als Anlage zur Beantwortung dieser Bieterfragen zur Verfügung gestellt.</t>
  </si>
  <si>
    <t xml:space="preserve">Wann werden die Anlagen 3 (Vorplanungen) der überarbeiteten Anlage 2 (Standortübersicht) angeglichen? Bspw. Unstimmigkeiten bei den Standorten DE-BB-444901 Elsteraue und DE-BY-000329 Kirchholz Süd</t>
  </si>
  <si>
    <t xml:space="preserve">Bezug lt. Katalog: Vertragsanlage 02 &amp; 03
Katalogdatum: 31.01.2025 // Antwort: Die Vorplanungen der Standorte DE-BB-444901 Elsteraue und DE-BY-000329 Kirchholz Süd wurden entsprechend aktualisiert und werden den Bietern als Anlage zur Beantwortung dieser Bieterfragen zur Verfügung gestellt.</t>
  </si>
  <si>
    <t xml:space="preserve">ANF-150</t>
  </si>
  <si>
    <t xml:space="preserve">Nr. 98 / S. 8</t>
  </si>
  <si>
    <t xml:space="preserve">Verweis des Auftraggebers auf die Antwort zu Bieterfrage 87.</t>
  </si>
  <si>
    <t xml:space="preserve">Betreibervertrag § 14: Ist die Höhe der Vertragsstrafe von „0,1 % des gemäß Preisblatt durchschnittlich zu zahlenden Errichtungsgeldes, maximal jedoch 5 % des durchschnittlich Errichtungsentgeltes“ bei nicht fristgerechter Errichtung bezogen auf alle Standorte im Sinne des § 5, oder soll sich das durchschnittliche Errichtungsentgelt als Bemessungsgröße lediglich auf diejenigen Standorte beziehen, die für den verbindlichen Vertragstermin keine Betriebsfreigabe erhalten haben? Diese Frage ergänzt die Bieterfrage Nr. 87.</t>
  </si>
  <si>
    <t xml:space="preserve">Bezug lt. Katalog: –
Katalogdatum: 31.01.2025 // Antwort: Siehe hierzu die Antwort auf die Bieterfrage 87.</t>
  </si>
  <si>
    <t xml:space="preserve">Automatisch ausgewertet: Die Antwort des Auftraggebers verweist ausschließlich auf Bieterfrage 87. Keine eigenständige Anforderung – der Inhalt ist unter der dort erfassten Zeile nachzuhalten.</t>
  </si>
  <si>
    <t xml:space="preserve">ANF-151</t>
  </si>
  <si>
    <t xml:space="preserve">Nr. 99 / S. 8</t>
  </si>
  <si>
    <t xml:space="preserve">Klarstellung: Das Auftraggeberinteresse bzw. Bestellerinteresse ist jeweils in versicherungsvertragsrechtlicher Hinsicht zu verstehen.</t>
  </si>
  <si>
    <t xml:space="preserve">Betreibervertrag § 51: Bitte erläutern Sie die Formulierung im Kontext der Sachsubstanzversicherung/Elektronikversicherung in § 51 Abs. 1 a. aa) „Das Interesse der Auftraggeber ist mitzuversichern." als auch die Formulierung im Kontext der Montageversicherung in § 51 Abs. 1 b. cc) „Vom Versicherungsschutz müssen insbesondere umfasst sein: […] Auftraggeberinteresse (sog. „Bestellerinteresse“).“ Was ist hier inhaltlich konkret abzusichern, etwaige Verdienstausfälle der AG? Bezieht sich die Formulierung lediglich auf den Zeitraum, bevor die Ladeinfrastruktur nach § 15 in das Eigentum des AG 1 übergegangen ist? Falls dieses (noch zu definierende) Interesse der AG mitversichert wird, wie passt es im Versicherungsfall damit zusammen, dass die AG nach dem Betreibervertrag keinen eigenen Anspruch gegenüber der Versicherung zu haben scheinen (arg.ex § 51 Abs. 1 Nr. 1 d. Satz 6)?</t>
  </si>
  <si>
    <t xml:space="preserve">Bezug lt. Katalog: –
Katalogdatum: 31.01.2025 // Antwort: Das Auftraggeberinteresse bzw. Bestellerinteresse ist jeweils in versicherungsvertragsrechtlicher Hinsicht zu verstehen. Versichert ist typischerweise nur das Interesse des Versicherungsnehmers, also des Betreibers, und nicht die Interessen des Auftraggebers/Bestellers. Dies ergibt sich für die Montageversicherung auf Grundlage der Allgemeinen Bedingungen für die Montageversicherung (AmoB 2021) etwa aus A1-3.1 AMoB 2021 und für die Elektronikversicherung auf Grundlage der Allgemeinen Bedingungen für die Montageversicherung (ABE 2020) aus A1-3.1 ABE 2020. Im Fall der Elektronikversicherung auf Grundlage der ABE 2020 wäre z.B. das (Sacherhaltungs-)Interesse der Auftraggeber an der Ladeinfrastruktur erst mit Eigentumsübergang auf diese versichert, vgl. A1–3.2 ABE 2020. Soweit – wie hier – auch das Interesse der Auftraggeber versichert werden soll, bedarf es deshalb in der Regel einer entsprechenden Vereinbarung mit dem jeweiligen Versicherer – im Fall der Montageversicherung und Vereinbarung der AMoB 2021 etwa durch Vereinbarung der Ergänzungsklausel TK A 7150, im Fall der Elektronikversicherung auf Grundlage der ABE 2020 etwa durch Berücksichtigung des Interesses der Auftraggeber bereits vor Eigentumsübergang. Vor diesem Hintergrund ist gefordert, die Interessen der Auftraggeber (als Besteller bzw. Eigentümer der Ladeinfrastruktur) entsprechend zu versichern.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t>
  </si>
  <si>
    <t xml:space="preserve">ANF-152</t>
  </si>
  <si>
    <t xml:space="preserve">Nr. 100 / S. 8</t>
  </si>
  <si>
    <t xml:space="preserve">Klarstellung: Erfüllungsgehilfen sind insbesondere die Nachunternehmer des Betreibers. Insoweit ist der Klammerzusatz nur klarstellend.</t>
  </si>
  <si>
    <t xml:space="preserve">Betreibervertrag § 51: In § 51 Abs. 2 a. Satz 3 und Abs. 2 b. Satz 1 wird der Begriff des Nachunternehmers verwendet, der in Abs. 2 b. Satz 1 durch einen Klammerzusatz wiederum mit dem Begriff des Erfüllungsgehilfen gleichgesetzt wird. Wird der Nachunternehmer dabei im Hinblick auf die Versicherungspflicht ausschließlich im Sinne der Definition des § 58 Abs. 2 verstanden, oder sollen in § 51 – und insofern weitergehend als in § 58 Abs. 2 – alle Erfüllungsgehilfen im Sinne des § 278 BGB erfasst und damit versichert werden?</t>
  </si>
  <si>
    <t xml:space="preserve">Bezug lt. Katalog: –
Katalogdatum: 31.01.2025 // Antwort: Erfüllungsgehilfen sind insbesondere die Nachunternehmer des Betreibers. Insoweit ist der Klammerzusatz nur klarstellend. Im Hinblick auf die Versicherungspflicht sollen jedenfalls Nachunternehmer des Betreibers mitversichert werden. Für den Begriff des Nachunternehmers gilt § 58 Abs. 2 des Betreibervertrags.</t>
  </si>
  <si>
    <t xml:space="preserve">ANF-153</t>
  </si>
  <si>
    <t xml:space="preserve">Nr. 101 / S. 8</t>
  </si>
  <si>
    <t xml:space="preserve">Bestätigt: ein entsprechender Wechsel von Nachunternehmern ist grundsätzlich ebenfalls möglich.</t>
  </si>
  <si>
    <t xml:space="preserve">Nachunternehmer: Können Nachunternehmer, welche im ersten (nicht-verbindlichen) Angebot benannt wurden, zum finalen Angebot noch gewechselt werden, und falls ja, müssen hierfür bestimmte Gründe vorliegen? Diese Frage ergänzt die Bieterfrage Nr. 49 insofern, als vorliegend bereits ein Nachunternehmer namentlich benannt worden ist.</t>
  </si>
  <si>
    <t xml:space="preserve">Bezug lt. Katalog: –
Katalogdatum: 31.01.2025 // Antwort: Ja, ein entsprechender Wechsel von Nachunternehmern ist grundsätzlich ebenfalls möglich. Dabei sind die vergaberechtlichen Grenzen hinsichtlich der im Teilnahmewettbewerb nachgewiesen Eignung zu berücksichtigen.</t>
  </si>
  <si>
    <t xml:space="preserve">ANF-154</t>
  </si>
  <si>
    <t xml:space="preserve">Nr. 102 / S. 8</t>
  </si>
  <si>
    <t xml:space="preserve">Klarstellung: Für die Erstellung der Erstangebote ist davon auszugehen, dass eine Weiterleitung an den AG erfolgt.</t>
  </si>
  <si>
    <t xml:space="preserve">Betreibervertrag § 19 Abs. 6: Welche Höhe des Reservierungsentgeltes eines Endkunden wird bei erfolgreichem Ladevorgang an den AG1/2 weitergeleitet? Ist es richtig, dass nachdem 60 % des Reservierungsentgeltes mit dem Ladepreis des Endkunden verrechnet worden ist, die übrigen 40 % an den AG1/2 weitergegeben werden?</t>
  </si>
  <si>
    <t xml:space="preserve">Bezug lt. Katalog: –
Katalogdatum: 31.01.2025 // Antwort: Für die Erstellung der Erstangebote ist davon auszugehen, dass eine Weiterleitung an den AG erfolgt.</t>
  </si>
  <si>
    <t xml:space="preserve">ANF-155</t>
  </si>
  <si>
    <t xml:space="preserve">Nr. 103 / S. 8</t>
  </si>
  <si>
    <t xml:space="preserve">Klarstellung: Für die Erstellung der Erstangebote ist davon auszugehen, dass die Ladepunkte ausschließlich für "E-LKW" zur Verfügung stehen.</t>
  </si>
  <si>
    <t xml:space="preserve">Können Ladepunkte an (weitgehend) „LKW-freien Tagen“ (wie z.B. an Sonntagen) ebenfalls für PKW geöffnet werden? Dies würde die Auslastung erhöhen, wobei die LKW, nicht zuletzt wegen der Reservierungsmöglichkeit, weiterhin prioritär behandelt werden würden.</t>
  </si>
  <si>
    <t xml:space="preserve">Bezug lt. Katalog: –
Katalogdatum: 31.01.2025 // Antwort: Für die Erstellung der Erstangebote ist davon auszugehen, dass die Ladepunkte ausschließlich für "E-LKW" zur Verfügung stehen. Etwaiger Verhandlungsbedarf kann angemeldet werden.</t>
  </si>
  <si>
    <t xml:space="preserve">ANF-156</t>
  </si>
  <si>
    <t xml:space="preserve">Nr. 104 / S. 9</t>
  </si>
  <si>
    <t xml:space="preserve">Klarstellung: Eine Preisgleitung für Kabellieferungen ist aktuell nicht vorgesehen.</t>
  </si>
  <si>
    <t xml:space="preserve">In BV §39, Absatz 6 heißt es: “Wenn ein zur Errichtung der Infrastruktur erforderlicher Ladepunkt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 Wie ist das Vorgehen bei erforderlichen Kabeln, etc.?</t>
  </si>
  <si>
    <t xml:space="preserve">Bezug lt. Katalog: §39 Betreibervertrag (Preissteigerung)
Katalogdatum: 31.01.2025 // Antwort: Eine Preisgleitung für Kabellieferungen ist aktuell nicht vorgesehen.</t>
  </si>
  <si>
    <t xml:space="preserve">ANF-157</t>
  </si>
  <si>
    <t xml:space="preserve">Nr. 105 / S. 9</t>
  </si>
  <si>
    <t xml:space="preserve">Klarstellung: In der Vorplanung des Standorts DE-BW-006005 Linsenbühl gab es tatsächlich Abweichungen. Diese wurden aktualisiert und werden den Bietern als Anlage zur Beantwortung dieser Bieterfragen zur Verfügung gestellt.</t>
  </si>
  <si>
    <t xml:space="preserve">Wir bitten um Überprüfung der widersprüchlichen Angaben zur Anzahl der Ladepunkte in den beiden Dokumenten: - 20250114_Vertragsanlage 02_Standortübersicht (losspezi-fisch)_Los4_v2.pdf - Vertragsanlage 03/Los4/Vorplanungen: DE-BW-006005 Linsen-bühl_VP.pdf Während in der Vorplanung 6xMCS und 3xCCS eingezeichnet sind, sind in der Tabelle nur 5xMCS und 2xCCS angegeben.</t>
  </si>
  <si>
    <t xml:space="preserve">Bezug lt. Katalog: Vertragsanlage 03/Los4/Vorpla- nungen / Vertragsanlage 02_Standor- tübersicht (losspezifisch) (Anzahl Ladepunkte)
Katalogdatum: 31.01.2025 // Antwort: In der Vorplanung des Standorts DE-BW-006005 Linsenbühl gab es tatsächlich Abweichungen. Diese wurden aktualisiert und werden den Bietern als Anlage zur Beantwortung dieser Bieterfragen zur Verfügung gestellt.</t>
  </si>
  <si>
    <t xml:space="preserve">ANF-158</t>
  </si>
  <si>
    <t xml:space="preserve">Nr. 106 / S. 9</t>
  </si>
  <si>
    <t xml:space="preserve">Klarstellung: In der Vorplanung des Standorts DE-BY-00329 Kirchholz Südl gab es tatsächlich Abweichungen.</t>
  </si>
  <si>
    <t xml:space="preserve">Wir bitten um Überprüfung der widersprüchlichen Angaben zur Anzahl der Ladepunkte in den beiden Dokumenten: - 20250114_Vertragsanlage 02_Standortübersicht (losspezifisch)_ Los4_v2.pdf - Vertragsanlage 03/Los4/Vorplanungen: DE-BY-00329 Kirchholz Süd_VP.pdf Während in der Vorplanung 6xMCS und 5xCCS eingezeichnet sind, sind in der Tabelle nur 3xMCS und 3xCCS angegeben.</t>
  </si>
  <si>
    <t xml:space="preserve">Bezug lt. Katalog: Vertragsanlage 03/Los4/Vorplanungen / Vertragsanlage 02_Standortübersicht (losspezifisch) (Anzahl Ladepunkte)
Katalogdatum: 31.01.2025 // Antwort: In der Vorplanung des Standorts DE-BY-00329 Kirchholz Südl gab es tatsächlich Abweichungen. Diese wurden aktualisiert und werden den Bietern als Anlage zur Beantwortung dieser Bieterfragen zur Verfügung gestellt.</t>
  </si>
  <si>
    <t xml:space="preserve">ANF-159</t>
  </si>
  <si>
    <t xml:space="preserve">Nr. 107 / S. 9</t>
  </si>
  <si>
    <t xml:space="preserve">Klarstellung: Ihre Annahme ist zutreffend. Grundsätzlich werden die Bestandsgeometrien der Fahrstreifen sowie die Länge der Stellplätze der PWC Anlagen nicht verändert.</t>
  </si>
  <si>
    <t xml:space="preserve">Gemäß Vertragsanlage 04 LB Errichtung, Ziffer 3.10 (Anforderungen an die Umgebung der LKW- Ladeinfrastruktur) sind Zuwege und Durchfahrten zu denLKW-Ladepunkten so zu dimensionieren/gestalten, dass Fahrzeuge der Klassen GST diese befahren können und eine An- und Abfahrt zum und vom LKWLadeplatz´uneingeschränkt möglich ist. Weiter sind in Anhang 01a zur Vertragsanlage 4 Referenzplanung konkrete Maße für die Fahrstreifenbreiten (6,50 m) und darüber hinaus in den Vorplanungen für die Einzelstandorte u.a. konkrete Längen der Stellplätze (25,45 m) angegeben. Diese Breiten und Längen entsprechen nicht immer den Maßen im Bestand. Gehen wir recht in der Annahme, dass die Fahrstreifenbreite entsprechend den Breiten der Bestandsfahrstreifen und die Länge der Stellplätze entsprechend den Bestandsstellplätzen auf den jeweiligen Standorten hergestellt werden können, soweit damit die Vorgabe der Leistungsbeschreibung Errichtung; Ziffer 3.10 erfüllt wird?</t>
  </si>
  <si>
    <t xml:space="preserve">Bezug lt. Katalog: Anhang 01a zur Vertragsanlage 4 Referenzplanung / Vertragsanlage 04 LB Errichtung, Ziffer 3.10 / Vorplanungen für Standorte (Fahrstreifenbreite)
Katalogdatum: 31.01.2025 // Antwort: Ihre Annahme ist zutreffend. Grundsätzlich werden die Bestandsgeometrien der Fahrstreifen sowie die Länge der Stellplätze der PWC Anlagen nicht verändert. Darüber hinaus bleibt die Anordnung der GST Parkplätze und die dazugehörigen Fahrstreifen in der bisherigen Geometrie erhalten. Der AN muss die Anordnung der Ladeinseln den örtlichen Gegebenheiten anpassen, sodass die Schleppkurven von E-LKW zum Ein- und Ausrangieren konfliktfrei eingehalten werden können. Dabei sind die geforderten Mindestmaße der Parkstreifenbreiten für MCS-Laden von 4,00m, sowie für CCS-Laden von 3,50m sicherzustellen. Die angegebenen Parkstreifenlängen können jedoch je nach Gegebenheit vor Ort abweichend sein.</t>
  </si>
  <si>
    <t xml:space="preserve">ANF-160</t>
  </si>
  <si>
    <t xml:space="preserve">Nr. 108 / S. 9</t>
  </si>
  <si>
    <t xml:space="preserve">Klarstellung: Entsprechende Unterlagen können nich tzur Verfügung gestellt werden.</t>
  </si>
  <si>
    <t xml:space="preserve">Können für alle in Vertragsanlage 02 aufgeführten Standorte alle Aufzeichnungen bzw. Unterlagen über Hochwasserereignisse und Vorfälle, bei denen gefährliche Stoffe freigesetzt wurden, zur Verfügung gestellt werden?</t>
  </si>
  <si>
    <t xml:space="preserve">Bezug lt. Katalog: Umweltereignisse
Katalogdatum: 31.01.2025 // Antwort: Entsprechende Unterlagen können nich tzur Verfügung gestellt werden.</t>
  </si>
  <si>
    <t xml:space="preserve">ANF-161</t>
  </si>
  <si>
    <t xml:space="preserve">Nr. 109 / S. 9</t>
  </si>
  <si>
    <t xml:space="preserve">Klarstellung: Ihre Annahme ist richtig, es muss demnach korrekterweise heißen, dass auf Abschnitt 5 verwiesen wird.</t>
  </si>
  <si>
    <t xml:space="preserve">In Vertragsanlage 06, Abschnitt 8 (Authentifizierungsoptionen) wird im vierten Aufzählungspunkt auf Abschnitt 7 verwiesen. Wir bitten um Prüfung, ob es sich dabei nicht um den Verweis auf Abschnitt 5 handeln muss.</t>
  </si>
  <si>
    <t xml:space="preserve">Bezug lt. Katalog: Vertragsanlage 06 (Verweis)
Katalogdatum: 31.01.2025 // Antwort: Ihre Annahme ist richtig, es muss demnach korrekterweise heißen, dass auf Abschnitt 5 verwiesen wird. Der AG wird eine entsprechend fortgeschriebene Vergabeunterlage im weiteren Verfahren zur Verfügung stellen.</t>
  </si>
  <si>
    <t xml:space="preserve">ANF-162</t>
  </si>
  <si>
    <t xml:space="preserve">Nr. 110 / S. 9</t>
  </si>
  <si>
    <t xml:space="preserve">Bestätigt: in Abschnitt 7 Unterpunkt 5 der Vertragsanlage 11 muss hinsichtlich des Nichtvertretenmüssens auf § 21 Abs.</t>
  </si>
  <si>
    <t xml:space="preserve">In Vertragsanlage 11, Abschnitt 7 (Verfügbarkeit), Unterpunkt 5, wird auf BV § 16.1 e) des Vertrags verwiesen. Wir bitten um Prüfung, ob es sich dabei nicht um den Verweis auf BV § 21 Absatz 4 handeln muss.</t>
  </si>
  <si>
    <t xml:space="preserve">Bezug lt. Katalog: Vertragsanlage 11 - LB Betrieb (Verweis)
Katalogdatum: 31.01.2025
Zuordnung prüfen (Komponente/Partner nicht eindeutig) // Antwort: Ja, in Abschnitt 7 Unterpunkt 5 der Vertragsanlage 11 muss hinsichtlich des Nichtvertretenmüssens auf § 21 Abs. 4 des Betreibervertrages verwiesen werden.</t>
  </si>
  <si>
    <t xml:space="preserve">ANF-163</t>
  </si>
  <si>
    <t xml:space="preserve">Nr. 111 / S. 9</t>
  </si>
  <si>
    <t xml:space="preserve">Klarstellung: Es handelt sich dabei um die Dächer der Technikgebäude (z.B. Übergabestation, Trafostation).</t>
  </si>
  <si>
    <t xml:space="preserve">In den Abschnitten 6.3 Instandhaltung sowie 6.5 Regelmäßige Prüfung wird die Prüfung, Wartung und Instandhaltung von Dächern bzw. Überdachungen gefordert. Wir bitten um Angabe, um welche Dächer bzw. Überdachungen es sich dabei handelt.</t>
  </si>
  <si>
    <t xml:space="preserve">Bezug lt. Katalog: Vertragsanlage 11 - LB Betrieb (Dächer)
Katalogdatum: 31.01.2025 // Antwort: Es handelt sich dabei um die Dächer der Technikgebäude (z.B. Übergabestation, Trafostation).</t>
  </si>
  <si>
    <t xml:space="preserve">ANF-164</t>
  </si>
  <si>
    <t xml:space="preserve">Nr. 112 / S. 9</t>
  </si>
  <si>
    <t xml:space="preserve">Klarstellung: Es ist von den in Vertragsanlage 3 angegebenen Zeiträumen auszugehen.</t>
  </si>
  <si>
    <t xml:space="preserve">Im Abschnitt 3.3.2 Vorgehen für Standorte mit Ausbauabsicht heißt es: "Im Rahmen des Vertragszeitraums kann es zu Um- und Ausbauvorhaben an einzelnen Standorten kommen. In diesen Fällen wird die jeweilige Rastanlage etwa 12 UND 18 Monate voll gesperrt." Wir bitten um Erläuterung, ob wir generell von 18 Monaten ausgehen sollen, oder ob es Unterscheidungen zwischen den Standorten bzgl. 12 und 18 Monaten gibt</t>
  </si>
  <si>
    <t xml:space="preserve">Bezug lt. Katalog: Vertragsanlage 04 LB Errichtung, Ziff. 3.3.2 (Ausbauabsicht)
Katalogdatum: 31.01.2025 // Antwort: Es ist von den in Vertragsanlage 3 angegebenen Zeiträumen auszugehen.</t>
  </si>
  <si>
    <t xml:space="preserve">ANF-165</t>
  </si>
  <si>
    <t xml:space="preserve">Nr. 113 / S. 9</t>
  </si>
  <si>
    <t xml:space="preserve">Klarstellung: Richtigerweise muss an dieser Stelle auf Ziffer 4.11.2 der Vertragsanlage 04: Leistungsbeschreibung Errichtung verwiesen werden.</t>
  </si>
  <si>
    <t xml:space="preserve">Im Hinblick auf die Entwässerungs- und Abwassereinrichtungen verweist der Vertrag auf Ziffer 4.12.2 der Vertragsanlage 4: Leistungsbeschreibung Errichtung. Wir bitten um Berichtigung der Verweisung.</t>
  </si>
  <si>
    <t xml:space="preserve">Bezug lt. Katalog: Vertrag, §7.5 (Verweis)
Katalogdatum: 31.01.2025 // Antwort: Richtigerweise muss an dieser Stelle auf Ziffer 4.11.2 der Vertragsanlage 04: Leistungsbeschreibung Errichtung verwiesen werden. Der AG wird eine entsprechend fortgeschriebene Vergabeunterlage im weiteren Verfahren zur Verfügung stellen.</t>
  </si>
  <si>
    <t xml:space="preserve">ANF-166</t>
  </si>
  <si>
    <t xml:space="preserve">Nr. 114 / S. 10</t>
  </si>
  <si>
    <t xml:space="preserve">Klarstellung: Die Ladepunkte für das Übernachtladen müssen technisch eine Ladeleistung von min. 150 kW abgeben können.</t>
  </si>
  <si>
    <t xml:space="preserve">Der Vertrag sieht vor: “Die Nennladeleistung von CCS-Ladepunkten, die nur zum Übernachtladen bestimmt sind, beträgt mindestens 150 kW. Die Mindestladeleistung bei CCS-Ladepunkten zum Zwischen-laden beträgt 400 kW, bei CCS-Ladepunkten zum Übernachtladen 100 kW.“ Dies erscheint mit Blick auf das Übernachtladen nicht eindeutig. Wir bitten um Klarstellung, welche Anforderungen an die Ladeleistung bei Ladepunkten für das Übernachladen gelten.</t>
  </si>
  <si>
    <t xml:space="preserve">Bezug lt. Katalog: Vertrag § 8.1 (Übernachtladungen)
Katalogdatum: 31.01.2025
Zuordnung prüfen (Komponente/Partner nicht eindeutig) // Antwort: Die Ladepunkte für das Übernachtladen müssen technisch eine Ladeleistung von min. 150 kW abgeben können. Finden mehrere gleichzeitige Ladevorgänge statt, so muss die abgegebene Leistung mindestens 100 kW betragen.</t>
  </si>
  <si>
    <t xml:space="preserve">ANF-167</t>
  </si>
  <si>
    <t xml:space="preserve">Nr. 115 / S. 10</t>
  </si>
  <si>
    <t xml:space="preserve">Klarstellung: Die Begriffe „Datenmanipulation und -missbrauch im §62 des Vertrages beziehen sich auch auf nicht personenbezogene Daten.</t>
  </si>
  <si>
    <t xml:space="preserve">Beziehen sich die Begriffe „Datenmanipulation und -missbrauch“ nur auf personenbezogene Daten im Sinne des Datenschutzrechts oder auch auf nicht-personenbezogene Daten im Sinne der allgemeinen Informationssicherheit?</t>
  </si>
  <si>
    <t xml:space="preserve">Bezug lt. Katalog: Vertrag § 62 Absatz 1 Buchstabe a (Datenschutz)
Katalogdatum: 31.01.2025 // Antwort: Die Begriffe „Datenmanipulation und -missbrauch im §62 des Vertrages beziehen sich auch auf nicht personenbezogene Daten.</t>
  </si>
  <si>
    <t xml:space="preserve">ANF-168</t>
  </si>
  <si>
    <t xml:space="preserve">Nr. 116 / S. 10</t>
  </si>
  <si>
    <t xml:space="preserve">Klarstellung: Die Bürgschaft sichert sämtliche Verpflichtungen des AN gegenüber dem AG ab (Abs. 1).</t>
  </si>
  <si>
    <t xml:space="preserve">Der Vertrag sieht gem. §49.1 vor, dass die Bürgschaft innerhalb von 30 Tagen nach Vertragsschluss vorzulegen ist und für die Erfüllung sämtlicher Leistungspflichten betreffend Planung, Errichtung und Betrieb (einschließlich Zahlngsverpflichtungen) dient. Wir bitten um Klarstellung, inwiefern für die Bürgschaft der Betrieb einschließlich Zahlungsverpflichtungen zu berücksichtigen ist. Weiter heißt es in §49.3f., dass sich die Höhe der Bürgschaft mit der erteilten Betriebsfreigabe eines Standorts um den Betrag verringert, der dem Anteil des Errichtungsentgeltes für diesen Standort an der Gesamtsumme des Netto-Errichtungsentgelts enspricht. Somit wird die Bürgschaft vollständig zurückgegeben, sobald für alle Standorte die Betriebsfreigabe erteilt worden ist. Wir bitten um Erläuterung der Bürgschaft, die zu jedem Zeitpunkt des Vertrags (also auch nach Betriebsfreigabe der Standorte) vorzulegen ist. Wir gehen davon aus, dass die Bürgschaft 100% des Netto-Errichtungsentgelts gem. Preisblatt bis zur Betriebsfreigabe des letzten Standorts abdeckt. Müssen zusätzlich die 50 % des Errichtungsentgelts, die bis zum Vertragsende ausgezahlt werden, im Einklang mit den vierteljährlichen Zahlungen des AG abnehmend abgedeckt werden?</t>
  </si>
  <si>
    <t xml:space="preserve">Bezug lt. Katalog: Vertrag § 49 (Bürgschaft)
Katalogdatum: 31.01.2025 // Antwort: Die Bürgschaft sichert sämtliche Verpflichtungen des AN gegenüber dem AG ab (Abs. 1). Im Rahmen des Betriebs entsteht beispielsweise die Verpflichtung, das Infrastrukturentgelt abzuführen; auch können Vertragsstrafen ausgelöst werden. Die Höhe der Bürgschaft beträgt lediglich 5 % der Gesamtsumme des Netto- Errichtungsentgelts gemäß Preisblatt aus dem Angebot des Auftragnehmers. Mit der Betriebsfreigabe eines Standorts verringert sich die Gesamtsumme des Netto- Errichtungsentgeltes und damit der Bezugspunkt der Höhe der Bürgschaft entsprechend. Mit Betriebsfreigabe sind 5% dieser Reduktion freizugeben. Mit vollständiger Erichtung der Standorte ist damit die Bürgschaft zurückzugeben. Der Einbehalt von 50% des Errichtungsentgeltes nach § 39 Abs. 3 und dessen Verrechnung mit dem Infrastrukturentgelt bzw. dem Betreiberentgelt steht als weitere Sicherung daneben.</t>
  </si>
  <si>
    <t xml:space="preserve">ANF-169</t>
  </si>
  <si>
    <t xml:space="preserve">Nr. 117 / S. 10</t>
  </si>
  <si>
    <t xml:space="preserve">Klarstellung: Für die Erstellung der Erstangebote ist davon auszugehen, dass die Erstattung entsprechend §47 quartalsweise erfolgt.</t>
  </si>
  <si>
    <t xml:space="preserve">Gemäß §43.3 des Vertrags wird der Auftraggeber 1 den Leistungspreis der Netzentgelte erstatten. Wir bitten um Erläuterung, wie die Erstattung Leistungspreises konkret vorgesehen ist. Zu welchen Zeitpunkten während der Vertragslaufzeit wird der Auftragnehmer die Erstattung erhalten?</t>
  </si>
  <si>
    <t xml:space="preserve">Bezug lt. Katalog: Vertrag §43 (Leistungspreis Netzentgelte)
Katalogdatum: 31.01.2025 // Antwort: Für die Erstellung der Erstangebote ist davon auszugehen, dass die Erstattung entsprechend §47 quartalsweise erfolgt.</t>
  </si>
  <si>
    <t xml:space="preserve">ANF-170</t>
  </si>
  <si>
    <t xml:space="preserve">Nr. 118 / S. 10</t>
  </si>
  <si>
    <t xml:space="preserve">Klarstellung: Um eine Vergleichbarkeit der Erstangebote sicherzustellen, müssen die Kosten für auftretende Verlustenergie – entgegen der Antwort zu Frage 15 - nicht in das Betreiberentgelt eingepreist werden.</t>
  </si>
  <si>
    <t xml:space="preserve">Bezüglich der Verlustenergie im Durchleitungsmodell schreiben Sie in der Antwort zu Frage 15, diese wäre in das Betreiberentgelt einzupreisen. Über Alternativen, etwa eine pauschale Weitergabe, könne in den Bietergesprächen gesprochen werden. Führt das nicht zu kaum einschätzbaren Risiken auf Seiten der Bieter, da nur schwer eingeschätzt werden kann, ob und wenn ja in welchem Umfang vom Durchleitungsmodell Gebrauch gemacht wird.</t>
  </si>
  <si>
    <t xml:space="preserve">Bezug lt. Katalog: –
Katalogdatum: 31.01.2025 // Antwort: Um eine Vergleichbarkeit der Erstangebote sicherzustellen, müssen die Kosten für auftretende Verlustenergie – entgegen der Antwort zu Frage 15 - nicht in das Betreiberentgelt eingepreist werden. Die Thematik und eine sinnvolle Lösung werden Gegenstand der Bietergespräche sein.</t>
  </si>
  <si>
    <t xml:space="preserve">ANF-171</t>
  </si>
  <si>
    <t xml:space="preserve">Nr. 119 / S. 10</t>
  </si>
  <si>
    <t xml:space="preserve">Klarstellung: Dies ist richtig, es ist keine Kompensation geplant. Der aktuelle Planungsstand ist der Vertragsanlage 3 zu entnehmen.</t>
  </si>
  <si>
    <t xml:space="preserve">Gehen wir recht in der Annahme, dass im Fall der Vorgabe zur Bereitstellung geringerer Ladeleistung oder zum Betrieb einzelner Ladepunkte im Vertrag keine Kompensation für entgangene Ladeumsätze vorgesehen ist und deshalb dieses Risiko in der Kalkulation des Betreiberentgelts zu berücksichtigen ist? Sollte dies der Fall sein, bitten wir um Mitteilung des aktuellen Planungsstands in wievielen Fällen je Los solche Vorgaben zu erwarten sind.</t>
  </si>
  <si>
    <t xml:space="preserve">Bezug lt. Katalog: § 7 Errichtungsverpflichtungen; Risiken aus Bodenbelastungen Ziffer 7
Katalogdatum: 04.02.2025
Zuordnung prüfen (Komponente/Partner nicht eindeutig) // Antwort: Dies ist richtig, es ist keine Kompensation geplant. Der aktuelle Planungsstand ist der Vertragsanlage 3 zu entnehmen. Diese wird im weiteren Vergabeverfahren aktualisiert, sobald dem AG neue Erkenntnisse vorliegen.</t>
  </si>
  <si>
    <t xml:space="preserve">ANF-172</t>
  </si>
  <si>
    <t xml:space="preserve">Nr. 120 / S. 10</t>
  </si>
  <si>
    <t xml:space="preserve">Verweis des Auftraggebers auf die Antwort zu Bieterfrage 47.</t>
  </si>
  <si>
    <t xml:space="preserve">Erfüllen diese potentiellen Speicher die Vorgaben der VDE 4110 mit Verfügbarkeit von Einheitenzertifikaten, sodass für einen netzdienlichen Betrieb zur Teilnahme am Regelenergiemarkt auch das erforderliche Anlagenzertifikat durch den AG 2 beigebracht werden kann?</t>
  </si>
  <si>
    <t xml:space="preserve">Bezug lt. Katalog: § 7 Errichtungsverpflichtungen; Risiken aus Bodenbelastungen Ziffer 8
Katalogdatum: 04.02.2025 // Antwort: Siehe Antwort auf Bieterfrage 47.</t>
  </si>
  <si>
    <t xml:space="preserve">Automatisch ausgewertet: Die Antwort des Auftraggebers verweist ausschließlich auf Bieterfrage 47. Keine eigenständige Anforderung – der Inhalt ist unter der dort erfassten Zeile nachzuhalten.</t>
  </si>
  <si>
    <t xml:space="preserve">ANF-173</t>
  </si>
  <si>
    <t xml:space="preserve">Nr. 121 / S. 10</t>
  </si>
  <si>
    <t xml:space="preserve">Klarstellung: Die Forderung an eine externe Versorgung von elektrischen Trailern mittels eigenständiger oder kombinierter Spannungsversorgung bleibt bestehen.</t>
  </si>
  <si>
    <t xml:space="preserve">Nach Einschätzung aktueller Markttrends und der Entwicklung im eLKW-Segment werden elektrische Trailer mit einem ePTO geplant, um über die HV Batterie des LKWs mit Strom versorgt zu werden. Vor diesem Hintergrund: Werden die AG an der Vorgabe zum sog. Trailerladen festhalten, obwohl dies zu deutlich höheren Mehrkosten führen wird? Zur Vergleichbarkeit und Vereinheitlichung der Standortkonzepte bitten wir um eine Konkretisierung der Vorgaben zur Ausgestaltung des Trailerladens.</t>
  </si>
  <si>
    <t xml:space="preserve">Bezug lt. Katalog: § 8 Technische Anforderungen an die Ladeinfrastruktur Ziffer 2
Katalogdatum: 04.02.2025 // Antwort: Die Forderung an eine externe Versorgung von elektrischen Trailern mittels eigenständiger oder kombinierter Spannungsversorgung bleibt bestehen. Eine weitere Konkretisierung über den 400V CEE Standard hinaus zur Ausgestaltung des Trailerladens ist nicht vorgesehen und nicht erfolderlich.</t>
  </si>
  <si>
    <t xml:space="preserve">ANF-174</t>
  </si>
  <si>
    <t xml:space="preserve">Nr. 122 / S. 11</t>
  </si>
  <si>
    <t xml:space="preserve">Klarstellung: Die Auslastung der Ladepunkte stellt eine prognostische Entscheidung dar, die aus Erfahrungswerten abzuleiten ist.</t>
  </si>
  <si>
    <t xml:space="preserve">Bitte definieren Sie in diesem Kontext die Begrifflichkeit "fehlende Auslastung." Gehen wir recht in der Annahme, dass keine baulichen Vorkehrungen zur Freihaltung der Ladepunkte einzukalkulieren sind.</t>
  </si>
  <si>
    <t xml:space="preserve">Bezug lt. Katalog: § 16 Betrieb der Ladeinfrastruktur; Freigabe von MCS- und CCSLadepunkten zum Zwischenladen für das Übernachtladen Ziffer 4
Katalogdatum: 04.02.2025
Zuordnung prüfen (Komponente/Partner nicht eindeutig) // Antwort: Die Auslastung der Ladepunkte stellt eine prognostische Entscheidung dar, die aus Erfahrungswerten abzuleiten ist. Die "fehlende Auslastung" ist hier dementsprechend als voraussichtliche Nichtnutzung zu verstehen. Zu möglichen Vorkehrungen zur Freihaltung von Ladepunkten siehe Antwort auf die Bieterfrage 33.</t>
  </si>
  <si>
    <t xml:space="preserve">ANF-175</t>
  </si>
  <si>
    <t xml:space="preserve">Nr. 123 / S. 11</t>
  </si>
  <si>
    <t xml:space="preserve">Bestätigt: davon kann für die Abgabe der Erstangebote ausgegangen werden.</t>
  </si>
  <si>
    <t xml:space="preserve">Gehen wir recht in der Annahme, dass der AG abweichende Vorgaben zur Freigabe von Ladepunkten zum Zwischenladen standortspezifisch lediglich nach Abstimmung mit dem AN festlegen kann?</t>
  </si>
  <si>
    <t xml:space="preserve">Bezug lt. Katalog: § 16 Betrieb der Ladeinfrastruktur; Freigabe von MCS- und CCSLadepunkten zum Zwischenladen für das Übernachtladen Ziffer 5
Katalogdatum: 04.02.2025
Zuordnung prüfen (Komponente/Partner nicht eindeutig) // Antwort: Ja, davon kann für die Abgabe der Erstangebote ausgegangen werden. Ein sinnvolles Procedere wäre in den Bieterverhandlungen abzustimmen. Dabei wäre zu berücksichtigen, dass entsprechende Regeln losübergreifend Anwendung finden sollten.</t>
  </si>
  <si>
    <t xml:space="preserve">ANF-176</t>
  </si>
  <si>
    <t xml:space="preserve">Nr. 124 / S. 11</t>
  </si>
  <si>
    <t xml:space="preserve">Klarstellung: Hinsichtlich der Freianlagen richtet sich die (Wieder-) Herstellung der Oberflächen nach Kap.</t>
  </si>
  <si>
    <t xml:space="preserve">Bitte konkretisieren Sie, ob Oberflächen nach der Installation der Infrastruktur wieder hergestellt werden müssen, wie Sie vor der Installation vorgefunden wurden.</t>
  </si>
  <si>
    <t xml:space="preserve">Bezug lt. Katalog: Vertragsanlage 04: Leistungsbeschreibung Errichtung Ziffer 4.11.3
Katalogdatum: 04.02.2025 // Antwort: Hinsichtlich der Freianlagen richtet sich die (Wieder-) Herstellung der Oberflächen nach Kap. 4.11.3 der Vertragsanlage 4. Hinsichtlich der Verkehrsflächen richten sich die (Wieder-) Herstellung der Oberflächen nach Kap. 3.8.1 und Kap. 4.11.3 der Vertragsanlage 4.</t>
  </si>
  <si>
    <t xml:space="preserve">ANF-177</t>
  </si>
  <si>
    <t xml:space="preserve">Nr. 125 / S. 11</t>
  </si>
  <si>
    <t xml:space="preserve">Verneint: die Entwicklung eines zentralen Reservierungssystems durch die AG ist nicht geplant.</t>
  </si>
  <si>
    <t xml:space="preserve">Planen die AGs ein zentrales Reservierungssystem für das LKW-Schnellladenetz zu entwickeln oder ist die Erwartungshaltung, dass der AN weiterhin eine eigene Lösung entwickelt? Im Falle eines zentralen Reservierungssystems: Steht das zentrale Reservierungssystem bereits fest?</t>
  </si>
  <si>
    <t xml:space="preserve">Bezug lt. Katalog: § 19 Reservierung von Ladepunkten Ziffer 7
Katalogdatum: 04.02.2025 // Antwort: Nein, die Entwicklung eines zentralen Reservierungssystems durch die AG ist nicht geplant.</t>
  </si>
  <si>
    <t xml:space="preserve">ANF-178</t>
  </si>
  <si>
    <t xml:space="preserve">Nr. 126 / S. 11</t>
  </si>
  <si>
    <t xml:space="preserve">Klarstellung: Es ist nicht vorgesehen, dass der Ad-hoc-Preis von den Auftraggebern vorgegeben wird. Bei der Kalkulation und Festsetzung des Ad-hoc-Preises sind jedoch die Vorgaben des § 26 des Vertrages zu beachten.</t>
  </si>
  <si>
    <t xml:space="preserve">In §26 heißt es, dass der Strompreis für Ad-hoc-Ladevorgänge „angemessen“ und „transparent“ sein muss. Könnten Sie bitte präzisieren, ob Sie planen, die Preisfestsetzung durch die Betreiber in irgendeiner Weise einzuschränken, und wenn ja, in welcher Form?</t>
  </si>
  <si>
    <t xml:space="preserve">Bezug lt. Katalog: Anlage 01 zum ersten Verfahrensbrief_Betreibervertrag
Katalogdatum: 05.02.2025 // Antwort: Es ist nicht vorgesehen, dass der Ad-hoc-Preis von den Auftraggebern vorgegeben wird. Bei der Kalkulation und Festsetzung des Ad-hoc-Preises sind jedoch die Vorgaben des § 26 des Vertrages zu beachten.</t>
  </si>
  <si>
    <t xml:space="preserve">Authentifizierungskomponente / Abrechnungskomponente</t>
  </si>
  <si>
    <t xml:space="preserve">ANF-179</t>
  </si>
  <si>
    <t xml:space="preserve">Nr. 127 / S. 11</t>
  </si>
  <si>
    <t xml:space="preserve">Bestätigt: dies ist möglich. Das Formblatt A6 dient der Vorbereitung der Bieterverhandlungen, um Verhandlungsbedarfe der Bieter zu kennen und sie zum Gegenstand der Bieterverhandlungen zu machen.</t>
  </si>
  <si>
    <t xml:space="preserve">Können Sie bestätigen, dass Bieter in späteren Phasen über dem in Dokument A6 angegebenen „Verhandlungsbedarf“ hinaus weitere Anmerkungen zu den Hauptverträgen machen dürfen?</t>
  </si>
  <si>
    <t xml:space="preserve">Bezug lt. Katalog: Verfahren
Katalogdatum: 05.02.2025 // Antwort: Ja, dies ist möglich. Das Formblatt A6 dient der Vorbereitung der Bieterverhandlungen, um Verhandlungsbedarfe der Bieter zu kennen und sie zum Gegenstand der Bieterverhandlungen zu machen. Der AG wird die Vergabeunterlagen auf Basis der Ergebnisse der Bieterverhandlungen überarbeiten. Während der darauf folgenden Frist zur Abgabe finaler Angebote können die Bieter Fragen zu den Vergabeunterlagen stellen. Es ist aber das Ziel des AG grundlegende Fragen und Anmerkungen zu den Vergabeunterlagen im Rahmen der Bieterverhandlungen zu erörtern.</t>
  </si>
  <si>
    <t xml:space="preserve">ANF-180</t>
  </si>
  <si>
    <t xml:space="preserve">Nr. 128 / S. 11</t>
  </si>
  <si>
    <t xml:space="preserve">Verneint: es gibt keinen Mindestpreis.</t>
  </si>
  <si>
    <t xml:space="preserve">Gibt es einen Mindestpreis für das Bau- und Betreiberentgeld, die von den Bietern festgelegt werden müssen? Oder dürfen die Bieter das Geschäftsrisiko selbst tragen, wenn sie hohe Einnahmen aus dem Stromverkauf erwarten?</t>
  </si>
  <si>
    <t xml:space="preserve">Bezug lt. Katalog: Anlage 04_zum Verfahrensbrief_Preisblatt
Katalogdatum: 05.02.2025 // Antwort: Nein, es gibt keinen Mindestpreis.</t>
  </si>
  <si>
    <t xml:space="preserve">ANF-181</t>
  </si>
  <si>
    <t xml:space="preserve">Nr. 129 / S. 11</t>
  </si>
  <si>
    <t xml:space="preserve">Klarstellung: Siehe Antwort auf die Bieterfragen 45-47. Der AG wird den Bietern die entsprechenden Infromationen zur Verfügung stellen, sobald dies möglich ist.</t>
  </si>
  <si>
    <t xml:space="preserve">Um die Option mit Speicher in unser Angebot zu integrieren, benötigen wir während des Ausschreibungsverfahrens viel genauere Informationen (z.B. Standorte, Kapazität, Zeitplan). Ist geplant, solche Informationen vor der Einreichung des finalen Angebots bereitzustellen, oder ist dies erst nach der Vergabe geplant?</t>
  </si>
  <si>
    <t xml:space="preserve">Bezug lt. Katalog: Verfahren
Katalogdatum: 05.02.2025 // Antwort: Siehe Antwort auf die Bieterfragen 45-47. Der AG wird den Bietern die entsprechenden Infromationen zur Verfügung stellen, sobald dies möglich ist.</t>
  </si>
  <si>
    <t xml:space="preserve">ANF-182</t>
  </si>
  <si>
    <t xml:space="preserve">Nr. 130 / S. 11</t>
  </si>
  <si>
    <t xml:space="preserve">Bestätigt: der AG muss der Weitergabe der Informationen zustimmen. Wir bitten Sie auch für solche Anfragen die Nachrichtenfunktion des Vergabeportals zu nutzen.</t>
  </si>
  <si>
    <t xml:space="preserve">Wir bitten um Klärung des Prozesses zur Weitergabe vertraulicher Informationen an Dritte, die nicht in §3 der Vertraulichkeitsvereinbarung aufgeführt sind, z.B. verbundene Unternehmen oder Berater ohne spezifische Vertraulichkeitsverpflichtung. Muss der Auftraggeber 2 der Weitergabe von Informationen an diese Dritten zustimmen, auch wenn ein NDA unterzeichnet wurde? Wenn ja, über welchen Kanal sollte dies geschehen?</t>
  </si>
  <si>
    <t xml:space="preserve">Bezug lt. Katalog: Verfahren
Katalogdatum: 05.02.2025 // Antwort: Ja, der AG muss der Weitergabe der Informationen zustimmen. Wir bitten Sie auch für solche Anfragen die Nachrichtenfunktion des Vergabeportals zu nutzen.</t>
  </si>
  <si>
    <t xml:space="preserve">ANF-183</t>
  </si>
  <si>
    <t xml:space="preserve">Nr. 131 / S. 11</t>
  </si>
  <si>
    <t xml:space="preserve">Verneint: die ausdrücklich geregelten Vertragsstrafen sind von der Haftungsbeschränkung in § 50 nicht umfasst.</t>
  </si>
  <si>
    <t xml:space="preserve">Sind Vertragsstrafen während der Betriebsphase, wie sie z. B. in § 21 oder § 48 definiert sind, auf die in § 50 festgelegte maximale allgemeine Haftung anzurechnen?</t>
  </si>
  <si>
    <t xml:space="preserve">Bezug lt. Katalog: Anlage 01 zum ersten Verfahrensbrief_Betreibervertrag
Katalogdatum: 05.02.2025 // Antwort: Nein, die ausdrücklich geregelten Vertragsstrafen sind von der Haftungsbeschränkung in § 50 nicht umfasst.</t>
  </si>
  <si>
    <t xml:space="preserve">ANF-184</t>
  </si>
  <si>
    <t xml:space="preserve">Nr. 132 / S. 11</t>
  </si>
  <si>
    <t xml:space="preserve">Klarstellung: Eine Regelung bestimmter Kriterien/Gründe für die Ziehung der Vertragsverlängerungsoption nach §52 Abs.</t>
  </si>
  <si>
    <t xml:space="preserve">Können Sie uns genauere Informationen über die Bedingungen der optionalen Vertragsverlängerung gemäß §52 geben? Die Verlängerungsoption muss zumindest teilweise auf objektiven Kriterien basieren, damit wir sie in unser Angebot integrieren können.</t>
  </si>
  <si>
    <t xml:space="preserve">Bezug lt. Katalog: Anlage 01 zum ersten Verfahrensbrief_Betreibervertrag
Katalogdatum: 05.02.2025 // Antwort: Eine Regelung bestimmter Kriterien/Gründe für die Ziehung der Vertragsverlängerungsoption nach §52 Abs. 1 ist nicht vorgesehen.</t>
  </si>
  <si>
    <t xml:space="preserve">ANF-185</t>
  </si>
  <si>
    <t xml:space="preserve">Nr. 133 / S. 11</t>
  </si>
  <si>
    <t xml:space="preserve">Klarstellung: Der Auftragnehmer muss das Durchleitungsmodell anwenden, sofern Mobilitätsdienstleister für Ladevorgänge ihrer Kunden davon Gebrauch machen wollen.</t>
  </si>
  <si>
    <t xml:space="preserve">Die breitflächige Entwicklung des Durchleitungsmodells ist aktuell noch nicht gesichert und hängt auch nicht nur von den Ladepunktbetreibern ab. Ist eine verzögerte Inbetriebnahme dieses Modells denkbar, sofern die erforderlichen Schnittmengen zwischen Ladepunktbetreiber und Mobilitätsdienstleister länger braucht, als der Bau der Standorte?</t>
  </si>
  <si>
    <t xml:space="preserve">Bezug lt. Katalog: Verfahren
Katalogdatum: 05.02.2025 // Antwort: Der Auftragnehmer muss das Durchleitungsmodell anwenden, sofern Mobilitätsdienstleister für Ladevorgänge ihrer Kunden davon Gebrauch machen wollen. Das Durchleitungsmodell und dessen Abwicklung werden Gegenstand der Bietergespräche sein, so dass Bedenken bzgl. der Abwicklung Berücksichtigung finden können.</t>
  </si>
  <si>
    <t xml:space="preserve">ANF-186</t>
  </si>
  <si>
    <t xml:space="preserve">Nr. 134 / S. 11</t>
  </si>
  <si>
    <t xml:space="preserve">Verweis des Auftraggebers auf die Antwort zu Bieterfrage 103.</t>
  </si>
  <si>
    <t xml:space="preserve">Ist erlaubt, sofern technisch möglich, das Laden von E-Autos oder leichten Fahrzeugen auf der Infrastruktur zuzulassen?</t>
  </si>
  <si>
    <t xml:space="preserve">Bezug lt. Katalog: Anlage 01 zum ersten Verfahrensbrief_Betreibervertrag
Katalogdatum: 05.02.2025 // Antwort: Siehe hierzu die Antwort auf die Bieterfrage 103.</t>
  </si>
  <si>
    <t xml:space="preserve">Automatisch ausgewertet: Die Antwort des Auftraggebers verweist ausschließlich auf Bieterfrage 103. Keine eigenständige Anforderung – der Inhalt ist unter der dort erfassten Zeile nachzuhalten.</t>
  </si>
  <si>
    <t xml:space="preserve">ANF-187</t>
  </si>
  <si>
    <t xml:space="preserve">Nr. 135 / S. 12</t>
  </si>
  <si>
    <t xml:space="preserve">Klarstellung: Eine entsprechende Festlegung wird im Vergabeverfahren durch den AG erfolgen.</t>
  </si>
  <si>
    <t xml:space="preserve">§42. Erfolgt die Rückerstattung in einem Mal oder ist es geplant, die aufkommenden Kosten, ähnlich wie das Errichtungsentgeld, über die restliche Vertragsdauer zu strecken ?</t>
  </si>
  <si>
    <t xml:space="preserve">Bezug lt. Katalog: Anlage 01 zum ersten Verfahrensbrief_Betreibervertrag
Katalogdatum: 05.02.2025 // Antwort: Eine entsprechende Festlegung wird im Vergabeverfahren durch den AG erfolgen.</t>
  </si>
  <si>
    <t xml:space="preserve">ANF-188</t>
  </si>
  <si>
    <t xml:space="preserve">Nr. 136 / S. 12</t>
  </si>
  <si>
    <t xml:space="preserve">Klarstellung: Es ist nicht ausgeschlossen, dass entsprechende Leistungen im sachlichen Zusammenhang mit der vertraglichen Leistung stehen können.</t>
  </si>
  <si>
    <t xml:space="preserve">§35.1 Können Sie „im sachlichen Zusammenhang“ präzisieren? Sind z.B. Zusatzleistungen wie Snackautomaten, Toiletten oder der Bau von Gebäuden im sachlichen Zusammenhang?</t>
  </si>
  <si>
    <t xml:space="preserve">Bezug lt. Katalog: Anlage 01 zum ersten Verfahrensbrief_Betreibervertrag
Katalogdatum: 05.02.2025 // Antwort: Es ist nicht ausgeschlossen, dass entsprechende Leistungen im sachlichen Zusammenhang mit der vertraglichen Leistung stehen können. Im übrigen ist der Bieter eingeladen, im Rahmen des mit dem Erstangebot einzureichenden Verhandlungsbedarfs darzulegen, wie er den Zusammenhang mit entsprechenden Leistungen einschätzt.</t>
  </si>
  <si>
    <t xml:space="preserve">ANF-189</t>
  </si>
  <si>
    <t xml:space="preserve">Nr. 137 / S. 12</t>
  </si>
  <si>
    <t xml:space="preserve">Klarstellung: Die Regelungen im Vertrag §35.3 sind abschließend. Soweit der AG 2 die Planungsleistungen beistellt, gelten die dort getroffenen Regelungen.</t>
  </si>
  <si>
    <t xml:space="preserve">§35.3 Welche Prozedur ist vorgesehen, sollte der Auftragnehmer nicht in der Lage sein, ein Angebot abzugeben? Welche Strafen sind in diesem Fall vorgesehen? Inwiefern können die Kosten an den Auftraggeber 2 weitergegeben werden, sollten die vorgelegten Unterlagen unvollständig sein und finanziellen Mehraufwand beim Auftragnehmer erfordern?</t>
  </si>
  <si>
    <t xml:space="preserve">Bezug lt. Katalog: Anlage 01 zum ersten Verfahrensbrief_Betreibervertrag
Katalogdatum: 05.02.2025 // Antwort: Die Regelungen im Vertrag §35.3 sind abschließend. Soweit der AG 2 die Planungsleistungen beistellt, gelten die dort getroffenen Regelungen.</t>
  </si>
  <si>
    <t xml:space="preserve">ANF-190</t>
  </si>
  <si>
    <t xml:space="preserve">Nr. 138 / S. 12</t>
  </si>
  <si>
    <t xml:space="preserve">Bestätigt: § 43 Abs. 1 gilt sowohl bei einer Skalierung durch Errichtung zusätzlicher Ladepunkte (§33 Abs.</t>
  </si>
  <si>
    <t xml:space="preserve">§33.1 &amp; 34.1 Gilt bei der Errichtung neuer Standorte gemäß §33 und §34 auch §43.1?</t>
  </si>
  <si>
    <t xml:space="preserve">Bezug lt. Katalog: Anlage 01 zum ersten Verfahrensbrief_Betreibervertrag
Katalogdatum: 05.02.2025 // Antwort: Ja, § 43 Abs. 1 gilt sowohl bei einer Skalierung durch Errichtung zusätzlicher Ladepunkte (§33 Abs. 1) wie auch durch Errichtung weiterer Standorte (§ 34 Abs. 1), wenn und soweit die Skalierung eine Erweiterung des bestehenden Netzanschlusses erforderlich macht.</t>
  </si>
  <si>
    <t xml:space="preserve">ANF-191</t>
  </si>
  <si>
    <t xml:space="preserve">Nr. 139 / S. 12</t>
  </si>
  <si>
    <t xml:space="preserve">Bestätigt: der Auftragnehmer wird automatisch bis zum Ende der Vertragslaufzeit zum Betreiber der neuen Ladepunkte.</t>
  </si>
  <si>
    <t xml:space="preserve">§33.1 &amp; 34.1 Wird der Auftragnehmer automatisch bis zum Ende des laufenden Vertrags zum Betreiber der neuen Ladepunkte erklärt, mit denselben Vertragsbedingungen? Gilt dies insbesonder, wenn die Ladepunkte von einem Drittanbieter errichtet werden?</t>
  </si>
  <si>
    <t xml:space="preserve">Bezug lt. Katalog: Anlage 01 zum ersten Verfahrensbrief_Betreibervertrag
Katalogdatum: 05.02.2025
Zuordnung prüfen (Komponente/Partner nicht eindeutig) // Antwort: Ja, der Auftragnehmer wird automatisch bis zum Ende der Vertragslaufzeit zum Betreiber der neuen Ladepunkte.</t>
  </si>
  <si>
    <t xml:space="preserve">ANF-192</t>
  </si>
  <si>
    <t xml:space="preserve">Nr. 140 / S. 12</t>
  </si>
  <si>
    <t xml:space="preserve">Klarstellung: § 33 Abs. 6 verweist wegen der Kosten für Abbau und Stillegung auf § 35, der im Falle einer Beauftragung des Auftragnehmers bzw. im Falle der Koordination der Arbeiten eines Dritten, eine Vergütung vorsieht.</t>
  </si>
  <si>
    <t xml:space="preserve">§33.6 Wer trägt die Kosten für Abbau und Stilllegung? Unter welchen Fristen? Gibt es definierte und quantitative Kriterien für mögliche Auslöser für die Stilllegungsentscheidung einiger Standorte, und ist dieser Hebel auf eine bestimmte Anzahl von maximalen CP beschränkt, die vor Vertragsende aus dem Betrieb genommen werden dürfen?</t>
  </si>
  <si>
    <t xml:space="preserve">Bezug lt. Katalog: Anlage 01 zum ersten Verfahrensbrief_Betreibervertrag
Katalogdatum: 05.02.2025
Zuordnung prüfen (Komponente/Partner nicht eindeutig) // Antwort: § 33 Abs. 6 verweist wegen der Kosten für Abbau und Stillegung auf § 35, der im Falle einer Beauftragung des Auftragnehmers bzw. im Falle der Koordination der Arbeiten eines Dritten, eine Vergütung vorsieht. Auslöser einer ausnahmsweisen Stilllegung sind sachliche Gründe, für die beispielhaft Baumaßnahmen am Standort und keine ausreichende Nachfrage nach Ladeleistung aufgeführt sind. Eine - weitere - Konkretisierung dieser Gründe sowie die Verankerung einer Obergrenze können zum Gegenstand des Verhandlungsbedarfs gemacht werden.</t>
  </si>
  <si>
    <t xml:space="preserve">ANF-193</t>
  </si>
  <si>
    <t xml:space="preserve">Nr. 141 / S. 12</t>
  </si>
  <si>
    <t xml:space="preserve">Klarstellung: Restriktionen für Endnutzer sind praktisch nicht zu erwarten und im Übrigen soweit wie möglich zu vermeiden.</t>
  </si>
  <si>
    <t xml:space="preserve">Die beantragten Netzanschlusleistungen für die meisten Standorte reichen nicht aus, um Ladevorgänge an allen geplanten Ladepunkten zu ermöglichen. Wir gehen davon aus, dass mindestens eine dieser beiden Aussagen gilt: - Die Differenz wird über Speicher ausgeglichen. - Es ist nicht notwendig, dass an allen Ladepunkten gleichzeitig geladen werden kann und es dürfen dementsprechende Restriktionen für Endnutzer (z.B. längere Wartezeiten) umgesetzt werden. Wir bitten um Klarstellung.</t>
  </si>
  <si>
    <t xml:space="preserve">Bezug lt. Katalog: Vertragsanlage 05_Details zum Netzanschluss
Katalogdatum: 05.02.2025 // Antwort: Restriktionen für Endnutzer sind praktisch nicht zu erwarten und im Übrigen soweit wie möglich zu vermeiden. Dabei ist insbesondere folgendes zu beachten: Die veranschlagten Netzanschlüsse sind basierend auf angenommenen und durchschnittlichen Ladedauern geplant worden. Zudem sind die Übernachtladepunkte CCS 150 zu den Zwischenladepunkten MCS und CCS 400 zeitlich entkoppelt. Übernachtladen und Zwischenladen findet in der Regel nicht simultan nicht statt. Aktuell ist nicht vorgesehen die theoretische Differenz mit einem Speicher auszugleichen.</t>
  </si>
  <si>
    <t xml:space="preserve">ANF-194</t>
  </si>
  <si>
    <t xml:space="preserve">Nr. 142 / S. 12</t>
  </si>
  <si>
    <t xml:space="preserve">Verweis des Auftraggebers auf die Antwort zu Bieterfrage 81.</t>
  </si>
  <si>
    <t xml:space="preserve">Können Sie uns Angaben zur voraussichtlichen Preisspanne des vom Kunden 2 gemäß §41 festgelegten „Infrastrukturentgeldes“ machen? Ist es das Ziel des Infrastrukturentfelds, alle Kosten zu erstatten, die dem Kunden 2 durch die Einrichtung der Infrastruktur entstanden sind (Baugebühr + Betriebsgebühr + sonstige Kosten (z. B. Netzanschluss))? Für die Erstellung unseres Angebots ist es wichtig, den Preis zu kennen, den die Endnutzer zahlen werden.</t>
  </si>
  <si>
    <t xml:space="preserve">Bezug lt. Katalog: Anlage 01 zum ersten Verfahrensbrief_Betreibervertrag
Katalogdatum: 05.02.2025 // Antwort: Siehe Antwort auf die Bieterfrage 81.</t>
  </si>
  <si>
    <t xml:space="preserve">Automatisch ausgewertet: Die Antwort des Auftraggebers verweist ausschließlich auf Bieterfrage 81. Keine eigenständige Anforderung – der Inhalt ist unter der dort erfassten Zeile nachzuhalten.</t>
  </si>
  <si>
    <t xml:space="preserve">ANF-195</t>
  </si>
  <si>
    <t xml:space="preserve">Nr. 143 / S. 12</t>
  </si>
  <si>
    <t xml:space="preserve">Klarstellung: Siehe §55 Abs. 2: "Im Falle einer Vertragsbeendigung durch Ablauf der (gegebenenfalls verlängerten) Vertragslaufzeit kann der Auftraggeber 2 den Auftragnehmer gemäß den Regelungen zur Ausführung geänderter oder zusätzlicher …</t>
  </si>
  <si>
    <t xml:space="preserve">Müssen die Bieter davon ausgehen, dass die Infrastruktur bei Vertragsende stillgelegt wird? Falls ja, sind diese Kosten vom Bieter mit einzuberechnen?</t>
  </si>
  <si>
    <t xml:space="preserve">Bezug lt. Katalog: Anlage 01 zum ersten Verfahrensbrief_Betreibervertrag
Katalogdatum: 05.02.2025 // Antwort: Siehe §55 Abs. 2: "Im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</si>
  <si>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ANF-196</t>
  </si>
  <si>
    <t xml:space="preserve">Nr. 144 / S. 12</t>
  </si>
  <si>
    <t xml:space="preserve">Klarstellung: Der AG bittet um Konkretisierung, welche Probleme aus Sicht des Bieters zu erwarten sind. Dies kann im Rahmen des Verhanldungsbedarfs mit dem Erstangebot erfolgen.</t>
  </si>
  <si>
    <t xml:space="preserve">Der in §27 spezifizierte erforderliche Zugang für Mobilitätsdienstleister könnte für manche Funktionalitäten, z.B. der Option einer Reservierun, zu Interface-Problemen führen. Wir bitten um präzisiere Angabe, welche Schnitstellen im Back-end System mit Mobilitätsdienstleistern erwartet werden.</t>
  </si>
  <si>
    <t xml:space="preserve">Bezug lt. Katalog: Anlage 01 zum ersten Verfahrensbrief_Betreibervertrag
Katalogdatum: 05.02.2025 // Antwort: Der AG bittet um Konkretisierung, welche Probleme aus Sicht des Bieters zu erwarten sind. Dies kann im Rahmen des Verhanldungsbedarfs mit dem Erstangebot erfolgen.</t>
  </si>
  <si>
    <t xml:space="preserve">ANF-197</t>
  </si>
  <si>
    <t xml:space="preserve">Nr. 145 / S. 12</t>
  </si>
  <si>
    <t xml:space="preserve">Klarstellung: Die Mechanik des Durchleitungsmodells wird in der Anlage 14 beschrieben. Sie kann zum Gegenstand des Verhandlungsbedarfs gemacht werden.</t>
  </si>
  <si>
    <t xml:space="preserve">Wir bitten um präziesere Angaben zu den erwarteten Veranwortlichkeiten, finanziellen Flüssen und dem Datenaustausch im Durchleitungsmodell. Insbesondere: Welchen Spielraum hat der Ladepunktbetreiber, um im Durchleitungsmodell eine Marge pro verkaufter kWh Strom zu erhalten?</t>
  </si>
  <si>
    <t xml:space="preserve">Bezug lt. Katalog: Vertragsanlage 14_Bilanzierung Durchleitungsmodell
Katalogdatum: 05.02.2025 // Antwort: Die Mechanik des Durchleitungsmodells wird in der Anlage 14 beschrieben. Sie kann zum Gegenstand des Verhandlungsbedarfs gemacht werden. Eine Marge kann der CPO aktuell über die Vermarktung der THG-Quoten - auch im Durchleitungsmodell - generieren. Eine weitere Marge pro gekaufter kWh Strom ist aktuell nicht vorgesehen. Der Betreiber kann zudem alle Kosten (wie Netzentgelte, Abgaben und Umlagen) weitergeben, sofern sie nicht in sein Betreiberentgelt einzupreisen sind. Wegen der Verlustenergie verweisen wir auf die Antwort zu Bieterfrage 118.</t>
  </si>
  <si>
    <t xml:space="preserve">ANF-198</t>
  </si>
  <si>
    <t xml:space="preserve">Nr. 146 / S. 12</t>
  </si>
  <si>
    <t xml:space="preserve">Klarstellung: Zusätzliche EInrichtungen, wie die genannten, sind nicht zu planen. Das vom AG beschriebene Leistungssoll ist abschließend.</t>
  </si>
  <si>
    <t xml:space="preserve">Besitzen manche der Standorte bereits Einrichtungen in Betrieb (z.B. Sanitäranlagen, Bänke, Grünflächen), oder müssen diese grundsätzlich auch vom Auftragnehmer mitgeplant werden?</t>
  </si>
  <si>
    <t xml:space="preserve">Bezug lt. Katalog: Anlage 02_zum Verfahrensbrief_Gesamtübersich t über die Lose_v2
Katalogdatum: 05.02.2025 // Antwort: Zusätzliche EInrichtungen, wie die genannten, sind nicht zu planen. Das vom AG beschriebene Leistungssoll ist abschließend. Dessen ungeachtet sieht der AG folgende Ergäzungen der Vergabeunterlage vor: Sollten bestehende Einrichtungen (z.B. Sitzgruppen, Abfallbehälter, Erholungsflächen) mit Schnellladeinfrastruktur überplant werden, sind diese umzusetzen und an anderer Stelle auf der Rastanlage wiederherzustellen.</t>
  </si>
  <si>
    <t xml:space="preserve">ANF-199</t>
  </si>
  <si>
    <t xml:space="preserve">Nr. 147 / S. 13</t>
  </si>
  <si>
    <t xml:space="preserve">Klarstellung: Siehe hierzu die Antwort auf die Bieterfrage 78. Die jeweilgen Rastanlagen sollen über einen eigenen Netzanschluss angeschlossen werden.</t>
  </si>
  <si>
    <t xml:space="preserve">Für die Festlegung der Bohrverfahren und -geräte werden für die Kalkulation maßgebliche Informationen notwendig (u.a. Baugrunduntersuchungsergebnisse, grundsätzliche Anforderungen des AG`s zur Auslegung der Bohrungen). Frage: Auf welcher Grundlage sind die Preise abzugeben? Die Anlage 5 enthält lediglich Informationen zu den Netzanschlüssen, aber keine Informationen über notwendige Horizontalbohrungen. Welche Standorte sind betroffen? Welche Leistungen werden durch den Netzbetreiber erbracht (z.B. Ziehen des Kabels?)</t>
  </si>
  <si>
    <t xml:space="preserve">Bezug lt. Katalog: Horizontalbohrungen
Katalogdatum: 05.02.2025 // Antwort: Siehe hierzu die Antwort auf die Bieterfrage 78. Die jeweilgen Rastanlagen sollen über einen eigenen Netzanschluss angeschlossen werden.</t>
  </si>
  <si>
    <t xml:space="preserve">ANF-200</t>
  </si>
  <si>
    <t xml:space="preserve">Nr. 148 / S. 13</t>
  </si>
  <si>
    <t xml:space="preserve">Wir vermuten, dass bei einigen Rastplätzen durch vorherige Maßnahmen bereits Querungen hergestellt wurden, werden diese ggf. nutzbar sein?</t>
  </si>
  <si>
    <t xml:space="preserve">ANF-201</t>
  </si>
  <si>
    <t xml:space="preserve">Nr. 149 / S. 13</t>
  </si>
  <si>
    <t xml:space="preserve">Die Netzanschlussleistungen variieren zum Teil erheblich, weshalb die Auslegung der Mittelspannungsstationen zumeist individuell erfolgt - Welche Mindestanforderungen hat der AG an die Kabelquerschnitte, die zwischen den Rastplätzen gezogen werden? Mit welchen Querschnittsannahmen ist die Kalkulation zu erstellen?</t>
  </si>
  <si>
    <t xml:space="preserve">ANF-202</t>
  </si>
  <si>
    <t xml:space="preserve">Nr. 150 / S. 13</t>
  </si>
  <si>
    <t xml:space="preserve">Die Kalkulation ist maßgeblich von den vorliegenden Bodenklassen abhängig. Bis zu welcher Bodenklasse ist die Kalkulation zu erstellen? Wird der Mehraufwand aus höheren Bodenklassen (z.B. felsiger Boden) gesondert vergütet?</t>
  </si>
  <si>
    <t xml:space="preserve">ANF-203</t>
  </si>
  <si>
    <t xml:space="preserve">Nr. 151 / S. 13</t>
  </si>
  <si>
    <t xml:space="preserve">Klarstellung: Die jeweilgen Rastanlagen sollen über einen eigenen Netzanschluss angeschlossen werden, so dass i.d.R. keine Liegenschaften überquert werden müssen um mit einem Netzanschluss versehen werden zu können.</t>
  </si>
  <si>
    <t xml:space="preserve">Die Rastplätze liegen z.T. mehrere Kilometer auseinander. Ist davon auszugehen, dass zum Zeitpunkt der geplanten Ausführung alle notwendigen Genehmigungen der zu überquerenden Liegenschaften vorliegen?</t>
  </si>
  <si>
    <t xml:space="preserve">Bezug lt. Katalog: Horizontalbohrungen
Katalogdatum: 05.02.2025 // Antwort: Die jeweilgen Rastanlagen sollen über einen eigenen Netzanschluss angeschlossen werden, so dass i.d.R. keine Liegenschaften überquert werden müssen um mit einem Netzanschluss versehen werden zu können. Wir verweisen auf die Antwort zur Bieterfrage 78.</t>
  </si>
  <si>
    <t xml:space="preserve">ANF-204</t>
  </si>
  <si>
    <t xml:space="preserve">Nr. 152 / S. 13</t>
  </si>
  <si>
    <t xml:space="preserve">An welchen Standorten sind Horizontalbohrungen durchzuführen? In Anlage 4 wird auf Seite 26 auf die Vertragsanlage 5 verwiesen. Allerdings gibt es in der Tabelle von Anlage 5 keine Spalte, die Informationen hierzu aufweist.</t>
  </si>
  <si>
    <t xml:space="preserve">ANF-205</t>
  </si>
  <si>
    <t xml:space="preserve">Nr. 153 / S. 13</t>
  </si>
  <si>
    <t xml:space="preserve">Klarstellung: Die zusätzlichen Bauleistungen unter Ziffer 6.1 und 6.2 sind im hiesigen Verfahren nicht gefordert, so dass in den beiden Feldern keine Angaben gemacht werden müssen.</t>
  </si>
  <si>
    <t xml:space="preserve">Die Punkte 6.1: "Planungs- und Bauleistung Querung der Autobahn (wenn in Anlage 3b gesondert gefordert) und 6.2 "Material für Querung, z.B.. Kabel, Kabelverlegung, ggf. weiteres Material (wenn in Anlage 3b gesondert gefordert) beziehen sich auf eine Anlage 3b, die nicht vorliegt. Würden Sie diese bitte zur Verfügung stellen?</t>
  </si>
  <si>
    <t xml:space="preserve">Bezug lt. Katalog: Anlage 06 zum Verfahrensbrief Aufschlüsselung Preise Errichtung
Katalogdatum: 05.02.2025 // Antwort: Die zusätzlichen Bauleistungen unter Ziffer 6.1 und 6.2 sind im hiesigen Verfahren nicht gefordert, so dass in den beiden Feldern keine Angaben gemacht werden müssen. Siehe hierzu auch die Antwort auf die Bieterfrage 78. Eine entsprechend angepasste Unterlage Anlage 06 6.1: "Planungs- und Bauleistung Querung der Autobahn " wird den Bietern im weiteren Vergabeverfahren zur Verfügung gestellt.</t>
  </si>
  <si>
    <t xml:space="preserve">ANF-206</t>
  </si>
  <si>
    <t xml:space="preserve">Nr. 154 / S. 13</t>
  </si>
  <si>
    <t xml:space="preserve">Verweis des Auftraggebers auf die Antwort zu Bieterfrage 113.</t>
  </si>
  <si>
    <t xml:space="preserve">Der erste Satz ist unverständlich und der Verweis auf Ziffer 4.12.2. (Beschilderung und Markierung) der Anlage 4 macht in diesem Zusammenhang keinen Sinn. Bitte um Klärung.</t>
  </si>
  <si>
    <t xml:space="preserve">Bezug lt. Katalog: Vertrag §7 Abs. 5
Katalogdatum: 05.02.2025 // Antwort: Siehe hierzu die Antwort auf die Bieterfrage 113.</t>
  </si>
  <si>
    <t xml:space="preserve">Automatisch ausgewertet: Die Antwort des Auftraggebers verweist ausschließlich auf Bieterfrage 113. Keine eigenständige Anforderung – der Inhalt ist unter der dort erfassten Zeile nachzuhalten.</t>
  </si>
  <si>
    <t xml:space="preserve">ANF-207</t>
  </si>
  <si>
    <t xml:space="preserve">Nr. 155 / S. 13</t>
  </si>
  <si>
    <t xml:space="preserve">Klarstellung: Siehe Antwort auf die Bieterfrage 5. Hintergrund war ein technischer Fehler bei der Erstellung und Bereitstellung der Unterlage.</t>
  </si>
  <si>
    <t xml:space="preserve">Die letzten beiden Versionen der Standortübersicht (vom 06.01. und 14.01.) weisen sowohl zur ursprünglichen Version als auch untereinander erhebliche Veränderungen bei der Standortkonfiguration auf. Könnten Sie bitte zu den Hintergründen Stellung nehmen? Liegt es beispielsweise am Netzanschluss oder an veränderten Nachfrageprognosen?</t>
  </si>
  <si>
    <t xml:space="preserve">Bezug lt. Katalog: Änderungen in der Standortkonfiguration
Katalogdatum: 05.02.2025 // Antwort: Siehe Antwort auf die Bieterfrage 5. Hintergrund war ein technischer Fehler bei der Erstellung und Bereitstellung der Unterlage.</t>
  </si>
  <si>
    <t xml:space="preserve">ANF-208</t>
  </si>
  <si>
    <t xml:space="preserve">Nr. 156 / S. 13</t>
  </si>
  <si>
    <t xml:space="preserve">Klarstellung: Siehe Antwort auf die Bieterfrage 48 und 119. Die konkrete Verfügbarkeit und der ggf. notwendigte Pfad für eine Leistungserhöhung an den einzelnen Standorten sind erst nach Eingang der Erstangebote durch die zuständigen …</t>
  </si>
  <si>
    <t xml:space="preserve">Gibt es beim Netzanschluss bzw. Speicher eine Mindestquote der anvisierten Leistung, die erreicht wird? Sie schreiben in Bezug auf voherige Bieterfragen, dass alle Ladepunkte zu errichten sind sowie dass derzeit keine Aussagen zu den zum voraussichtlichen Startzeitraum vorhandenen Anschlusskapazitäten gemacht werden kann. Das Wissen mit welcher Leistung gerechnet werden kann oder ob es Standorte / Lose gibt, die sich dahingehend massiv unterscheiden ist jedoch sowohl für die Angebotskalkulation als auch die Favorisierung von Losen äußerst relevant. Beispielsweise vor dem Hintergrund, welche Leistung den Kunden letzendlich zur Verfügung gestellt wird sowohl durch mehr Energieverluste bei der Nutzung eines Speichers.</t>
  </si>
  <si>
    <t xml:space="preserve">Bezug lt. Katalog: Netzanschlussverfügbarkeit/Spei cher
Katalogdatum: 05.02.2025 // Antwort: Siehe Antwort auf die Bieterfrage 48 und 119. Die konkrete Verfügbarkeit und der ggf. notwendigte Pfad für eine Leistungserhöhung an den einzelnen Standorten sind erst nach Eingang der Erstangebote durch die zuständigen Netzbetreiber bekannt. Die entsprechenden Informationen werden den Bietern im weiteren Vergabeverfahren mitgeteilt, sobald sie dem AG von dem jeweilgien Netzbetreiber vorliegen.</t>
  </si>
  <si>
    <t xml:space="preserve">ANF-209</t>
  </si>
  <si>
    <t xml:space="preserve">Nr. 157 / S. 13</t>
  </si>
  <si>
    <t xml:space="preserve">Verweis des Auftraggebers auf die Antwort zu Bieterfrage 44.</t>
  </si>
  <si>
    <t xml:space="preserve">Wie bereits im Januar geäußert, bitten wir um zeitnahe Bereitstellung von "change versions" zu den überarbeiteten Vergabeunterlagen.</t>
  </si>
  <si>
    <t xml:space="preserve">Bezug lt. Katalog: –
Katalogdatum: 06.02.2025 // Antwort: Siehe hierzu die Antwort auf Bieterfrage 44.</t>
  </si>
  <si>
    <t xml:space="preserve">Automatisch ausgewertet: Die Antwort des Auftraggebers verweist ausschließlich auf Bieterfrage 44. Keine eigenständige Anforderung – der Inhalt ist unter der dort erfassten Zeile nachzuhalten.</t>
  </si>
  <si>
    <t xml:space="preserve">ANF-210</t>
  </si>
  <si>
    <t xml:space="preserve">Nr. 158 / S. 14</t>
  </si>
  <si>
    <t xml:space="preserve">Klarstellung: Mit unserer Nachricht am 06.02.2025 wurden Sie zusätzlich darüber informiert, dass bzgl. der Frage 73 ein Änderungspaket folgt: Die Vertragsanlage 02_Standortübersicht wurde losspezifisch überarbeitet.</t>
  </si>
  <si>
    <t xml:space="preserve">Wir Sie darauf hinweisen, dass wir das angekündigte Änderungspaket nicht erhalten haben. Die Nachrichten der Vergabestelle vom 06.02.2025 hinsichtlich der neuen Version der Vergabeunterlagen und der neuen Aufforderung zur Angebotsangabe enthalten keine Anhänge. Wir bitten um die Zusendung dieser Unterlagen.</t>
  </si>
  <si>
    <t xml:space="preserve">Bezug lt. Katalog: Bieterfragenkatalog v. 06.02.2025 und Ankündigung Änderungspaket
Katalogdatum: 07.02.2025 // Antwort: Mit unserer Nachricht am 06.02.2025 wurden Sie zusätzlich darüber informiert, dass bzgl. der Frage 73 ein Änderungspaket folgt: Die Vertragsanlage 02_Standortübersicht wurde losspezifisch überarbeitet. Ferner wurde das mit dem Bieterfragenkatalog vom 05.02.2025 zur Verfügung gestellte Formblatt A1 - Angebotsschreiben ebenfalls in das Änderungspaket eingearbeitet. Die Unterlagen wurden Ihnen somit systemseitig in einer neuen Version der Vergabeunterlagen zur Verfügung gestellt und nicht über die Nachrichtenfunktion versendet. Bitte prüfen Sie das Ihnen zur Verfügung gestellte Änderungspaket. Die neu hinzugefügten Dokumente haben folgende Bezeichnungen: - 20250131_Vertragsanlage 02_Standortübersicht (losspezifisch)_Los1_v3 - 20250131_Vertragsanlage 02_Standortübersicht (losspezifisch)_Los2_v3 - 20250131_Vertragsanlage 02_Standortübersicht (losspezifisch)_Los3_v3 - 20250131_Vertragsanlage 02_Standortübersicht (losspezifisch)_Los4_v3 - 20250131_Vertragsanlage 02_Standortübersicht (losspezifisch)_Los5_v3 - Formblatt A1 - Angebotsschreiben (03.02.25) Weitere Dokumente wurden nicht überarbeitet bzw. hinzugefügt.</t>
  </si>
  <si>
    <t xml:space="preserve">ANF-211</t>
  </si>
  <si>
    <t xml:space="preserve">Nr. 159 / S. 14</t>
  </si>
  <si>
    <t xml:space="preserve">Klarstellung: a) Die Bieter können für die Erstellung der Erstangebote davon ausgehen, dass die Errichtung genehmigungsfähig ist.</t>
  </si>
  <si>
    <t xml:space="preserve">Soweit aus den Referenzplanungen (Vertragsanlage 3 Standorte) ersichtlich, sind die Ladesäulen, häufig auch die Technikgebäude (Trafos, Power Units etc.), überwiegend innerhalb der 100 m Anbaubeschränkungszone, teilweise sogar innerhalb der 40 m Anbauverbotszone zur Autobahn vorgesehen. a) Können die Bieter davon ausgehen, dass für alle Standorte durch die AG/Vergabestelle bereits sichergestellt wurde, dass die Errichtung innerhalb dieser Zonen genehmigungsfähig ist? b) Können die Bieter weiterhin davon ausgehen, dass die 2-Wochen-Frist für Rückmeldungen der zu beteiligenden Genehmigungsbehörden (gem. Ver-tragsanlage 04 – LB Errichtung; Ziff. 3.6) auch für die Erteilung der erforderlichen Baugenehmigungen maßgeblich ist?</t>
  </si>
  <si>
    <t xml:space="preserve">Bezug lt. Katalog: Vertragsanlage 04 – LB Errichtung; Ziff. 3.6 Genehmigungen / Bundes- fernstraßengesetz
Katalogdatum: 10.02.2025 // Antwort: a) Die Bieter können für die Erstellung der Erstangebote davon ausgehen, dass die Errichtung genehmigungsfähig ist. Der AG geht aktuell davon aus, dass für die Errichtung Baufreigaben im Rahmen von §4 FstRG ausreichend sind. b) Siehe Antwort zu a). Der AG geht aktuell nicht davon aus, dass eine Baugenhemigung erforderlich ist.</t>
  </si>
  <si>
    <t xml:space="preserve">ANF-212</t>
  </si>
  <si>
    <t xml:space="preserve">Nr. 160 / S. 14</t>
  </si>
  <si>
    <t xml:space="preserve">Klarstellung: Die Annahme ist korrekt. Gemäß Definition der ERS sind Stellflächen auch Verkehrsflächen.</t>
  </si>
  <si>
    <t xml:space="preserve">Gemäß Vertragsanlage 04 – LB Errichtung; Ziff. 4.11.2 (Erd-, Entwässerungs- und Kanalarbeiten) sind Leitungen unter Verkehrsflächen generell in Leerrohren zu verlegen. Gehen wir recht in der Annahme, dass diese Vorgabe auch für Leitungen (bzw. Kabel) unter Stellflächen gilt?</t>
  </si>
  <si>
    <t xml:space="preserve">Bezug lt. Katalog: Vertragsanlage 04 – LB Errichtung; Ziff. 4.11.2 Kabelleerrohre unter Verkehrsflächen
Katalogdatum: 10.02.2025 // Antwort: Die Annahme ist korrekt. Gemäß Definition der ERS sind Stellflächen auch Verkehrsflächen.</t>
  </si>
  <si>
    <t xml:space="preserve">ANF-213</t>
  </si>
  <si>
    <t xml:space="preserve">Nr. 161 / S. 14</t>
  </si>
  <si>
    <t xml:space="preserve">Klarstellung: Der Auftragnehmer ist in diesem Fall zur unverzüglichen Wiederherstellung verpflichtet. Die Kostentragung ist nach Maßgabe von § 23 Abs.</t>
  </si>
  <si>
    <t xml:space="preserve">Gehen wir recht in der Annahme, dass bei völliger oder teilweiser Zerstörung von Ladeeinrichtungen oder sonstigen baulichen Bestandteilen an der Ladeinfrastruktur während der Vertragslaufzeit die Kosten für die Wiederherstellung und Wiederinbetriebnahme der Auftraggeber zu tragen hat, wenn der Auftragnehmer die Zerstörung nicht zu vertreten hat und die Beschädigungen oder Zerstörungen nach den nach diesem Vertrag vorgesehenen Versicherungen nicht zu versichern waren?</t>
  </si>
  <si>
    <t xml:space="preserve">Bezug lt. Katalog: § 22 Abs. 6 Betreibervertrag Wiederherstellung Ladeeinrichtungen
Katalogdatum: 10.02.2025 // Antwort: Der Auftragnehmer ist in diesem Fall zur unverzüglichen Wiederherstellung verpflichtet. Die Kostentragung ist nach Maßgabe von § 23 Abs. 3 des Betreibervertrages begrenzt.</t>
  </si>
  <si>
    <t xml:space="preserve">ANF-214</t>
  </si>
  <si>
    <t xml:space="preserve">Nr. 162 / S. 14</t>
  </si>
  <si>
    <t xml:space="preserve">Klarstellung: Das Verhältnis der beiden Klauseln wird mit dem nächsten Vertragsupdate klarer gefasst. Siehe hierzu im Übrigen die Antwort auf die Bieterfrage 44.</t>
  </si>
  <si>
    <t xml:space="preserve">Wir bitten um Mitteilung, wie § 22 Abs. 6 und § 23 Abs. 3 Betreibervertrag voneinander abzugrenzen sind. Dem Wortlaut nach überschneiden sich die Anwen-dungsbereiche dieser beiden Klauseln.</t>
  </si>
  <si>
    <t xml:space="preserve">Bezug lt. Katalog: § 22 Abs. 6 vs. § 23 Abs. 3 Betreibervertrag Überschneidung
Katalogdatum: 10.02.2025 // Antwort: Das Verhältnis der beiden Klauseln wird mit dem nächsten Vertragsupdate klarer gefasst. Siehe hierzu im Übrigen die Antwort auf die Bieterfrage 44.</t>
  </si>
  <si>
    <t xml:space="preserve">ANF-215</t>
  </si>
  <si>
    <t xml:space="preserve">Nr. 163 / S. 14</t>
  </si>
  <si>
    <t xml:space="preserve">Klarstellung: zu a) Für die Erstellung der Erstangebote ist davon auszugehen, dass die genannten Kosten gemäß §35 vergütet werden. zu b) Für die Erstellung der Erstangebote ist davon auszugehen, dass keine entsprechenden Kompensation …</t>
  </si>
  <si>
    <t xml:space="preserve">Gehen wir recht in der Annahme, dass für Standorte, die nach ihrer Betriebsfreigabe geschlossen bzw. durch Baumaßnahmen des AG maßgeblich beein-flusst werden (Vertragsanlage 03; Angaben und Informationen zu den einzelnen Standorten / Ausbauabsichten sowie weitere Maßnahmen des AG) folgendes gilt? a) Die Kosten für den Abbau, die Einlagerung und die erneute Errichtung der Ladeinfrastruktur werden über geänderte und zusätzliche Leistungen gem. § 35 vergütet. b) Die Kompensation der entgangenen Einnahmen aus dem Betrieb werden über geänderte und zusätzliche Leistungen gem. § 35 vergütet. c) Für Standorte, die auf Anordnung des AG geschlossen werden, wird das Betreiberentgelt auch während der Schließung weitergezahlt.</t>
  </si>
  <si>
    <t xml:space="preserve">Bezug lt. Katalog: Vertragsanlage 03; §35 Betreibervertrag Ausbauabsichten sowie weitere Maßnahmen des AG
Katalogdatum: 10.02.2025 // Antwort: zu a) Für die Erstellung der Erstangebote ist davon auszugehen, dass die genannten Kosten gemäß §35 vergütet werden. zu b) Für die Erstellung der Erstangebote ist davon auszugehen, dass keine entsprechenden Kompensation vorgesehen sind. zu c) Die Höhe des Betreiberentgeltes richtet sich in diesem Fall nach §40 Abs. 7 des Vertrages.</t>
  </si>
  <si>
    <t xml:space="preserve">ANF-216</t>
  </si>
  <si>
    <t xml:space="preserve">Nr. 164 / S. 14</t>
  </si>
  <si>
    <t xml:space="preserve">Klarstellung: Die Frist für das Einreichen von Bieterfragen endet am 28.02.2025, 12 Uhr.</t>
  </si>
  <si>
    <t xml:space="preserve">Wir bitten um Auskunft, ob im Zuge der Verlängerung der Angebotsabgabe (Bieterfragenkatalog Nr. 86) ebenfalls die Frist für das Einreichen von Bieterfragen um 3 Wochen verlängert und in diesem Zuge auch die Aufforderung zur Angebotsabgabe angepasst wird.</t>
  </si>
  <si>
    <t xml:space="preserve">Bezug lt. Katalog: Bieterfragenkatalog Nr. 86 Beantwortung von Bieterfragen
Katalogdatum: 10.02.2025 // Antwort: Die Frist für das Einreichen von Bieterfragen endet am 28.02.2025, 12 Uhr.</t>
  </si>
  <si>
    <t xml:space="preserve">ANF-217</t>
  </si>
  <si>
    <t xml:space="preserve">Nr. 165 / S. 15</t>
  </si>
  <si>
    <t xml:space="preserve">Klarstellung: Der Bieter kann davon ausgehen, dass Standorte während des Vertragszeitraums von Um- und Ausbauarbeiten betroffen sein werden und diese im Rahmen dieser Maßnahmen dann auch entsprechend gesperrt werden (Siehe Vertragsanlage 4, …</t>
  </si>
  <si>
    <t xml:space="preserve">Wir bitten um Erläuterung der Angaben in Vertragsanlage 04, LB Errichtung, Ziff. 3.3.2 .i.V.m. Vertragsanlage 03; Angaben und Informationen zu den einzelnen Standorten (Ausbauabsichten sowie weitere Maßnahmen des AG) Im Einzelnen: a) Unter LB Errichtung; Ziff. 3.3.2; Absatz 3 wird auf "Informationen zu weiteren geplanten Maßnahmen" in Vertragsanlage 03 verwiesen und ausgeführt, dass der AN bei diesen davon ausgehen soll, dass die Rastanlagen geöffnet bleiben. In Vertragsanlage 03 ist jedoch bei fast allen "weitere (Erhaltungs-) Maßnah- men" eine Standortsperrung angegeben (die wesentliche Spalte "Standortsperrung" ist mit "ja" befüllt). Bitte klären Sie diesen Widerspruch auf. b) Der unter LB Errichtung; Ziff. 3.3.2; letzter Satz angeführte §41.3 des Vertra-ges enthält einen Passus zum Infrastrukturentgelt. Bitte erläutern Sie den Zusammenhang. c) Welche Annahmen über die Dauer der Schließung von Rastanlagen sollen die Bieter treffen, wenn die Spalte "Ausbauabsicht bis 2035" mit "ja", die Spalte "Standortsperrung" jedoch nicht befüllt ist? Gemäß LB Errichtung; Ziff. 3.3.2; Absatz 1 sollen die Bieter bei Um- und Ausbauvorhaben von einer Vollsperrung der Rastanlagen von bis zu 18 Monaten ausgehen. Bitte klären Sie diesen Wi-derspruch auf. d) Welche Annahmen über Zeitpunkt und Dauer der Schließung von Rastanla-gen sollen die Bieter treffen, wenn die Spalte "Ausbauabsicht bis 2035" mit "ja" befüllt ist, jedoch keine Angaben zu Beginn und Ende der Maßnahme angege-ben bzw. mit "tbd" befüllt sind? e) Welche Annahmen über die Dauer der Schließung von Rastanlagen sollen die Bieter treffen, wenn die Spalte "Ausbauabsicht bis 2035" mit "nein", die Spalte "Standortsperrung" jedoch mit "ja" befüllt ist? f) Welche Annahmen über Zeitpunkt und Dauer der Schließung von Rastanla-gen sollen die Bieter treffen, wenn Beginn bzw. Ende der Maßnahmen mit "ab 2028" oder "nach 2030" angegeben sind?</t>
  </si>
  <si>
    <t xml:space="preserve">Bezug lt. Katalog: Vertragsanlage 04, LB Errichtung, Ziff. 3.3.2 .i.V.m. Vertragsanlage 03 Standortsperrungen
Katalogdatum: 10.02.2025 // Antwort: Der Bieter kann davon ausgehen, dass Standorte während des Vertragszeitraums von Um- und Ausbauarbeiten betroffen sein werden und diese im Rahmen dieser Maßnahmen dann auch entsprechend gesperrt werden (Siehe Vertragsanlage 4, Abs. 3.3.2). Bei Erhaltungsmaßnahmen wird grundsätzlich nicht von Sperrungen der Anlagen ausgegangen, sodass hier nicht mit Einschränkungen zu rechnen ist. Der AG wird den Bietern im weiteren Vergabeverfahren eine angepasste "Vertragsanlage 3 - Angaben und Informationen zu den einzelnen Standorten (losspezifisch)" zur Verfügung stellen, in der die genannten Punkte berücksichtigt werden.</t>
  </si>
  <si>
    <t xml:space="preserve">ANF-218</t>
  </si>
  <si>
    <t xml:space="preserve">Nr. 166 / S. 15</t>
  </si>
  <si>
    <t xml:space="preserve">Klarstellung: Ihre Annahme, dass eine Kanalnetzberechnung nur erforderlich sei, wenn das Kanalnetz aufgrund der geplanten Maßnahme in Lage und Höhe verändert wird, ist unzutreffend.</t>
  </si>
  <si>
    <t xml:space="preserve">Bezugnehmend auf die Antwort zur Bieterfrage Nr. 43: Gehen wir richtig der Annahme, dass eine Kanalnetzberechnung nur erforderlich ist, wenn das Kanalnetz aufgrund der geplanten Maßnahme in Lage und Höhe verändert wird? Ferner gehen wir richtig der Annahme, dass bei einem Anschluss an den Bestandskanal mit einer geringfügigen Veränderung der angeschlossenen Fläche (z. B. Trafostation, Überbauung einer Grüninsel) die Angabe der zusätzlich angeschlossenen Wassermenge ausreichend ist?</t>
  </si>
  <si>
    <t xml:space="preserve">Bezug lt. Katalog: Change Version Vertragsentwurf
Katalogdatum: 10.02.2025 // Antwort: Ihre Annahme, dass eine Kanalnetzberechnung nur erforderlich sei, wenn das Kanalnetz aufgrund der geplanten Maßnahme in Lage und Höhe verändert wird, ist unzutreffend. Ihre Annahme, dass bei einem Anschluss an einen Bestandskanal mit einer geringfügigen Veränderung (...) die Angabe der zusätzlichen Wassermenge aureichend ist, ist unzutreffend. Eine Kanalnetzberechnung ist erforderlich, sofern das Regenwassernetz bzw. die Einleitung der Regenwassermenge angepasst/verändert wird. .</t>
  </si>
  <si>
    <t xml:space="preserve">ANF-219</t>
  </si>
  <si>
    <t xml:space="preserve">Nr. 167 / S. 15</t>
  </si>
  <si>
    <t xml:space="preserve">Klarstellung: Siehe hierzu die Antwort auf Bieterfrage 39. Sollten sich nach Vertragschluss Änderungen gegenüber vor Vertragschluss vom AG definierten Anforderungen ergeben, gelten die entsprechenden Regelungen des Vertrags über geänderte oder …</t>
  </si>
  <si>
    <t xml:space="preserve">Ergänzend zu Ihrer Bieterantwort lfd. Nr. 39 bitte wir um weitere Erklärung: Wie soll mit Mehrkosten umgegangen werden, wenn im Nachgang die Netzanschlusssituation erhöhte Anforderungen, wie z. B. 30 KV oder Direktversorgung aus einem Umspannwerk vom VNB gefordert wird. Kosten für in diesem Fall erforderliche Kabeldifferenzschutztechnik sind erheblich.</t>
  </si>
  <si>
    <t xml:space="preserve">Bezug lt. Katalog: Vertragsanlage 04_Leistungsbeschreibung Errichtung, S.26
Katalogdatum: 10.02.2025 // Antwort: Siehe hierzu die Antwort auf Bieterfrage 39. Sollten sich nach Vertragschluss Änderungen gegenüber vor Vertragschluss vom AG definierten Anforderungen ergeben, gelten die entsprechenden Regelungen des Vertrags über geänderte oder zusätzliche Leistungen.</t>
  </si>
  <si>
    <t xml:space="preserve">ANF-220</t>
  </si>
  <si>
    <t xml:space="preserve">Nr. 168 / S. 15</t>
  </si>
  <si>
    <t xml:space="preserve">Klarstellung: Mehrkosten, die sich aus einer Änderung von anzuwendenden Rechtsvorschriften oder technischen Regeln und Regelwerken ergeben werden dem Auftragnehmer nach Maßgabe von § 36 des Betreibervertrages erstattet.</t>
  </si>
  <si>
    <t xml:space="preserve">Die Errichtung der Anlagen können sich bis ins Jahr 2030 hinziehen. Wie soll mit Mehrkosten umgegangen werden, wenn sich in diesem Zeitraum die TAB`s der VNB`s ändern und dadurch Bedingt neue Anforderungen entstehen, die zum heutigen Zeitpunkt nicht bekannt sind?</t>
  </si>
  <si>
    <t xml:space="preserve">Bezug lt. Katalog: Vertragsanlage 04_Leistungsbeschreibung Errichtung, S.26
Katalogdatum: 10.02.2025 // Antwort: Mehrkosten, die sich aus einer Änderung von anzuwendenden Rechtsvorschriften oder technischen Regeln und Regelwerken ergeben werden dem Auftragnehmer nach Maßgabe von § 36 des Betreibervertrages erstattet. Da die Anschlusskosten vom AG zu tragen sind, dürften Auswirkungen beim Auftragnehmer die Ausnahme sein.</t>
  </si>
  <si>
    <t xml:space="preserve">ANF-221</t>
  </si>
  <si>
    <t xml:space="preserve">Nr. 169 / S. 15</t>
  </si>
  <si>
    <t xml:space="preserve">Klarstellung: Die von Ihnen angefragten Informationen und Dokumente können aktuell nicht vom AG zur Verfügung gestellt werden.</t>
  </si>
  <si>
    <t xml:space="preserve">Lt. Abschnitt 3.10.1 trägt der AN die Verantwortung für eine Beleuchtungsqualität nach DIN EN13201 sowie den Vorgaben in Kapitel 9.4.4 der Empfehlungen für Rastanlagen an Straßen der FGSV (Ausgabe 2011). Kann der AG die bestehende Beleuchtungsplanung und auch die bestehende technische Hardware (Masthöhen, Art, Typ und Bestückung sowie bei LED die Optiken und Bestromung) der bestehenden Leuchtkörper zur Verfügung stellen? Diese sind für eine Beleuchtungsüberplanung erforderlich.</t>
  </si>
  <si>
    <t xml:space="preserve">Bezug lt. Katalog: Vertragsanlage 04_Leistungsbeschreibung Errichtung, S.27
Katalogdatum: 10.02.2025 // Antwort: Die von Ihnen angefragten Informationen und Dokumente können aktuell nicht vom AG zur Verfügung gestellt werden.</t>
  </si>
  <si>
    <t xml:space="preserve">ANF-222</t>
  </si>
  <si>
    <t xml:space="preserve">Nr. 170 / S. 15</t>
  </si>
  <si>
    <t xml:space="preserve">Klarstellung: Zu a) Der AG kann nicht bestätigen, dass die heute vorhandene Grundbeleuchtung bereits diese Anforderungen erfüllt.</t>
  </si>
  <si>
    <t xml:space="preserve">Lt. Abschnitt 3.10.1 trägt der AN die Verantwortung für eine Beleuchtungsqualität nach DIN EN13201 sowie den Vorgaben in Kapitel 9.4.4 der Empfehlungen für Rastanlagen an Straßen der FGSV (Ausgabe 2011). a) Kann der AG bestätigen, dass die heute vorhandene Grundbeleuchtung bereits diese Anforderungen erfüllt? b) Kann der AG bestätigen, dass der AN nur für die durch diese Baumaßnahme durchgeführten Anpassungen, die Nachweise erbringen muss und auch nur auf dem heute bestehenden Beleuchtungsniveau?</t>
  </si>
  <si>
    <t xml:space="preserve">Bezug lt. Katalog: Vertragsanlage 04_Leistungsbeschreibung Errichtung, S.27
Katalogdatum: 10.02.2025
Zuordnung prüfen (Komponente/Partner nicht eindeutig) // Antwort: Zu a) Der AG kann nicht bestätigen, dass die heute vorhandene Grundbeleuchtung bereits diese Anforderungen erfüllt. Zu b 1) Der AG kann einerseits bestätigen, dass der AN für die durch diese Baumaßnahme durchgeführten Anpassungen, die Nachweise erbringen muss. Zu b 2) Der AG kann nicht bestätigen, dass Nachweise nur für auf Grudnlage des heute bestehenden Beleuchtungsniveau erbracht werden müssen. Diese Annamhe ist unzutreffen. Wir verweisen hierzu auch auf die Antwort auf die Bieterfrage Nr. 31.</t>
  </si>
  <si>
    <t xml:space="preserve">ANF-223</t>
  </si>
  <si>
    <t xml:space="preserve">Nr. 171 / S. 15</t>
  </si>
  <si>
    <t xml:space="preserve">Klarstellung: Siehe hierzu die Antwort auf die Bieterfrage 45. Die Bieter sollen im Erstangebot keine Vorrüstungen im Bereich der Übergabestation für Speicher vorgesehen.</t>
  </si>
  <si>
    <t xml:space="preserve">§44, Abs. 1.: Der AG kann an Standorten Speicher aufstellen. Sollen im Angebot bereits Vorrüstungen im Bereich der Übergabestation für Speicher vorgesehen werden?</t>
  </si>
  <si>
    <t xml:space="preserve">Bezug lt. Katalog: Hauptvertrag
Katalogdatum: 10.02.2025 // Antwort: Siehe hierzu die Antwort auf die Bieterfrage 45. Die Bieter sollen im Erstangebot keine Vorrüstungen im Bereich der Übergabestation für Speicher vorgesehen.</t>
  </si>
  <si>
    <t xml:space="preserve">ANF-224</t>
  </si>
  <si>
    <t xml:space="preserve">Nr. 172 / S. 16</t>
  </si>
  <si>
    <t xml:space="preserve">Klarstellung: Ihre Annahme ist zutreffend. Es sollen möglichst viele Bereiche der Verkehrsflächen erhalten bleiben.</t>
  </si>
  <si>
    <t xml:space="preserve">Gehen wir recht in der Annahme, dass im Bereich der Errichtung der LKW-Ladeinfrstruktur von der Baumaßnahme nicht betroffene Oberflächen im Ausgangszustand belassen werden können und damit an vielen Stellen eine Verbindung von neuer und bestehnder Oberfläche entsteht?</t>
  </si>
  <si>
    <t xml:space="preserve">Bezug lt. Katalog: Vertragsanlage 04_Leistungsbeschreibung Errichtung, S.38
Katalogdatum: 10.02.2025 // Antwort: Ihre Annahme ist zutreffend. Es sollen möglichst viele Bereiche der Verkehrsflächen erhalten bleiben.</t>
  </si>
  <si>
    <t xml:space="preserve">ANF-225</t>
  </si>
  <si>
    <t xml:space="preserve">Nr. 173 / S. 16</t>
  </si>
  <si>
    <t xml:space="preserve">Klarstellung: Wir verweisen auf unsere Antwort zur Frage 158.</t>
  </si>
  <si>
    <t xml:space="preserve">Wir haben von Ihnen am 06.02 eine Mitteilung erhalten, das aktualisierte Vergabeunterlagen verfügbar sind. Bedauerlicherweise ist diese Mitteilung ohne Anhang. Handelt es sich hierbei um ein Fehler des Programms?</t>
  </si>
  <si>
    <t xml:space="preserve">Bezug lt. Katalog: Änderungspaket
Katalogdatum: 10.02.2025 // Antwort: Wir verweisen auf unsere Antwort zur Frage 158.</t>
  </si>
  <si>
    <t xml:space="preserve">ANF-226</t>
  </si>
  <si>
    <t xml:space="preserve">Nr. 174 / S. 16</t>
  </si>
  <si>
    <t xml:space="preserve">Verneint: eine Abweichung von den Vorgaben aus der Vertragsanlage 02 ist nicht vorgesehen.</t>
  </si>
  <si>
    <t xml:space="preserve">Wäre es zulässig, über die angeforderte Anzahl an Ladepunkten hinaus weitere Anschlüsse oder Ladepunkte im Sinne der AFIR gleichen Typs an den Ladeplätzen vorzusehen, um so ggf. die Zuverlässigkeit zu erhöhen und Vertragsstrafen zu entgehen?</t>
  </si>
  <si>
    <t xml:space="preserve">Bezug lt. Katalog: Leistungsausführung
Katalogdatum: 11.02.2025
Zuordnung prüfen (Komponente/Partner nicht eindeutig) // Antwort: Nein, eine Abweichung von den Vorgaben aus der Vertragsanlage 02 ist nicht vorgesehen.</t>
  </si>
  <si>
    <t xml:space="preserve">ANF-227</t>
  </si>
  <si>
    <t xml:space="preserve">Nr. 175 / S. 16</t>
  </si>
  <si>
    <t xml:space="preserve">Klarstellung: Dieser Punkt kann zum Gegenstand der Vertragsverhandlungen gemacht werden.</t>
  </si>
  <si>
    <t xml:space="preserve">Wäre es denkbar, im weiteren Verfahren den Vertragsstrafenmodus derart abzuwandeln, dass nur dann Strafzahlungen erfolgen müssen, wenn eine NIchtverfügbarkeit von Ladepunkten auch tatsächlich dazu führt, dass Nutzer aufgrund von vollständiger Belegung der übrigen Ladeplätze nicht unmittelbar Zugang erhalten?</t>
  </si>
  <si>
    <t xml:space="preserve">Bezug lt. Katalog: Vertrag
Katalogdatum: 11.02.2025
Zuordnung prüfen (Komponente/Partner nicht eindeutig) // Antwort: Dieser Punkt kann zum Gegenstand der Vertragsverhandlungen gemacht werden.</t>
  </si>
  <si>
    <t xml:space="preserve">ANF-228</t>
  </si>
  <si>
    <t xml:space="preserve">Nr. 176 / S. 16</t>
  </si>
  <si>
    <t xml:space="preserve">Klarstellung: Eine Anpassug der technischen Anforderungen ist aktuell nicht vorgesehen. Die Länge der CCS-Ladekabel muss ausreichend bemessen sein, um ggf. verschiedene fahrzeugseitige Positionen der CCS-Inlets unproblematisch bedienen zu …</t>
  </si>
  <si>
    <t xml:space="preserve">Könnten folgende Vorschläge zur Anpassung der technischen Anforderungen zur Umsetzung im weiteren Vergabeverfahren in Erwägung gezogen werden, die darauf abzielen die Komplexität bzw. Verwundbarkeit der Systemarchitektur zu senken und so die Zuverlässigkeit zu erhöhen: 1) Ladekabel am CCS Ladeplatz mit 3m Länge 2) Absenkung der der geforderten Dauerströme im Fall von CCS soweit, dass auf flüssigkeitsgekühlte Kabel verzichtet werden könnte</t>
  </si>
  <si>
    <t xml:space="preserve">Bezug lt. Katalog: technische Anforderungen
Katalogdatum: 12.02.2025 // Antwort: Eine Anpassug der technischen Anforderungen ist aktuell nicht vorgesehen. Die Länge der CCS-Ladekabel muss ausreichend bemessen sein, um ggf. verschiedene fahrzeugseitige Positionen der CCS-Inlets unproblematisch bedienen zu können. Eine Absenkung der Dauerströme ist aktuell nicht vorgesehen, der AN muss die spezifizierten Daten einhalten. Entsprechende Vorschläge können mit dem Erstangebot als Verhandlungsbedarf angemeldet werden.</t>
  </si>
  <si>
    <t xml:space="preserve">ANF-229</t>
  </si>
  <si>
    <t xml:space="preserve">Nr. 177 / S. 16</t>
  </si>
  <si>
    <t xml:space="preserve">Klarstellung: Die Annahme ist insofern korrekt, dass den Bietern keine weiteren Unterlagen zur Verfügung gestellt werden.</t>
  </si>
  <si>
    <t xml:space="preserve">Gehen wir recht in der Annahme, dass außer den in Anlage 3 zusammengestellten Unterlagen keine weiteren Dokumente zur Verfügung gestellt werden, mit der Folge, dass der AN sämtliche Planungs- und Bestandsdokumente erstellt und bei der Angebotskalkulation berücksichtigt werden müssen?</t>
  </si>
  <si>
    <t xml:space="preserve">Bezug lt. Katalog: Vertrag, § 6
Katalogdatum: 12.02.2025 // Antwort: Die Annahme ist insofern korrekt, dass den Bietern keine weiteren Unterlagen zur Verfügung gestellt werden. Der AN muss demnach sämtliche für den Planungs- und Bau- und Inbetriebnahmeprozess relevanten Dokumente erstellen.</t>
  </si>
  <si>
    <t xml:space="preserve">ANF-230</t>
  </si>
  <si>
    <t xml:space="preserve">Nr. 178 / S. 16</t>
  </si>
  <si>
    <t xml:space="preserve">Klarstellung: Ihre Annahme ist unzutreffend. Die allgemeinen Anforderungen inkl.</t>
  </si>
  <si>
    <t xml:space="preserve">Gehen wir recht in der Annahme, dass die allgemeinen Voraussetzungen für eine Bau- und Betriebsfreigabe durch die Zentrale der Autobahn GmbH als Maximalumfang definiert wird und die Niederlassungen keine strengeren oder zusätzlichen Anforderungen stellen dürfen?</t>
  </si>
  <si>
    <t xml:space="preserve">Bezug lt. Katalog: Vertrag, § 6
Katalogdatum: 12.02.2025 // Antwort: Ihre Annahme ist unzutreffend. Die allgemeinen Anforderungen inkl. Unterlagen der Bau- und Betriebsfreigaben sind zentral definiert und autobahnweit einheitlich umzusetzen.Sollten aufgrund besonderer Umstände zusätzliche Nachweise erfordelrich werden, kann die jeweilige Niederlassung dies in einem angemessenen Umfang vom AN fordern.</t>
  </si>
  <si>
    <t xml:space="preserve">ANF-231</t>
  </si>
  <si>
    <t xml:space="preserve">Nr. 179 / S. 16</t>
  </si>
  <si>
    <t xml:space="preserve">Verweis des Auftraggebers auf die Antwort zu Bieterfrage 33.</t>
  </si>
  <si>
    <t xml:space="preserve">Gehen wir recht in der Annahme, dass zur Durchsetzung des Nutzungsverbots der LIS für andere Fahrzeuge als e-LKW keine baulichen Maßnahmen (z.B. Schranken, Poller, etc.) erforderlich sind? Andernfalls, falls bauliche Maßnahmen vorgesehen sind, bitten wir um Konkrestisierung der Anforderungen, um eine Vergleichbarkeit der Angebote zu gewährleisten.</t>
  </si>
  <si>
    <t xml:space="preserve">Bezug lt. Katalog: Vertrag, § 7
Katalogdatum: 12.02.2025 // Antwort: Siehe die Antwort auf die Bieterfrage 33.</t>
  </si>
  <si>
    <t xml:space="preserve">SCS / tbd</t>
  </si>
  <si>
    <t xml:space="preserve">Schrankenanlage / Schrankensteuerung</t>
  </si>
  <si>
    <t xml:space="preserve">Automatisch ausgewertet: Die Antwort des Auftraggebers verweist ausschließlich auf Bieterfrage 33. Keine eigenständige Anforderung – der Inhalt ist unter der dort erfassten Zeile nachzuhalten.</t>
  </si>
  <si>
    <t xml:space="preserve">ANF-232</t>
  </si>
  <si>
    <t xml:space="preserve">Nr. 180 / S. 16</t>
  </si>
  <si>
    <t xml:space="preserve">Klarstellung: zu a) Ja, der Auftragnehmer darf mit der Planung und Errichtung beginnen, auch bevor der Netzanschluss realisiert wurde. zu b) Die Zahlung des Errichtungsentgelts ohne Inbetriebnahme - etwa bei fehlendem Netzanschluss - richtet …</t>
  </si>
  <si>
    <t xml:space="preserve">Gehen wir bei einem verzögerten oder ausbleibenden Netzanschluss recht in der Annahme, dass a) der AN auch vor Realisierung der Netzanschlüsse mit der Planung und der Errichtung beginnen darf und b) der AN das Errichtungsentgelt erhält, sofern sich der Verzug während der Planungs- und Errichtungsphase einstellt.</t>
  </si>
  <si>
    <t xml:space="preserve">Bezug lt. Katalog: Vertrag, § 7
Katalogdatum: 12.02.2025 // Antwort: zu a) Ja, der Auftragnehmer darf mit der Planung und Errichtung beginnen, auch bevor der Netzanschluss realisiert wurde. zu b) Die Zahlung des Errichtungsentgelts ohne Inbetriebnahme - etwa bei fehlendem Netzanschluss - richtet sich nach § 13 Abs. 8 des Betreibervertrages.</t>
  </si>
  <si>
    <t xml:space="preserve">ANF-233</t>
  </si>
  <si>
    <t xml:space="preserve">Nr. 181 / S. 16</t>
  </si>
  <si>
    <t xml:space="preserve">Bestätigt: die Beauftragung des Netzanschlusses obliegt dem Auftraggeber.</t>
  </si>
  <si>
    <t xml:space="preserve">Gehen wir recht in der Annahme, dass die Bereitstellungskosten auch sämtliche Aufwände für die Erstellung der Dokumentation und die Bereitstellung der Formvordrucke für den Netzbetreiber beinhalten?</t>
  </si>
  <si>
    <t xml:space="preserve">Bezug lt. Katalog: Vertrag, § 7
Katalogdatum: 12.02.2025 // Antwort: Ja, die Beauftragung des Netzanschlusses obliegt dem Auftraggeber. Eine Mitwirkung des Auftragnehmers ist grundsätzlich nicht erforderlich.</t>
  </si>
  <si>
    <t xml:space="preserve">ANF-234</t>
  </si>
  <si>
    <t xml:space="preserve">Nr. 182 / S. 16</t>
  </si>
  <si>
    <t xml:space="preserve">Bestätigt: die Ladeleistung soll nur einmal zur Verfügung gestellt werden.</t>
  </si>
  <si>
    <t xml:space="preserve">Gehen wir recht in der Annahme, dass in § 10 Abs. 1 die Möglichkeit der Anordnung von zwei Ladesteckern geregelt werden soll, also tatsächlich nicht zwei Ladepunkte (= 2x geforderte Ladeleistung) gemeint sind. Zusätzlich: Gehen wir recht in der Annahme, dass a) vor einer Anordnung die technische Machbarkeit in Abstimmung mit dem AN geprüft wird, b) die Mehrkosten für einen zusätzlich angeordneten Ladepunkt gesondert (nach § 35) vergütet werden, c) die Anordnung vor Beginn der Planungen gem. Rahmenterminplan erfolgt und d) sich durch den zusätzlichen Ladepunkt die Gesamtleistung am Standort nicht erhöht?</t>
  </si>
  <si>
    <t xml:space="preserve">Bezug lt. Katalog: Vertrag, § 10
Katalogdatum: 12.02.2025 // Antwort: Ja, die Ladeleistung soll nur einmal zur Verfügung gestellt werden. Die technische Machbarkeit ist Voraussetzung einer entsprechenden Anordnung. Eine Erstattung der Mehrkosten ist derzeit nicht vorgesehen. Die Anordnung soll gemäß der Planungen gemäß Rahmenterminplan erfolgen.</t>
  </si>
  <si>
    <t xml:space="preserve">ANF-235</t>
  </si>
  <si>
    <t xml:space="preserve">Nr. 183 / S. 17</t>
  </si>
  <si>
    <t xml:space="preserve">Klarstellung: Die Frage ist für den AG nicht vollständig klar. Folgendes können wir mitteilen: Soweit dem Standard entsprechende Ladeeinrichtungen nicht verfügbar sind, ist dies in den Planungen zu berücksichtigen.</t>
  </si>
  <si>
    <t xml:space="preserve">Gehen wir recht in der Annahme, dass der AN zum Zeitpunkt des im Rahmenterminplanes avisierten Start der Planungen, die Ladeeinrichtungen, die den im Vertrag geforderten Standards nicht genügen, a) bei der Planung und Errichtung vorerst ausschließt, b) der AN, ab Verfügbarkeit der Hardware, die den geforderten Standards entsprechen, die Mehrkosten für die erneute Planung und Errichtung vom AG zusätzlich erstattet bekommt. Gehen wir ebenfalls recht in der Annahme, dass der AN das Errichtungsentgelt gem. der vertraglich vereinbarten Höhe bereits für die Ladeinfrastruktur abrechnen kann, für die die Betriebsfreigabe erfolgt ist und eine Betriebsfreigabe aus den geschilderten Gründen und dem geschilderten Fall nicht verweigert werden kann? Gehen wir zudem recht in der Annahme, dass mit der technischen Inbetriebnahme gemäß § 13 7. auch eine Betriebsfreigabe erfolgt?</t>
  </si>
  <si>
    <t xml:space="preserve">Bezug lt. Katalog: Vertrag, § 13
Katalogdatum: 12.02.2025 // Antwort: Die Frage ist für den AG nicht vollständig klar. Folgendes können wir mitteilen: Soweit dem Standard entsprechende Ladeeinrichtungen nicht verfügbar sind, ist dies in den Planungen zu berücksichtigen. Entsprechende Erkenntnisse über eine etwaige Nichtverfügbarkeit sind dem AG unverzüglich anzuzeigen. Regelungen zur teilweisen Betriebsfreigabe trifft § 13 Abs. 7 des Betreibervertrages.</t>
  </si>
  <si>
    <t xml:space="preserve">ANF-236</t>
  </si>
  <si>
    <t xml:space="preserve">Nr. 184 / S. 17</t>
  </si>
  <si>
    <t xml:space="preserve">Klarstellung: Die Annahme, dass in den genannten Fällen die Betriebsfreigabe erfolgen kann, kann nicht pauschal bestätigt werden.</t>
  </si>
  <si>
    <t xml:space="preserve">Wir bitten um Klarstellung, bei Vorlage welcher Voraussetzungen davon ausgegangen werden kann, dass die technische Betriebsbereitschaft vorliegt. Gehen wir recht in der Annahme, dass der Betriebsfreigabe nicht entgegensteht, wenn z.B. das Trailerladen, die Reservierungsfunktion oder ähnliche Funktionen noch nicht gewährleistet werden können? Dürfen wir davon ausgehen, dass im Falle einer Betriebsfreigabe eine Auszahlung des Errichtungsentgeltes nach Maßgabe von § 39 für die fertiggestellten Gewerke bereits vollständig erfolgt?</t>
  </si>
  <si>
    <t xml:space="preserve">Bezug lt. Katalog: Vertrag, § 13
Katalogdatum: 12.02.2025 // Antwort: Die Annahme, dass in den genannten Fällen die Betriebsfreigabe erfolgen kann, kann nicht pauschal bestätigt werden. Eine Abschichtung der einzelnen denkbaren Fälle kann im weiteren Vergabeverfahren erfolgen. Der Bieter ist eingeladen, diesbezüglich seinen Verhandlungsbedarf konkret darzulegen. Gemäß § 39 Abs. 3 wird das Errichtungsentgelt, sofern die jeweils nachfolgenden Zahlungsvoraussetzungen vorliegen, grundsätzlich in Höhe von 50 % des im Angebot des Auftragnehmers für den Standort angebotenen Entgelts nach Abnahme und Betriebsfreigabe gezahlt. Gemäß § 13 Abs. 6 erfolgt die Zahlung des Errichtungsentgelts – auch für den dort beschriebenen der Betriebsfreigabe für bereits errichtete Bestandteile der Ladeinfrastruktur - erst nach Fertigstellung aller Gewerke und erfolgter Betriebsfreigabe für die noch ausstehenden Gewerke.</t>
  </si>
  <si>
    <t xml:space="preserve">ANF-237</t>
  </si>
  <si>
    <t xml:space="preserve">Nr. 185 / S. 17</t>
  </si>
  <si>
    <t xml:space="preserve">Klarstellung: Es wird auf die Kostenerstattungsregelung in §44 Abs. 2 des Vertrages verwiesen.</t>
  </si>
  <si>
    <t xml:space="preserve">Im Falle, dass der AN die Instandhaltung eines Speichers übernehmen soll, bitten wir um eine vertragliche Konkretisierung über den Umfang der Instandhaltungsverpflichtungen sowie die Verantwortung für Leistungsverluste.</t>
  </si>
  <si>
    <t xml:space="preserve">Bezug lt. Katalog: Vertrag, § 18
Katalogdatum: 12.02.2025 // Antwort: Es wird auf die Kostenerstattungsregelung in §44 Abs. 2 des Vertrages verwiesen. Für die Abgabe der Erstangebote, darf unterstellt werden, dass dem Betreiber keine Aufwendungen füe Leitungsverluste entstehen.</t>
  </si>
  <si>
    <t xml:space="preserve">ANF-238</t>
  </si>
  <si>
    <t xml:space="preserve">Nr. 186 / S. 17</t>
  </si>
  <si>
    <t xml:space="preserve">Klarstellung: Die Umsetzung der OCPI-Schnittstelle muss spätestens erfolgt sein, wenn entsprechende Reservierungsdienstleistungen über Reservierungsplattformen bzw. von Roaminganbietern zentral ermöglicht und angeboten werden.</t>
  </si>
  <si>
    <t xml:space="preserve">Bitte spezifizieren Sie die Frist zur Umsetzung der OCPI-Schnittstelle für die Reservierungsfunktion.</t>
  </si>
  <si>
    <t xml:space="preserve">Bezug lt. Katalog: Vertrag, § 19 - OCPI-Schnittstelle
Katalogdatum: 12.02.2025 // Antwort: Die Umsetzung der OCPI-Schnittstelle muss spätestens erfolgt sein, wenn entsprechende Reservierungsdienstleistungen über Reservierungsplattformen bzw. von Roaminganbietern zentral ermöglicht und angeboten werden.</t>
  </si>
  <si>
    <t xml:space="preserve">ANF-239</t>
  </si>
  <si>
    <t xml:space="preserve">Nr. 187 / S. 17</t>
  </si>
  <si>
    <t xml:space="preserve">Bestätigt: die THG-Quoten generiert nach aktueller Rechtslage der Auftragnehmer als CPO.</t>
  </si>
  <si>
    <t xml:space="preserve">Gehen wir recht in der Annahme, dass die Treibhausgas-Minderungsquote im Sinne der Vorschriften des BImSchG ("THG-Quoten") ebenso für geladene Mengen im Rahmen des Durchleitungsmodells für den AN anrechenbar sind?</t>
  </si>
  <si>
    <t xml:space="preserve">Bezug lt. Katalog: Vertrag, § 45
Katalogdatum: 12.02.2025 // Antwort: Ja, die THG-Quoten generiert nach aktueller Rechtslage der Auftragnehmer als CPO.</t>
  </si>
  <si>
    <t xml:space="preserve">ANF-240</t>
  </si>
  <si>
    <t xml:space="preserve">Nr. 188 / S. 17</t>
  </si>
  <si>
    <t xml:space="preserve">Klarstellung: Der Vertragsschluss ist vom MSP diskriminierungsfrei anzubieten. Es steht den Parteien frei, Abweichungen zu vereinbaren, die der Auftragnehmer dritten MSP dann ebenfalls diskriminierungsfrei anbieten muss.</t>
  </si>
  <si>
    <t xml:space="preserve">Gehen wir recht in der Annahme, dass der Vertragsschluss zwischen dem MSP und dem AN vom Mobilitätsdienstleister vorangetrieben wird und inwiefern ist Anlage 14 unverhandelbar abzuschließen? Davon ausgehend, dass die rechnerische Verlustquote über die Mengen des Durchleitungsmodells beim Mobilitätsdienstleister abgerechnet werden dürfen, wäre zusätzlich eine Konkretisierung im Betreibervertrag bzw. in Anlage 14 hierzu zweckdienlich.</t>
  </si>
  <si>
    <t xml:space="preserve">Bezug lt. Katalog: Anlage 14
Katalogdatum: 12.02.2025 // Antwort: Der Vertragsschluss ist vom MSP diskriminierungsfrei anzubieten. Es steht den Parteien frei, Abweichungen zu vereinbaren, die der Auftragnehmer dritten MSP dann ebenfalls diskriminierungsfrei anbieten muss. Eine Konkretisierung des Vertrags und der Anlage 14 an die Ergebnisse der Verhandlungen wird vor Aufforderung zur Abgabe der verbindlichen Angebote erfolgen.</t>
  </si>
  <si>
    <t xml:space="preserve">ANF-241</t>
  </si>
  <si>
    <t xml:space="preserve">Nr. 189 / S. 17</t>
  </si>
  <si>
    <t xml:space="preserve">Klarstellung: Der AG plant keine separate Schnittstelle, die die vom Endnutzer an den AG übermittelten Störungsmeldungen an den AN weitersendet.</t>
  </si>
  <si>
    <t xml:space="preserve">Gehen wir recht in der Annahme, dass nach Anbringung eines potentiellen weiteren QR-Codes der AG eine Schnittstelle zum AN herstellt, sodass die Störungsmeldung nicht ausschließlich beim AG angezeigt wird, sondern ebenso beim AN verzeichnet wird? Erklärung: Es ist nicht davon auszugehen, dass der Kunde über zwei Meldungswege die Störungen bekanntmachen wird.</t>
  </si>
  <si>
    <t xml:space="preserve">Bezug lt. Katalog: Vertrag, § 21
Katalogdatum: 12.02.2025 // Antwort: Der AG plant keine separate Schnittstelle, die die vom Endnutzer an den AG übermittelten Störungsmeldungen an den AN weitersendet.</t>
  </si>
  <si>
    <t xml:space="preserve">ANF-242</t>
  </si>
  <si>
    <t xml:space="preserve">Nr. 190 / S. 17</t>
  </si>
  <si>
    <t xml:space="preserve">Klarstellung: Die genannte Frist beginnt mit Inkrafttreten des verbindlichen Standards.</t>
  </si>
  <si>
    <t xml:space="preserve">Gehen wir recht in der Annahme, dass die genannte Frist mit Verabschiedung eines Gesetzes bzw. einer Verordnung beginnt, welche die Verbindlichkeit des Standards zur Authentifizierung vorgibt?</t>
  </si>
  <si>
    <t xml:space="preserve">Bezug lt. Katalog: Vertragsanlage 06
Katalogdatum: 12.02.2025 // Antwort: Die genannte Frist beginnt mit Inkrafttreten des verbindlichen Standards.</t>
  </si>
  <si>
    <t xml:space="preserve">ANF-243</t>
  </si>
  <si>
    <t xml:space="preserve">Nr. 191 / S. 17</t>
  </si>
  <si>
    <t xml:space="preserve">Klarstellung: Soweit ein Bieter Verhandlungsbedarfe hat, bitten wir darum, das Formblatt A6 zu verwenden und dieses mit dem Erstangebot einzureichen.</t>
  </si>
  <si>
    <t xml:space="preserve">Das Formblatt A6 - Verhandlungsbedarf ist nicht mehr Bestandteil der erforderlichen Unterlagen im Angebotsschreiben. Bitte teilen Sie uns mit, ob der AN das Formblatt A6 - Verhandlungsbedarf weiterhin mit Abgabe des Erstangebotes einreichen soll oder ob der Bedarf auf anderem Wege zu übermitteln ist?</t>
  </si>
  <si>
    <t xml:space="preserve">Bezug lt. Katalog: Formblatt A6 - Verfahren
Katalogdatum: 12.02.2025 // Antwort: Soweit ein Bieter Verhandlungsbedarfe hat, bitten wir darum, das Formblatt A6 zu verwenden und dieses mit dem Erstangebot einzureichen. Das Formblatt A 6 ist jedoch nicht Bestandteil des Angebotes des Bieters und daher nicht im Angebotsschreiben aufgeführt.</t>
  </si>
  <si>
    <t xml:space="preserve">ANF-244</t>
  </si>
  <si>
    <t xml:space="preserve">Nr. 192 / S. 17</t>
  </si>
  <si>
    <t xml:space="preserve">Klarstellung: Ihre Annahme ist zutreffend. Maßgeblich sind die Anforderungen an die Ladeeinrichtungen, wie sie sich aus Vertragsanlage 6 ergeben.</t>
  </si>
  <si>
    <t xml:space="preserve">Gehen wir recht in der Annahme, dass es seitens der AG keine Ausschlusskriterien zu Hardwareherstellern gibt, basierend auf dem Herstellerland, solange die Anforderungen zur Ladeeinrichtung gewährleistet sind?</t>
  </si>
  <si>
    <t xml:space="preserve">Bezug lt. Katalog: Vertragsanlage 06 - Hardwarehersteller
Katalogdatum: 12.02.2025 // Antwort: Ihre Annahme ist zutreffend. Maßgeblich sind die Anforderungen an die Ladeeinrichtungen, wie sie sich aus Vertragsanlage 6 ergeben.</t>
  </si>
  <si>
    <t xml:space="preserve">ANF-245</t>
  </si>
  <si>
    <t xml:space="preserve">Nr. 193 / S. 17</t>
  </si>
  <si>
    <t xml:space="preserve">Klarstellung: Ihre Annahme ist nicht zutreffend. Grundsätzlich trägt der AN dafür Sorge, dass Baustrom- und Bauwasser vor Ort sichergestellt ist.</t>
  </si>
  <si>
    <t xml:space="preserve">Gehen wir recht in der Annahme, dass an jedem Standort Wasser- und Stromanschlüsse sichergestellt sind, auf die der AN im Rahmen der Baustelleneinrichtung zugreifen kann?</t>
  </si>
  <si>
    <t xml:space="preserve">Bezug lt. Katalog: Vertragsanlage 04
Katalogdatum: 12.02.2025 // Antwort: Ihre Annahme ist nicht zutreffend. Grundsätzlich trägt der AN dafür Sorge, dass Baustrom- und Bauwasser vor Ort sichergestellt ist.</t>
  </si>
  <si>
    <t xml:space="preserve">ANF-246</t>
  </si>
  <si>
    <t xml:space="preserve">Nr. 194 / S. 18</t>
  </si>
  <si>
    <t xml:space="preserve">Klarstellung: Die Leistungseinheiten sind als Teil der Ladetechnik und Teil der Rastanlage zu verstehen.</t>
  </si>
  <si>
    <t xml:space="preserve">Sehen die AG vor, dass der AN eine externe Beleuchtung für die Leistungseinheiten je Standort installiert?</t>
  </si>
  <si>
    <t xml:space="preserve">Bezug lt. Katalog: Vertragsanlage 04
Katalogdatum: 12.02.2025 // Antwort: Die Leistungseinheiten sind als Teil der Ladetechnik und Teil der Rastanlage zu verstehen. Dementsprechend gelten auch hier die in der Vertragsanlage 4, Abs. 3.10.1 aufgeführten Passagen sowie die Vorgaben in Kapitel 9.4.3. der Empfehlungen für Rastanlagen an Straßen der FGSV (ERS Ausgabe 2011). Siehe hierzu auch die Antwort auf die Bieterfrage 31.</t>
  </si>
  <si>
    <t xml:space="preserve">ANF-247</t>
  </si>
  <si>
    <t xml:space="preserve">Nr. 195 / S. 18</t>
  </si>
  <si>
    <t xml:space="preserve">Klarstellung: Ihre Annahme ist unzutreffend. Im Leistungsumfang ist die gesamte unterirdische Vermessung (einschl.</t>
  </si>
  <si>
    <t xml:space="preserve">Gehen wir recht in der Annahme, dass der AG je Standort eine Bestands- und Regenwasserberechnung zur Verfügung stellen wird? Sollten sich umfangreiche Anpassungsmaßnahmen aus der Berechnung der zusätzlich versiegelten Flächen ergeben, gehen wir recht in der Annahme, dass die Umsetzung der notwendigen Maßnahmen a) als zusätzliche Leistung gemäß der Regelung in § 35 gelten oder b) anderweitig angemessen vergütet werden.</t>
  </si>
  <si>
    <t xml:space="preserve">Bezug lt. Katalog: Vertrag, § 7
Katalogdatum: 12.02.2025 // Antwort: Ihre Annahme ist unzutreffend. Im Leistungsumfang ist die gesamte unterirdische Vermessung (einschl. Regenwasserentwässerungssystem) enthalten. Die zusätzliche Berechnung ist ebenfalls im Leistungsumfang des AN enhalten. Siehe auch Antwprt auf Bieterfrage Nr. 43.</t>
  </si>
  <si>
    <t xml:space="preserve">ANF-248</t>
  </si>
  <si>
    <t xml:space="preserve">Nr. 196 / S. 18</t>
  </si>
  <si>
    <t xml:space="preserve">Klarstellung: Jede Rastanlage soll über einen eigenen Netzanschluss angeschlossen werden.</t>
  </si>
  <si>
    <t xml:space="preserve">Gehen wir recht in der Annahme, dass je Standort (auch bei gegenüberliegenden Rastanlagen) ein eigener Netzanschluss hergestellt wird?</t>
  </si>
  <si>
    <t xml:space="preserve">Bezug lt. Katalog: Vertrag, § 43
Katalogdatum: 12.02.2025 // Antwort: Jede Rastanlage soll über einen eigenen Netzanschluss angeschlossen werden.</t>
  </si>
  <si>
    <t xml:space="preserve">ANF-249</t>
  </si>
  <si>
    <t xml:space="preserve">Hinweis des AG / S. 18</t>
  </si>
  <si>
    <t xml:space="preserve">Klarstellung: Wir bitten alle beteiligten Bieter Ihre Fragen in diesem Verfahren ausschließlich über die Vergabeplattform einzureichen.</t>
  </si>
  <si>
    <t xml:space="preserve">Hinweis des AG</t>
  </si>
  <si>
    <t xml:space="preserve">Bezug lt. Katalog: Hinweis des AG // Antwort: Wir bitten alle beteiligten Bieter Ihre Fragen in diesem Verfahren ausschließlich über die Vergabeplattform einzureichen. Fragen die der Autobahn GmbH des Bundes über andere Kanäle gestellt werden, können nicht berücksichtigt und nicht beantwortet werden.</t>
  </si>
  <si>
    <t xml:space="preserve">ANF-250</t>
  </si>
  <si>
    <t xml:space="preserve">Nr. 197 / S. 18</t>
  </si>
  <si>
    <t xml:space="preserve">Klarstellung: Der AG macht keine Vorgaben zur Höhe der Ladepreise gegenüber Endkunden. Der AG legt insbesondere zwei Faktoren fest, die sich auf die Kalkulation der Endkundenladepreise auswirken können: die Höhe des Infrastrukturentgelts und …</t>
  </si>
  <si>
    <t xml:space="preserve">Gehen wir recht in der Annahme, dass der AN zwischen den verschiedenen Use Cases für das Ad-hoc Laden (Übernachtladen/CCS-Zwischenladen, MCS-Zwischenladen) unterschiedliche Ladepreise festlegen darf, oder muss es für die gewählte Ladeart (also EMP/Ad-hoc) einen fixen Preis geben, unabhängig vom gewählten Lade-Use-Case (also z.B. MCS oder CCS)?</t>
  </si>
  <si>
    <t xml:space="preserve">Bezug lt. Katalog: Festlegung Ladepreise (Ad-hoc Laden)
Katalogdatum: 14.02.2025 // Antwort: Der AG macht keine Vorgaben zur Höhe der Ladepreise gegenüber Endkunden. Der AG legt insbesondere zwei Faktoren fest, die sich auf die Kalkulation der Endkundenladepreise auswirken können: die Höhe des Infrastrukturentgelts und dass eine preisliche Differenzierung zwischen den Ladepreisen für das EMP- und ad-hoc-Laden nur statthaft ist, soweit dies insbesondere durch einen geringeren oder höheren Abwicklungsaufwand der Leistungsbeziehung mit einem Mobilitätsdienstleister sachlich gerechtfertigt ist. Des Weiteren wird auf die Antwort zu Bieterfrage 81 verwiesen.</t>
  </si>
  <si>
    <t xml:space="preserve">ANF-251</t>
  </si>
  <si>
    <t xml:space="preserve">Nr. 198 / S. 18</t>
  </si>
  <si>
    <t xml:space="preserve">Klarstellung: Siehe Antworten auf die Bieterfragen 25, 33, 83 und 102. Etwaiger darüber hinaus gehender Verhandlungsbedarf kann angemeldet werden.</t>
  </si>
  <si>
    <t xml:space="preserve">Wenn durch ein Schrankensystem das Falschparken von Diesel LKWs verhindert werden kann und eine Reservierung ermöglicht wird, dann kann ein spontaner Ladevorgang nur durch eine spontane Reservierung des Ladeplatzes ermöglicht werden. Folglich fallen auch bei spontanen Ladevorgängen Reservierungsentgelte an. Ist dies von Seiten des AG gebilligt?</t>
  </si>
  <si>
    <t xml:space="preserve">Bezug lt. Katalog: Leistungsbeschreibung
Katalogdatum: 17.02.2025 // Antwort: Siehe Antworten auf die Bieterfragen 25, 33, 83 und 102. Etwaiger darüber hinaus gehender Verhandlungsbedarf kann angemeldet werden.</t>
  </si>
  <si>
    <t xml:space="preserve">OCPI Buchungskalender / Pönalisierungssystem</t>
  </si>
  <si>
    <t xml:space="preserve">ANF-252</t>
  </si>
  <si>
    <t xml:space="preserve">Nr. 199 / S. 18</t>
  </si>
  <si>
    <t xml:space="preserve">Klarstellung: Der AG wird mit der Einladung zu den Bieterverhandlungen eine Agenda für das Gespräch übersenden, um die Bieter über den Ablauf der Verhandlungen im Einzelnen zu informieren.</t>
  </si>
  <si>
    <t xml:space="preserve">Wie läuft die Verhandlungsphase ab? Wer ist von Seiten der Auftraggeber anwesend? Was wird von den Bietern erwartet? Dürfen Berater oder Unterauftragnehmer Teil des Verhandlungsteams sein? Wird ein Übersetzer für nicht-deutschsprachige Kollegen vor Ort sein dürfen?</t>
  </si>
  <si>
    <t xml:space="preserve">Bezug lt. Katalog: Verfahren
Katalogdatum: 17.02.2025 // Antwort: Der AG wird mit der Einladung zu den Bieterverhandlungen eine Agenda für das Gespräch übersenden, um die Bieter über den Ablauf der Verhandlungen im Einzelnen zu informieren. Im Rahmen der Verhandlungen werden die Bieter die Möglichkeit haben, ihr Angebot vorzustellen. Berater oder Vertreter eines Unterauftragnehmers dürfen an den Verhandlungen teilnehmen, soweit dies aus Sicht des Bieters notwendig ist. Auch die Beteiligung eines Übersetzers ist zulässig.</t>
  </si>
  <si>
    <t xml:space="preserve">ANF-253</t>
  </si>
  <si>
    <t xml:space="preserve">Nr. 200 / S. 18</t>
  </si>
  <si>
    <t xml:space="preserve">Klarstellung: Der relevante Index ist im Vertrag definiert. Wir bitten darum, diesen zu verwenden.</t>
  </si>
  <si>
    <t xml:space="preserve">Könnten wir bitte die Werte der Inflationsindizes erhalten, die zur Berechnung der Werte von L0 und M0 in der Formel für das Betreiberentgelt verwendet werden? Bitte bestätigen Sie die aktuellen (bzw. neuesten) Werte.</t>
  </si>
  <si>
    <t xml:space="preserve">Bezug lt. Katalog: Preisblatt
Katalogdatum: 17.02.2025 // Antwort: Der relevante Index ist im Vertrag definiert. Wir bitten darum, diesen zu verwenden. Wir bitten um Hinweis, falls der Index nicht eindeutig beschrieben ist. Sollten Sie der Auffassung sein, dass ein anderer Index besser geeignet ist, bitten wir mit dem Erstangebot um Hinweis im Formblatt A6.</t>
  </si>
  <si>
    <t xml:space="preserve">ANF-254</t>
  </si>
  <si>
    <t xml:space="preserve">Nr. 201 / S. 18</t>
  </si>
  <si>
    <t xml:space="preserve">Klarstellung: Es ist aktuell nicht vorgesehen eine wie von Ihnen angefragte Toleranz einzuräumen. Wir verweisen auf die Vertragsanlage 6 „Anforderungen an die Ladeeinrichtungen", Abs.</t>
  </si>
  <si>
    <t xml:space="preserve">Gemäß Abschnitt 2, Vertragsanlage 6 "Anforderungen an die Ladeeinrichtung" ist eine dauerhafte Ladeleistung von 800 kW für MCS und 400 kW für CCS-Zwischenladen vorzuhalten. Der marktführende Hersteller Alpitronic bietet eine Leistungseinheit mit einer Gesamtleistung von 2 MW an, die in Schaltstufen von 62,5 kW granular steuerbar ist. Unter diesen technischen Rahmenbedingungen stünden neben zwei MCS-Ladepunkten noch 375 kW für einen CCS-Zwischenladepunkt zur Verfügung. Vor diesem Hintergrund wird um Klarstellung gebeten, ob im Rahmen der Leistungsanforderungen eine Toleranz von 10 % auf die garantierte Ladeleistung für CCS-Zwischenladepunkte eingeräumt werden kann, um eine optimierte Systemauslastung zu ermöglichen.</t>
  </si>
  <si>
    <t xml:space="preserve">Bezug lt. Katalog: Vertragsanlage 06
Katalogdatum: 17.02.2025 // Antwort: Es ist aktuell nicht vorgesehen eine wie von Ihnen angefragte Toleranz einzuräumen. Wir verweisen auf die Vertragsanlage 6 „Anforderungen an die Ladeeinrichtungen", Abs. 2.2.1: „Jeder CCS-Ladepunkt muss eine Nennladeleistung von mindestens 400 kW (DC) dauerhaft abgeben können (höhere Leistungen sind zulässig)." „Soweit Leistungseinheiten durch mehrere CCS-Ladepunkte gemeinsam genutzt werden, muss die Nennladeleistung dauerhaft zeitgleich an jedem CCS-Ladepunkt bereitstehen." Soweit eine entsprechende Anpassung für sinnvoll und erforderlich erachtet wird, ist der Bieter eingeladen dies mit der Verhandlungsbedarfsliste (Formblatt A6) mit dem Erstangbeot darzulegen.</t>
  </si>
  <si>
    <t xml:space="preserve">ANF-255</t>
  </si>
  <si>
    <t xml:space="preserve">Nr. 202 / S. 18</t>
  </si>
  <si>
    <t xml:space="preserve">Klarstellung: Trailer mit Zugfahrzeugen mit Verbrennungsmotor sind von der Regelung zum Trailerladen nicht adressiert.</t>
  </si>
  <si>
    <t xml:space="preserve">Der § 3 Nr. 25 EnWG legt fest, dass der Strombezug der Ladepunkte für Elektromobile dem Letztverbrauch gemäß EnWG gleichsteht. Im Sinne der LSV ist nach § 2 Nr. 1 ein Elektromobil ein reines Batterieelektrofahrzeug oder ein von außen aufladbares Hybridelektrofahrzeug der Klassen M1 und N1 i.S.d. Anhangs II Teil A der RL 2007/46/EG (BerlKommEnergieR/Boesche EnWG § 3 Rn. 152). Trailer mit Zugfahrzeug mit Verbrennungsmotor fallen nicht unter diese Definition und sind somit keine Elektromobile i.S.d. LSV. Das würde dazu führen, dass der Betreiber von Ladepunkten für Trailer als Energieversorgungsunternehmen im Sinne des EnWG eingestuft wird. Dies hätte zur Folge, dass Betreiber von Ladepunkten die gleichen rechtlichen Pflichten wie Energieversorger erfüllen müssten, was die Komplexität der Betreiberpflichten erheblich erhöhen würde und dem Betreiber nicht zumutbar wäre. Da die Ergänzung in § 3 Nr. 25 EnWG auf den Strombezug der Ladepunkte für Elektromobile den Sinn und Zweck hat, eine solche Einstufung zu vermeiden, möchten wir daher fragen, ob das wirklich so gewollt ist.</t>
  </si>
  <si>
    <t xml:space="preserve">Bezug lt. Katalog: Trailerversorgung
Katalogdatum: 17.02.2025
Zuordnung prüfen (Komponente/Partner nicht eindeutig) // Antwort: Trailer mit Zugfahrzeugen mit Verbrennungsmotor sind von der Regelung zum Trailerladen nicht adressiert. Es wäre zu untersuchen, inwieweit die Regelung des § 3 Nr. 25 EnWG auch bei E-LkWs im Kontext Trailerladen fruchtbar gemacht werden kann. Falls nicht wäre in den Bietreverhandlungen abzustimmen, welche Ableitungen daraus resultieren.</t>
  </si>
  <si>
    <t xml:space="preserve">ANF-256</t>
  </si>
  <si>
    <t xml:space="preserve">Nr. 203 / S. 19</t>
  </si>
  <si>
    <t xml:space="preserve">Klarstellung: Zu a) Nein, diese Annahme ist falsch. Im Rahmen des Angebots sollen als Teil des Personalkonzepts personalisierte Profile des für die Auftragsausführung vorgesehenen Personals, also konkreter Mitarbeiter*innen, eingereicht werden.</t>
  </si>
  <si>
    <t xml:space="preserve">Im Rahmen des Errichtungskonzepts sind personalisierte Profile des für die Auftragsausführung vorgesehenen Personals einzureichen. a) Gehen wir richtig in der Annahme, dass es ausreichend ist, das Personalkonzept so zu gestalten, dass der Auftragsausführung laufend die notwendigen qualifizierten Bauingenieure mit relevanter Erfahrung zur Verfügung stehen? Oder müssen die Daten der einzelnen Mitarbeiter offengelegt werden (Stichwort: Datenschutz)? b) Es kann keine Garantie dafür gegeben werden, dass der im Personalkonzept genannte Mitarbeiter (soweit man wirklich den genauen Mitarbeiter benennen muss) während der gesamten Errichtungsphase beim Auftragnehmer tätig ist. Wie wird mit dieser Situation umgegangen? c) Ist der namentlich zu nennende Gesamtprojektleiter (Ansprechpartner) nach Vertragsanlage 04 Ziffer 2.4. auch bereits im Errichtungskonzept des Erstangebots und/oder finalen Angebot zu benennen oder gehen wir richtig der Annahme, dass dieser erst wie in Ziff. 2.4. geschrieben, mit Zuschlagserteilung zu benennen ist?</t>
  </si>
  <si>
    <t xml:space="preserve">Bezug lt. Katalog: Anlage 03 zum Verfahrensbrief
Katalogdatum: 17.02.2025 // Antwort: Zu a) Nein, diese Annahme ist falsch. Im Rahmen des Angebots sollen als Teil des Personalkonzepts personalisierte Profile des für die Auftragsausführung vorgesehenen Personals, also konkreter Mitarbeiter*innen, eingereicht werden. Datenschutzrechtliche Bedenken sieht der AG nicht, da die Benennung der personenbezogenen Daten bei Einwilligung der betroffenen Person zulässig ist. Zu b) Im Rahmen des Personalkonzepts ist ein Konzept für die Personalorganisation gefordert. Beispielhaft ist in den Zuschlagskriterien auch der von Ihnen geschilderte Fall benannt. Dort heißt es, dass insbesondere relevant ist "wie bei einem dauerhaften Auswahll von Personal möglichst kurzfristig ein gleichwertiger Ersatz sichergestellt würde". Zu c) Diese Annahme ist nicht richtig. Die Vertragsanlage 04 regelt Pflichten des AN, unter anderem, dass der Gesamtprojektleiter ab dem Zuschlag für das Projekt verantwortlich ist. Daraus folgt aber nicht, dass die Person erst mit Zuschlag zu benennen ist, sondern es gilt, dass das eingesetzte Personal im Angebot im Rahmen des Errichtungskonzepts zu benennen ist. Wir weisen aber darauf hin, dass die Angaben zum finalen Angebot noch einmal angepasst werden dürfen.</t>
  </si>
  <si>
    <t xml:space="preserve">ANF-257</t>
  </si>
  <si>
    <t xml:space="preserve">Nr. 204 / S. 19</t>
  </si>
  <si>
    <t xml:space="preserve">Klarstellung: Grundsätzlich basiert die Schnittstellenspezifikation auf dem OCPI-Standard. Es gibt jedoch einzelne Abweichungen, die aufgrund der konkreten Vertragsgestaltung mit individuellen Datenfeldern abgedeckt werden müssen.</t>
  </si>
  <si>
    <t xml:space="preserve">Hier wird das Datenfeld 'ab_minimum_rated_power' (Mindestnennleistung in Watt [W]) gefordert. Dieses Feld ist nicht im OCPI-Standard enthalten und weicht von den Anforderungen der PWC-Ausschreibung ab. Wäre es möglich, diese Anforderung zu streichen, um eine bessere Kompatibilität mit dem OCPI-Standard und Konsistenz mit der PWC-PKW Autobahnlos Ausschreibung zu gewährleisten?</t>
  </si>
  <si>
    <t xml:space="preserve">Bezug lt. Katalog: Vertragsanlage 11
Katalogdatum: 17.02.2025 // Antwort: Grundsätzlich basiert die Schnittstellenspezifikation auf dem OCPI-Standard. Es gibt jedoch einzelne Abweichungen, die aufgrund der konkreten Vertragsgestaltung mit individuellen Datenfeldern abgedeckt werden müssen. Das beschriebene Datenfeld ist im besonderen Maße relevant, da hierdurch die vertraglich vereinbarte Mindestnennleistung eines Ladepunkts spezifisch nachgewiesen werden kann.</t>
  </si>
  <si>
    <t xml:space="preserve">ANF-258</t>
  </si>
  <si>
    <t xml:space="preserve">Nr. 205 / S. 19</t>
  </si>
  <si>
    <t xml:space="preserve">Klarstellung: Dieser Punkt kann zum Gegenstand der Vertragsverhandlungen gemacht werden. Der AG bittet um Verwendung der mit dem Erstangebot einzureichenden Verhandlungsbedarfsliste.</t>
  </si>
  <si>
    <t xml:space="preserve">Hier werden die Felder 'ab_automatic_restart_timestamp' und 'ab_automatic_restart_count' gefordert. Diese Felder sind weder im OCPI-Standard enthalten noch in der PWC-PKW Autobahnlos-Ausschreibung vorgesehen. Eine Abweichung vom OCPI-Standard sowie von der PWC- Ausschreibung erschwert die technische Implementierung erheblich. Da zudem die technische Unterscheidung zwischen manuellen und automatischen Neustarts komplex ist, möchten wir anregen, diese Felder als optional zu definieren oder zu streichen.</t>
  </si>
  <si>
    <t xml:space="preserve">Bezug lt. Katalog: Vertragsanlage 11, Kapitel 5d - Reportinganforderungen
Katalogdatum: 17.02.2025 // Antwort: Dieser Punkt kann zum Gegenstand der Vertragsverhandlungen gemacht werden. Der AG bittet um Verwendung der mit dem Erstangebot einzureichenden Verhandlungsbedarfsliste.</t>
  </si>
  <si>
    <t xml:space="preserve">OCPI Buchungskalender / Monitoring</t>
  </si>
  <si>
    <t xml:space="preserve">ANF-259</t>
  </si>
  <si>
    <t xml:space="preserve">Nr. 206 / S. 19</t>
  </si>
  <si>
    <t xml:space="preserve">Klarstellung: Eine Hohe Verfügbarkeit der Ladepunkte ist von höchster Relevanz. Daher sind Zeiten, in denen der Ladepunkt durch ein nicht-ladendes Fahrzeug blockiert wird zu vermeiden.</t>
  </si>
  <si>
    <t xml:space="preserve">Hier wird zur Verfügbarkeit der Status 'BLOCKED' als Ausfallzeit gewertet. Dieser Status wird jedoch standardmäßig verwendet, wenn ein Fahrzeug den Ladeplatz blockiert, ohne zu laden (z.B. durch Parkplatz-Sensorik erkannt, wie es auch bei uns implementiert ist). Wäre es möglich, den Status 'BLOCKED' von der Definition der Ausfallzeit auszunehmen?</t>
  </si>
  <si>
    <t xml:space="preserve">Bezug lt. Katalog: Vertragsanlage 11, Kapitel 7(1)
Katalogdatum: 17.02.2025
Zuordnung prüfen (Komponente/Partner nicht eindeutig) // Antwort: Eine Hohe Verfügbarkeit der Ladepunkte ist von höchster Relevanz. Daher sind Zeiten, in denen der Ladepunkt durch ein nicht-ladendes Fahrzeug blockiert wird zu vermeiden. Im Übrigen kann dieser Punkt zum Gegenstand der Vertragsverhandlungen gemacht werden. Der AG bittet um Verwendung der mit dem Erstangebot einzureichenden Verhandlungsbedarfsliste.</t>
  </si>
  <si>
    <t xml:space="preserve">ANF-260</t>
  </si>
  <si>
    <t xml:space="preserve">Nr. 207 / S. 19</t>
  </si>
  <si>
    <t xml:space="preserve">Klarstellung: Die Position 3.7 bezieht sich auf die Kosten für die folgenden Komponenten: Trafo, Schaltanlage, Ladetechnik.</t>
  </si>
  <si>
    <t xml:space="preserve">Inwiefern unterscheiden sich die Positionen 3.7 und 3.9 bzw. insbesondere die Kostenpositionen Ladetechnik in 3.7 vs. Ladebetriebstechnik in 3.9? Welche Kosten sollen jeweils ausgewiesen werden?</t>
  </si>
  <si>
    <t xml:space="preserve">Bezug lt. Katalog: Anlage 6 zum Verfahrensbrief, Preisblatt zu Errichtung - Gliederung 3.7 und 3.9
Katalogdatum: 17.02.2025 // Antwort: Die Position 3.7 bezieht sich auf die Kosten für die folgenden Komponenten: Trafo, Schaltanlage, Ladetechnik. Die Position 3.9 bezieht sich auf die Lieferung, Montage und die Inbetriebnahme der jeweiligen Komponenten.</t>
  </si>
  <si>
    <t xml:space="preserve">ANF-261</t>
  </si>
  <si>
    <t xml:space="preserve">Nr. 208 / S. 19</t>
  </si>
  <si>
    <t xml:space="preserve">Verweis des Auftraggebers auf die Antwort zu Bieterfrage 111.</t>
  </si>
  <si>
    <t xml:space="preserve">Bezieht sich diese Leistung ausschließlich auf das Dach der zu errichtenden Übergabe-/Trafostation oder ist der Aufbau weiterer Dächer geplant?</t>
  </si>
  <si>
    <t xml:space="preserve">Bezug lt. Katalog: Anlage 11, Ziffer 6.3
Katalogdatum: 17.02.2025 // Antwort: Siehe die Antwort auf die Bieterfrage 111.</t>
  </si>
  <si>
    <t xml:space="preserve">Automatisch ausgewertet: Die Antwort des Auftraggebers verweist ausschließlich auf Bieterfrage 111. Keine eigenständige Anforderung – der Inhalt ist unter der dort erfassten Zeile nachzuhalten.</t>
  </si>
  <si>
    <t xml:space="preserve">ANF-262</t>
  </si>
  <si>
    <t xml:space="preserve">Nr. 209 / S. 19</t>
  </si>
  <si>
    <t xml:space="preserve">Klarstellung: Ihre Annahme ist unzutreffend. Die Zuständigkeit liegt während der Vertragslaufzeit bei dem AN.</t>
  </si>
  <si>
    <t xml:space="preserve">Gehen wir richtig in der Annahme, dass Ladeparkplätze, Geh- und Fahrwege etc., deren Oberflächen vom Auftragnehmer im Zuge der Errichtungsarbeiten neu hergestellt/wiederherstellt werden, nicht durch den Auftragnehmer während der Vertragslaufzeit zu warten und instandzuhalten? (z.B. Schäden an den Oberflächen beseitigen, kehren, von Müll/Unrat befreien, Winterdienst, Verkehrssicherung)</t>
  </si>
  <si>
    <t xml:space="preserve">Bezug lt. Katalog: Anlage 11, Ziffer 6.3
Katalogdatum: 17.02.2025
Zuordnung prüfen (Komponente/Partner nicht eindeutig) // Antwort: Ihre Annahme ist unzutreffend. Die Zuständigkeit liegt während der Vertragslaufzeit bei dem AN.</t>
  </si>
  <si>
    <t xml:space="preserve">ANF-263</t>
  </si>
  <si>
    <t xml:space="preserve">Nr. 210 / S. 19</t>
  </si>
  <si>
    <t xml:space="preserve">Klarstellung: Es ist grundsätzlich keine Gleichzeitigkeit festgelegt. Sie ergibt sich aus den Anforderungen der technischen Spezifikationen aus Anlage 6.</t>
  </si>
  <si>
    <t xml:space="preserve">Mit welcher Gleichzeitigkeit sollen bzw. können die Standorte ausgelegt werden? Eine Gleichzeitigkeit von 1 führt ggf. zu einer (unnötigen) Überdimensionierung der elektrischen Infrastruktur, insb. der Übergabe- und Trafostationen.</t>
  </si>
  <si>
    <t xml:space="preserve">Bezug lt. Katalog: Vertragsanlage 5
Katalogdatum: 17.02.2025 // Antwort: Es ist grundsätzlich keine Gleichzeitigkeit festgelegt. Sie ergibt sich aus den Anforderungen der technischen Spezifikationen aus Anlage 6. Für die Auslegung der Netzanschlussleistungen wurden die MCS Ladepunkte mit 800 kW und die CCS-Zwischenladepunkte mit 400 kW berücksichtigt. Das gleichzeitige Laden an allen MCS und CCS-Zwischenladepunkten muss unter Berücksichtiugung der installierten Ladeleistung möglich sein. Das ist durch die ausreichende Dimensionierung der Kundenanlage sicherzustellen. Auch die gleichzeitige Nutzung der Ladepunkte zum Übernachtladen ist unter Berücksichtigung der installierten Ladeleistung sicherzustellen. Zur Einhaltung der maximalen Netzanschlussleistung können Ladepunkte zum Zwischenladen priorisiert versorgt werden.</t>
  </si>
  <si>
    <t xml:space="preserve">ANF-264</t>
  </si>
  <si>
    <t xml:space="preserve">Nr. 211 / S. 19</t>
  </si>
  <si>
    <t xml:space="preserve">Klarstellung: Eine begrenzte Kapazität ist diskriminierungsfrei zu verteilen, d.h. unabhängig vom Anwendingsfall "Durchleitung".</t>
  </si>
  <si>
    <t xml:space="preserve">§ 44 des Betreibervertrages führt aus, dass der AG zur Überbrückung von Engpässen bei der Anschlusskapazität Speicher aufstellen und dem AN zum Betrieb übergeben kann. Welche Regeln gelten in diesem Fall für die Verteilung der begrenzten Anschlusskapazität im Falle der Durchleitung und welche Regen gelten für die Bepreisung des aus dem Speicher zur Verfügung gestellten Stroms? Welche Vorstellungen hat der AG für den ggf. notwendigen Informationsfluss zur Fahrplananmeldung der betroffenen Akteure?</t>
  </si>
  <si>
    <t xml:space="preserve">Bezug lt. Katalog: Betreibervertrag
Katalogdatum: 17.02.2025 // Antwort: Eine begrenzte Kapazität ist diskriminierungsfrei zu verteilen, d.h. unabhängig vom Anwendingsfall "Durchleitung". Die Frage der Bepreisung stellt sich zwingend erst, wenn für Durchleitungsfälle eingespeicherter Strom genutzt werden muss. Wie mit doiesem - theoretischen - Fall zu verfahren ist, kann in den Bietergesprächen erörtert werden.</t>
  </si>
  <si>
    <t xml:space="preserve">ANF-265</t>
  </si>
  <si>
    <t xml:space="preserve">Nr. 212 / S. 19</t>
  </si>
  <si>
    <t xml:space="preserve">Klarstellung: Es besteht keine Verpflichtung des AN ,die Stromversorgung für Trailer AFIR konform zu gestalten.</t>
  </si>
  <si>
    <t xml:space="preserve">Nach Artikel 2 Nr. 48 AFIR bezeichnet ein „Ladepunkt“ eine feste oder mobile, netzgebundene oder netzunabhängige Schnittstelle für die Übertragung von Strom auf ein Elektrofahrzeug. Ein Trailer mit Zugfahrzeug mit Verbrennungsmotor ist kein Elektrofahrzeug. Die AFIR wäre in dem Fall nicht anwendbar. Gehen wir richtig der Annahme, dass § 8 Nr. 3 Betreibervertrag bzgl. der Verpflichtung die Errichtung AFIR konform zu gestalten, den Ladepunkt für Trailerladen ausnimmt?</t>
  </si>
  <si>
    <t xml:space="preserve">Bezug lt. Katalog: Vertragsanlage 6
Katalogdatum: 17.02.2025
Zuordnung prüfen (Komponente/Partner nicht eindeutig) // Antwort: Es besteht keine Verpflichtung des AN ,die Stromversorgung für Trailer AFIR konform zu gestalten. Die Stromversorgung für Trailer fällt nicht unter die Vorgaben der AFIR.</t>
  </si>
  <si>
    <t xml:space="preserve">ANF-266</t>
  </si>
  <si>
    <t xml:space="preserve">Nr. 213 / S. 20</t>
  </si>
  <si>
    <t xml:space="preserve">Klarstellung: Aktuell ist das Durchleitungsmodell für das Trailerladen nicht vorzusehen. Zur Frage der Anwendbarkeit des § 3 Nr.</t>
  </si>
  <si>
    <t xml:space="preserve">Inwiefern ist der Ladepunkt bzw. die Ladeeinrichtung für Trailer für ein Durchleitungsmodell vorzusehen, obwohl der rechtliche Rahmen hierfür ggf. nicht gegeben ist? Hier bitten wir um eine rechtliche Einschätzung und Klarstellung, inwiefern der Trailer-Ladepunkt als Letztverbraucher im Sinne des EnWG anzusehen ist.</t>
  </si>
  <si>
    <t xml:space="preserve">Bezug lt. Katalog: Vertragsanlage 6
Katalogdatum: 17.02.2025 // Antwort: Aktuell ist das Durchleitungsmodell für das Trailerladen nicht vorzusehen. Zur Frage der Anwendbarkeit des § 3 Nr. 25 EnWG verweisen wir auf die Antwort zur Bieterfrage 202.</t>
  </si>
  <si>
    <t xml:space="preserve">ANF-267</t>
  </si>
  <si>
    <t xml:space="preserve">Nr. 214 / S. 20</t>
  </si>
  <si>
    <t xml:space="preserve">Klarstellung: Die externe Stromversorgung für Trailer mittels CEE-Standard muss den jeweils gültigen Richtlinien und anerkannten Regeln der Technik entsprechen.</t>
  </si>
  <si>
    <t xml:space="preserve">Erfüllt eine Ladeeinrichtung für Trailer mit CEE-Steckdose die Schutzziele der anwendbaren und gültigen EU-Richtlinien, bspw. LVD 2024/35/EU, obwohl für Ladeeinrichtungen die entsprechenden harmonisierten Produktnormenreihen wie IEC EN 61851 und IEC EN 62196 anzuwenden sind, die erst eine CE- Konformitätsvermutung ggf. zulassen?</t>
  </si>
  <si>
    <t xml:space="preserve">Bezug lt. Katalog: Vertragsanlage 6
Katalogdatum: 17.02.2025 // Antwort: Die externe Stromversorgung für Trailer mittels CEE-Standard muss den jeweils gültigen Richtlinien und anerkannten Regeln der Technik entsprechen. Es ist hier der bereits in der Branche etablierte Industriestandard für die Stromversorgung der Trailer unzusetzen, um herstellerübergreifend eine externe Stromversorgung zu ermöglichen. Im Übrigen kann dieser Punkt zum Gegenstand der Vertragsverhandlungen gemacht werden. Der AG bittet um Verwendung der mit dem Erstangebot einzureichenden Verhandlungsbedarfsliste.</t>
  </si>
  <si>
    <t xml:space="preserve">ANF-268</t>
  </si>
  <si>
    <t xml:space="preserve">Nr. 215 / S. 20</t>
  </si>
  <si>
    <t xml:space="preserve">Klarstellung: Die Eingangsmittelspannungsebene, an welcher Standorte angebunden werden, kann zum jetzigen Zeitpunkt nicht final benannt werden.</t>
  </si>
  <si>
    <t xml:space="preserve">Da die Netzspannung auf MS-Ebene an den Standorten derzeit noch unklar ist, diese jedoch einen signifikanten Einfluss u.a. auf die Auslegung und Kosten der MS-Schaltanlage hat, stellt sich die Frage: Mit welcher Netzspannung soll die elektrische Infrastruktur, insbesondere die Übergabe- und die Trafostation(en) sowie Übertragungskomponenten, technisch ausgelegt und für die Kostenkalkulation gerechnet werden?</t>
  </si>
  <si>
    <t xml:space="preserve">Bezug lt. Katalog: Vertragsanlage 4 (LB Errichtung) und Anlage 4 (Preisblatt) - MS- Ebene - Netzspannung
Katalogdatum: 17.02.2025 // Antwort: Die Eingangsmittelspannungsebene, an welcher Standorte angebunden werden, kann zum jetzigen Zeitpunkt nicht final benannt werden. Eine wahrscheinliche Spannungsebene für viele Standorte ist die 20kV. Weitere Spannungsebenen, die sich gemäß der technischen Systemkonfiguration ergeben, sind durch den AN zu bestimmen.</t>
  </si>
  <si>
    <t xml:space="preserve">ANF-269</t>
  </si>
  <si>
    <t xml:space="preserve">Nr. 216 / S. 20</t>
  </si>
  <si>
    <t xml:space="preserve">Klarstellung: Grundsätzlich regelt § 23 die Instandhaltung, Wiederherstellung und Erneuerung der Ladeinfrastruktur.</t>
  </si>
  <si>
    <t xml:space="preserve">Wie sind Ersatzinvestitionen der Ladehardware bei Inkrafttreten der 4 Jahres Laufzeitoption zu handhaben?</t>
  </si>
  <si>
    <t xml:space="preserve">Bezug lt. Katalog: § 52 Nr. 1 Betreibervertrag
Katalogdatum: 17.02.2025 // Antwort: Grundsätzlich regelt § 23 die Instandhaltung, Wiederherstellung und Erneuerung der Ladeinfrastruktur. Im Übrigen kann eine sinnvolle Erweiterung der Regelungen für den Fall der Vertragsverlängerung, Gegenstand der Bieterverhandlungen sein.</t>
  </si>
  <si>
    <t xml:space="preserve">ANF-270</t>
  </si>
  <si>
    <t xml:space="preserve">Nr. 217 / S. 20</t>
  </si>
  <si>
    <t xml:space="preserve">Klarstellung: Zum aktuellen Zeitpunkt geht der AG nicht davon aus, dass bei der Umwandlung der Ladeplätze von CCS in MCS die Breiten anzupassen sind.</t>
  </si>
  <si>
    <t xml:space="preserve">Im Rahmen des Ausbauschrittes 2035 ist auch die Umrüstung von CCS- Ladepunkten zu MCS-Ladepunkten vorgesehen. Es stellt sich die Frage, wie bei der Umwandlung eines CCS-Ladepunktes in einen MCS-Ladepunkt mit den unterschiedlichen Ladeplatzmaßen (3,5 m für CCS und 4 m für MCS) umgegangen werden soll. Gehen wir recht der Annahme, dass in diesem Fall eine Ausnahme der 4 Meter Maße gemacht werden kann?</t>
  </si>
  <si>
    <t xml:space="preserve">Bezug lt. Katalog: Anlage 04, Ausbau 2035
Katalogdatum: 17.02.2025
Zuordnung prüfen (Komponente/Partner nicht eindeutig) // Antwort: Zum aktuellen Zeitpunkt geht der AG nicht davon aus, dass bei der Umwandlung der Ladeplätze von CCS in MCS die Breiten anzupassen sind.</t>
  </si>
  <si>
    <t xml:space="preserve">ANF-271</t>
  </si>
  <si>
    <t xml:space="preserve">Nr. 218 / S. 20</t>
  </si>
  <si>
    <t xml:space="preserve">Klarstellung: Es ist wie in der Vertragsanlage 4, Abs. 4.11.1 beschrieben, eine "Ökobilanz gemäß DIN EN ISO 14040 und DIN EN ISO 14044 aufzustellen und vorzulegen".</t>
  </si>
  <si>
    <t xml:space="preserve">Es ist eine Ökobilanz von allen Lieferbaustoffen vorgeschrieben. Es gibt für meisten Baustoffe verfügbare Ökobilanzen in den einschlägigen Datenbanken. Inwieweit dürfen diese Bilanzen hierfür 1:1 genutzt werden oder erwartet der AG aktualisierte und ggf. gar auf den spezifischen Standort und die Baustofflieferanten bezogene Ökobilanzen?</t>
  </si>
  <si>
    <t xml:space="preserve">Bezug lt. Katalog: Anlage 4, S. 35 - Ökobilanzen
Katalogdatum: 17.02.2025 // Antwort: Es ist wie in der Vertragsanlage 4, Abs. 4.11.1 beschrieben, eine "Ökobilanz gemäß DIN EN ISO 14040 und DIN EN ISO 14044 aufzustellen und vorzulegen".</t>
  </si>
  <si>
    <t xml:space="preserve">ANF-272</t>
  </si>
  <si>
    <t xml:space="preserve">Nr. 219 / S. 20</t>
  </si>
  <si>
    <t xml:space="preserve">Klarstellung: Die Platzreserve von 20% bezieht sich auf die gesamte Kabeltrasse. Die Planung der erforderlichen Kabeltrasse und der Einsatz von Kabelzugrohren obliegt dem AN.</t>
  </si>
  <si>
    <t xml:space="preserve">Wie ist eine Platzreserve von 20% bei Kabelzugrohren zu verstehen? In der Regel füllen die Kabel deutlich weniger als 80% des Volumens eines Zugrohrs, wenn in dieses bereits keine weiteren Kabel mehr eingezogen werden können. Für welche Kabel (Größe) soll Platz reserviert werden?</t>
  </si>
  <si>
    <t xml:space="preserve">Bezug lt. Katalog: Anlage 4, Ziff. 4.11.6. Ausbau 2035
Katalogdatum: 17.02.2025 // Antwort: Die Platzreserve von 20% bezieht sich auf die gesamte Kabeltrasse. Die Planung der erforderlichen Kabeltrasse und der Einsatz von Kabelzugrohren obliegt dem AN. Der AN hat zu berücksichtigen, dass die Kabeltrasse ausreichend dimensioniert ist um die Endausbauleistung 2035 zu übertragen.</t>
  </si>
  <si>
    <t xml:space="preserve">ANF-273</t>
  </si>
  <si>
    <t xml:space="preserve">Nr. 220 / S. 20</t>
  </si>
  <si>
    <t xml:space="preserve">Klarstellung: Wir verweisen auf die Vertragsanlage 6 „Anforderungen an die Ladeeinrichtung" Kapitel 3: "Der CCS-Ladepunkt befindet sich links neben dem Fahrzeug, so dass Fahrzeuge mit der Ladebuchse auf der linken Fahrzeugseite grundsätzlich …</t>
  </si>
  <si>
    <t xml:space="preserve">Das Referenzlayout sieht für CCS-Ladepunkte eine Kabellänge von 5m auch für Standorte mit Ladepunkten linksseitig entlang eines Parkstreifen vor. Damit ist ein auf der Beifahrerseite befindlicher CCS-Anschluss nicht erreichbar. Sind in diesem Fällen auch Lösungen mit mehr als 5m langen Kabeln zulässig?</t>
  </si>
  <si>
    <t xml:space="preserve">Bezug lt. Katalog: Anlage 01a Musterlayout, Kabellänge
Katalogdatum: 17.02.2025 // Antwort: Wir verweisen auf die Vertragsanlage 6 „Anforderungen an die Ladeeinrichtung" Kapitel 3: "Der CCS-Ladepunkt befindet sich links neben dem Fahrzeug, so dass Fahrzeuge mit der Ladebuchse auf der linken Fahrzeugseite grundsätzlich laden können. Das Laden von der rechten Seite soll zusätzlich ermöglicht werden. Die Länge der CCS-Ladekabel muss ausreichend in der Länge und Querschnitt dimensioniert werden, sodass alle nach dem Vertrag definierten E-Lkw abhängig von Parkposition, Parkplatzgröße und spezifischer Lage der Ladebuchse im Fahrzeug sicher und handhabbar geladen werden können."</t>
  </si>
  <si>
    <t xml:space="preserve">ANF-274</t>
  </si>
  <si>
    <t xml:space="preserve">Nr. 221 / S. 20</t>
  </si>
  <si>
    <t xml:space="preserve">Klarstellung: Die genaue Definition des Arbeitsbeginns als Tagesanbruch bleibt dem AN überlassen. Der morgendliche Arbeitsbeginn ist dabei möglich.</t>
  </si>
  <si>
    <t xml:space="preserve">Die Ausführungsbestimmungen für die Baumaßnahme sehen wochentags eine 2 mal-tägliche Kontrolle der Baustelle vor, davon einmal bei Tagesanbruch. Angesichts der Schwankungen des Tagesanbruchs zwischen 4:30 und 8:30 im Laufe des Jahres, stellt sich die Frage, ob es nicht effizienter und auch ausreichend wäre, diesen Kontrollzeitpunkt auf den des morgendlichen Arbeitsbeginns zu legen?</t>
  </si>
  <si>
    <t xml:space="preserve">Bezug lt. Katalog: Anlage 04 Leistungsbeschreibung Errichtung, Abschnitt 4.9., S.33 - Sicherung
Katalogdatum: 17.02.2025 // Antwort: Die genaue Definition des Arbeitsbeginns als Tagesanbruch bleibt dem AN überlassen. Der morgendliche Arbeitsbeginn ist dabei möglich.</t>
  </si>
  <si>
    <t xml:space="preserve">ANF-275</t>
  </si>
  <si>
    <t xml:space="preserve">Nr. 222 / S. 20</t>
  </si>
  <si>
    <t xml:space="preserve">Bestätigt: alle auf den Rastanlagen verbauten Materialien, Baustoffe und Anlagen müssen vollumfänglich in Ihrer Quantität und Qualität dokumentiert werden.</t>
  </si>
  <si>
    <t xml:space="preserve">Der AN ist verpflichtet, die vertrags,- vorschriften- und regelkonforme Eignung und Erstellung sämtlicher Stoffe, Komponenten, Anlagen und Bauteile nachzuweisen und zu dokumentieren. Die Vorschriften für ESG stellen auf die Wesentlichkeit ab. Sind hier darüberhinausgehende Analysen zur Erstellung von Stoffen, Komponenten, Anlagen und Bauteilen zu erbringen?</t>
  </si>
  <si>
    <t xml:space="preserve">Bezug lt. Katalog: Anlage 4, S. 22
Katalogdatum: 17.02.2025 // Antwort: Ja, alle auf den Rastanlagen verbauten Materialien, Baustoffe und Anlagen müssen vollumfänglich in Ihrer Quantität und Qualität dokumentiert werden.</t>
  </si>
  <si>
    <t xml:space="preserve">ANF-276</t>
  </si>
  <si>
    <t xml:space="preserve">Nr. 223 / S. 20</t>
  </si>
  <si>
    <t xml:space="preserve">Klarstellung: Auf die Erstangebote wird der Zuschlag nicht erteilt. Wir stellen daher klar, dass es keine Bindefrist für das Erstangebot geben wird.</t>
  </si>
  <si>
    <t xml:space="preserve">Im Angebotsschreiben heißt es: "Unser Angebot, an das wir uns bis zum Ablauf der Bindefrist gebunden halten,...". Wie ist die Unverbindlichkeit des Angebots mit dieser Aussage vereinbar?</t>
  </si>
  <si>
    <t xml:space="preserve">Bezug lt. Katalog: Bindefrist und Verbindlichkeit
Katalogdatum: 17.02.2025 // Antwort: Auf die Erstangebote wird der Zuschlag nicht erteilt. Wir stellen daher klar, dass es keine Bindefrist für das Erstangebot geben wird. Für das finale Angebot wird eine Bindefrist gelten.</t>
  </si>
  <si>
    <t xml:space="preserve">ANF-277</t>
  </si>
  <si>
    <t xml:space="preserve">Nr. 224 / S. 20</t>
  </si>
  <si>
    <t xml:space="preserve">Klarstellung: Ihre Annahme ist zutreffend. Das allgemeingültige Projekthandbuch ist innerhalb von 4 Wochen einzureichen.</t>
  </si>
  <si>
    <t xml:space="preserve">Gehen wir recht in der Annahme, dass die Frist von 4 Wochen für die Einreichung des allgemeinen Projekthandbuchs gilt und nicht für die standortbezogenen? Wann müssen die standortbezogenen Projekthandbücher eingereicht werden?</t>
  </si>
  <si>
    <t xml:space="preserve">Bezug lt. Katalog: Vertragsanlage 4, LB Errichtung; Ziff. 2.3
Katalogdatum: 17.02.2025 // Antwort: Ihre Annahme ist zutreffend. Das allgemeingültige Projekthandbuch ist innerhalb von 4 Wochen einzureichen. Das standortbezogene Projekthanbuch ist in der Phase 1 - Projektvorbereitung einzureichen.</t>
  </si>
  <si>
    <t xml:space="preserve">ANF-278</t>
  </si>
  <si>
    <t xml:space="preserve">Nr. 225 / S. 20</t>
  </si>
  <si>
    <t xml:space="preserve">Anpassung der Unterlagen: Vielen Dank für den Hinweis. In Kap.</t>
  </si>
  <si>
    <t xml:space="preserve">Gemäß Vertragsanlage 04 – LB Errichtung; Ziff. 3.3.5 "Antrag auf Baufreigabe" sind Inhalt und Umfang dessen in Anlage 10 zum Vertrag genauer beschrieben. Wir bitten um Überprüfung, da es sich bei Vertragsanlage 10 um die Anforderungen für die Betriebsfreigabe und nicht um die Baufreigabe handelt.</t>
  </si>
  <si>
    <t xml:space="preserve">Bezug lt. Katalog: Vertragsanlage 04 – LB Errich- tung; Ziff. 3.3.5
Katalogdatum: 17.02.2025 // Antwort: Vielen Dank für den Hinweis. In Kap. 3.3.5 „Antrag auf Baufreigabe und Ausführung" müsste der Verweis auf Anhang 8 erfolgen. Der Verweis wird korrigiert und die angepasste Vertragsunterlage im weiteren Verlauf zur Verfügung gestellt. Siehe hierzu auch die Antwort auf die Bieterfrage 41.</t>
  </si>
  <si>
    <t xml:space="preserve">ANF-279</t>
  </si>
  <si>
    <t xml:space="preserve">Nr. 226 / S. 21</t>
  </si>
  <si>
    <t xml:space="preserve">Klarstellung: zu a) Die Annahme ist unzutreffend. Betriebs-, Wartungs-, und Instandhaltungsunterlagen sind für die gesamte Ladeinfrastruktur (Anlage 1 Betreibervertrag, § 4, Abs.</t>
  </si>
  <si>
    <t xml:space="preserve">a. Gehen wir recht in der Annahme, dass sich die Lieferung von Betriebs-, Wartungs- und Instandhaltungsunterlagen für jede selbstständig funktionierende und einzeln zu wartende Anlage eines Standorts auf die Anlagen Trafostation und Ladesäulen bezieht? b. Andernfalls bitten wir um Mitteilung, welche weiteren Anlagen hiermit gemeint sind. c. Gehen wir recht in der Annahme, dass nur für solche Anlagen(-teile) und Geräte Bedienungsanleitungen zu übergeben sind, für die es Bedienungsanleitungen vom Hersteller gibt? Andernfalls bitten wir um Konkretisierung, für welche Anlagen(-teile) und Geräte Bedienungsanleitungen projektspezifisch zu erstellen sind.</t>
  </si>
  <si>
    <t xml:space="preserve">Bezug lt. Katalog: Vertragsanlage 04 – LB Errich- tung; Ziff. 3.3.5 Absatz „Betriebs- , Wartungs- und Instandhaltungs- unterlagen“
Katalogdatum: 17.02.2025 // Antwort: zu a) Die Annahme ist unzutreffend. Betriebs-, Wartungs-, und Instandhaltungsunterlagen sind für die gesamte Ladeinfrastruktur (Anlage 1 Betreibervertrag, § 4, Abs. 27) sowie für sämtliche Entwässerungseinrichtungen zu erstellen. zu b) siehe Antwort zu a) zu c) Das Verständnis wird bestätigt</t>
  </si>
  <si>
    <t xml:space="preserve">ANF-280</t>
  </si>
  <si>
    <t xml:space="preserve">Nr. 227 / S. 21</t>
  </si>
  <si>
    <t xml:space="preserve">Klarstellung: Schadensereignis meint jede Handlung, die den Schaden unmittelbar ausgelöst hat. Hierbei können mehrere Handlungen ein Schadenereignis darstellen, wenn zwischen den einzelnen Handlungen ein sachlicher und zeitlicher Zusammengang …</t>
  </si>
  <si>
    <t xml:space="preserve">Bitte definieren Sie "Schadenereignis". Wenn ein Standort mehrere Tage in Folge Gegenstand von Vandalismus ist, gilt dies dann als ein einziges Ereignis?</t>
  </si>
  <si>
    <t xml:space="preserve">Bezug lt. Katalog: BV §23.3b
Katalogdatum: 17.02.2025
Zuordnung prüfen (Komponente/Partner nicht eindeutig) // Antwort: Schadensereignis meint jede Handlung, die den Schaden unmittelbar ausgelöst hat. Hierbei können mehrere Handlungen ein Schadenereignis darstellen, wenn zwischen den einzelnen Handlungen ein sachlicher und zeitlicher Zusammengang besteht. Der zeitliche Zusammenhang fehlt in der Regel, wenn zwischen den einzelnen Handlungen eine Zäsur liegt, z. B. wenn die Ladeinfrastruktur an mehreren Tagen und/oder von unterschiedlichen Personen beschädigt wird. Die Definition eines Schadensereignisses kann dementsprechend jedoch nur am konkreten Einzelfall erfolgen.</t>
  </si>
  <si>
    <t xml:space="preserve">ANF-281</t>
  </si>
  <si>
    <t xml:space="preserve">Nr. 228 / S. 21</t>
  </si>
  <si>
    <t xml:space="preserve">Klarstellung: Der Zusammenhang zwischen der Versicherungsprämie und der Höchstgrenze für die Wiederherstellung der Ladeinfrastruktur ist für den AG nicht ersichtlich.</t>
  </si>
  <si>
    <t xml:space="preserve">Umfasst die Berechnung der € 0,5 Mio., die der AN insgesamt über die gesamte Vertragslaufzeit für das Risiko der Beschädigung oder Zerstörung der Ladeinfrastruktur übernimmt, die Kosten der vom AN gezahlten Versicherungsprämie?</t>
  </si>
  <si>
    <t xml:space="preserve">Bezug lt. Katalog: BV §23.3, vorletz- ter Absatz
Katalogdatum: 17.02.2025 // Antwort: Der Zusammenhang zwischen der Versicherungsprämie und der Höchstgrenze für die Wiederherstellung der Ladeinfrastruktur ist für den AG nicht ersichtlich. Wir bitten bei Bedarf darum, die Frage nochmals mit einer entsprechenden Erklärung zu stellen.</t>
  </si>
  <si>
    <t xml:space="preserve">ANF-282</t>
  </si>
  <si>
    <t xml:space="preserve">Nr. 229 / S. 21</t>
  </si>
  <si>
    <t xml:space="preserve">Klarstellung: Vielen Dank für den Hinweis: es muss AN heißen.</t>
  </si>
  <si>
    <t xml:space="preserve">Wir bitten um Überprüfung und ggf. Korrektur des Wortes "Auftraggeber" im vorletzten Absatz, letzter Satz des §23.3 ("Wenn und soweit eine Instandsetzung, Wiederherstellung bzw. Erneuerung durch den Auftraggeber…"</t>
  </si>
  <si>
    <t xml:space="preserve">Bezug lt. Katalog: BV §23.3, vorletz- ter Absatz
Katalogdatum: 17.02.2025 // Antwort: Vielen Dank für den Hinweis: es muss AN heißen.</t>
  </si>
  <si>
    <t xml:space="preserve">ANF-283</t>
  </si>
  <si>
    <t xml:space="preserve">Nr. 230 / S. 21</t>
  </si>
  <si>
    <t xml:space="preserve">Verweis des Auftraggebers auf die Antwort zu Bieterfrage 211.</t>
  </si>
  <si>
    <t xml:space="preserve">Aus rechtlicher Sicht ist unklar, wie Strom, der aus einem Speicher entnommen wird, im Durchleitungsmodell behandelt werden soll. Wir bitten um Erläuterung.</t>
  </si>
  <si>
    <t xml:space="preserve">Bezug lt. Katalog: BV §28.1 i.V.m. §28.4
Katalogdatum: 17.02.2025 // Antwort: Siehe Antwort auf Bieterfrage Nr. 211.</t>
  </si>
  <si>
    <t xml:space="preserve">Automatisch ausgewertet: Die Antwort des Auftraggebers verweist ausschließlich auf Bieterfrage 211. Keine eigenständige Anforderung – der Inhalt ist unter der dort erfassten Zeile nachzuhalten.</t>
  </si>
  <si>
    <t xml:space="preserve">ANF-284</t>
  </si>
  <si>
    <t xml:space="preserve">Nr. 231 / S. 21</t>
  </si>
  <si>
    <t xml:space="preserve">Klarstellung: Mit der in der Vertragsanlage 3, § 50.2 aufgeführten Bezeichnung: „Dritte“ sind Personen oder Organisationen gemeint, die keine Vertragsparteien sind (z.</t>
  </si>
  <si>
    <t xml:space="preserve">Wir bitten um beispielhafte Erläuterung, welche Dritten hier gemeint sind und was der Hintergrund für diese Festlegung ist.</t>
  </si>
  <si>
    <t xml:space="preserve">Bezug lt. Katalog: BV §50.2
Katalogdatum: 17.02.2025 // Antwort: Mit der in der Vertragsanlage 3, § 50.2 aufgeführten Bezeichnung: „Dritte“ sind Personen oder Organisationen gemeint, die keine Vertragsparteien sind (z. B. Endnutzer, andere Verkehrsteilnehmer, Nachunternehmer oder Dienstleister), aber Schadensersatzansprüche gegen den AG geltend machen könnten. Die Regelung basiert auf dem allgemeinen Haftungsrecht (§§ 280 ff. BGB) und den Verkehrssicherungspflichten. Der AN muss den AG von solchen Ansprüchen Dritter freistellen, sofern der Schaden auf sein Verschulden oder eine Pflichtverletzung zurückzuführen ist.</t>
  </si>
  <si>
    <t xml:space="preserve">ANF-285</t>
  </si>
  <si>
    <t xml:space="preserve">Nr. 232 / S. 21</t>
  </si>
  <si>
    <t xml:space="preserve">Klarstellung: Die Festlegung bezieht sich nur auf Nachunternehmer und nicht auf Nach-Nachunternehmer.</t>
  </si>
  <si>
    <t xml:space="preserve">Gilt die Festlegung bzgl. des Nettoauftragswertes von€ 25.000,00 bei Nachunternehmern ebenso für Nach- Nachunternehmer?</t>
  </si>
  <si>
    <t xml:space="preserve">Bezug lt. Katalog: BV §58.1
Katalogdatum: 17.02.2025 // Antwort: Die Festlegung bezieht sich nur auf Nachunternehmer und nicht auf Nach-Nachunternehmer.</t>
  </si>
  <si>
    <t xml:space="preserve">ANF-286</t>
  </si>
  <si>
    <t xml:space="preserve">Nr. 233 / S. 21</t>
  </si>
  <si>
    <t xml:space="preserve">Klarstellung: Nach aktueller Einschätzung ist weder der Ausbau von Oberleitungssystemen noch der Ausbau von induktivem Laden in absehbarer Zukunft geplant.</t>
  </si>
  <si>
    <t xml:space="preserve">Wie würde die Kompensation für den AN aussehen, wenn in der Nähe der ausgeschriebenen Standorte Laden während der Fahrt (z.B. Oberleitungsladesysteme oder induktives Laden) ermöglicht wird? Dies würde die Auslastung der Standorte verringern.</t>
  </si>
  <si>
    <t xml:space="preserve">Bezug lt. Katalog: Betreibervertrag
Katalogdatum: 17.02.2025
Zuordnung prüfen (Komponente/Partner nicht eindeutig) // Antwort: Nach aktueller Einschätzung ist weder der Ausbau von Oberleitungssystemen noch der Ausbau von induktivem Laden in absehbarer Zukunft geplant. Das bedeutet, dass die Bieter davon ausgehen können, dass dies auch keine Auswirkungen auf die Standorte haben wird. Die Frage nach einer möglichen Kompensation ist demnach für die in der Ausschreibung ausgewiesenen Zeithorizont nicht relevant.</t>
  </si>
  <si>
    <t xml:space="preserve">ANF-287</t>
  </si>
  <si>
    <t xml:space="preserve">Nr. 234 / S. 21</t>
  </si>
  <si>
    <t xml:space="preserve">Klarstellung: Grundsätzlich ist jeder Teil des Staatsgebietes einer Gemeinde zugewiesen. Maßgeblich ist nicht, dass sich der Standort innerhalb der Gemeinde an sich, sondern innerhalb der einer Gemeinde zugeordneten Gesamtfläche …</t>
  </si>
  <si>
    <t xml:space="preserve">Laut Definition der Bundesnetzagentur: "Gemeinden erhalten von Energie-Netzbetreibern eine Konzessionsabgabe (KA) als Gegenleistung für die Benutzung der öffentlichen Straßen und Wege zur Verlegung von Strom- und Gasleitungen. Die Höhe ist in der Konzessionsabgabenverordnung (KAV) geregelt und richtet sich nach Ihrem Energieliefervertrag und teilweise auch nach der Einwohnerzahl der Gemeinde. Die KA-Sätze finden Sie in § 2 KAV." Da die Standorte außerhalb von Gemeinden liegen können, bitten wir zu prüfen, ob für die Rastanlagen dieser Ausschreibung überhaupt Konzessionsabgaben anfallen.</t>
  </si>
  <si>
    <t xml:space="preserve">Bezug lt. Katalog: BV §31.1 bzw. Anlage 14, §7, Ziff. 1c / Konzessionsab- gabenverord- nung (KAV)
Katalogdatum: 17.02.2025 // Antwort: Grundsätzlich ist jeder Teil des Staatsgebietes einer Gemeinde zugewiesen. Maßgeblich ist nicht, dass sich der Standort innerhalb der Gemeinde an sich, sondern innerhalb der einer Gemeinde zugeordneten Gesamtfläche (Gemeindegemarkung) befindet. Dies wird bei den Standorten in der Regel der Fall sein, so dass für Konzessionsabgabenzahlungen die Regelungen der KAV Anwendung finden können. Es ist möglich, dass sich einzelne Standorte außerhalb einer Gemeindegemarkung befinden. In diesem Fall würde keine Konzessionsabgabe nach der KAV anfallen. Dies ist jedoch für jeden Standort im Einzelfall zu prüfen.</t>
  </si>
  <si>
    <t xml:space="preserve">ANF-288</t>
  </si>
  <si>
    <t xml:space="preserve">Nr. 235 / S. 21</t>
  </si>
  <si>
    <t xml:space="preserve">Klarstellung: Vielen Dank für den Hinweis. Der AG wird eine Anpassung prüfen und im weiteren Vergabeverfahren eine entsprechend angepasste Unterlage zur Verfügung stellen.</t>
  </si>
  <si>
    <t xml:space="preserve">Laut Betreibervertrag sind Anpassungen des Infrastrukturentgelts mit einer Frist von zwei Monaten auf den Beginn eines Quartals möglich. In Anlage 14, §7 dagegen fehlt die Frist von 2 Monaten. Wir bitten um Angleichung des §7, Ziff. 1a) in Anlage 14 an den §41.3 des Betreibervertrages. Andernfalls ist ggf. nicht gewährleistet, dass der Ladepunktbetreiber bei einer Anpassung des Infrastrukturentgelts durch den AG die Höhe gegenüber dem Mobilitätsdienstleister rechtzeitig (mit einer Frist von einem Monat auf den Beginn eines Quartals) anpassen kann, wie unter Anlage 14. §7, Ziff. 4 gefordert.</t>
  </si>
  <si>
    <t xml:space="preserve">Bezug lt. Katalog: BV §41.3 / Anlage 14, §7
Katalogdatum: 17.02.2025
Zuordnung prüfen (Komponente/Partner nicht eindeutig) // Antwort: Vielen Dank für den Hinweis. Der AG wird eine Anpassung prüfen und im weiteren Vergabeverfahren eine entsprechend angepasste Unterlage zur Verfügung stellen.</t>
  </si>
  <si>
    <t xml:space="preserve">ANF-289</t>
  </si>
  <si>
    <t xml:space="preserve">Nr. 236 / S. 21</t>
  </si>
  <si>
    <t xml:space="preserve">Klarstellung: Die Zeitangaben sowohl in §19.5 als auch in §32.2 beziehen sich auf den ursprünglich reservierten Zeitraum.</t>
  </si>
  <si>
    <t xml:space="preserve">§19.5 sieht vor, dass eine Wartezeit von 10 bzw. 30 Minuten ab dem in der Reservierung angegebenen Startzeitpunkt vorzusehen ist, bevor eine Reservierung storniert werden darf. Gehen wir recht in der Annahme, dass die verstrichene Wartezeit vom jeweils reservierten Zeitraum abzuziehen ist und sich somit im Falle einer Verspätung des Fahrers die Nutzungsdauer um bis zu 10 bzw. 30 Minuten reduziert? Gemäß §32.2 kann ein Blockadeentgelt erst 15 Minuten nach Ablauf des reservierten Zeitraums erfolgen, wenn ein Mobilitätsdienstleister einen Ladepunkt entsprechend des § 19 reserviert. Wir bitten um Bestätigung, dass die sich die 15 Minuten auf den ursprünglich reservierten Zeitraum beziehen und dass keine Verschiebung des reservierten Zeitraums entsprechend der möglichen Verspätung des Fahrers vorzusehen ist.</t>
  </si>
  <si>
    <t xml:space="preserve">Bezug lt. Katalog: BV §19.5 i.V.m. §32.2
Katalogdatum: 17.02.2025 // Antwort: Die Zeitangaben sowohl in §19.5 als auch in §32.2 beziehen sich auf den ursprünglich reservierten Zeitraum. Zu §19.5: Ja. Die verstrichene Wartezeit ist vom jeweils reservierten Zeitraum abzuziehen. Im Falle einer Verspätung des Fahrers reduziert sich somit die Nutzungsdauer um bis zu 10 bzw. bis zu 30 Minuten. Zu §32.2: Ja. Die 15 Minuten beziehen sich auf den ursprünglich reservierten Zeitraum und es ist keine Verschiebung des reservierten Zeitraums entsprechend der möglichen Verspätung des Fahrers vorzusehen.</t>
  </si>
  <si>
    <t xml:space="preserve">OCPI Buchungskalender / Abrechnungskomponente</t>
  </si>
  <si>
    <t xml:space="preserve">ANF-290</t>
  </si>
  <si>
    <t xml:space="preserve">Nr. 237 / S. 22</t>
  </si>
  <si>
    <t xml:space="preserve">Bestätigt: das ist zutreffend für eignungsverleihende Unterauftragnehmer.</t>
  </si>
  <si>
    <t xml:space="preserve">Gehen wir richtig der Annahme, dass Formblatt 2 für das Erstangebot nicht mehr eingereicht werden muss, wenn bereits alle eignungsverleihenden Unternehmen im Teilnahmeantrag aufgeführt wurden? Wenn nicht, bitten wir das Formblatt 2 mit mehr Kästchen zur Angabe der Unternehmen zu befüllen und hochzuladen, da man diese nicht selber reinkopieren kann.</t>
  </si>
  <si>
    <t xml:space="preserve">Bezug lt. Katalog: Formblatt 2
Katalogdatum: 20.02.2025 // Antwort: Ja, das ist zutreffend für eignungsverleihende Unterauftragnehmer. Soweit Bieter mit dem Erstangebot Unterauftragnehmer benennen möchten, die sie im Teilnahmeantrag noch nicht benannt haben, ist weiterhin das Formblatt 2 zu verwenden.</t>
  </si>
  <si>
    <t xml:space="preserve">ANF-291</t>
  </si>
  <si>
    <t xml:space="preserve">Nr. 238 / S. 22</t>
  </si>
  <si>
    <t xml:space="preserve">Klarstellung: Die Formulierung bezieht sich auf die Ladeeinrichtung und ist beispielhaft als ein Aspekt für ein nutzerfreundliches Bedienkonzept aufgeführt.</t>
  </si>
  <si>
    <t xml:space="preserve">Wir bitten um Erläuterung des Punktes “Nummerierung des Ladevorgangs” unter Betriebskonzept (Bedienbarkeit/Nutzfreundlichkeit).</t>
  </si>
  <si>
    <t xml:space="preserve">Bezug lt. Katalog: Anlage 03
Katalogdatum: 24.02.2025 // Antwort: Die Formulierung bezieht sich auf die Ladeeinrichtung und ist beispielhaft als ein Aspekt für ein nutzerfreundliches Bedienkonzept aufgeführt.</t>
  </si>
  <si>
    <t xml:space="preserve">ANF-292</t>
  </si>
  <si>
    <t xml:space="preserve">Nr. 239 / S. 22</t>
  </si>
  <si>
    <t xml:space="preserve">Klarstellung: Diese Annahme ist zutreffend.</t>
  </si>
  <si>
    <t xml:space="preserve">Gehen wir recht in der Annahme, dass die Formulierung “Nicht umfasst sein dürfen Kosten, die nicht unmittelbar dem Betrieb und der Nutzung der HPC-Ladeinfrastruktur dienen” nicht der Einbeziehung von angemessenen Zuschlägen für allgemeine Geschäftskosten, Wagnis und Gewinn in der Kalkulation entgegensteht? Die Einbeziehung von allgemeinen Geschäftskosten, Wagnis und Gewinn ist bei der Durchführung des Projektvertrag ausdrücklich vorgesehen. Dies muss entsprechend auch für das Angebot gelten.</t>
  </si>
  <si>
    <t xml:space="preserve">Bezug lt. Katalog: Verfahrensbrief Ziffer 5.4
Katalogdatum: 24.02.2025 // Antwort: Diese Annahme ist zutreffend.</t>
  </si>
  <si>
    <t xml:space="preserve">ANF-293</t>
  </si>
  <si>
    <t xml:space="preserve">Nr. 240 / S. 22</t>
  </si>
  <si>
    <t xml:space="preserve">Klarstellung: Vielen Dank für Ihren Hinweis. Die Bieterfrage inklusive Antwort wird erneut zur Verfügung gestellt.</t>
  </si>
  <si>
    <t xml:space="preserve">Leider ist die Frage des Bieters nicht vollständig lesbar. Wir bitten um Korrektur und möchten an dieser Stelle anmerken, dass wir den Bieterfragenkatalog im Excelformat bevorzugen.</t>
  </si>
  <si>
    <t xml:space="preserve">Bezug lt. Katalog: Bieterfragenka- talog Nr. 202
Katalogdatum: 24.02.2025 // Antwort: Vielen Dank für Ihren Hinweis. Die Bieterfrage inklusive Antwort wird erneut zur Verfügung gestellt.</t>
  </si>
  <si>
    <t xml:space="preserve">ANF-294</t>
  </si>
  <si>
    <t xml:space="preserve">Nr. 241 / S. 22</t>
  </si>
  <si>
    <t xml:space="preserve">Verneint: die Bürgschaft bezieht sich auf das Nettoerrichtungsentgelt für alle Standorte des gesamten Loses.</t>
  </si>
  <si>
    <t xml:space="preserve">Wir beziehen uns auf die Antwort zur Bieterfrage 116 und bitten um Bestätigung unseres folgenden Sachverhaltsverständnisses. Sie schreiben: "Mit Betriebsfreigabe sind 5% dieser Reduktion freizugeben." Unser Verständnis: "Dieser freizugebende Betrag entspricht 5% des Errichtungsentgeltes dieses Standortes. Somit beträgt die Höhe der Bürgschaft zu jedem Zeitpunkt 5% des noch zu entrichtenden Netto-Errichtungsentgeltes." Sofern unser Verständnis zutreffend ist, schlagen wir vor, die letzten beiden Sätze als Ergänzung in §49.3 zu übernehmen.</t>
  </si>
  <si>
    <t xml:space="preserve">Bezug lt. Katalog: Bieterfragenka- talog Nr. 116
Katalogdatum: 24.02.2025 // Antwort: Nein, die Bürgschaft bezieht sich auf das Nettoerrichtungsentgelt für alle Standorte des gesamten Loses. Da der Bezugspunkt der Bürgschaft 5% dieser Summe beträgt,führt die Betriebsfreigabe eines Standorts zu einer Reduktion von 5% der Nettoerrichtungskosten für diesen Standort.</t>
  </si>
  <si>
    <t xml:space="preserve">ANF-295</t>
  </si>
  <si>
    <t xml:space="preserve">Nr. 242 / S. 22</t>
  </si>
  <si>
    <t xml:space="preserve">Klarstellung: Bitte konkretisieren Sie Ihre Frage. In § 52 Abs.</t>
  </si>
  <si>
    <t xml:space="preserve">Wir bitten um Überprüfung der Anforderung der Verantwortlichkeit. Unserer Meinung nach sollte sie aus Gründen der Beweislast von „es sei denn, die Zweckgesellschaft ist nicht verantwortlich“ auf „wenn die Zweckgesellschaft verantwortlich ist“ umgestellt werden.</t>
  </si>
  <si>
    <t xml:space="preserve">Bezug lt. Katalog: §52.2d
Katalogdatum: 24.02.2025 // Antwort: Bitte konkretisieren Sie Ihre Frage. In § 52 Abs. 2 lit. d gibt es den Begriff Zweckgesellschaft nicht. Sofern sich der Kommentar auf den AN bezieht, ist die Rückausnahme gewollt. (Keine Kündigung, wenn fehlende Betriebsfreigabe für mehr als zwei Standorte nicht vom AN zu vertreten ist.)</t>
  </si>
  <si>
    <t xml:space="preserve">ANF-296</t>
  </si>
  <si>
    <t xml:space="preserve">Nr. 243 / S. 22</t>
  </si>
  <si>
    <t xml:space="preserve">Bestätigt: die Begrenzung des § 54 Abs. 7 gilt auch für Schadensersatzansprüche in § 54 Abs.</t>
  </si>
  <si>
    <t xml:space="preserve">a) Unter 54.1a.aa) sollte klargestellt werden, dass die aufzurechnenden Schadensersatzansprüche der Haftungsobergrenze unterliegen sollten, wie dies auch für alle anderen Schadensersatzansprüche nach § 54.7 der Fall ist. Wir bitten um Klarstellung, dass die Abzinsung nur für Zahlungen gilt, wenn die Zweckgesellschaft für die Beendigung verantwortlich ist (d. h. Buchstabe a).</t>
  </si>
  <si>
    <t xml:space="preserve">Bezug lt. Katalog: §54.1
Katalogdatum: 24.02.2025 // Antwort: Ja, die Begrenzung des § 54 Abs. 7 gilt auch für Schadensersatzansprüche in § 54 Abs. 1 lit a aa). Wir stellen dies im nächsten Vertragsupdate klar. Zur Klarstellungsbitte bitten wir um Konkretisierung der Frage: Meinen Sie mit Zweckgesellschaft den AN? Wenn ja, greift die Abzinsungsregelung nach der jetzigen Fassung des Vertrages nur für den Fall, dass der AN die Kündigung zu vertreten hat. Wo besteht diesbezüglich weiterer Klarstellungsbedarf?</t>
  </si>
  <si>
    <t xml:space="preserve">ANF-297</t>
  </si>
  <si>
    <t xml:space="preserve">Nr. 244 / S. 22</t>
  </si>
  <si>
    <t xml:space="preserve">Klarstellung: Wir bestätigen, dass Titelblatt und Inhaltsverzeichnis sowie der Rahmenterminplan nicht im Umfang von 20 Seiten enthalten ist.</t>
  </si>
  <si>
    <t xml:space="preserve">Die Ausführung im Konzept dürfen 20 Seiten nicht überschreiten. Wir bitte um Bestätigung, dass a) Titelblatt und Inhaltsverzeichnisse nicht im Umfang von 20 Seiten enthalten sind b) der Rahmenterminplan als Anlage zum Errichtungskonzept ebenfalls nicht im Umfang von 20 Seiten enthalten ist.</t>
  </si>
  <si>
    <t xml:space="preserve">Bezug lt. Katalog: Konzept
Katalogdatum: 26.02.2025
Zuordnung prüfen (Komponente/Partner nicht eindeutig) // Antwort: Wir bestätigen, dass Titelblatt und Inhaltsverzeichnis sowie der Rahmenterminplan nicht im Umfang von 20 Seiten enthalten ist.</t>
  </si>
  <si>
    <t xml:space="preserve">ANF-298</t>
  </si>
  <si>
    <t xml:space="preserve">Nr. 245 / S. 22</t>
  </si>
  <si>
    <t xml:space="preserve">Bestätigt: es ist vom Auftragnehmer ein Verkehrssicherheitsaudit in der Phase der Entwurfsplanung in sein Angebot einzukalkulieren.</t>
  </si>
  <si>
    <t xml:space="preserve">Müssen neben den in den Vertragsunterlagen beschriebenen Freigabestufen noch die sonst bei Projekten an Bundesautobahnen nötigen Auditierungen in den einzelnen Planungsstufen sowohl bzgl. Zeiten als auch Kosten eingeplant werden? Wenn ja, bitten wir um Spezifizierung bei welchen Planungsstufen Auditierungen einzuplanen sind.</t>
  </si>
  <si>
    <t xml:space="preserve">Bezug lt. Katalog: Planungsstufen/Auditierungen
Katalogdatum: 26.02.2025 // Antwort: Ja, es ist vom Auftragnehmer ein Verkehrssicherheitsaudit in der Phase der Entwurfsplanung in sein Angebot einzukalkulieren.</t>
  </si>
  <si>
    <t xml:space="preserve">ANF-299</t>
  </si>
  <si>
    <t xml:space="preserve">Nr. 246 / S. 22</t>
  </si>
  <si>
    <t xml:space="preserve">Verneint: der AG muss der Weitergabe zustimmen. Siehe dazu auch Antwort auf Bieterfrage 160.</t>
  </si>
  <si>
    <t xml:space="preserve">Gehen wir recht in der Annahme, dass eine Zustimmung der Auftraggeber zu einer Weitergabe von Informationen aus diesem Vertrag / den weiteren leistungsbezogenen Vergabeunterlagen an unsere Subunternehmer und Lieferanten als erteilt gilt, sofern wir diese Dritte zur entsprechenden Geheimhaltung verpflichten?</t>
  </si>
  <si>
    <t xml:space="preserve">Bezug lt. Katalog: § 64 Vertraulichkeit
Katalogdatum: 27.02.2025 // Antwort: Nein, der AG muss der Weitergabe zustimmen. Siehe dazu auch Antwort auf Bieterfrage 160.</t>
  </si>
  <si>
    <t xml:space="preserve">ANF-300</t>
  </si>
  <si>
    <t xml:space="preserve">Nr. 247 / S. 22</t>
  </si>
  <si>
    <t xml:space="preserve">Klarstellung: Die baulichen Vorgaben ergeben sich aus der Vertragsanlage 4 und insbesondere aus dem Anhang 1a „Referenzplanung“.</t>
  </si>
  <si>
    <t xml:space="preserve">Gibt es bauliche Vorgaben für die Anreichung der Ladestecker, welche den Einsatz von Überkopflösungen in Stahlbauweise betreffen? Überkopflösungen haben hinsichtlich des Baus und der optimalen Flächennutzung erhebliche Vorteile.</t>
  </si>
  <si>
    <t xml:space="preserve">Bezug lt. Katalog: Anreichung Ladestecker
Katalogdatum: 27.02.2025 // Antwort: Die baulichen Vorgaben ergeben sich aus der Vertragsanlage 4 und insbesondere aus dem Anhang 1a „Referenzplanung“. Die Referenzplanung sieht derzeit keine Überkopflösungen vor. Die Vorgabe beruht auf der aktuellen Bewertung des AG, wonach die Überkopflösung keine ausreichenden Vorteile bietet, die ihren Einsatz rechtfertigen würde. Selbstverständlich können Bieter dem AG auch zu diesem Punkt mit ihrem Erstangebot im Formblatt A6 einen Änderungsvorschlag unterbreiten und darstellen, welche Gründe für den Einsatz der Überkopflösungen sprechen. Die Thematik wäre dann auch Gegenstand der Bieterverhandlungen.</t>
  </si>
  <si>
    <t xml:space="preserve">ANF-301</t>
  </si>
  <si>
    <t xml:space="preserve">Nr. 248 / S. 22</t>
  </si>
  <si>
    <t xml:space="preserve">Klarstellung: Die Möglichkeit, zusätzliche Anforderungen oder Abänderungen einzelner Anforderungen vorzusehen, bezieht sich auf den Prozess der Abnahme, nicht die materiellen Voraussetzungen der Abnahmefähigkeit.</t>
  </si>
  <si>
    <t xml:space="preserve">Wie wird sichergestellt, dass es zu einer Betriebsfreigabe kommt, wenn der AG gemäß Anlage 10 zum Vertrag, Seite 3.1, noch nach Vertragsunterzeichnung einseitig die Bedingungen der Abnahme verändern kann?</t>
  </si>
  <si>
    <t xml:space="preserve">Bezug lt. Katalog: Betriebsfreigabe
Katalogdatum: 27.02.2025 // Antwort: Die Möglichkeit, zusätzliche Anforderungen oder Abänderungen einzelner Anforderungen vorzusehen, bezieht sich auf den Prozess der Abnahme, nicht die materiellen Voraussetzungen der Abnahmefähigkeit. Die Formulierung ist allerdings unscharf und wird daher mit dem nächsten Vertragsupdate nachgeschärft.</t>
  </si>
  <si>
    <t xml:space="preserve">ANF-302</t>
  </si>
  <si>
    <t xml:space="preserve">Nr. 249 / S. 23</t>
  </si>
  <si>
    <t xml:space="preserve">Klarstellung: Der bauliche Zustand der Parkplatzflächen bei Vertragsbeendigung muss den Anforderungen an Errichtung und Betrieb gemäß Vergabeunterlagen entsprechen.</t>
  </si>
  <si>
    <t xml:space="preserve">Welche Anforderungen bestehen hinsichtlich des baulichen Zustands der Parkplatzflächen bei Übergabe der Ladestandorte nach Konzessionsende? Falls spezifische Zustandsmerkmale gefordert werden, die einen erheblichen Eingriff oder eine Erneuerung der Flächen erfordern könnten, sollte dies bereits zu Beginn der Bauarbeiten berücksichtigt werden. Gibt es hierzu Vorgaben seitens des AG?</t>
  </si>
  <si>
    <t xml:space="preserve">Bezug lt. Katalog: Übergabeanforderungen für Parkplatzflächen nach Konzessionsende
Katalogdatum: 27.02.2025 // Antwort: Der bauliche Zustand der Parkplatzflächen bei Vertragsbeendigung muss den Anforderungen an Errichtung und Betrieb gemäß Vergabeunterlagen entsprechen. Darüber hinausgehende spezifische Zustandsmerkmale, die sich nur auf die Vertragsbeendigung beziehen, bestehen grundsätzlich nicht. Auf die vertraglichen Möglichkeiten zur Beauftragung des AN mit Rückbaumaßnahmen wird hingewiesen.</t>
  </si>
  <si>
    <t xml:space="preserve">ANF-303</t>
  </si>
  <si>
    <t xml:space="preserve">Nr. 250 / S. 23</t>
  </si>
  <si>
    <t xml:space="preserve">Klarstellung: Es wird auf die Antwort zur Bieterfrage 33 verwiesen.</t>
  </si>
  <si>
    <t xml:space="preserve">Erhält der AN die Hoheit zur Verhänging von Vertragsstrafen gegenüber Falschnutzern der Ladeplätze? Zum Beispiel abgestellte Fahrzeuge, welche sich nicht in einem Ladevorgang befinden.</t>
  </si>
  <si>
    <t xml:space="preserve">Bezug lt. Katalog: Fremd- oder Falschnutzung
Katalogdatum: 27.02.2025 // Antwort: Es wird auf die Antwort zur Bieterfrage 33 verwiesen.</t>
  </si>
  <si>
    <t xml:space="preserve">ANF-304</t>
  </si>
  <si>
    <t xml:space="preserve">Nr. 251 / S. 23</t>
  </si>
  <si>
    <t xml:space="preserve">Klarstellung: Der AG stellt die Netzanschlüsse bereit. Alle Netzanschlussanfragen wurden seitens des AG gestellt und mit den örtlichen EVU geklärt.</t>
  </si>
  <si>
    <t xml:space="preserve">Liegen für die einzelnen Standorte die Baugenehmigungen sowie Netzanschlussgenehmigungen vor oder sind diese durch den AN zu stellen? Welche Besonderheiten gilt es hinsichtlich der Beantragung der Baugenehmigungen durch den Bund als Eigentümer zu berücksichtigen?</t>
  </si>
  <si>
    <t xml:space="preserve">Bezug lt. Katalog: Baugenehmigung
Katalogdatum: 27.02.2025 // Antwort: Der AG stellt die Netzanschlüsse bereit. Alle Netzanschlussanfragen wurden seitens des AG gestellt und mit den örtlichen EVU geklärt. Bezugnehmend auf Ihre Frage zur Genehmigung verweisen wir auf die Antwort auf Bieterfrage 159.</t>
  </si>
  <si>
    <t xml:space="preserve">ANF-305</t>
  </si>
  <si>
    <t xml:space="preserve">Nr. 252 / S. 23</t>
  </si>
  <si>
    <t xml:space="preserve">Verweis des Auftraggebers auf die Antwort zu Bieterfrage 174.</t>
  </si>
  <si>
    <t xml:space="preserve">Dürfen durch effiziente Flächenausnutzung frei gewordene Parkstreifen kostenneutral mit einem zusätzlichen Ladeanschluss ausgestattet werden? Falls der AN auf derselben Fläche mehr Anschlüsse als vorgesehen errichten kann, bringt dies zusätzliche Versorgungssicherheit.</t>
  </si>
  <si>
    <t xml:space="preserve">Bezug lt. Katalog: zusätzliche Dispenser /Ladeanschlüsse
Katalogdatum: 27.02.2025 // Antwort: Siehe hierzu die Antwort auf die Bieterfrage 174.</t>
  </si>
  <si>
    <t xml:space="preserve">Automatisch ausgewertet: Die Antwort des Auftraggebers verweist ausschließlich auf Bieterfrage 174. Keine eigenständige Anforderung – der Inhalt ist unter der dort erfassten Zeile nachzuhalten.</t>
  </si>
  <si>
    <t xml:space="preserve">ANF-306</t>
  </si>
  <si>
    <t xml:space="preserve">Nr. 253 / S. 23</t>
  </si>
  <si>
    <t xml:space="preserve">Verweis des Auftraggebers auf die Antwort zu Bieterfrage 124 und 172.</t>
  </si>
  <si>
    <t xml:space="preserve">In der Vertragsanlage 04_Leistungsbeschreibung Errichtung ist unter Pkt. 3.8.1 beschrieben, dass alle Verkehrsflächen entsprechend neu herzustellen sind. Unter Pkt. 4.11.3 im selben Dokument steht dann weiter beschrieben dass "die Eingriffe in die Gestaltung der Freianlagen sind dabei auf das erforderliche Mindestmaß zu beschränken. Ziel ist es dabei, den Ursprungszustand der Oberfläche weitgehendst im Ausgangszustand zu belassen bzw. diesen wiederherzustellen oder - wenn erforderlich - Instand zu setzen." Von was ist also im Hinblick auf die LKW-Stellplätze im Bereich der zu errichtenden Ladesäulen (siehe Lagepläne je Rastanlage) auszugehen? Ist von einem grundhaften Neubau oder nur einem Wiederherstellen der Oberflächen im Bereich notwendig werdender Kabelgräben und sonstigen Eingriffe in den Bestandsflächen auszugehen?</t>
  </si>
  <si>
    <t xml:space="preserve">Bezug lt. Katalog: Leistungsbeschreibung Errichtung
Katalogdatum: 28.02.2025 // Antwort: Siehe die Antworten auf die Bieterfragen 124 und 172.</t>
  </si>
  <si>
    <t xml:space="preserve">Automatisch ausgewertet: Die Antwort des Auftraggebers verweist ausschließlich auf Bieterfrage 124 und 172. Keine eigenständige Anforderung – der Inhalt ist unter der dort erfassten Zeile nachzuhalten.</t>
  </si>
  <si>
    <t xml:space="preserve">ANF-307</t>
  </si>
  <si>
    <t xml:space="preserve">Nr. 254 / S. 23</t>
  </si>
  <si>
    <t xml:space="preserve">Klarstellung: Ihre Annahme ist zutreffend. Die zum Ladeplatz gehörende Beleuchtung ist vom Betreiber zu stellen und einzukalkulieren.</t>
  </si>
  <si>
    <t xml:space="preserve">Gemäß der Antwort auf Bieterfrage 27 ist die ladeplatzbezogene Beleuchtung an die Niederspannungsanalage der Ladeinfrastruktur anzuschließen. Gehen wir recht in der Annahme, dass die Energiekosten für die ladeplatzbezogene Beleuchtung in das Betreiberentgelt einzurechnen sind?</t>
  </si>
  <si>
    <t xml:space="preserve">Bezug lt. Katalog: Beleuchtung
Katalogdatum: 28.02.2025
Zuordnung prüfen (Komponente/Partner nicht eindeutig) // Antwort: Ihre Annahme ist zutreffend. Die zum Ladeplatz gehörende Beleuchtung ist vom Betreiber zu stellen und einzukalkulieren.</t>
  </si>
  <si>
    <t xml:space="preserve">ANF-308</t>
  </si>
  <si>
    <t xml:space="preserve">Nr. 255 / S. 23</t>
  </si>
  <si>
    <t xml:space="preserve">Klarstellung: Der AG strebt an, alle Bieterfragen so früh wie möglich vor dem Schlusstermin der Abgabe der Erstangebote zu beantworten.</t>
  </si>
  <si>
    <t xml:space="preserve">Wie viele Tage vor dem Schlusstermin der Abgabe der Erstangebote werden alle Bieterfragen beantwortet sein?</t>
  </si>
  <si>
    <t xml:space="preserve">Bezug lt. Katalog: Beantwortung Bieterfragen
Katalogdatum: 28.02.2025 // Antwort: Der AG strebt an, alle Bieterfragen so früh wie möglich vor dem Schlusstermin der Abgabe der Erstangebote zu beantworten. Dies ist abhängig vom Zeitpunkt der Fragestellung. Alle Bieter sind angehalten, Bieterfragen so früh wie möglich einzureichen. Eine Beantwortung wird gemäß den vergbaerechtlichen Vorgaben rechtzeitig erfolgen.</t>
  </si>
  <si>
    <t xml:space="preserve">ANF-309</t>
  </si>
  <si>
    <t xml:space="preserve">Nr. 256 / S. 23</t>
  </si>
  <si>
    <t xml:space="preserve">Verneint: die Versicherungsprämien sind - anders als die Selbsbehalte - nicht zu berücksichtigen.</t>
  </si>
  <si>
    <t xml:space="preserve">In Bezug auf Bieterfrage 228 bitten wir um Klarstellung, ob die nach Betreibervertrag §23.3 (vorletzter Absatz) zu tragenden Kosten in Höhe von maximal 0,5 Mio. € über die gesamte Vertragslaufzeit, ausschließlich die direkten Wiederherstellungskosten (einschließlich Selbstbehalte) umfassen oder ob auch mögliche weitere vom Auftragnehmer zu tragende Kosten, wie beispielsweise Versicherungsprämien, in diese Berechnung einfließen.</t>
  </si>
  <si>
    <t xml:space="preserve">Bezug lt. Katalog: Wiederherstellungspflicht
Katalogdatum: 28.02.2025 // Antwort: Nein, die Versicherungsprämien sind - anders als die Selbsbehalte - nicht zu berücksichtigen.</t>
  </si>
  <si>
    <t xml:space="preserve">ANF-310</t>
  </si>
  <si>
    <t xml:space="preserve">Nr. 257 / S. 23</t>
  </si>
  <si>
    <t xml:space="preserve">Verweis des Auftraggebers auf die Antwort zu Bieterfrage 165.</t>
  </si>
  <si>
    <t xml:space="preserve">Wir nehmen Bezug auf die Antwort zu Bieterfrage Nr. 112. Verständlicherweise verweist die Vergabestelle auf Vertragsanlage 3, jedoch zielte die Bieterfrage auf einen weiteren Sachverhalt ab, der nicht beantwortet wurde. Wir bitten um Korrektur der zitierten Passage in Vertragsanlage 04 LB Errichtung, Ziff. 3.3.2, da sie mindestens unklar ist bzw. einen Widerspruch zu beinhalten scheint. Es ist dort die Rede von Sperrungen von „12 und 18 Monaten“. Wir bitten um Aufklärung des Widerspruchs und Anpassung der Vertragsanlage 04 im Einklang mit Vertragsanlage 3.</t>
  </si>
  <si>
    <t xml:space="preserve">Bezug lt. Katalog: Sperrungen
Katalogdatum: 28.02.2025 // Antwort: Siehe die Antwort auf die Bieterfrage 165.</t>
  </si>
  <si>
    <t xml:space="preserve">Automatisch ausgewertet: Die Antwort des Auftraggebers verweist ausschließlich auf Bieterfrage 165. Keine eigenständige Anforderung – der Inhalt ist unter der dort erfassten Zeile nachzuhalten.</t>
  </si>
  <si>
    <t xml:space="preserve">ANF-311</t>
  </si>
  <si>
    <t xml:space="preserve">Nr. 258 / S. 23</t>
  </si>
  <si>
    <t xml:space="preserve">Klarstellung: Wir bedanken uns für den Hinweis. Der Bieterfragenkatalog kann nur als pdf-Datei zur Verfügung gestellt werden.</t>
  </si>
  <si>
    <t xml:space="preserve">Leider ist die Antwort der Vergabestelle nicht vollständig lesbar. Zusätzlich ist die Bieterfrage Nr. 202 weiterhin nicht vollständig lesbar (vgl. Bieterfrage Nr. 240). Wir bitten um Korrektur. Gleichzeitig bitten wir um Übersendung des Bieterfragenkatalogs im Excel-Format, da die inzwischen regelmäßig auftretenden Formatierungsprobleme im PDF-Format dazu führen, dass einerseits Textpassagen (sowohl in den Bieterfragen als auch in den Antworten der Vergabestelle) abgeschnitten werden und andererseits die Seitenzahlen die Antworten der Vergabestelle auf einem Großteil der Seiten verdecken (im aktuellen Dokument betrifft es die Seiten 1, 3, 5, 10, 12, 15).</t>
  </si>
  <si>
    <t xml:space="preserve">Bezug lt. Katalog: Beantwortung Bieterfragen
Katalogdatum: 28.02.2025 // Antwort: Wir bedanken uns für den Hinweis. Der Bieterfragenkatalog kann nur als pdf-Datei zur Verfügung gestellt werden. Wir werden im weiteren Verlauf darauf achten, bereits veröffentlichte sowie zukünftige Fragen und Antworten, vollständig lesbar darzustellen. Wir bitten die Unannehmlichkeiten zu entschuldigen.</t>
  </si>
  <si>
    <t xml:space="preserve">ANF-312</t>
  </si>
  <si>
    <t xml:space="preserve">Nr. 259 / S. 23</t>
  </si>
  <si>
    <t xml:space="preserve">Klarstellung: Inwieweit eine Änderung der Beweislast hier zu einer klareren Abgrenzung führt, ist für den AG nicht nachvollziehbar.</t>
  </si>
  <si>
    <t xml:space="preserve">Bezugnehmend auf Ihre Antwort zu Bieterfrage 242 verstehen wir, dass die Rückausnahme gewollt ist und eine Kündigung ausgeschlossen wird, wenn die fehlende Betriebsfreigabe für mehr als zwei Standorte nicht vom Auftragnehmer zu vertreten ist. Vor diesem Hintergrund bitten wir um Klarstellung, ob die Formulierung aus Gründen der Beweislast von „es sei denn, der Auftragnehmer hat die zur Kündigung führenden Umstände nicht zu vertreten“ auf „wenn der Auftragnehmer die zur Kündigung führenden Umstände zu vertreten hat“ geändert werden kann. Eine positiv formulierte Bedingung würde die Verantwortlichkeit des Auftragnehmers eindeutig als Voraussetzung für eine Kündigung definieren und damit eine klarere Abgrenzung der Beweislast ermöglichen. Bitte teilen Sie uns mit, ob eine solche Anpassung möglich ist oder aus welchen Gründen sie nicht vorgesehen ist.</t>
  </si>
  <si>
    <t xml:space="preserve">Bezug lt. Katalog: Beweislast - Betreibervertrag §52.2d
Katalogdatum: 28.02.2025 // Antwort: Inwieweit eine Änderung der Beweislast hier zu einer klareren Abgrenzung führt, ist für den AG nicht nachvollziehbar. Eine Änderung des Vertrages in diesem Punkt kann aber als Verhandlungsbedarf angemeldet werden.</t>
  </si>
  <si>
    <t xml:space="preserve">ANF-313</t>
  </si>
  <si>
    <t xml:space="preserve">Nr. 260 / S. 24</t>
  </si>
  <si>
    <t xml:space="preserve">Klarstellung: Um eine Vergleichbarkeit der Erstangebote sicherzustellen, soll davon ausgegangen werden, dass der Betreiber (CPO) die THG-Quoten generiert.</t>
  </si>
  <si>
    <t xml:space="preserve">Die Vergabestelle geht davon aus, dass die THG-Quote auch im Falle des Durchleitungsmodells vom CPO generiert werden kann. Wir bitten um Erläuterung, auf welcher rechtlichen Begründung diese Annahme beruht? Aus unserer Recherche geht hervor, dass dies zumindest ungeklärt bis streitig ist. Es wird jedenfalls auch die Auffassung vertreten, dass die THG-Quote beim Durchleitungsmodell den Stromlieferanten zusteht (https://www.lichtblick.de/presse/thg-quote/). Da sich die Emissionseinsparung schädlicher Treibhausgase durch die Entnahme des Stroms zur Verwendung in Straßenfahrzeugen realisiert (§ 6 der 38. BImSchV), kann mithin argumentiert werden, dass diese Entnahme im Falle des Durchleitungsmodells gerade nicht durch den CPO erfolgt, sondern durch den Stromlieferanten bzw. den durchleitenden MSP. Wir sehen daher hier ein hohes Risiko, dass in diesen Fällen, die THG-Quote nicht durch den CPO generiert werden kann.</t>
  </si>
  <si>
    <t xml:space="preserve">Bezug lt. Katalog: THG-Quote - Rückfrage zur Beantwortung der Fragen Nr. 145 und 187 des Bieterfragenkatalogs
Katalogdatum: 28.02.2025 // Antwort: Um eine Vergleichbarkeit der Erstangebote sicherzustellen, soll davon ausgegangen werden, dass der Betreiber (CPO) die THG-Quoten generiert. Hintergrund der Regelung der 38 BImSchV war gerade eine Absicherung der Investition in die Ladeinfrastruktur. Die Thematik und die Absicherung etwaiger Risiken, kann aber zum Gegenstand der Verhandlungen gemacht werden.</t>
  </si>
  <si>
    <t xml:space="preserve">ANF-314</t>
  </si>
  <si>
    <t xml:space="preserve">Nr. 261 / S. 24</t>
  </si>
  <si>
    <t xml:space="preserve">Klarstellung: Eine Änderung der Reglung in § 21, Nr. 5 ist vom AG aktuell nicht vorgesehen.</t>
  </si>
  <si>
    <t xml:space="preserve">In § 21 Nr. 5 des Betreibervertrages steht, dass für den Monat der Betriebsfreigabe eines Standortes sowie für die beiden darauf folgenden Monate keine Pönale nach Absatz 2 anfällt (Ramp-up-Phase). Das würde bedeuten, dass bei einer Freigabe zu Beginn des Monats etwa drei Monate Ramp-up-Phase gelten und bei einer Freigabe zum Ende des Monats nur zwei Monate. Wäre es möglich, diese Regelung so zu ändern, dass die Ramp-up-Phase in der keine Pönalen anfallen, immer eine feste Dauer von drei Monaten ab dem Tag der Betriebsfreigabe hat?</t>
  </si>
  <si>
    <t xml:space="preserve">Bezug lt. Katalog: § 21 Nr. 5 BV
Katalogdatum: 28.02.2025 // Antwort: Eine Änderung der Reglung in § 21, Nr. 5 ist vom AG aktuell nicht vorgesehen.</t>
  </si>
  <si>
    <t xml:space="preserve">ANF-315</t>
  </si>
  <si>
    <t xml:space="preserve">Nr. 262 / S. 24</t>
  </si>
  <si>
    <t xml:space="preserve">Klarstellung: Eine Variation des Arbeitspreises nach Tageszeiten bei - wie hier - öffentlich zugänglicher Ladeinfrastruktur können wir aktuell nicht erkennen (§ 14a EnWG und entsprechende Festlegungen sind nicht anwendbar; § 19 Abs.</t>
  </si>
  <si>
    <t xml:space="preserve">Der CPO stellt im Falle der Durchleitung dem Vertragspartner den Arbeitspreis für die Netznutzung in Rechnung, gem § 31 Betreibervertrag. Dies ist beim klassischen MSP-Modell und beim Ad-hoc-Laden nicht notwendig, da Teil des Gesamtpreises pro kWh. Da der Arbeitspreis auch variiert je Standort bzw. VNB, die NNE können heute bereits nach Tageszeiten variieren, und im Hinblick auf die Steuerung der Energiewende demnächst dynamische NNE zu erwarten sind, bedeutet dies, dass der CPO im Falle der Durchleitung diese Entgelte fallscharf an den Vertragspartner abrechnen muss. Dazu werden weitere Aufwendungen für IT-Systeme notwendig sein. In welcher Kostenkategorie bei den Errichtungskosten sollen diese aufgenommen werden?</t>
  </si>
  <si>
    <t xml:space="preserve">Bezug lt. Katalog: § 31 BV
Katalogdatum: 28.02.2025 // Antwort: Eine Variation des Arbeitspreises nach Tageszeiten bei - wie hier - öffentlich zugänglicher Ladeinfrastruktur können wir aktuell nicht erkennen (§ 14a EnWG und entsprechende Festlegungen sind nicht anwendbar; § 19 Abs. 1 StromNEV betrifft den Leistungspreis). Auch künftig sehen wir von einer Änderung des Systematik eher den Leistungspreis betroffen. Die Thematik und ein sachgerevchter Umgang mit mögllichen Risiken, kann zum Verhandlungsgegenstand gemacht werden. Siehe hierzu auch Antwort auf Bieterfrage 14.</t>
  </si>
  <si>
    <t xml:space="preserve">ANF-316</t>
  </si>
  <si>
    <t xml:space="preserve">Nr. 263 / S. 24</t>
  </si>
  <si>
    <t xml:space="preserve">Verweis des Auftraggebers auf die Antwort zu Bieterfrage 14.</t>
  </si>
  <si>
    <t xml:space="preserve">In welcher Kostenkategorie sollen Einmalaufwendungen für IT abgebildet werden?</t>
  </si>
  <si>
    <t xml:space="preserve">Bezug lt. Katalog: IT-Aufwendungen
Katalogdatum: 28.02.2025 // Antwort: Siehe Antwort auf Bieterfrage 14.</t>
  </si>
  <si>
    <t xml:space="preserve">Automatisch ausgewertet: Die Antwort des Auftraggebers verweist ausschließlich auf Bieterfrage 14. Keine eigenständige Anforderung – der Inhalt ist unter der dort erfassten Zeile nachzuhalten.</t>
  </si>
  <si>
    <t xml:space="preserve">ANF-317</t>
  </si>
  <si>
    <t xml:space="preserve">Nr. 264 / S. 24</t>
  </si>
  <si>
    <t xml:space="preserve">Klarstellung: Ihre Annahme ist zutreffend. Der allgemeine Winterdienst wird vom AG sichergestellt.</t>
  </si>
  <si>
    <t xml:space="preserve">Wir bitten um Beantwortung folgender Rückfrage zu Ihrer Antwort auf die Bieterfrage Nr. 209. Diese bezieht sich u. a. auch auf den Winterdienst. Gehen wir richtig in der Annahme, dass Räumpflichten im Rahmen des Winterdienstes nicht dem Auftragnehmer obliegen, gem. § 17 Ziff. 2, Satz 3 Betreibervertrag?</t>
  </si>
  <si>
    <t xml:space="preserve">Bezug lt. Katalog: Winterdienst
Katalogdatum: 28.02.2025 // Antwort: Ihre Annahme ist zutreffend. Der allgemeine Winterdienst wird vom AG sichergestellt. Der AN ist jedoch verpflichtet, im Rahmen seiner Verkehrssicherungspflicht den Ladeplatz schnee- und eisfrei zu halten, das Gebot zur Sicherstellung der Unfallfreiheit ist einzuhalten (Streu- und Räumgebot an der Ladesäule).</t>
  </si>
  <si>
    <t xml:space="preserve">ANF-318</t>
  </si>
  <si>
    <t xml:space="preserve">Nr. 265 / S. 24</t>
  </si>
  <si>
    <t xml:space="preserve">Klarstellung: Ihre Annahme ist unzutreffend. Die Anforderungen an die Planung, die Unterlagen der Bau- und Betriebsfreigaben sind zentral abgestimmt, klar definiert und autobahnweit einheitlich umzusetzen.</t>
  </si>
  <si>
    <t xml:space="preserve">Gehen wir recht in der Annahme, dass die Aufwände, die sich potentiell aus zusätzlichen Anforderungen der Niederlassungen ergeben, vollständig als Mehrkosten vom AG erstattet werden?</t>
  </si>
  <si>
    <t xml:space="preserve">Bezug lt. Katalog: Antwort auf Bieterfrage 178
Katalogdatum: 28.02.2025 // Antwort: Ihre Annahme ist unzutreffend. Die Anforderungen an die Planung, die Unterlagen der Bau- und Betriebsfreigaben sind zentral abgestimmt, klar definiert und autobahnweit einheitlich umzusetzen. Im Rahmen der Bau- und Betriebsfreigaben kann die jeweilige Niederlassung in einem angemessenen Umfang vom AN zusätzliche Unterlagen fordern.</t>
  </si>
  <si>
    <t xml:space="preserve">ANF-319</t>
  </si>
  <si>
    <t xml:space="preserve">Nr. 266 / S. 24</t>
  </si>
  <si>
    <t xml:space="preserve">Bestätigt: das ist zutrreffend. Der Punkt kann als Verhandlungsbedarf angemeldet werden.</t>
  </si>
  <si>
    <t xml:space="preserve">Ist Ihre Antwort zu Frage 182 so zu verstehen, dass nach Zuschlagserteilung einseitig von den AG zusätzlich geforderter Stecker (Ladepunkte) nicht grundsätzlich eine Erstattung der dadurch zusätzlich entstehenden Mehraufwände als Mehrkosten iSv § 35 vorgesehen ist, obwohl hier mit Kosten von mehreren TEUR je Stecker zu rechnen ist?</t>
  </si>
  <si>
    <t xml:space="preserve">Bezug lt. Katalog: Antwort auf Bieterfrage 182
Katalogdatum: 28.02.2025
Zuordnung prüfen (Komponente/Partner nicht eindeutig) // Antwort: Ja, das ist zutrreffend. Der Punkt kann als Verhandlungsbedarf angemeldet werden.</t>
  </si>
  <si>
    <t xml:space="preserve">ANF-320</t>
  </si>
  <si>
    <t xml:space="preserve">Nr. 267 / S. 24</t>
  </si>
  <si>
    <t xml:space="preserve">Zusage / Ankündigung: Der AG hat sich bereits vor Beginn der Ausschreibung zu dem geplanten Vorgehen mit der EU-Kommission abgestimmt.</t>
  </si>
  <si>
    <t xml:space="preserve">Vor dem Hintergrund der erfolgten beihilferechtlichen Prüfungen der EU-Kommission zu den bisherigen beiden Vergabeverfahren zum Deutschlandnetz möchten wir fragen: Haben die Auftraggeber eine beihilferechtliche Prüfung dieses Vergabeverfahrens bei der EU-Kommission angestoßen? Falls ja, wann ist mit einem Abschluss dieses Verfahrens zu rechnen? Falls nein, streben Auftraggeber 1 bzw. 2 eine beihilferechtliche Prüfung dieses Vergabeverfahrens an?</t>
  </si>
  <si>
    <t xml:space="preserve">Bezug lt. Katalog: Beihilferecht
Katalogdatum: 07.03.2025 // Antwort: Der AG hat sich bereits vor Beginn der Ausschreibung zu dem geplanten Vorgehen mit der EU-Kommission abgestimmt. Der AG geht davon aus, dass die Notiizierung erfolgreich abgeschlossen wird. Der Zuschlag wird erst nach Genehmigung der Maßnahme durch die EU- Kommission erteilt. Sobald die EU-Kommission vorliegt, wird der AG die Bieter darüber informieren.</t>
  </si>
  <si>
    <t xml:space="preserve">ANF-321</t>
  </si>
  <si>
    <t xml:space="preserve">Nr. 268 / S. 25</t>
  </si>
  <si>
    <t xml:space="preserve">Klarstellung: Das Durchleitungsmodell (Modell 2 der BDEW-Anwendungshilfe) verletzt nicht die Dienstleistungsfreiheit nach Art.</t>
  </si>
  <si>
    <t xml:space="preserve">Während im bisherigen Modell 1 gem. BDEW Anwendungshilfe (klassischer CPO-EMP Markt) eine Freizügigkeit von Waren und Dienstleistung gewährleistet ist (Roaming), ist nach unserem Verständnis im Falle des Durchleitungsmodells (Modell 2 der BDEW-Anwendungshilfe) diese Freizügigkeit nicht gegeben. Energieversorger aus dem europäischen Ausland können nicht ohne Gründung einer deutschen Energieversorgungstochter an der Marktkommunikation in Deutschland teilnehmen. Somit wären die Kunden des ausländischen Anbieters gegenüber Kunden inländischer Anbieter strukturell benachteiligt. Zudem steht eine weitere Fragmentierung des Ladestrommarktes im Raum, die Logistikunternehmen grenzüberschreitendes Laden mit dem Durchleitungsmodell erschwert. Wie bewertet der Auftraggeber die Europarechtskonfomität des Durchleitungsmodells vor diesem Hintergrund?</t>
  </si>
  <si>
    <t xml:space="preserve">Bezug lt. Katalog: Europarecht
Katalogdatum: 07.03.2025 // Antwort: Das Durchleitungsmodell (Modell 2 der BDEW-Anwendungshilfe) verletzt nicht die Dienstleistungsfreiheit nach Art. 56 ff. AEUV. Dies ergibt sich insbesondere aus Folgendem: Zwar muss der EMP im Modell 2 – anders als bei Modell 1 der BDEW-Anwendungshilfe – einen Bilanzkreis zur bilanziellen Zuordnung der ihm durch den CPO zugeordneten Strommengen benennen, diese Pflicht trifft jedoch jeden Stromlieferanten, der in Deutschland tätig ist und Strom liefert. Insoweit weichen die marktkommunikationsrechtlichen Anforderungen im Rahmen des Durchleitungsmodells nicht von denen der regulären Strombelieferung ab. Die Teilnahme an der Marktkommunikation ist für ausländische EMPs auch ohne große Hürden möglich. Insbesondere ist die Gründung einer deutschen Tochterfirma hierfür nicht erforderlich. Die für die Teilnahme an der Marktkommunikation unter anderem erforderliche BDEW-Codenummer kann jede juristische oder natürliche Person, die am deutschen Strommarkt teilnimmt, beantragen (vgl. § 1 der Nutzungsbedingungen der Energie Codes und Services GmbH für die Vergabe und Verwaltung der BDEW-Codenummern). Eine Beschränkung auf deutsche Unternehmen ist in den Nutzungsbedingungen nicht vorgesehen. Die Option Laden im Wege des Durchleitungsmodells ist für den EMP freiwillig und stellt lediglich eine Möglichkeit zur Belieferung seiner Kunden mit Ladestrom dar. Soweit gewollt, kann der EMP das Laden im Wege des Durchleitungsmodells für seine Kunden ohne große Hürden - insbesondere ohne Gründung einer deutschen Tochterfirma – anbieten. Die Gefahr einer strukturellen Benachteiligung von Kunden aus dem europäischen Ausland besteht nicht, da es allein die Entscheidung des ausländischen EMPs ist, ob er seinen Kunden das Laden im Wege des Durchleitungsmodells anbieten möchte. Dies ist ihm unter denselben Voraussetzungen wie inländischen EMPs möglich. Das Durchleitungsmodell stellt eine Neuheit im Bereich der Bereitstellung bzw. Nutzung von Ladeinfrastruktur dar, die von allen Akteuren, die diese Option wahrnehmen wollen, zunächst die Umsetzung entsprechender Maßnahmen voraussetzt.</t>
  </si>
  <si>
    <t xml:space="preserve">ANF-322</t>
  </si>
  <si>
    <t xml:space="preserve">Nr. 269 / S. 25</t>
  </si>
  <si>
    <t xml:space="preserve">Klarstellung: Die Antwort auf Frage 264 vom 28.02.25 wird wie folgt neu gefasst: Der allgemeine Winterdienst wird vom AG sichergestellt.</t>
  </si>
  <si>
    <t xml:space="preserve">Ist aus der Antwort auf die Bieterfrage 264 richtig abzuleiten, dass der Auftragnehmer auch für den Winterdienst der Ladeplätze (Ladestellplätze) verantwortlich ist oder wird zwischen Räumung und dem "Schnee- und Eisfrei-Halten" der Ladeplätze unterschieden? In § 17 des Betreibervertrages wird klargestellt, dass die Räumpflichten im Rahmen des Winterdienstes gerade nicht dem Auftragnehmer obliegen. Schneefrei-Halten würde auch das Räumen umfassen. Sollte der Auftragnehmer auch für das Räumen der Ladeplätze zuständig sein, müssten hierfür Kosten für einen Betriebsdienst einberechnet werden.</t>
  </si>
  <si>
    <t xml:space="preserve">Bezug lt. Katalog: § 17 BV
Katalogdatum: 11.03.2025
Zuordnung prüfen (Komponente/Partner nicht eindeutig) // Antwort: Die Antwort auf Frage 264 vom 28.02.25 wird wie folgt neu gefasst: Der allgemeine Winterdienst wird vom AG sichergestellt. Die Durchführung des Winterdienstes erfolgt nach dem Leistungsheft des Bundes. Dementsprechend obliegen dem AN keine diesbezüglichen Pflichten hinsichtlich der Verkehrsflächen. Der AN ist jedoch im Rahmen seiner allgemeinen Verkehrssicherungspflicht für die Ladeinfrastruktur (vgl. Anlage 1 zum Verfahrensbrief - Betreibervertrag, § 4 Abs. 27) zuständig.</t>
  </si>
  <si>
    <t xml:space="preserve">ANF-323</t>
  </si>
  <si>
    <t xml:space="preserve">Nr. 270 / S. 25</t>
  </si>
  <si>
    <t xml:space="preserve">Verweis des Auftraggebers auf die Antwort zu Bieterfrage 33 und 96.</t>
  </si>
  <si>
    <t xml:space="preserve">Ist eine Kameraüberwachung der Standorte grundsätzlich möglich und erlaubt? Dies würde uns Vorteile im Betrieb verschaffen (Pönalisierung, Vandalismus, Support der Nutzer, etc.)</t>
  </si>
  <si>
    <t xml:space="preserve">Bezug lt. Katalog: Kameraüberwachung
Katalogdatum: 11.03.2025 // Antwort: Siehe Antwort auf Bieterfrage 33 und 96.</t>
  </si>
  <si>
    <t xml:space="preserve">Kennzeichenerfassung / Pönalisierungssystem</t>
  </si>
  <si>
    <t xml:space="preserve">Automatisch ausgewertet: Die Antwort des Auftraggebers verweist ausschließlich auf Bieterfrage 33 und 96. Keine eigenständige Anforderung – der Inhalt ist unter der dort erfassten Zeile nachzuhalten.</t>
  </si>
  <si>
    <t xml:space="preserve">ANF-324</t>
  </si>
  <si>
    <t xml:space="preserve">Nr. 271 / S. 25</t>
  </si>
  <si>
    <t xml:space="preserve">Zusage / Ankündigung: Nach Abschluss der Verhandlungen wird der AG die einheitlichen Leistungsanforderungen gegenüber den Bietern festlegen und konsolidierte, für alle Bieter einheitliche Vertrags- und Leistungsbedingungen vorlegen.</t>
  </si>
  <si>
    <t xml:space="preserve">Gibt es bei der Vergabe durch die unterschiedlichen Konzepte der AN, dann auch unterschiedliche Varianten an Verträgen oder sin diese einheitlich für alle AN?</t>
  </si>
  <si>
    <t xml:space="preserve">Bezug lt. Katalog: Vertragsgestaltung/Verfahren
Katalogdatum: 11.03.2025 // Antwort: Nach Abschluss der Verhandlungen wird der AG die einheitlichen Leistungsanforderungen gegenüber den Bietern festlegen und konsolidierte, für alle Bieter einheitliche Vertrags- und Leistungsbedingungen vorlegen. Alle Bieter werden aufgefordert werden, auf dieser Basis ein finales Angebot für das jeweils betreffende Los in einer festgelegten Angebotsfrist abzugeben.</t>
  </si>
  <si>
    <t xml:space="preserve">ANF-325</t>
  </si>
  <si>
    <t xml:space="preserve">Nr. 272 / S. 25</t>
  </si>
  <si>
    <t xml:space="preserve">Verweis des Auftraggebers auf die Antwort zu Bieterfrage 41 und 225.</t>
  </si>
  <si>
    <t xml:space="preserve">Auf Seite 19 der Vertragsanlage 4 ist geschrieben: "...Autobahn GmbH den Antrag auf Baufreigabe. Inhalt und Umfang sind in Anlage 10 zum Vertrag genauer beschrieben." Diese Anlage 10 ist nicht in den Ausschreibungsunterlagen enthalten.</t>
  </si>
  <si>
    <t xml:space="preserve">Bezug lt. Katalog: Vertragsanage 4 - Verweis Inhalte Baufreigabe
Katalogdatum: 11.03.2025 // Antwort: Siehe Antwort auf Bieterfrage 41 und 225.</t>
  </si>
  <si>
    <t xml:space="preserve">Automatisch ausgewertet: Die Antwort des Auftraggebers verweist ausschließlich auf Bieterfrage 41 und 225. Keine eigenständige Anforderung – der Inhalt ist unter der dort erfassten Zeile nachzuhalten.</t>
  </si>
  <si>
    <t xml:space="preserve">ANF-326</t>
  </si>
  <si>
    <t xml:space="preserve">Korrektur 252 / S. 25</t>
  </si>
  <si>
    <t xml:space="preserve">ANF-327</t>
  </si>
  <si>
    <t xml:space="preserve">Nr. 273 / S. 25</t>
  </si>
  <si>
    <t xml:space="preserve">Klarstellung: Die Annahme kann nicht bestätigt werden. Der AN muss den gesamten Parkstand abbrechen und wiederhergestellen.</t>
  </si>
  <si>
    <t xml:space="preserve">Gehen wir Recht in der Annahme, dass unter Berücksichtigung der Bieterfrage 172 inkl. Antwort, davon auszugehen ist, dass innerhalb einer Stellplatzfläche (Breite: ca. 3,5 - 4,00m / Länge: ca. 25m) nur wirklich notwendig werdende Flächen (für Einbau Kabel / Fundamente / Inseln / etc...) abgebrochen und wiederhergestellt werden und die Homogenität des Stellplatzes dadurch gestört wird. Die nicht betroffenen Flächen innerhalb eines besagten Stellplatzes für einen LKW bleiben unberührt und im Ursprungszustand. Wir bitten um konkrete Antwort ohne Verweis auf vorherige Bieterfragen, da die Frage für uns bisher nicht eindeutig beantwortet beantwortet wurde. Wenn unsere Annahme korrekt ist, bitten wir ebenfalls um Aufklärung, wie im Bereich von Stellplätzen in Betonbauweise mit dadurch entstehenden, eventuell ungünstigen Plattengeometrien und Fugenverläufen umzugehen ist</t>
  </si>
  <si>
    <t xml:space="preserve">Bezug lt. Katalog: LB Errichtung
Katalogdatum: 25.03.2025 // Antwort: Die Annahme kann nicht bestätigt werden. Der AN muss den gesamten Parkstand abbrechen und wiederhergestellen. Homogenität des Stellplatzes ist sicherzustellen. Wir weisen vorsorglich noch einmal darauf hin, dass grundsätzlich nach den in der Vertragsanlage 4 aufgeführten Regelwerken vorzuegehen ist.</t>
  </si>
  <si>
    <t xml:space="preserve">ANF-328</t>
  </si>
  <si>
    <t xml:space="preserve">Nr. 274 / S. 25</t>
  </si>
  <si>
    <t xml:space="preserve">Klarstellung: Vielen Dank für den Hinweis. Richtigerweise muss in der Vertragsanlage 04 unter Ziffer 3.3.2. auf § 40 Abs.</t>
  </si>
  <si>
    <t xml:space="preserve">Bei diesem Absatz zum Thema Sperrungen/Ausbauabsichten wird im letzten Teil auf § 41.3 des Vertrags verwiesen, welcher vom Thema Anpassung des Infrastrukturentgelts handelt. Unseres Erachtens ergibt dieser Verweis an der Stelle keinen Sinn. Wir bitten um Überprüfung und Erläuterung bzw. ggf. Korrektur.</t>
  </si>
  <si>
    <t xml:space="preserve">Bezug lt. Katalog: Vertragsanlage 04 3.3.2.
Katalogdatum: 25.03.2025 // Antwort: Vielen Dank für den Hinweis. Richtigerweise muss in der Vertragsanlage 04 unter Ziffer 3.3.2. auf § 40 Abs. 7 des Hauptvertrages verwiesen werden, der in den dort genannten Fällen eine Fortzahlung des Betreiberentgelts regelt. Wir werden den Verweis anpassen.</t>
  </si>
  <si>
    <t xml:space="preserve">ANF-329</t>
  </si>
  <si>
    <t xml:space="preserve">Nr. 275 / S. 25</t>
  </si>
  <si>
    <t xml:space="preserve">Verneint: es geht lediglich um die Errichtung.</t>
  </si>
  <si>
    <t xml:space="preserve">Bitte um Erklärung des § 33 Nr. 2 und 3. Zielt dieser darauf ab, dass jemand anderes als der Betreiber die zusätzlichen Ladepunkte betreibt?</t>
  </si>
  <si>
    <t xml:space="preserve">Bezug lt. Katalog: § 33 BV
Katalogdatum: 31.03.2025
Zuordnung prüfen (Komponente/Partner nicht eindeutig) // Antwort: Nein, es geht lediglich um die Errichtung.</t>
  </si>
  <si>
    <t xml:space="preserve">ANF-330</t>
  </si>
  <si>
    <t xml:space="preserve">Nr. 276 / S. 26</t>
  </si>
  <si>
    <t xml:space="preserve">Klarstellung: Vielen Dank für den Hinweis. In der Vorplanung des Standorts DE-NW-000102 Wittenhorst gibt es es tatsächlich Abweichungen.</t>
  </si>
  <si>
    <t xml:space="preserve">Wir bitten um Überprüfung der widersprüchlichen Angaben zur Anzahl der Ladepunkte in den beiden Dokumenten: - 20250114_Vertragsanlage 02_Standortübersicht (losspezifisch)_Los4_v3.pdf - Vertragsanlage 03/Los4/Vorplanungen: DE-NW-000102 Wittenhorst_VP.pdf Während in der Vorplanung 2xMCS und 1xCCS eingezeichnet sind, sind in der Tabelle 3xMCS und 1xCCS angegeben.</t>
  </si>
  <si>
    <t xml:space="preserve">Bezug lt. Katalog: Vertragsanlagen 02 und 03
Katalogdatum: 01.04.2025 // Antwort: Vielen Dank für den Hinweis. In der Vorplanung des Standorts DE-NW-000102 Wittenhorst gibt es es tatsächlich Abweichungen. Bitte planen Sie mit der entsprechend in der "Vertragsanlage 2 Standortübersicht (losspezifisch)" angegebenen Anzahl an Ladepunkten.</t>
  </si>
  <si>
    <t xml:space="preserve">ANF-331</t>
  </si>
  <si>
    <t xml:space="preserve">Nr. 277 / S. 26</t>
  </si>
  <si>
    <t xml:space="preserve">Klarstellung: Vielen Dank für den Hinweis. Der § 4 wird dahingehend klargestellt, dass für das AC-Laden eines Trailers eine CEE-Steckverbindung genutzt wird.</t>
  </si>
  <si>
    <t xml:space="preserve">Wir bitten um Aufklärung des folgenden Widerspruchs. In § 4 des Betreibervertrags wird für das AC Laden (Ziff. 2) der Typ 2 Stecker genannt, wohingegen für das Trailerladen (Ziff. 48) eine CEE-Steckervorrichtung vorgesehen ist.</t>
  </si>
  <si>
    <t xml:space="preserve">Bezug lt. Katalog: § 4 BV
Katalogdatum: 01.04.2025 // Antwort: Vielen Dank für den Hinweis. Der § 4 wird dahingehend klargestellt, dass für das AC-Laden eines Trailers eine CEE-Steckverbindung genutzt wird.</t>
  </si>
  <si>
    <t xml:space="preserve">ANF-332</t>
  </si>
  <si>
    <t xml:space="preserve">Nr. 278 / S. 26</t>
  </si>
  <si>
    <t xml:space="preserve">Klarstellung: Soweit einem Bieter in dem genannten Fall zusätzliche Kosten entstehen, sind zusätzliche Kosten für die Errichtung dem Errichtungsentgelt und zusätzliche Kosten für den Betrieb dem Betreiberentgelt zuzuordnen.</t>
  </si>
  <si>
    <t xml:space="preserve">Da das Errichtungs- und Betreiberentgelt erst später während der Vertragslaufzeit ausgezahlt werden, entstehen finanzielle Kosten. Bitte bestätigen Sie, dass der Auftragnehmer frei entscheiden kann, diese Kosten entweder dem Errichtungsentgelt oder der Betreiberentgelt zuweisen kann.</t>
  </si>
  <si>
    <t xml:space="preserve">Bezug lt. Katalog: Anlage 04_zum Verfahrens- brief_Preisblatt
Katalogdatum: 01.04.2025 // Antwort: Soweit einem Bieter in dem genannten Fall zusätzliche Kosten entstehen, sind zusätzliche Kosten für die Errichtung dem Errichtungsentgelt und zusätzliche Kosten für den Betrieb dem Betreiberentgelt zuzuordnen.</t>
  </si>
  <si>
    <t xml:space="preserve">ANF-333</t>
  </si>
  <si>
    <t xml:space="preserve">Nr. 279 / S. 26</t>
  </si>
  <si>
    <t xml:space="preserve">Klarstellung: Die Erzeugung einer neuen Version der Vergabeunterlagen war systembedingt. Inhaltliche Änderungen waren damit nicht verbunden.</t>
  </si>
  <si>
    <t xml:space="preserve">Es sind erneut Vergabeunterlagen auf die Vergabeplattform hochgeladen worden, ohne dass Hinweise zu etwaigen Änderungen gegeben wurden. Das Datum des Bearbeitungsstandes auf den einzelnen Dokumenten ist zu der vorherigen Fassung, die sich bereits auf der Vergabeplattform befand, identisch. Wir gehen deshalb davon aus, dass insoweit (d.h. bei unverändertem Datum des Bearbeitungsstandes auf dem jeweiligen Dokument) keine Änderungen an den entsprechenden Dokumenten vorgenommen wurden. Ist dieses Verständnis zutreffend? Ferner bitten wir um Mitteilung des Grundes für das erneute Einstellen der Vergabeunterlagen auf die Vergabeplattform .</t>
  </si>
  <si>
    <t xml:space="preserve">Bezug lt. Katalog: Neue Version Vergabeunterlagen
Katalogdatum: 01.04.2025 // Antwort: Die Erzeugung einer neuen Version der Vergabeunterlagen war systembedingt. Inhaltliche Änderungen waren damit nicht verbunden.</t>
  </si>
  <si>
    <t xml:space="preserve">ANF-334</t>
  </si>
  <si>
    <t xml:space="preserve">Nr. 280 / S. 26</t>
  </si>
  <si>
    <t xml:space="preserve">Klarstellung: Das Formblatt A6 wird den Bietern mit Beantwortung dieser Bieterfrage in geänderter Form bereitgestellt.</t>
  </si>
  <si>
    <t xml:space="preserve">Beim Ausfüllen des Formblatts 6 (Verhandlungsbedarf) ist es nicht möglich in der ersten und dritten Tabelle unter dem Punkt "1. Passage der Vergabeunterlagen" etwas einzutragen. Darüber hinaus ist es aufgrund des Schreibschutzes nicht möglich, die Tabellen zu vervielfältigen, um mehr als drei Verhandlungsbedarfe anzumelden. Wir bitten um Problemlösung und Abhilfe.</t>
  </si>
  <si>
    <t xml:space="preserve">Bezug lt. Katalog: Formblatt 6
Katalogdatum: 04.04.2025 // Antwort: Das Formblatt A6 wird den Bietern mit Beantwortung dieser Bieterfrage in geänderter Form bereitgestellt.</t>
  </si>
  <si>
    <t xml:space="preserve">ANF-335</t>
  </si>
  <si>
    <t xml:space="preserve">Nr. 281 / S. 26</t>
  </si>
  <si>
    <t xml:space="preserve">Klarstellung: Die in Vertragsanlage 4, Kapitel 3.3.5 aufgeführten Anforderungen an die Ausführungs-, Werk- und Montageplanung sind zu erfüllen.</t>
  </si>
  <si>
    <t xml:space="preserve">Was versteht der AG unter Ausführungs-, Werk- und Montageplanung und welcher Detailgrad ist hier gewünscht?</t>
  </si>
  <si>
    <t xml:space="preserve">Bezug lt. Katalog: Vertragsanlage 04
Katalogdatum: 04.04.2025 // Antwort: Die in Vertragsanlage 4, Kapitel 3.3.5 aufgeführten Anforderungen an die Ausführungs-, Werk- und Montageplanung sind zu erfüllen.</t>
  </si>
  <si>
    <t xml:space="preserve">ANF-336</t>
  </si>
  <si>
    <t xml:space="preserve">Nr. 282 / S. 26</t>
  </si>
  <si>
    <t xml:space="preserve">Klarstellung: Ihre Annahme ist zutreffend. Wir verweisen hierzu auch auf die Antwort auf die Bieterfrage 59.</t>
  </si>
  <si>
    <t xml:space="preserve">Die für den Erstaufbau geplante Trafotechnik muss unserm Verständnis nach für den "LIS-Bedarf 2030" ausreichend konzipiert sein und darüber hinaus erweiterungsfähig bis zur "beantragten Leistung 2035" sein. Ist diese Annahme richtig? Sollte der AG zu einem späteren Zeitpunkt die Errichtung zusätzlicher Ladepunkte fordern, werden ihm gem. Vertrag Angebote vorgelegt. Beinhalten diese Angebote nur den Aufbau von Ladepunkten oder auch die weiters benötigte Trafotechnik (Umspannstationen), Objektidentifizierung, usw.?</t>
  </si>
  <si>
    <t xml:space="preserve">Bezug lt. Katalog: Vertragsanlage 04 &amp; Vertragsanlage 05
Katalogdatum: 04.04.2025 // Antwort: Ihre Annahme ist zutreffend. Wir verweisen hierzu auch auf die Antwort auf die Bieterfrage 59. Die dann einzureichenden Angebote, die über den Erstaufbau hinaus gehen, sollen sämtliche Komponenten die zum Ausbau und Betrieb weiterer Ladepunkte erforderlich sind, enthalten.</t>
  </si>
  <si>
    <t xml:space="preserve">ANF-337</t>
  </si>
  <si>
    <t xml:space="preserve">Nr. 283 / S. 26</t>
  </si>
  <si>
    <t xml:space="preserve">Klarstellung: Die angezeigte Erweiterungsmaßnahme verursacht zu keiner Zeit eine Sperrung der Rastanlage, daher ist kein Zeitraum hierfür übermittelt worden.</t>
  </si>
  <si>
    <t xml:space="preserve">Bei dem Standort Heg-Berg (DE-HE-500011) ist eine Erweiterungsmaßnahme beschrieben, jedoch fehlt der Zeitraum dieser Maßnahme und die Information darüber, ob der Standort in diesem Zeitraum gesperrt ist.</t>
  </si>
  <si>
    <t xml:space="preserve">Bezug lt. Katalog: Vertragsanlage 03 Los 04
Katalogdatum: 04.04.2025 // Antwort: Die angezeigte Erweiterungsmaßnahme verursacht zu keiner Zeit eine Sperrung der Rastanlage, daher ist kein Zeitraum hierfür übermittelt worden.</t>
  </si>
  <si>
    <t xml:space="preserve">ANF-338</t>
  </si>
  <si>
    <t xml:space="preserve">Nr. 284 / S. 26</t>
  </si>
  <si>
    <t xml:space="preserve">Klarstellung: Die Unterlagen sind für jedes Los getrennt einzureichen und entsprechend zu kennzeichnen.</t>
  </si>
  <si>
    <t xml:space="preserve">Wenn man für mehr als ein Los ein Angebot abgeben möchte, müssen dann alle in Formblatt A1 aufgezählten Dokumente mehrfach eingereicht werden (inkl. Formblatt A1), oder reicht es, die jeweiligen Lose, für die man ein Angebot abgeben möchte, einmal in Formblatt A1 gesammelt zu nennen und dann z.B. das Betriebskonzept nur einmal hochzuladen, anstatt es zum Beispiel dreimal hochzuladen (bei Bewerbung auf drei Lose), sofern es sich nicht unterscheidet?</t>
  </si>
  <si>
    <t xml:space="preserve">Bezug lt. Katalog: Angebotsabgabe
Katalogdatum: 04.04.2025 // Antwort: Die Unterlagen sind für jedes Los getrennt einzureichen und entsprechend zu kennzeichnen.</t>
  </si>
  <si>
    <t xml:space="preserve">ANF-339</t>
  </si>
  <si>
    <t xml:space="preserve">Nr. 285 / S. 26</t>
  </si>
  <si>
    <t xml:space="preserve">Verneint: die Laufzeit des Betreibervertrages wird nicht angepasst, wenn zusätzliche Ladepunkte errichtet werden.</t>
  </si>
  <si>
    <t xml:space="preserve">Wird bei der Errichtung zusätzlicher Ladepunkte gemäß § 33 Nr. 2 des Betreibervertrags die Laufzeit entsprechend angepasst, oder wie ist in diesem Fall zu verfahren, wenn die Errichtung kurz vor Ende der Laufzeit erfolgen soll?</t>
  </si>
  <si>
    <t xml:space="preserve">Bezug lt. Katalog: § 33 BV
Katalogdatum: 04.04.2025
Zuordnung prüfen (Komponente/Partner nicht eindeutig) // Antwort: Nein, die Laufzeit des Betreibervertrages wird nicht angepasst, wenn zusätzliche Ladepunkte errichtet werden. Die Errichtung weiterer Ladepunkte richtete sich nach § 34 des Betreibervertrages, die Vergütung hierfür nach § 42 des Betreibervertrages.</t>
  </si>
  <si>
    <t xml:space="preserve">ANF-340</t>
  </si>
  <si>
    <t xml:space="preserve">Hinweis des AG / S. 26</t>
  </si>
  <si>
    <t xml:space="preserve">Klarstellung: Fragen zu den Vergabeunterlagen bzw. der Angebotserstellung über die Vergabeplattform an den Auftraggeber sind bis spätestens 14.04.2025, 12:00 Uhr einzureichen.</t>
  </si>
  <si>
    <t xml:space="preserve">Bezug lt. Katalog: Hinweis des AG // Antwort: Fragen zu den Vergabeunterlagen bzw. der Angebotserstellung über die Vergabeplattform an den Auftraggeber sind bis spätestens 14.04.2025, 12:00 Uhr einzureichen.</t>
  </si>
  <si>
    <t xml:space="preserve">ANF-341</t>
  </si>
  <si>
    <t xml:space="preserve">Nr. 286 / S. 26</t>
  </si>
  <si>
    <t xml:space="preserve">Klarstellung: Der AG geht davon aus, dass die technischen Vorgaben eingehalten werden, behält sich aber vor, regelmäßige Validierungen vorzunehmen.Siehe hierzu auch Vertragsanlage 11, Kapitel 6.5.</t>
  </si>
  <si>
    <t xml:space="preserve">Bezugnehmend zur Betreibervertrag § 8 Technische Anforderungen an die Ladeinfrastruktur: Wie wird die Mindestladeleistung validiert? Sind hierzu Tests im Rahmen der Abnahme vorgesehen? Welcher Aufwand muss betrieben werden?</t>
  </si>
  <si>
    <t xml:space="preserve">Bezug lt. Katalog: § 8 BV
Katalogdatum: 09.04.2025
Zuordnung prüfen (Komponente/Partner nicht eindeutig) // Antwort: Der AG geht davon aus, dass die technischen Vorgaben eingehalten werden, behält sich aber vor, regelmäßige Validierungen vorzunehmen.Siehe hierzu auch Vertragsanlage 11, Kapitel 6.5.</t>
  </si>
  <si>
    <t xml:space="preserve">ANF-342</t>
  </si>
  <si>
    <t xml:space="preserve">Nr. 287 / S. 26</t>
  </si>
  <si>
    <t xml:space="preserve">Klarstellung: Es obliegt dem Betreiber, die gesetzlichen Rahmenbedingungen seiner Leistungen zu prüfen und einzuhalten.</t>
  </si>
  <si>
    <t xml:space="preserve">Hat bezüglich der von AN an den AG abzuführenden Entgelte (z.B. Reservierungsentgelt) eine rechtliche Prüfung hinsichtlich des ZAG stattgefunden, ob dabei genehmigungspflichtige Finanztransfergeschäfte vorliegen, die unter BAFIN-Regularien fallen und daher an den AN entsprechende Anforderungen stellen?</t>
  </si>
  <si>
    <t xml:space="preserve">Bezug lt. Katalog: Reservierungsentgelte
Katalogdatum: 10.04.2025 // Antwort: Es obliegt dem Betreiber, die gesetzlichen Rahmenbedingungen seiner Leistungen zu prüfen und einzuhalten. Nach unserem Verständnis erbringt der Betreiber bei der Reservierung aber auch bei der Abführung des Infrastrukturentgeltes an den Auftraggeber zu 2 keine Zahlungsdienstleistung nach dem ZAG, da er jeweils eigene Leistungen gegenüber seinen Vertragspartnern erbringt. Auf Grundlage des Betreibervertrages wird nur ein Teil der Erlöse an den Auftraggeber zu 2 abgeführt ohne dass dem eine Vertragsbeziehung des Auftraggebers mit dem ladenden Kunden oder seinem EMP (Dienstleister) zugrunde läge. Soweit der Bieter dies anders sieht, ist er aufgefordert dem AG dies entsprechend anzuzeigen und zu begründen.</t>
  </si>
  <si>
    <t xml:space="preserve">ANF-343</t>
  </si>
  <si>
    <t xml:space="preserve">Nr. 288 / S. 27</t>
  </si>
  <si>
    <t xml:space="preserve">Klarstellung: Die beiden Begriffe meinen dasselbe. Im Formblatt A2 sind daher all die Unternehmen anzugeben, welche unter die Definition des Nachunternehmers nach § 58 Abs.</t>
  </si>
  <si>
    <t xml:space="preserve">Wir bitten um Abgrenzung der Begriffe „Nachunternehmer“ (§58 Vertrag) sowie „Drittunternehmen mit Unterauftragsvergabe“ (Formblatt A2). Sind alle Unterauftragnehmer im Formblatt A2 anzugeben, auch wenn sie bspw. als Lieferant nicht als Nachunternehmer zählen (§58 (2) Satz 3)?</t>
  </si>
  <si>
    <t xml:space="preserve">Bezug lt. Katalog: Nachunternehmer
Katalogdatum: 10.04.2025 // Antwort: Die beiden Begriffe meinen dasselbe. Im Formblatt A2 sind daher all die Unternehmen anzugeben, welche unter die Definition des Nachunternehmers nach § 58 Abs. 2 des Betreibervertrages fallen.</t>
  </si>
  <si>
    <t xml:space="preserve">ANF-344</t>
  </si>
  <si>
    <t xml:space="preserve">Nr. 289 / S. 27</t>
  </si>
  <si>
    <t xml:space="preserve">Klarstellung: Wie die Homogenität des Stellplatzes unter Berücksichtigung der in Vertragsanlage 4 aufgeführten Regelwerke sichergestellt wird, obliegt dem AN.</t>
  </si>
  <si>
    <t xml:space="preserve">Wir haben im Bezug auf Frage 273 folgende Rückfrage: Ist die Annahme richtig, dass für die Wiederherstellung der Parkflächen, welche nicht von einem Kabelgraben betroffen sind, lediglich eine Herstellung einer neuen, einheitlichen Deckschicht vorzunehmen ist? In diesem Fall werden nicht bearbeitete Bestandstrag- und binderschichten erhalten bleiben.</t>
  </si>
  <si>
    <t xml:space="preserve">Bezug lt. Katalog: Frage 273
Katalogdatum: 11.04.2025 // Antwort: Wie die Homogenität des Stellplatzes unter Berücksichtigung der in Vertragsanlage 4 aufgeführten Regelwerke sichergestellt wird, obliegt dem AN.</t>
  </si>
  <si>
    <t xml:space="preserve">ANF-345</t>
  </si>
  <si>
    <t xml:space="preserve">Nr. 290 / S. 27</t>
  </si>
  <si>
    <t xml:space="preserve">Klarstellung: Soweit diese Kosten dem Errichtungsentgelt zuzuordnen sind, sind diese für die Erstellung der Erstangebote der Kostengruppe 710 Koordinierungsleistungen zuzuordnen.</t>
  </si>
  <si>
    <t xml:space="preserve">Im Bezug auf Frage und Antwort 278 bitten wir darum, die Tabelle in der Anlage 6 - Aufschlüsselung Preise Errichtung um die Kostengruppe 800 zu erweitern oder um den Hinweis, in welcher anderen Kostengruppe die Finanzierungskosten zu berücksichtigen sind.</t>
  </si>
  <si>
    <t xml:space="preserve">Bezug lt. Katalog: Frage 278
Katalogdatum: 11.04.2025
Zuordnung prüfen (Komponente/Partner nicht eindeutig) // Antwort: Soweit diese Kosten dem Errichtungsentgelt zuzuordnen sind, sind diese für die Erstellung der Erstangebote der Kostengruppe 710 Koordinierungsleistungen zuzuordnen. Für die Erstellung der Folgeangebote wird die Anlage 6 - Aufschlüsselung Preise Errichtung um die Kostengruppe 800 ergänzt werden.</t>
  </si>
  <si>
    <t xml:space="preserve">ANF-346</t>
  </si>
  <si>
    <t xml:space="preserve">Nr. 291 / S. 27</t>
  </si>
  <si>
    <t xml:space="preserve">Klarstellung: Es geht darum, den Betreiber im Falle einer von ihm zu vertretenden vorzeitigen Vertragsbeendigung lediglich für bereits erbrachte Leistungen zu vergüten.</t>
  </si>
  <si>
    <t xml:space="preserve">Wir bitten um Mitteilung, wie Wagnis und Gewinn gemäß § 54 Nr. 1 a. bb) PV berechnet werden, wenn der Betreiber sich für die Errichtung eines Generalunternehmers bedient. In diesem Fall würde die Offenlegung der Kalkulation des Betreibers nicht weiterhelfen, da sie keine Position „Wagnis und Gewinn“ enthält und der Generalunternehmer wird dem Betreiber seine Kalkulation nicht offenlegen.</t>
  </si>
  <si>
    <t xml:space="preserve">Bezug lt. Katalog: § 54 Nr. 1 a. bb) BV
Katalogdatum: 11.04.2025 // Antwort: Es geht darum, den Betreiber im Falle einer von ihm zu vertretenden vorzeitigen Vertragsbeendigung lediglich für bereits erbrachte Leistungen zu vergüten. Dabei soll er - da die Beendigung von ihm zu vertreten ist - den auf Wagnis und Gewinn entfallenden Anteil nicht erhalten. Bei der Einschaltung eines Dritten kann Bezugspunkt daher nur ein etwaiger eigener Aufschlag sein. Die Kalkulation des Dritten ist daher irrelevant.</t>
  </si>
  <si>
    <t xml:space="preserve">ANF-347</t>
  </si>
  <si>
    <t xml:space="preserve">Nr. 292 / S. 27</t>
  </si>
  <si>
    <t xml:space="preserve">Verweis des Auftraggebers auf die Antwort zu Bieterfrage 278 und 290.</t>
  </si>
  <si>
    <t xml:space="preserve">Wir bitten um Mitteilung, an welcher Position Finanzierungskosten einer Fremdfinanzierung einzukalkulieren sind. Anlage 6 zum ersten Verfahrensbrief sieht keine solche Position vor.</t>
  </si>
  <si>
    <t xml:space="preserve">Bezug lt. Katalog: Anlage 6 zum Verfahrensbrief
Katalogdatum: 11.04.2025 // Antwort: Siehe hierzu Antwort auf die Bieterfrage 278 und 290.</t>
  </si>
  <si>
    <t xml:space="preserve">Automatisch ausgewertet: Die Antwort des Auftraggebers verweist ausschließlich auf Bieterfrage 278 und 290. Keine eigenständige Anforderung – der Inhalt ist unter der dort erfassten Zeile nachzuhalten.</t>
  </si>
  <si>
    <t xml:space="preserve">ANF-348</t>
  </si>
  <si>
    <t xml:space="preserve">Nr. 293 / S. 27</t>
  </si>
  <si>
    <t xml:space="preserve">Klarstellung: Zu a): Ihre Annahme ist nicht zutreffend. Die Aussagen zu Bieterfrage 166 bleibt bestehen.</t>
  </si>
  <si>
    <t xml:space="preserve">Bezugnehmend auf Anlage 4, Kap. 3.8.2 und die in Ihrer Antwort auf Frage 43 nicht eingeschränkte Berechnung des gesamten Kanalnetzes (Entwässerungsanlage), die gemäß Ihrer Antwort auf Frage 195 geschuldet ist, für den Fall, dass das Regenwassernetz (Entwässerungsanlage) angepasst/verändert wird bitten wir um Ihre Antwort auf folgende, ergänzende Fragen: a) Da keine Dimensionierungsgrundlagen für die Bestandsentwässerungsanlage gemäß Ihrer Antwort auf Frage 195 übergeben wird, bestätigen Sie bitte unser Verständnis, dass die Einleitung von Niederschlagsmengen aufgrund der befestigten Flächen der Übergabestationen entgegen Ihrer Antwort auf Frage 166 keine Anpassung / Änderung der Entwässerungsanlage im Sinne der Anlage 4, Kap. 3.8.2 darstellt und damit keine Nachweisführung verlangt, da wir davon ausgehen dürfen, dass die bestehenden Entwässerungsanlagen der jeweiligen Standorte für die gesamte Standortfläche inkl. der unbefestigten Flächen ausreichend dimensioniert sind. b) Wenn a) nicht zutrifft, bestätigen Sie bitte, dass die verlangte Nachweisführung nicht auf Grundlage aktuellen Regelwerks (u.a. DWA A 118 (2024)) durchzuführen ist. c) Wenn a) nicht zutrifft, bestätigen Sie bitte, dass die Nachweisführung in Form des vereinfachten Zeit- Beiwert-Verfahrens stattfinden kann. Wenn b) nicht zutrifft, betätigen Sie bitte, dass sämtliche Kosten, die als Folge der Nachweisführung auf Grundlage aktuellen Regelwerks entstehen, gemäß der Regelung in Anlage 1, § 36 PV in Verbindung mit § 35 PV geltend gemacht werden können.</t>
  </si>
  <si>
    <t xml:space="preserve">Bezug lt. Katalog: Entwässerung
Katalogdatum: 11.04.2025 // Antwort: Zu a): Ihre Annahme ist nicht zutreffend. Die Aussagen zu Bieterfrage 166 bleibt bestehen. Zu b) Ihre Annahme ist nicht zutreffend. Die Berechnungen sind nach der geltenden Richtlinie für die Entwässerung von Strassen - REwS - unter Berücksichtigung der aktuellen KOSTRA-DWD 2020-Daten zu erstellen. Zu c) Die Annahme ist zutreffend, eine Nachweisführung nach dem Zeitbeiwertverfahren ist für Straßenbauvorhaben üblich und ausreichend. Zum Absatz "wenn b) nicht zutrifft ..." : Die Nachweisführung ist vollständig zu erbringen und in den entstprechenden Kosten einzukalkulieren.</t>
  </si>
  <si>
    <t xml:space="preserve">ANF-349</t>
  </si>
  <si>
    <t xml:space="preserve">Nr. 294 / S. 27</t>
  </si>
  <si>
    <t xml:space="preserve">Verneint: es bleibt bei den Anforderungen gemäß Leistungsbeschreibung Errichtung.</t>
  </si>
  <si>
    <t xml:space="preserve">In dem Abschnitt wird beschrieben, dass die neu zu erstellenden Ladeinseln mit auf Bettung versetzen Bordsteinen mit verstärkter Rückstütze zu erstellen sind. Ein Bordstein im Bereich der Fahrertür birgt die Gefahr von Verletzungen durch Umknicken insb. beim Verlassen des Fahrzeugs. Wäre es gestattet auf Bordsteine ganz zu verzichten und stattdessen die Einfassung der Inseln rein optisch vorzunehmen?</t>
  </si>
  <si>
    <t xml:space="preserve">Bezug lt. Katalog: Vertragsanlage 04_Leistungsbeschreibung Errichtung, 4.11.3. ; S.39
Katalogdatum: 14.04.2025 // Antwort: Nein, es bleibt bei den Anforderungen gemäß Leistungsbeschreibung Errichtung. Der Bieter ist eingeladen, entsprechenden Verhandlungsbedarf anzumelden und zu erläutern.</t>
  </si>
  <si>
    <t xml:space="preserve">ANF-350</t>
  </si>
  <si>
    <t xml:space="preserve">Nr. 295 / S. 27</t>
  </si>
  <si>
    <t xml:space="preserve">Klarstellung: Die Annahme ist korrekt, es sind die Biegeradien der einzubauenden Kabel zu Berücksichtigen.</t>
  </si>
  <si>
    <t xml:space="preserve">Es wird ein Radius von mind 12m für den Übergangsbereich der Kabelleerrohre zu den Anlagenteilen gefordert. Gehen wir recht in der Annahme, dass damit nur der unmittelbare Bereich, z.B. in einem Fundament gemeint ist, ansonsten sich die Kabeltrassen aber an den zulässigen Biegeradien der Kabel zu orientieren haben?</t>
  </si>
  <si>
    <t xml:space="preserve">Bezug lt. Katalog: Vertragsanlage 04_Leistungsbeschreibung Errichtung, 4.11.2. ; S.38
Katalogdatum: 14.04.2025 // Antwort: Die Annahme ist korrekt, es sind die Biegeradien der einzubauenden Kabel zu Berücksichtigen.</t>
  </si>
  <si>
    <t xml:space="preserve">ANF-351</t>
  </si>
  <si>
    <t xml:space="preserve">Nr. 296 / S. 27</t>
  </si>
  <si>
    <t xml:space="preserve">Klarstellung: Danke für den Hinweis. Wir haben das Formblatt A1 entsprechend aktualisiert.</t>
  </si>
  <si>
    <t xml:space="preserve">Das Datum der Angebotsaufforderung sowie die Frist können nicht eingetragen werden. Die Daten im Angebotsschreiben 03.02.25 sind nicht aktuell. Könnten Sie das Formblatt 1 so hochladen, dass auch die Daten bearbeitet werden können oder eine Version mit aktuellen Daten?</t>
  </si>
  <si>
    <t xml:space="preserve">Bezug lt. Katalog: Formblatt 1
Katalogdatum: 14.04.2025 // Antwort: Danke für den Hinweis. Wir haben das Formblatt A1 entsprechend aktualisiert.</t>
  </si>
  <si>
    <t xml:space="preserve">ANF-352</t>
  </si>
  <si>
    <t xml:space="preserve">Nr. 297 / S. 27</t>
  </si>
  <si>
    <t xml:space="preserve">Klarstellung: Danke für den Hinweis. Bezugspunkt des Ausschlusses ist § 52 Abs.</t>
  </si>
  <si>
    <t xml:space="preserve">§ 6.1 a) Satz 2 des Musters Direktvertrag (Anlage 16) sieht vor, dass bei einer Kündigung des Projektvertrages "nach § 52" des Projektvertrages kein Eintrittsrecht bestehen soll. § 52 des Projektvertrages regelt allerdings sämtliche vertraglichen Kündigungsrechte, so dass die Regelung zum Eintrittsrecht bei wortlautgetreuer Anwendung von Satz 2 keinen Anwendungsbereich hätte. Insoweit bitten wir um einen Hinweis, auf welche Regelung des Projektvertrages in § 6.1 a) Satz 2 des Musters Direktvertrag verwiesen werden soll.</t>
  </si>
  <si>
    <t xml:space="preserve">Bezug lt. Katalog: § 6.1 Direktvertrag
Katalogdatum: 14.04.2025 // Antwort: Danke für den Hinweis. Bezugspunkt des Ausschlusses ist § 52 Abs. 2 c (bb) und (ee).</t>
  </si>
  <si>
    <t xml:space="preserve">ANF-353</t>
  </si>
  <si>
    <t xml:space="preserve">Nr. 298 / S. 28</t>
  </si>
  <si>
    <t xml:space="preserve">Klarstellung: Dieses Verständnis ist unzutreffend. Es handelt sich nicht um Unterkriterien, so dass die zitierte Rechtsprechung keine Anwendung findet.</t>
  </si>
  <si>
    <t xml:space="preserve">Zu den qualitativen Zuschlagskriterien (Errichtungskonzept und Betriebskonzept), die jeweils zu 15% in die Gesamtwertung eingehen, hat der Auftraggeber in Entsprechung des vergaberechtlichen Transparenzgebots verschiedene Unterkriterien formuliert, um die Anforderungen des jeweiligen Kriteriums hinreichend bestimmt zu machen (z.B. für das Errichtungskonzept: Aufteilung in ein Personalkonzept, Angaben zur Personalorganisation und zur Umsetzung; für das Betriebskonzept werden die Punkte Auffindung, Bedienbarkeit, Beseitigung von Einschränkungen und technische Umsetzung aufgegriffen). Die jeweils beschriebenen Unterkriterien werden ihrerseits durch weiterer Unter-Unterkriterien ergänzend beschrieben (exemplarisch für das zum Errichtungskonzept gehörende Personalkonzept: hinsichtlich des für die Auftragsausführung vorgesehenen Personals soll der Bieter Angaben zu den Aufgaben bei der Auftragsausführung, Qualifikation und berufliche Erfahrung machen). Allerdings ist keine Gewichtung der Unterkriterien (und der Unter-Unterkriterien) angegeben. Der Auftraggeber ist verpflichtet, nicht nur die Unterkriterien, sondern auch ihre Gewichtung bekanntzumachen (vgl. OLG Frankfurt a. M., Beschl. v. 12.4.2022 – 11 Verg 11/21 unter Bezugnahme auf EuGH, Urt. v. 14.7.2016 – C-6/15 (TNS Dimarso NV ./. Vlaams Gewest)). Vor diesem Hintergrund stellt sich die Frage, in welchem Verhältnis die Unterkriterien (nebst ihrer Unter-Unterkriterien) konkret in die Bewertung der Qualität einfließen. Wir bitten um entsprechender Erläuterung.</t>
  </si>
  <si>
    <t xml:space="preserve">Bezug lt. Katalog: Anlage 3 zum Verfahrensbrief
Katalogdatum: 14.04.2025 // Antwort: Dieses Verständnis ist unzutreffend. Es handelt sich nicht um Unterkriterien, so dass die zitierte Rechtsprechung keine Anwendung findet. Der Auftraggeber hat benannt weclhe Angaben er im Angebot des Bieters erwartet und sowie die zugehörigen Bewertungsaspekte und Bewertungspunkte.</t>
  </si>
  <si>
    <t xml:space="preserve">ANF-354</t>
  </si>
  <si>
    <t xml:space="preserve">Nr. 299 / S. 28</t>
  </si>
  <si>
    <t xml:space="preserve">Klarstellung: Die Zuschlagskriterien sowie die zugehörigen Bewertungsmaßstäbe und -methoden sind abschließend der Anlage 3 zum Verfahrensbrief zu entnehmen.</t>
  </si>
  <si>
    <t xml:space="preserve">Vor dem Hintergrund, dass die Bieter auf der Grundlage der Anmerkungen unterhalb der Bewertungsmatrix dazu angehalten sind, im Rahmen ihres konzeptionellen Gestaltungsspielraums auch Aspekte der Errichtung oder des Betriebs einfließen zu lassen, die in den Unterkriterien nicht aufgeführt sind, stellt sich die Frage, ob und wie der AG dies für den Fall, dass die Bieter davon (in unterschiedlichem Umfang) Gebrauch machen, bei der Bepunktung der Konzepte berücksichtigt. Eine bessere Bewertung eines Konzepts, das weitere eigene Ideen einbringt, scheint unter Berücksichtigung des Grundsatzes der Gleichbehandlung ausgeschlossen, da die Vergleichbarkeit der Angebote nicht mehr gewährleistet ist und dies zwangsläufig zu einer geringeren Gewichtung der vorgegebenen Aspekte führen würde. Wir gehen daher davon aus, dass die Vorgabe ausschließlich dazu dient, die Konzepte zur späteren Vertragsgrundlage zu machen, da der bezuschlagte Bieter sein Errichtungskonzept umsetzen muss, etwaige weitergehende Ideen jedoch für die konkrete Angebotswertung außer Betracht bleiben. Wir bitten um Bestätigung dieses Verständnisses und – bei Bedarf – um ergänzende Erläuterung.</t>
  </si>
  <si>
    <t xml:space="preserve">Bezug lt. Katalog: Anlage 3 zum Verfahrensbrief
Katalogdatum: 14.04.2025 // Antwort: Die Zuschlagskriterien sowie die zugehörigen Bewertungsmaßstäbe und -methoden sind abschließend der Anlage 3 zum Verfahrensbrief zu entnehmen.</t>
  </si>
  <si>
    <t xml:space="preserve">ANF-355</t>
  </si>
  <si>
    <t xml:space="preserve">Nr. 300 / S. 28</t>
  </si>
  <si>
    <t xml:space="preserve">Klarstellung: Das Protokoll wurde über die Vergabeplattform übermittelt.</t>
  </si>
  <si>
    <t xml:space="preserve">Könnten Sie uns schon sagen, ob und wann SIe das Protokoll zur Verfügung stellen können?</t>
  </si>
  <si>
    <t xml:space="preserve">Bezug lt. Katalog: Protokoll
Katalogdatum: 22.07.2025
Zuordnung prüfen (Komponente/Partner nicht eindeutig) // Antwort: Das Protokoll wurde über die Vergabeplattform übermittelt.</t>
  </si>
  <si>
    <t xml:space="preserve">ANF-356</t>
  </si>
  <si>
    <t xml:space="preserve">Nr. 301 / S. 28</t>
  </si>
  <si>
    <t xml:space="preserve">Klarstellung: Es müssen alle erforderlichen Maßnahmen getroffen werden, um einen Ausbau der NSHV im späteren Betrieb auf die Endausbaustufe zu ermöglichen.</t>
  </si>
  <si>
    <t xml:space="preserve">Müssen die NSHV bereits für mögliche spätere Ausbaustufen vorbereitet werden? Gibt es Vorgaben zur Anzahl der vorzuhaltenden Abgangsreserven für zukünftige Er- weiterungen?</t>
  </si>
  <si>
    <t xml:space="preserve">Bezug lt. Katalog: NSHV Vertragsanlage 05
Katalogdatum: 14.07.2025 // Antwort: Es müssen alle erforderlichen Maßnahmen getroffen werden, um einen Ausbau der NSHV im späteren Betrieb auf die Endausbaustufe zu ermöglichen. Insbesondere muss entsprechender Platz sowie Kabelwege dafür vorbereitet werden.</t>
  </si>
  <si>
    <t xml:space="preserve">ANF-357</t>
  </si>
  <si>
    <t xml:space="preserve">Nr. 302 / S. 28</t>
  </si>
  <si>
    <t xml:space="preserve">Klarstellung: Diese Frage wurde bereits über die Vergabeplattform beantwortet am 24.07.2025</t>
  </si>
  <si>
    <t xml:space="preserve">Vor dem Hintergrund der aktuellen Berichterstattung zum vorübergehenden Aus- schreibungsstopp bei der Autobahn GmbH bitten wir um Bestätigung, dass das lau- fende Vergabeverfahren hiervon nicht betroffen ist und uneingeschränkt fortgeführt wird.</t>
  </si>
  <si>
    <t xml:space="preserve">Bezug lt. Katalog: „Ausschrei- bungsstopp der Autobahn GmbH“
Katalogdatum: 14.07.2025
Zuordnung prüfen (Komponente/Partner nicht eindeutig) // Antwort: Diese Frage wurde bereits über die Vergabeplattform beantwortet am 24.07.2025</t>
  </si>
  <si>
    <t xml:space="preserve">ANF-358</t>
  </si>
  <si>
    <t xml:space="preserve">Nr. 303 / S. 28</t>
  </si>
  <si>
    <t xml:space="preserve">Klarstellung: Der AG befindet sich aktuell in der fachlichen Prüfung dieser Frage. Einzelheiten werden den Bietern spätestens mit den Vergabeunterlagen für die Erstellung der finalen Angebote zur Verfügung gestellt.</t>
  </si>
  <si>
    <t xml:space="preserve">In den Vorgaben heißt es, dass alle Verkehrsflächen sowie Park- und Gehwegflächen im Bereich der Ladeeinrichtungen neu hergestellt oder ergänzt werden müssen. Bedeutet das, dass es nicht ausreicht, nur die durch den Einbau der Ladeinfrastruktur geöffneten Oberflächen wiederherzustellen? Müssen stattdessen sämtliche Stellflächen und Fahrbahnen im betroffenen Bereich vollständig erneuert werden – und im Fall der Niederlassung Westfalen sogar mit einer BK100-Oberfläche (Anhang 7)?</t>
  </si>
  <si>
    <t xml:space="preserve">Bezug lt. Katalog: Vertragsanlage 4, Ziffer 3.8.1:
Katalogdatum: 17.07.2025 // Antwort: Der AG befindet sich aktuell in der fachlichen Prüfung dieser Frage. Einzelheiten werden den Bietern spätestens mit den Vergabeunterlagen für die Erstellung der finalen Angebote zur Verfügung gestellt.</t>
  </si>
  <si>
    <t xml:space="preserve">ANF-359</t>
  </si>
  <si>
    <t xml:space="preserve">Nr. 304 / S. 28</t>
  </si>
  <si>
    <t xml:space="preserve">Verweis des Auftraggebers auf die Antwort zu Bieterfrage 303.</t>
  </si>
  <si>
    <t xml:space="preserve">Wir gehen davon aus, dass grundsätzlich eine Belastungsklasse Bk100 (gem. RStO12/24 und Vorgaben NL Westfalen) der Kalkulation zugrunde zu legen ist.</t>
  </si>
  <si>
    <t xml:space="preserve">Bezug lt. Katalog: LB Errichtung
Katalogdatum: 28.07.2025 // Antwort: siehe Bieterfrage 303</t>
  </si>
  <si>
    <t xml:space="preserve">Automatisch ausgewertet: Die Antwort des Auftraggebers verweist ausschließlich auf Bieterfrage 303. Keine eigenständige Anforderung – der Inhalt ist unter der dort erfassten Zeile nachzuhalten.</t>
  </si>
  <si>
    <t xml:space="preserve">ANF-360</t>
  </si>
  <si>
    <t xml:space="preserve">Nr. 305 / S. 28</t>
  </si>
  <si>
    <t xml:space="preserve">Wir gehen davon aus, dass bei Lkw-Stellflächen in Asphaltbauweise der Bereich der LIS-Kabeltrasse in der Belastungsklasse Bk100 (gem. RStO12/24 und Vorgaben NL Westfalen) in Vollausbauweise zu schließen ist. Die Asphaltdeckschicht wird zur Vermeidung von Fugen vollständig innerhalb der LIS-Lkw- Stellfläche neu eingebracht. Die geforderte Homogenität wird dabei durch den AN sichergestellt.</t>
  </si>
  <si>
    <t xml:space="preserve">ANF-361</t>
  </si>
  <si>
    <t xml:space="preserve">Nr. 306 / S. 28</t>
  </si>
  <si>
    <t xml:space="preserve">Wir gehen davon aus, dass bei Lkw-Stellflächen in Betonbauweise der Bereich der LIS-Kabeltrasse in der Belastungsklasse Bk100 (gem. RStO12/24 und Vorgaben NL Westfalen) in Vollausbauweise zu schließen ist. Die Öffnung der Betondeckschicht wird ressourcenschonend auf ein Mindestmaß gehalten und orientiert sich am vorhandenen Fugenbild. Für die Schließung der Verkehrsfläche werden Betonplatten in gleicher Anforderung &amp; Qualität eingebaut (aktuelle Kalkulationsgrundlage: Bk100) und entsprechend mit der vorhandenen Betondecke verbunden. Die geforderte Homogenität wird dabei durch den AN sichergestellt.</t>
  </si>
  <si>
    <t xml:space="preserve">ANF-362</t>
  </si>
  <si>
    <t xml:space="preserve">Nr. 307 / S. 29</t>
  </si>
  <si>
    <t xml:space="preserve">Wir gehen davon aus, dass bei Lkw-Stellflächen in Pflasterbauweise der Bereich der LIS-Kabeltrasse in der Belastungsklasse Bk100 (gem. RStO12/24 und Vorgaben NL Westfalen) in Vollausbauweise zu schließen ist. Der Oberbau der LIS-Lkw-Stellfläche wird in diesem Zuge vollständig auf eine Betonbauweise in der Bk100 ertüchtigt. Dabei können Schichten ohne Bindemittel unter Berücksichtigung der geforderten Homogenität und zur Ressourcenschonung weitergenutzt werden. Benachbarte Lkw-Stellflächen, welche von der Maßnahme unberührt bleiben, sind davon ausgenommen.</t>
  </si>
  <si>
    <t xml:space="preserve">ANF-363</t>
  </si>
  <si>
    <t xml:space="preserve">Nr. 308 / S. 29</t>
  </si>
  <si>
    <t xml:space="preserve">Klarstellung: Der AG befindet sich aktuell in der fachlichen Prüfung dieser Frage. Einzelheiten werden den Bietern spätestens mit den Vergabeunterlagen für die Erstellung der finalen Angebote zu Verfügung gestellt.</t>
  </si>
  <si>
    <t xml:space="preserve">Wann werden die technischen Vorgaben und baulichen Anforderungen zum Reservierungssystem bereitgestellt?</t>
  </si>
  <si>
    <t xml:space="preserve">Bezug lt. Katalog: LB Errichtung/2. Verfahrensbrief
Katalogdatum: 28.07.2025 // Antwort: Der AG befindet sich aktuell in der fachlichen Prüfung dieser Frage. Einzelheiten werden den Bietern spätestens mit den Vergabeunterlagen für die Erstellung der finalen Angebote zu Verfügung gestellt.</t>
  </si>
  <si>
    <t xml:space="preserve">ANF-364</t>
  </si>
  <si>
    <t xml:space="preserve">Nr. 309 / S. 29</t>
  </si>
  <si>
    <t xml:space="preserve">Wir gehen davon aus, dass Dachflächen von Trafo-/Übergabestationen nicht an eine bestehende Entwässerungseinrichtung angeschlossen werden müssen, da hierzu keine konkreten Vorgaben in der Vertragsanlage 4 sowie der REwS 2021 enthalten sind. Zudem möchten wir darauf hinweisen, dass Kompaktstationen und weitere technische Anlagen regelhaft nicht über ein eigenes Dachentwässerungssystem (z.B. Rinne und Fallrohr) verfügen. Die Entwässerung der technischen Anlagen sowie Gebäude wird somit gemäß unserer Annahme über die angrenzende Grünfläche erfolgen.</t>
  </si>
  <si>
    <t xml:space="preserve">Bezug lt. Katalog: Entwässerung
Katalogdatum: 28.07.2025 // Antwort: Der AG befindet sich aktuell in der fachlichen Prüfung dieser Frage. Einzelheiten werden den Bietern spätestens mit den Vergabeunterlagen für die Erstellung der finalen Angebote zu Verfügung gestellt.</t>
  </si>
  <si>
    <t xml:space="preserve">ANF-365</t>
  </si>
  <si>
    <t xml:space="preserve">Nr. 310 / S. 29</t>
  </si>
  <si>
    <t xml:space="preserve">Wir gehen weiterhin davon aus, dass die befestigten Flächen im Bereich der technischen Anlagen in Pflasterbauweise mit teilversickerungsfähigem Aufbau ausgeführt werden können, sodass eine oberflächennahe Entwässerung des nicht versickernden Niederschlags in angrenzende Grünflächen möglich ist und keine gesonderte Ableitung in ein Entwässerungssystem erforderlich ist.</t>
  </si>
  <si>
    <t xml:space="preserve">ANF-366</t>
  </si>
  <si>
    <t xml:space="preserve">Nr. 311 / S. 29</t>
  </si>
  <si>
    <t xml:space="preserve">Wir gehen davon aus, dass im Bereich der Ladeplätze in der Regel keine zusätzlichen Flächen versiegelt, sondern lediglich bestehende Flächen umgebaut werden. Infolgedessen erfolgt keine zusätzliche Einleitung in das bestehende Entwässerungsnetz, sodass keine Nachweise über die hydraulische Leistungsfähigkeit des Bestandssystems erforderlich sind.</t>
  </si>
  <si>
    <t xml:space="preserve">ANF-367</t>
  </si>
  <si>
    <t xml:space="preserve">Nr. 312 / S. 29</t>
  </si>
  <si>
    <t xml:space="preserve">Klarstellung: Es wird auf die Vertragsanlage 4 Leistungsbeschreibung Errichtung Abs. 4.11.6 verwiesen (Stand 06.01.2025): „Für die Versorgung der Ladeneinrichtungen ist je nach Auslegung eine oder mehrere Transformatorstationen durch den AN zu …</t>
  </si>
  <si>
    <t xml:space="preserve">Bei bspw. 3 x MCS und 1 x CCS Zwischenladen beträgt die Mindestleistung der Ladepunkte bei, laut Vertrag, "geteilten Leistungseinheiten" 2800 kW (3x800+1x400). Gehen wir Recht der Annahme, dass die Bezeichnung "geteilte Leistungseinheiten" auch auf "geteilte Transformatoren" übertragen werden kann? Als konkretes Beispiel: Angenommen die 3 x MCS und 1 x CCS Ladepunkte besitzen jeweils eine separate Leistungseinheit, reicht für die Versorgung ein 3150 kVA Transformator aus oder muss in diesem Fall ein teureres Trafokonzept, bestehend aus mehreren Transformatoren, ausgelegt auf insgesamt 3400 kW (3x1000 +1x400) vorgesehen werden?</t>
  </si>
  <si>
    <t xml:space="preserve">Bezug lt. Katalog: LB Betrieb
Katalogdatum: 06.08.2025 // Antwort: Es wird auf die Vertragsanlage 4 Leistungsbeschreibung Errichtung Abs. 4.11.6 verwiesen (Stand 06.01.2025): „Für die Versorgung der Ladeneinrichtungen ist je nach Auslegung eine oder mehrere Transformatorstationen durch den AN zu errichten". Für die Dimensionierung des Transformators ist entscheidend, dass (wie im genannten Beispiel) die Ladeleistungen pro Ladepunkt von je 800 kW für MCS und je 400 kW für CCS gleichzeitig abgegeben werden können.</t>
  </si>
  <si>
    <t xml:space="preserve">ANF-368</t>
  </si>
  <si>
    <t xml:space="preserve">Nr. 313 / S. 29</t>
  </si>
  <si>
    <t xml:space="preserve">Klarstellung: Die Erweiterungsmöglichkeit um zusätzliche Schaltfelder ist vorzusehen.</t>
  </si>
  <si>
    <t xml:space="preserve">Absatz 4: "Evtl. zusätzliche Schaltfelder sind für einen notwendigen Ausbau im Rahmen einer Skalierung auf die Endausbauleistung vorzusehen" --&gt; Bitte erläutern Sie vorzusehen. Sind entsprechende Schaltfelder in der Übergabestation bereits zu errichten oder ist lediglich die Erweiterungsmöglichkeit um zusätzliche Schaltfelder vorzusehen?</t>
  </si>
  <si>
    <t xml:space="preserve">Bezug lt. Katalog: LB Errichtung Anlage 4, 4.11.7 Energieverteilung und Übertragungskomponenten
Katalogdatum: 06.08.2025
Zuordnung prüfen (Komponente/Partner nicht eindeutig) // Antwort: Die Erweiterungsmöglichkeit um zusätzliche Schaltfelder ist vorzusehen.</t>
  </si>
  <si>
    <t xml:space="preserve">ANF-369</t>
  </si>
  <si>
    <t xml:space="preserve">Nr. 314 / S. 29</t>
  </si>
  <si>
    <t xml:space="preserve">Klarstellung: Die in Vertragsanlage 4 Leistungsbeschreibung Errichtung benannten Werte für die Trassenlängen dienen dem AN als Kalkulationsgrundlage.</t>
  </si>
  <si>
    <t xml:space="preserve">Sind die gegebenen maximalen Kabellängen wirklich eine harte Anforderung und wenn ja warum? Falls weitere Leistungseinheiten aufgestellt werden, müssten zusätzlich Distanzen mit AC-Kabel überbrückt werden, wogegen eine weitere Überbrückung mit DC-Kabel eigentlich vorzuziehen wäre.</t>
  </si>
  <si>
    <t xml:space="preserve">Bezug lt. Katalog: Kabellängen
Katalogdatum: 06.08.2025 // Antwort: Die in Vertragsanlage 4 Leistungsbeschreibung Errichtung benannten Werte für die Trassenlängen dienen dem AN als Kalkulationsgrundlage. Die Vertragsanlage 4 Ziffer 4.11.6 "Mittelspannungsübergabestation und Transformatorenanlage", Absatz 5 wird dementsprechend wie folgt angepasst werden: "Die einfache Trassenlänge zwischen Transformator und MCS-Ladepunkten sollte maximal 60 m betragen. Die einfache Trassenlänge zwischen Transformator und CCS- Ladepunkten sollte maximal 100 m betragen". Die Werte ergeben sich aus marktüblichen Längenbeschränkungen aufgrund von Leistungsverlusten und Restriktionen bei der Kommunikation.</t>
  </si>
  <si>
    <t xml:space="preserve">ANF-370</t>
  </si>
  <si>
    <t xml:space="preserve">Nr. 315 / S. 29</t>
  </si>
  <si>
    <t xml:space="preserve">§9, 3.: "Im Übrigen ist jede Werbung an der Ladeinfrastruktur oder am Standort unzulässig. Dies gilt nicht für das Display der Ladeeinrichtungen sowie für eine sich aus der Anbindung an eine E-Roaming-Plattform ergebene Kennzeichnungspflicht an der Ladeeinrichtung." Gehen wir richtig in der Annahme, dass ein beleuchtetes Schild mit dem Betreiberlogo, das bspw. an einem Laternenmast montiert ist, unter diese Werbung fallen würde?</t>
  </si>
  <si>
    <t xml:space="preserve">Bezug lt. Katalog: Betreibervertrag §9, 3.
Katalogdatum: 06.08.2025 // Antwort: Der AG befindet sich aktuell in der fachlichen Prüfung dieser Frage. Einzelheiten werden den Bietern spätestens mit den Vergabeunterlagen für die Erstellung der finalen Angebote zu Verfügung gestellt.</t>
  </si>
  <si>
    <t xml:space="preserve">Alpitronic / eRound / SCS</t>
  </si>
  <si>
    <t xml:space="preserve">Dynamische Anzeige / OCPI Buchungskalender / Ladeeinrichtung</t>
  </si>
  <si>
    <t xml:space="preserve">ANF-371</t>
  </si>
  <si>
    <t xml:space="preserve">Nr. 316 / S. 29</t>
  </si>
  <si>
    <t xml:space="preserve">Klarstellung: Aktuell ist es nicht vorgesehen, dass der Bieter die Gebühren für die auf den Ladeplätzen anfallenden und in das bestehende Kanalisationsnetz eingeleiteten Abwassermengen zu tragen hat.</t>
  </si>
  <si>
    <t xml:space="preserve">Wird der Bieter die Abwassergebühren tragen müssen, die für die auf den Ladeplätzen gesammelten und ins bestehene Kanalisationsnetz eingeleiteten Abwassermengen anfallen?</t>
  </si>
  <si>
    <t xml:space="preserve">Bezug lt. Katalog: Abwassergebühren
Katalogdatum: 04.08.2025 // Antwort: Aktuell ist es nicht vorgesehen, dass der Bieter die Gebühren für die auf den Ladeplätzen anfallenden und in das bestehende Kanalisationsnetz eingeleiteten Abwassermengen zu tragen hat.</t>
  </si>
  <si>
    <t xml:space="preserve">ANF-372</t>
  </si>
  <si>
    <t xml:space="preserve">Nr. 317 / S. 30</t>
  </si>
  <si>
    <t xml:space="preserve">Klarstellung: Nach unserer Auffassung sind Ladesäulen – vorbehaltlich einer abweichenden Einschätzung der Regulierungsbehörden – nicht mit einem iMS auszustatten, eine derartige Verpflichtung folgt weder aus dem MsbG noch aus dem von der …</t>
  </si>
  <si>
    <t xml:space="preserve">Gemäß den Vorgaben der BNetzA müssen zur Umsetzung des Durchleitungsmodells Ladesäulen mit einem intelligenten Messystem (IMSYS) eingesetzt werden (keine DC-Zähler - vgl. §19 Abs. 2 MsbG). Haben auch Sie das Verständnis, dass diese BNetzA Verpflichtung zwingend eingehalten werden muss und VNBs deshalb sämtliche anderen Lösungen zur Bilanzierung ablehnen dürfen? Ist es daher eine Anforderung an den Bieter, Ladesäulen mit intelligentem Messsystem zu errichten? Haben die Auftraggeber im Rahmen der Markterkundung Ladesäulenhersteller identifiziert, die bereits jetzt die technischen Anforderungen zur Realisierung des Durchleitungsmodells durch Integration eines intelligenten Messsystems sowie die weiteren technischen Anforderungen der Ausschreibung erfüllen (z.B Wirkungsgradanforderungen und Eichrecht)?</t>
  </si>
  <si>
    <t xml:space="preserve">Bezug lt. Katalog: technischen Anforderungen Durchleitung
Katalogdatum: 11.08.2025 // Antwort: Nach unserer Auffassung sind Ladesäulen – vorbehaltlich einer abweichenden Einschätzung der Regulierungsbehörden – nicht mit einem iMS auszustatten, eine derartige Verpflichtung folgt weder aus dem MsbG noch aus dem von der BNetzA veröffentlichten Positionspapier zu energiewirtschaftlich relevanten Mess- und Steuerungsvorgängen nach § 19 Abs. 2 MsbG (Az.: BK6-22-253). In der aktuellen Fassung des Positionspapiers vom 13.07.2023 ist der ursprünglich enthaltene Passus zur ladevorgangsscharfen bilanziellen Energiemengenzuordnung nicht mehr enthalten, die BNetzA verweist insoweit allein auf die zwischenzeitliche Einführung der gesetzlichen Regelung in § 19 Abs. 2 MsbG. § 19 Abs. 2 MsbG nimmt jedoch auf sog. „Standard – und Zusatzleistungen“ Bezug. § 34 MsbG definiert welche Leistung als Standard- und welche Leistung als Zusatzleistungen des Messstellenbetreibers eingeordnet werden. Messstellenbetreiber ist nach der Definition des § 2 Nr. 12 der grundzuständige Messstellenbetreiber oder ein Dritter, der die Aufgabe des Messstellenbetriebs durch Vertrag nach § 9 MsbG wahrnimmt. Wobei der grundzuständige MSB grds. der Betreiber des Energieversorgungsnetzes ist (vgl. § 2 Nr. 4 MsbG). Der Wortlaut und der Regelungsgehalt des § 19 Abs. 2 EnWG sind bereits von der Systematik her nicht auf die Submessung anwendbar, da es in dem Bereich der Submessung (also hinter der Ladesäule) keinen grundzuständigen MSB gibt, der die sich aus dem MsbG ergebenen Pflichten übernehmen könnte. Die Submessung wird regelmäßig nicht in den Aufgabenbereich des grundzuständige MSB (grundsätzlich der Netzbetreiber) fallen, da dieser nur für die MsbG-konforme Messung am Netzkopplungspunkt verantwortlich ist.</t>
  </si>
  <si>
    <t xml:space="preserve">ANF-373</t>
  </si>
  <si>
    <t xml:space="preserve">Nr. 318 / S. 30</t>
  </si>
  <si>
    <t xml:space="preserve">Klarstellung: Die Notwendigkeit eines Anprallschutzes ist durch den Auftragnehmer im Rahmen einer entsprechenden Risikobeurteilung zu ermitteln.</t>
  </si>
  <si>
    <t xml:space="preserve">In Abschnitt 4.12.1 der Leistungsbeschreibung wird ein Anprallschutz ausschließlich für die LKW- Ladeeinrichtungen im Verkehrs- und Parkflächenraum gefordert. Für die Energieanlagen (z.B. MS- Übergabestation, Transformatorenanlage) ist keine konkrete Ausführung eines Anprallschutzes beschrieben.Vor dem Hintergrund der Schutzbedürftigkeit dieser technischen Einrichtungen bitten wir um folgende Klarstellung: Ist für die Energieanlagen ebenfalls ein Anprallschutz vorzusehen? Falls ja, ist ein Leitplankensystem gemäß RAL-RG 620 bzw. DIN EN 1317 zwingend erforderlich oder kann alternativ eine technisch geeignete und wirtschaftlichere Pollerlösung (z. B. Stahlpoller mit Einzelfundamenten) angeboten werden? Eine Freigabe zur Wahl der wirtschaftlichsten und technisch geeigneten Lösung wäre aus Sicht des Bieters wünschenswert.</t>
  </si>
  <si>
    <t xml:space="preserve">Bezug lt. Katalog: Anprallschutz Energieanlagen
Katalogdatum: 12.08.2025 // Antwort: Die Notwendigkeit eines Anprallschutzes ist durch den Auftragnehmer im Rahmen einer entsprechenden Risikobeurteilung zu ermitteln. Maßgeblich sind die anerkannten Regeln der Technik. Die vorgeschlagenen Schutzmaßnahmen müssen im Rahmen des geforderten Verkehrssicherheitsaudits nachvollziehbar begründet und als geeignet bewertet werden können. Die Wahl des Schutzsystems obliegt dem Auftragnehmer.</t>
  </si>
  <si>
    <t xml:space="preserve">Alpitronic / tbd</t>
  </si>
  <si>
    <t xml:space="preserve">Schrankenanlage / Ladeeinrichtung</t>
  </si>
  <si>
    <t xml:space="preserve">ANF-374</t>
  </si>
  <si>
    <t xml:space="preserve">Nr. 319 / S. 30</t>
  </si>
  <si>
    <t xml:space="preserve">Klarstellung: Die Informationen zur Mobilfunkabdeckung ergeben sich aus dem Gigabitgrundbuch mit Stand 07/2024 (https://gigabitgrundbuch.bund.de/GIGA/DE/Downloads_Suche/start.html).</t>
  </si>
  <si>
    <t xml:space="preserve">Inwieweit kann der Auftragnehmer davon ausgehen, dass am Standort die für den Betrieb eines Reservierungssystems inkl. ggf. erforderlicher Nummernschilderkennung notwendigen Datenkommunikation mit einem IT-System gewährleistet ist? Inwieweit ist es Aufgabe des Auftragnehmers, ggf. die notwendige Kommunikationsinfrastruktur (z.B. zusätzliche Mobilfunkmasten, Glasfaserverbindung o.ä.) bereitstellen zu lassen und zu finanzieren?</t>
  </si>
  <si>
    <t xml:space="preserve">Bezug lt. Katalog: Reservierung
Katalogdatum: 25.08.2025 // Antwort: Die Informationen zur Mobilfunkabdeckung ergeben sich aus dem Gigabitgrundbuch mit Stand 07/2024 (https://gigabitgrundbuch.bund.de/GIGA/DE/Downloads_Suche/start.html). Darüber hinaus gehende Informationen liegen dem AG aktuell nicht vor. Die Errichtung von Mobilfunkmasten oder Glasfaserverbindungen durch den AN ist aktuell nicht vorgesehen. Soweit die Bieter davon ausgehen, dass auf dieser Grundlage keine ausreichenden Datenkommunikation mit einem IT-System gewährleistet ist, bittet der AG um entsprechende Hinweise.</t>
  </si>
  <si>
    <t xml:space="preserve">Kennzeichenerfassung / OCPI Buchungskalender / Reservierungsplattform</t>
  </si>
  <si>
    <t xml:space="preserve">ANF-375</t>
  </si>
  <si>
    <t xml:space="preserve">Nr. 320 / S. 30</t>
  </si>
  <si>
    <t xml:space="preserve">Verweis des Auftraggebers auf die Antwort zu Bieterfrage 319.</t>
  </si>
  <si>
    <t xml:space="preserve">Inwieweit kann der Auftragnehmer davon ausgehen, dass an den geplanten Standorten eine ausreichende Netzabdeckung (Mobilfunk, NB-IoT, LoRaWAN) gewährleistet ist, um den zuverlässigen Betrieb zukünftiger Anwendungen sicherzustellen?</t>
  </si>
  <si>
    <t xml:space="preserve">Bezug lt. Katalog: Reservierung
Katalogdatum: 25.08.2025 // Antwort: Siehe Antwort auf Bieterfrage 319.</t>
  </si>
  <si>
    <t xml:space="preserve">Automatisch ausgewertet: Die Antwort des Auftraggebers verweist ausschließlich auf Bieterfrage 319. Keine eigenständige Anforderung – der Inhalt ist unter der dort erfassten Zeile nachzuhalten.</t>
  </si>
  <si>
    <t xml:space="preserve">ANF-376</t>
  </si>
  <si>
    <t xml:space="preserve">Nr. 321 / S. 30</t>
  </si>
  <si>
    <t xml:space="preserve">Klarstellung: Der zur Verfügung gestellte Leitungsplan ist aus Sicht des AG korrekt. Der Plan zeigt lediglich einen größeren Ausschnitt, der über die Rastanlage Schäferborn hinausgeht.</t>
  </si>
  <si>
    <t xml:space="preserve">in den neuen Unterlagen ist uns aufgefallen, dass sich für den Standort Schäferborn eine Datei befindet, die dort möglicherweise nicht hingehört: DE-HE-500019_BU_LT_ELT.pdf Könnte es sein, dass diese Datei einem anderen Standort zugeordnet ist?</t>
  </si>
  <si>
    <t xml:space="preserve">Bezug lt. Katalog: Vergabeunterlagen
Katalogdatum: 25.08.2025 // Antwort: Der zur Verfügung gestellte Leitungsplan ist aus Sicht des AG korrekt. Der Plan zeigt lediglich einen größeren Ausschnitt, der über die Rastanlage Schäferborn hinausgeht.</t>
  </si>
  <si>
    <t xml:space="preserve">ANF-377</t>
  </si>
  <si>
    <t xml:space="preserve">Nr. 322 / S. 30</t>
  </si>
  <si>
    <t xml:space="preserve">Klarstellung: Ihre Annahmen sind zutreffend. Siehe dazu auch die Antwort auf Frage 31.</t>
  </si>
  <si>
    <t xml:space="preserve">Bitte bestätigen Sie folgende Auslegung der Anforderungen zur Beleuchtung im Bereich der Lkw- Ladeinfrastruktur: Es ist ausschließlich eine Beleuchtung für die Lkw-Ladeinfrastruktur herzustellen (Mastleuchten im Bereich der Ladesäulen sowie Beleuchtungselemente im Bereich der Technikfläche). Eine zusätzliche Ausstattung der PWC-Anlage sowie Beleuchtungsberechnungen und -simulationen für die gesamte PWC-Anlage sind nicht erforderlich.Ergänzende Leuchten im Bereich der Ladesäulen und Technikfläche sind ggf. erforderlich, auch wenn bereits Mastleuchten in diesen Bereichen stehen, da dort höhere Beleuchtungsanforderungen bestehen als in Fahrgassen oder Stellplätzen. In diesem Fall ist eine Beleuchtungsberechnung und -simulation für den Bereich der Lkw-Ladeinfrastruktur erforderlich.Wenn Bestandsleuchten durch die Maßnahme betroffen sind, müssen diese durch den AN versetzt werden. Außerdem ist eine Beleuchtungsberechnung und -simulation erforderlich, um die neuen Standorte zu wählen bzw. Standorte ins Beleuchtungskonzept der Anlage einfließen zu lassen.</t>
  </si>
  <si>
    <t xml:space="preserve">Bezug lt. Katalog: Beleuchtung
Katalogdatum: 28.08.2025 // Antwort: Ihre Annahmen sind zutreffend. Siehe dazu auch die Antwort auf Frage 31.</t>
  </si>
  <si>
    <t xml:space="preserve">ANF-378</t>
  </si>
  <si>
    <t xml:space="preserve">Nr. 323 / S. 30</t>
  </si>
  <si>
    <t xml:space="preserve">Bestätigt: der AG wird angemessene Fristen ab Zuschlagserteilung für die Betriebsfreigaben festlegen.</t>
  </si>
  <si>
    <t xml:space="preserve">Falls sich der Zeitpunkt der Zuschlagserteilung verschiebt, verschieben sich in diesem Zusammenhang auch die Fristen für die Betriebsfreigabe des ersten Projekts (aktuell 31.12.2026) und der weiteren Projekte entsprechend?</t>
  </si>
  <si>
    <t xml:space="preserve">Bezug lt. Katalog: Rahmenterminplan 2.2.1 a)
Katalogdatum: 29.08.2025 // Antwort: Ja, der AG wird angemessene Fristen ab Zuschlagserteilung für die Betriebsfreigaben festlegen.</t>
  </si>
  <si>
    <t xml:space="preserve">ANF-379</t>
  </si>
  <si>
    <t xml:space="preserve">Nr. 324 / S. 30</t>
  </si>
  <si>
    <t xml:space="preserve">Klarstellung: Die Vorplanung des AG ist als unverbindliche Planungsgrundlage zu verstehen. Sofern der Bieter eine andere Variante vorsieht, hat er sowohl die Anforderungen des Vertrages als auch die Anforderungen an die geltenden technischen …</t>
  </si>
  <si>
    <t xml:space="preserve">Am Projektstandort DE-NW-000071 Vellern Nord ist die Errichtung der Übergabestation aktuell auf einem bestehenden Lärmschutzwall vorgesehen. Zur Realisierung dieses Standorts wäre ein weitgehender Abtrag des Wallabschnitts erforderlich. Dies würde während der Bauphase zu zusätzlicher Lärmbelästigung für die Anwohner führen und im Anschluss den Neubau einer Schallschutzwand erforderlich machen. Im Sinne der Ressourcenschonung und zur Vermeidung zusätzlicher Bau- und Folgekosten schlagen wir vor, die Übergabestation alternativ z.B. auf der nördlichen Grüninsel an der Einfahrt oder auf vorhandenen PKW-Stellplätzen zu positionieren.</t>
  </si>
  <si>
    <t xml:space="preserve">Bezug lt. Katalog: Positionierung Übergabestation DE-NW-000071 Vellern Nord
Katalogdatum: 29.08.2025 // Antwort: Die Vorplanung des AG ist als unverbindliche Planungsgrundlage zu verstehen. Sofern der Bieter eine andere Variante vorsieht, hat er sowohl die Anforderungen des Vertrages als auch die Anforderungen an die geltenden technischen Regelwerke einzuhalten.</t>
  </si>
  <si>
    <t xml:space="preserve">ANF-380</t>
  </si>
  <si>
    <t xml:space="preserve">Nr. 325 / S. 31</t>
  </si>
  <si>
    <t xml:space="preserve">Klarstellung: Wie im 3. Verfahrensbrief unter Punkt 2.6 erwähnt, sind die Unterlagen als unverbindliche Hinweise des AG rein informatorisch und wurden durch den AG nicht auf Vollständigkeit oder Aktualität geprüft.</t>
  </si>
  <si>
    <t xml:space="preserve">Die von Ihnen übergebenen Bestandsunterlagen scheinen zum einen nicht vollständig und zum Teil nicht den Vertragsgegenstand zu betreffen. Wir bitten entsprechend für das Los 1 (Standorte Kronberg Nord, Dithmarscher Geest-Ost und –West), das Los 4 (Standort Linsenbühl) und das Los 5 (Standorte Hunsrücker Berg, Röhrse Süd) um Nachlieferung der Unterlagen. Außerdem bitten wir um Ihre Bestätigung, dass einige der für den Standort DE-NW-000071 Vellern bereitgestellten Pläne (Plan 1, Plan 2 sowie die DWG) möglicherweise irrtümlich die PWC-Anlage der gegenüberliegenden Richtungsfahrbahn betreffen und der Ausbau sich weiterhin auf die PWC-Anlage Vellern Nord beschränkt. Falls ja, bitten wir um Korrektur und Bereitstellung der zutreffenden Pläne.</t>
  </si>
  <si>
    <t xml:space="preserve">Bezug lt. Katalog: Bestandsunterlagen
Katalogdatum: 29.08.2025 // Antwort: Wie im 3. Verfahrensbrief unter Punkt 2.6 erwähnt, sind die Unterlagen als unverbindliche Hinweise des AG rein informatorisch und wurden durch den AG nicht auf Vollständigkeit oder Aktualität geprüft. Maßgeblich für die Schaffung der Planungsgrundlagen sind die Anforderungen der Vertragsanlage 4 „Leistungsbeschreibung Errichtung“. Ja der Ausbau beschränkt sich weiterhin nur auf die unbewirtschaftete Rastanlage Vellern.</t>
  </si>
  <si>
    <t xml:space="preserve">ANF-381</t>
  </si>
  <si>
    <t xml:space="preserve">Nr. 326 / S. 31</t>
  </si>
  <si>
    <t xml:space="preserve">Klarstellung: Die Frage ist unverständlich. Wir bitten um Klarstellung welche Kabeltrasse und welchen Radius Sie genau meinen.</t>
  </si>
  <si>
    <t xml:space="preserve">Ist ein geringerer Radius für die Kabeltrassenführung, unter der Voraussetzung, dass die Funktion nicht eingeschränkt wird, zulässig? Die Umsetzung mit dem aktuell vorgesehenen Radius ist an einigen Standorten aufgrund beengter Platzverhältnisse nur mit unverhältnismäßigem Aufwand realisierbar.</t>
  </si>
  <si>
    <t xml:space="preserve">Bezug lt. Katalog: Vorgabe Biegeradien &gt;12m 4.1.11.2 LB Errichtung
Katalogdatum: 29.08.2025
Zuordnung prüfen (Komponente/Partner nicht eindeutig) // Antwort: Die Frage ist unverständlich. Wir bitten um Klarstellung welche Kabeltrasse und welchen Radius Sie genau meinen.</t>
  </si>
  <si>
    <t xml:space="preserve">ANF-382</t>
  </si>
  <si>
    <t xml:space="preserve">Nr. 327 / S. 31</t>
  </si>
  <si>
    <t xml:space="preserve">Im Vertrag ist festgelegt, dass sämtliche im Verkehrs- und Parkflächenraum vorgesehenen LKW- Ladeeinrichtungen mit Anprallschutzvorrichtungen zu versehen sind, wobei ein für GST-Schwerlastverkehr zugelassener Anprallschutz berücksichtigt werden soll. Bitte um Klärung, ob die GST-Konformität zwingend erforderlich ist. Hintergrund: Der Markt bietet derzeit keinen GST-zertifizierten Anprallschutz an.</t>
  </si>
  <si>
    <t xml:space="preserve">Bezug lt. Katalog: Anprallschutz 4.12.1 LB Errichtung
Katalogdatum: 29.08.2025 // Antwort: Der AG befindet sich aktuell in der fachlichen Prüfung dieser Frage. Einzelheiten werden den Bietern spätestens mit den Vergabeunterlagen für die Erstellung der finalen Angebote zu Verfügung gestellt. Grundsätzlich kann aber davon ausgegangen werden, dass der Anprallschutz gemäß der vehrkehrlichen Erfordernisse und zu erwartenden Belastungen nach den geltenden technischen Regeln auszulegen ist.</t>
  </si>
  <si>
    <t xml:space="preserve">ANF-383</t>
  </si>
  <si>
    <t xml:space="preserve">Nr. 328 / S. 31</t>
  </si>
  <si>
    <t xml:space="preserve">Klarstellung: Der Hintergrund der Frage ist für den AG unklar, für die Auslegung und Ausführung der elektrischen Anlagen ist der AN verantwortlich.</t>
  </si>
  <si>
    <t xml:space="preserve">Gehen wir Recht in der Annahme, dass vorgegebene Verlegeart im Leerrohr unter Verkehrsflächen eine min. 300 mm²-Kupfer-Leitung zwischen Übergabestation und Leistungseinheit nach den geltenden Regeln der Technik und den einschlägigen Berechnungsfaktoren zu bemessen und auszuführen ist?</t>
  </si>
  <si>
    <t xml:space="preserve">Bezug lt. Katalog: Kabeltrassen LB Errichtung
Katalogdatum: 29.08.2025 // Antwort: Der Hintergrund der Frage ist für den AG unklar, für die Auslegung und Ausführung der elektrischen Anlagen ist der AN verantwortlich. Über den minimalen Querschnitt der Kabel kann daher keine Aussage seitens AG getroffen werden.</t>
  </si>
  <si>
    <t xml:space="preserve">ANF-384</t>
  </si>
  <si>
    <t xml:space="preserve">Nr. 329 / S. 31</t>
  </si>
  <si>
    <t xml:space="preserve">Klarstellung: Der AN muss alles regelwerkkonform wiederherstellen was der AN im Rahmen der Maßnhame überplant.</t>
  </si>
  <si>
    <t xml:space="preserve">An einigen Standorten sind die die LKW-Parkbuchten bzw. die Stellplätze schmaler als 4,50 m (3m), wie in der Vorplanung/Referenzplanung vorgesehen (z.B. BB-283901 Blesenberg). Ist die Annahme korrekt, dass der vorhandene Gehweg über die gesamte Länge außerhalb der neu herzustellenden Ladesäulen verlegt werden muss?</t>
  </si>
  <si>
    <t xml:space="preserve">Bezug lt. Katalog: Längsparker
Katalogdatum: 29.08.2025 // Antwort: Der AN muss alles regelwerkkonform wiederherstellen was der AN im Rahmen der Maßnhame überplant. Die Eingriffe sind dabei auf das erforderliche Mindestmaß zu beschränken.</t>
  </si>
  <si>
    <t xml:space="preserve">ANF-385</t>
  </si>
  <si>
    <t xml:space="preserve">Nr. 330 / S. 31</t>
  </si>
  <si>
    <t xml:space="preserve">Klarstellung: Nach den vertraglichen Regelungen ist der Name des Mobilitätsdienstleisters und die Mitteilung der weiteren in der Vertragsanlage 11 vorgesehenen Informationen (u.</t>
  </si>
  <si>
    <t xml:space="preserve">Der Betreibervertrag sieht vor, dass die Höhe und Rechtfertigung der Zugangsentgelte der Mobilitätsdienstleister reportet werden müssen (§ 31 Abs. 5 Betreibervertrag i.V.m. Anlage 11: Leistungsbeschreibung Betrieb). Gesetzlich sieht die AFIR vor, dass der diskriminierungsfreie Zugang von der Regulierungsbehörde zu überwachen ist und ist insoweit Lex Specialis zu § 3 SchnellLG. Vorgesehen ist, dass die BNetzA als Regulierungsbehörde eingesetzt wird. Insbesondere über die Roamingplattformen können die Betreiber keine vertragliche Berechtigung für diese Offenlegung von den Betroffenen erhalten und können sich auf Grund der Zuständigkeit der BNetzA auch nicht auf darauf berufen, dass die Offenlegung auf Grund einer gesetzlichen Verpflichtung gegenüber der zuständigen Behörde erfolgt. Somit müssten die Betreiber die Vertraulichkeitspflicht ungerechtfertigt verletzen. Vor diesem Hintergrund: Fordert der Auftraggeber die Benennung der Mobilitätsanbieter und die Offenlegung der vertraulichen Informationen aus den Verträgen mit den Mobilitätsanbietern?</t>
  </si>
  <si>
    <t xml:space="preserve">Bezug lt. Katalog: § 31 Abs. 5 Betreibervertrag - Reportingpflichten
Katalogdatum: 29.08.2025 // Antwort: Nach den vertraglichen Regelungen ist der Name des Mobilitätsdienstleisters und die Mitteilung der weiteren in der Vertragsanlage 11 vorgesehenen Informationen (u. A. Höhe des Zugangsentgelts) im Rahmen des Reportings erforderlich. Soweit die Nennung des Mobilitätsdienstleisters im Einzelfall aufgrund gesetzlicher Vorgaben nicht möglich ist, kann eine Anonymisierung der Mobilitätsdienstleisters erfolgen. In diesem Fall ist im Rahmen des Reportings zusätzlich anzugeben, ob es sich bei dem Mobilitätsdienstleister um ein verbundenes Unternehmen des Auftragnehmers handelt oder nicht.</t>
  </si>
  <si>
    <t xml:space="preserve">ANF-386</t>
  </si>
  <si>
    <t xml:space="preserve">Nr. 331 / S. 31</t>
  </si>
  <si>
    <t xml:space="preserve">Klarstellung: Der AG wird keine allgemeine Preisgleitklausel, beispielweise für Baukosten, aufnehmen. Die Aufnahme einer Stoffpreisgleitklausel hinsichtlich bestimmter Stoffe (z.B.</t>
  </si>
  <si>
    <t xml:space="preserve">Ist die Autobahn GmbH bereit, in den Vergabeunterlagen für das Projekt „Truck Charging“ eine Preisgleitklausel für Kupfer, Aluminium und Baukosten aufzunehmen, die auf anerkannte Marktindizes basiert, sodass das Entrichterentgelt bei signifikanten Preissteigerungen oder - senkungen angepasst werden kann?</t>
  </si>
  <si>
    <t xml:space="preserve">Bezug lt. Katalog: Preisgleitklausel für wesentliche Rohstoffe (Kupfer und Aluminium)
Katalogdatum: 02.09.2025 // Antwort: Der AG wird keine allgemeine Preisgleitklausel, beispielweise für Baukosten, aufnehmen. Die Aufnahme einer Stoffpreisgleitklausel hinsichtlich bestimmter Stoffe (z.B. Kupfer, Aluminium) wird aktuell geprüft. Das finale Ergebnis werden die Bieter den fortgeschriebenen Vergabeunterlagen entnehmen können.</t>
  </si>
  <si>
    <t xml:space="preserve">ANF-387</t>
  </si>
  <si>
    <t xml:space="preserve">Nr. 332 / S. 31</t>
  </si>
  <si>
    <t xml:space="preserve">Klarstellung: Der Ladepunkt sollte nicht frühzeitig auf "blocked" oder "unavailable" gesetzt werden. Die Bieter sind aufgefordert, Vorschläge für andere adäquate Lösungen einzureichen.</t>
  </si>
  <si>
    <t xml:space="preserve">Welchen Status soll ein Ladepunkt bekommen, wenn der Ladepunkt bis zum Beginn des nächsten Reservierungszeitraum nur für wenige Minuten frei ist? Eine Anzeige als „available“ wäre irreführend und zudem aus Sicht des Betreibers nicht wünschenswert, da dann absehbar ist, dass der so begonnene Ladevorgang bis in den nächsten Reservierungszeitraum hineinreicht. Eine Anzeige als „Reserved“ wäre möglich, dem würde dann aber kein Buchungsvorgang entsprechen: hier gehen wir davon aus, dass dies seitens AG nicht gewünscht ist. Operativ ist der status „available“ in diesem Fall nicht wünschenswert. Da nach §33 (4) Betreibervertrag die maximale Pönale nur 50ct/min beträgt und auch erst 15 Minuten nach Ende des Reservierungszeitraums greift, besteht bei einem Transaktionsvolumen von regelmäßig zu erwartenden mehr als 100€ pro Ladevorgang für Nutzer nur ein geringer Anreiz, sich nicht spontan „dazwischenzuschieben“. So würde absehbar der spontane „Zwischennutzer“ den nächsten reservierten Ladevorgang behindern. Aus Betreibersicht sollte es daher einen Status „Blocked“ geben, der nicht pönalisiert wird.</t>
  </si>
  <si>
    <t xml:space="preserve">Bezug lt. Katalog: Reservierung und Status Ladepunkt
Katalogdatum: 02.09.2025 // Antwort: Der Ladepunkt sollte nicht frühzeitig auf "blocked" oder "unavailable" gesetzt werden. Die Bieter sind aufgefordert, Vorschläge für andere adäquate Lösungen einzureichen. Dies kann jedoch nur auf der Grundlage erfolgen, dass der AN verpflichtet ist, Reservierungen zu ermöglichen. Er kann dafür geeignete Maßnahmen ergreifen und beispielsweise einen laufenden Ladevorgang abbrechen, wenn dieser in einen reservierten Zeitraum eines anderen Nutzers hineinreicht.</t>
  </si>
  <si>
    <t xml:space="preserve">ANF-388</t>
  </si>
  <si>
    <t xml:space="preserve">Nr. 333 / S. 31</t>
  </si>
  <si>
    <t xml:space="preserve">Laut Betreibervertrag hat der CPO dafür zu sorgen, dass es keine Falschparker an den Ladepunkten gibt. Falls nicht 2 Schranken je Ladeplatz installiert werden, kann ein Ladepunkt durch Falschparker blockiert werden. Insbesondere abends und nachts ist hier ein rückwärtiges Einparken auf einen nicht genutzten Ladeplatz nicht auszuschließen. Der Ladepunkt würde dann als „blocked“ angezeigt. Ist es hinreichend im Sinne von §22 (4) Betreibervertrag, in diesem Fall den falschparkenden LKW zu detektieren und bei der Autobahnpolizei anzuzeigen, so dass die Pönalisierung gemäß §7 (5) Anlage 11 Leitungsbeschreibung Betrieb nicht greift oder werden vom Betreiber darüber hinausgehende Aktivitäten erwartet?</t>
  </si>
  <si>
    <t xml:space="preserve">Bezug lt. Katalog: Reservierung &amp; Blockade durch Falschparker
Katalogdatum: 02.09.2025 // Antwort: Der AG befindet sich aktuell in der fachlichen Prüfung dieser Frage. Einzelheiten werden den Bietern spätestens mit den Vergabeunterlagen für die Erstellung der finalen Angebote zu Verfügung gestellt.</t>
  </si>
  <si>
    <t xml:space="preserve">ANF-389</t>
  </si>
  <si>
    <t xml:space="preserve">Nr. 334 / S. 31</t>
  </si>
  <si>
    <t xml:space="preserve">Klarstellung: Vielen Dank für den Hinweis. Die Position wird gestrichen.</t>
  </si>
  <si>
    <t xml:space="preserve">Welche Leistungen werden unter „technischer Verbesserung“ definiert?</t>
  </si>
  <si>
    <t xml:space="preserve">Bezug lt. Katalog: Formular Aufschlüsselung der Betriebskosten
Katalogdatum: 09.09.2025
Zuordnung prüfen (Komponente/Partner nicht eindeutig) // Antwort: Vielen Dank für den Hinweis. Die Position wird gestrichen. Die entsprechende Unterlage wird mit den fortgeschriebenen Vergabeunterlagen zur Verfügung gestellt.</t>
  </si>
  <si>
    <t xml:space="preserve">ANF-390</t>
  </si>
  <si>
    <t xml:space="preserve">Nr. 335 / S. 32</t>
  </si>
  <si>
    <t xml:space="preserve">Klarstellung: Vielen Dank für den Hinweis. Dies wird mit der aktualsierten Version der Vergabeunterlagen korrigiert.</t>
  </si>
  <si>
    <t xml:space="preserve">Verkehrssicherung ist doppelt (1.5 und 1.10)</t>
  </si>
  <si>
    <t xml:space="preserve">Bezug lt. Katalog: Formular Aufschlüsselung der Betriebskosten
Katalogdatum: 09.09.2025
Zuordnung prüfen (Komponente/Partner nicht eindeutig) // Antwort: Vielen Dank für den Hinweis. Dies wird mit der aktualsierten Version der Vergabeunterlagen korrigiert.</t>
  </si>
  <si>
    <t xml:space="preserve">ANF-391</t>
  </si>
  <si>
    <t xml:space="preserve">Nr. 336 / S. 32</t>
  </si>
  <si>
    <t xml:space="preserve">Klarstellung: Vielen Dank für den Hinweis. Der AG bittet um Konkretisierung zu welchen anderen Positionen eine Abgrenzung gewünscht wird.</t>
  </si>
  <si>
    <t xml:space="preserve">Welche Leistungen werden unter „Facility Management“ in Abgrenzung zu den anderen Positionen definiert?</t>
  </si>
  <si>
    <t xml:space="preserve">Bezug lt. Katalog: Formular Aufschlüsselung der Betriebskosten
Katalogdatum: 09.09.2025
Zuordnung prüfen (Komponente/Partner nicht eindeutig) // Antwort: Vielen Dank für den Hinweis. Der AG bittet um Konkretisierung zu welchen anderen Positionen eine Abgrenzung gewünscht wird.</t>
  </si>
  <si>
    <t xml:space="preserve">ANF-392</t>
  </si>
  <si>
    <t xml:space="preserve">Nr. 337 / S. 32</t>
  </si>
  <si>
    <t xml:space="preserve">Klarstellung: Alle durch die Baumaßnahmen betroffenen Verkehrs-, Park- und Gehwegflächen sind grundsätzlich grundhaft nach den gültigen Regelwerken, den planerischen Vorgaben der Niederlassung (siehe auch Anhang 7) entsprechend neu- / …</t>
  </si>
  <si>
    <t xml:space="preserve">Unter 3.8.1. wird formuliert: „Im Rahmen der Bestandserfassung (Kapitel 3.3.1) dokumentierte Schäden an den Verkehrsflächen und Ausstattungselementen im Bereich der künftigen LKW-Ladeinfrastruktur sind im Rahmen der Planung zu berücksichtigen und gezielt abzustellen.“ Hiermit könnte die komplette Zu- und Abfahrt zum Ladepunkt gemeint sein ab der Autobahnzufahrt bzw. bis zur Autobahnabfahrt. =&gt; Wie wird der „Bereich der künftigen LKW-Ladeinfrastruktur“ konkret definiert?</t>
  </si>
  <si>
    <t xml:space="preserve">Bezug lt. Katalog: Vertragsanlage 4 LB Errichtung
Katalogdatum: 09.09.2025
Zuordnung prüfen (Komponente/Partner nicht eindeutig) // Antwort: Alle durch die Baumaßnahmen betroffenen Verkehrs-, Park- und Gehwegflächen sind grundsätzlich grundhaft nach den gültigen Regelwerken, den planerischen Vorgaben der Niederlassung (siehe auch Anhang 7) entsprechend neu- / wiederherzustellen, bzw. zu ergänzen.</t>
  </si>
  <si>
    <t xml:space="preserve">ANF-393</t>
  </si>
  <si>
    <t xml:space="preserve">Nr. 338 / S. 32</t>
  </si>
  <si>
    <t xml:space="preserve">Klarstellung: Die BK6 der BNetzA hat gegenüber den Auftraggebern mit Mitteilung vom 18.09.2025 bestätigt, dass eine Verpflichtung zur Einhaltung der Anforderungen des §§ 21 und 22 MsbG für die Ladepunktzähler nicht bestehen dürfte.</t>
  </si>
  <si>
    <t xml:space="preserve">Im Sinne der Rechtssicherheit sehen wir es als notwendig an, den Bietern eine offizielle Bestätigung der BNetzA zukommen zu lassen, dass die Regulierungsbehörde wie die AdB der Auffassung ist, dass kein intelligentes Messsystem am Ladepunkt eingesetzt werden muss, um das Durchleitungsmodell umzusetzen. Wir gehen davon aus, dass dies vor der Beantwortung der Bieterfrage Nr. 317 eingeholt wurde. Nach Sichtung der Auffassung der AdB, dass für die Abwicklung des Durchleitungsmodell kein intelligentes Messystem eingesetzt werden muss (siehe Bieterfrage Nr. 317), stellt sich uns auch die folgende Frage: Gemäß der BDEW-Anwendungshilfe zum NZR-EMob-Modell (Anwendungshilfe_zum_Modell_zwei_BK6-20- 160_Version1.3.pdf) kann laut Punkt 1.6.1 eine MaLo zu einem Zeitpunkt immer nur einem Modell zugeordnet sein, entweder dem Modell 1 oder dem Modell 2. Die MaLo ist dem Standort zugeordnet. Wie soll das System rechtssicher abgebildet werden, wenn zwei Fahrzeuge gleichzeitig am Standort laden und ein Kunde mit Modell 1 und ein Kunde mit Modell 2 laden will, wenn nicht jeder Ladepunkt ein eigenes IMSYS besitzt bzw. eine eigne Marktlokation bildet?</t>
  </si>
  <si>
    <t xml:space="preserve">Bezug lt. Katalog: Weitergehende Frage im Bezug auf Ihre Antwort zu Bieterfrage 317
Katalogdatum: 09.09.2025 // Antwort: Die BK6 der BNetzA hat gegenüber den Auftraggebern mit Mitteilung vom 18.09.2025 bestätigt, dass eine Verpflichtung zur Einhaltung der Anforderungen des §§ 21 und 22 MsbG für die Ladepunktzähler nicht bestehen dürfte. Die BK6 führt insoweit aus, dass die Festlegung der BK 6 vom 21.12.2020 (Az. BK6-20-160) die Frage des Erfordernisses eines iMS am Ladepunkt nicht adressiert. Maßgeblich sind insoweit die Vorgaben des MsbG, wobei gegen die Anwendung des MsbG u. a. die Tatsache spricht, dass die Energiemengenzuordnung durch den CPO beim Durchleitungsmodell erst hinter der Netzübergabestelle und damit aus Sicht des Netzes der allgemeinen Versorgung erst nach der abschließenden Messung erfolgt. Die BDEW Anwendungshilfe zum Modell 2 zur ladevorgangsscharfen Energiemengenzuordnungsmöglichkeit sieht vor, dass eine MaLo zu einem Zeitpunkt immer nur einem Modell zugeordnet werden kann. Hieraus folgt, dass die MaLo des Standortes einheitlich dem Modell 2 zuzuordnen ist. Die Zuordnung der MaLo des Standortes zum Modell 2 schließt die parallele Anwendung sowohl des EMP-Ladens und des Ad hoc-Ladens einerseits und des Ladens im Durchleitungsmodell andererseits nicht aus. Die Zuordnung zum Modell 2 führt lediglich dazu, dass keine Bilanzierung von Energie an der MaLo durch den Anschlussnetzbetreiber stattfindet. Vielmehr wird die gesamte Energiemenge des Standortes wie eine Netzgangzeitreihe behandelt, die von dem CPO – einem nachgelagerten Netzbetreiber vergleichbar - bilanziell zuzuordnen ist. Der CPO ist mithin verpflichtet, auch die im Wege des sonstigen Ladens abgegebenen Energiemengen bilanziell seinem oder dem vom ihm oder seinem Lieferanten benannten Bilanzkreis zuzuordnen. Die Ermittlung der jeweiligen Energiemengen erfolgt anhand der Charge Detail Records (vgl. insoweit § 6 der Vertragsanlage 14: Bilanzierung Durchleitungsmodell).</t>
  </si>
  <si>
    <t xml:space="preserve">ANF-394</t>
  </si>
  <si>
    <t xml:space="preserve">Nr. 339 / S. 32</t>
  </si>
  <si>
    <t xml:space="preserve">Klarstellung: Die Autobahn GmbH teilt zum weiteren zeitlichen Ablauf des Vergabeverfahrens Folgendes mit: Die Aufforderung zur Abgabe finaler Angebote wird voraussichtlich erst Mitte Oktober 2025 erfolgen.</t>
  </si>
  <si>
    <t xml:space="preserve">wird an der bisher kommunizierten Terminschiene festgehalten, die Aufforderung zum finalen Angebot samt finalen Vergabeunterlagen Mitte September durchzuführen? Wir bitten um Bestätigung oder Nennung der neuen Terminschiene.</t>
  </si>
  <si>
    <t xml:space="preserve">Bezug lt. Katalog: Verfahren
Katalogdatum: 11.09.2025 // Antwort: Die Autobahn GmbH teilt zum weiteren zeitlichen Ablauf des Vergabeverfahrens Folgendes mit: Die Aufforderung zur Abgabe finaler Angebote wird voraussichtlich erst Mitte Oktober 2025 erfolgen. Die Angebotsfrist wird mindestens sechs Wochen betragen.</t>
  </si>
  <si>
    <t xml:space="preserve">ANF-395</t>
  </si>
  <si>
    <t xml:space="preserve">Nr. 340 / S. 32</t>
  </si>
  <si>
    <t xml:space="preserve">Klarstellung: Das Kapitel "Entstörung und Behebung von Schäden" wird im Vertrag entsprechend angepasst. Das Kapitel wird um den Zusatz ergänzt, dass Ladevorgänge seitens der Ladeeinrichtung bei Bedarf oder nach einer Störung unmittelbar …</t>
  </si>
  <si>
    <t xml:space="preserve">Bezugnehmend auf Ihre Anforderung unter Ziffer 3 des dritten Verfahrensbriefs sowie §22 des Vertrags hinsichtlich eines automatischen Neustarts nach Abbruch eines Ladevorgangs möchten wir folgende Hinweise geben: - Unabhängig davon, ob ein Ladevorgang (LV) durch das Fahrzeug oder die Ladesäule unterbrochen bzw. abgebrochen wurde, ist eine Wiederaufnahme des Vorgangs in den meisten Fällen technisch nicht möglich. Dies liegt vor allem daran, dass das Verhalten auf Fahrzeugseite herstellerabhängig variiert. - Handelt es sich um den Beginn eines neuen Ladevorgangs – etwa nach einer Unterbrechung der Stromversorgung der Ladesäule – ist gemäß aktueller Rechtslage die Zustimmung des Nutzers erforderlich. - Wir arbeiten fortlaufend – auch in Abstimmung mit Fahrzeugherstellern – daran, Ladeabbrüche zu minimieren. Eine geeignete Maßnahme besteht darin, den Status in einen „Pause“-Modus zu versetzen. So könnte ein Ladevorgang wieder aufgenommen werden, sofern das jeweilige Fahrzeug dies unterstützt. Aus den oben genannten Gründen halten wir eine verbindliche Vorgabe zum automatischen Neustart von Ladevorgängen für technisch nicht sachgerecht und bitten daher, von einer solchen abzusehen.</t>
  </si>
  <si>
    <t xml:space="preserve">Bezug lt. Katalog: automatischer Neustart nach Ladeabbruch
Katalogdatum: 20.08.2025 // Antwort: Das Kapitel "Entstörung und Behebung von Schäden" wird im Vertrag entsprechend angepasst. Das Kapitel wird um den Zusatz ergänzt, dass Ladevorgänge seitens der Ladeeinrichtung bei Bedarf oder nach einer Störung unmittelbar wiederaufgenommen werden können, "soweit dies technisch möglich bzw. zulässig ist."</t>
  </si>
  <si>
    <t xml:space="preserve">ANF-396</t>
  </si>
  <si>
    <t xml:space="preserve">Nr. 341 / S. 33</t>
  </si>
  <si>
    <t xml:space="preserve">Klarstellung: Zu a) Die Regelung zur 20%-igen Platzreserve wird in der Vertragsanlage 4 Leistungsbeschreibung Errichtung gestrichen.</t>
  </si>
  <si>
    <t xml:space="preserve">In Ziffer 4.11.6 und Ziffer 4.11.7 der Vertragsanlage 04, Leistungsbeschreibung Errichtung ist festgelegt, dass sämtliche Kabelführungen, Kabelkanäle Durchbrüche, Kabelzugrohre etc. so auszuführen sind, dass bei Erstausstattung 20% Platzreserve zur Vollbelegung verbleiben (Nachziehreserve) und diese auf die Endausbauleistung im Jahr 2035 bemessen ist. a) Wir bitten um die Bestätigung unseres Verständnisses, dass die vertragliche Pflicht aus Ziffer 4.11.6 der Vertragsanlage 04, Leistungsbeschreibung Errichtung, zur Bemessung der Kabelführungen, Kabelkanäle, Durchbrüche, Kabelzugrohre etc. so auszuführen ist, dass über eine eventuelle Erstausstattung hinaus eine 20%-ige Platzreserve als Nachziehreserve bei einer Kabel-Belegung entsprechend der vertraglich vereinbarten Endausbauleistung im Jahr 2035 vorhanden ist. b) Wir bitten um die Bestätigung unseres Verständnisses, dass die entsprechend der Forderung in Ziffer 4.11.7 der Vertragsanlage 04, Leistungsbeschreibung Errichtung zu berücksichtigende Leistungserhöhung des Standortes sich an der Endausbauleistung des jeweiligen Standortes im Jahr 2035 orientiert. c) Wir bitten um die Bestätigung unseres Verständnisses, dass mit der 20%-igen Platzreserve die Differenz zwischen der Querschnittsfläche der Kabelführungen, Kabelkanäle, Durchbrüche, Kabelzugrohre etc. und der Querschnittsfläche der an der vertraglich vereinbarten Endausbauleistung im Jahr 2035 bemessenen Kabel gemeint ist. (Beispiel: 3 Kabel mit einem Außendurchmesser von 50 mm haben eine rechnerische Querschnittsfläche von ca. 5.900 mm², für eine 20%-ige Reserve wäre eine Fläche von 5.900 mm² x 120% = 7.100 mm² Leerrohr-Querschnittsfläche ausreichend. Ein Leerrohr DN 110 (Innendurchmesser ca. 104 mm) mit einer Querschnittsfläche von ca. 8.400 mm² würde diese Forderung erfüllen. 4 Kabel mit einem Außendurchmesser von 50 mm haben eine rechnerische Querschnittsfläche von ca. 7.850 mm², für eine 20%-ige Reserve wäre eine Fläche von 7.850 mm² x 120% = 9.420 mm² Leerrohr-Querschnittsfläche ausreichend. Ein Leerrohr DN 110 (Innendurchmesser ca. 104 mm) mit einer Querschnittsfläche von ca. 8.400 mm² würde diese Forderung nicht erfüllen.) Sollten Sie unser Verständnis nicht bestätigen, bitten wir um eine konkrete Vorgabe zur Berechnung der 20%-igen Platzreserve. In der Vertragsanlage 04, Leistungsbeschreibung Errichtung ist in Ziffer 4.11.2 festgelegt, dassLeitungen unter Verkehrsflächengenerell in Leerrohren mit einer Mindestüberdeckung von &gt; 1,0 m zu verlegen sind. Gemäß Ziffer 4.7 und weiteren Ziffern in der Vertragsanlage 04 umfasst der Begriff der “Leitungen” u.a. Regenwasser- und Abwasserleitungen. d) Wir bitten um die Bestätigung unseres Verständnisses, dass (i) sich die Pflicht zur Verlegung von Leitungen in Leerrohren in Anlehnung des Wortlauts “generell” auf diejenigen Leitungen beschränkt ist, die nach den einschlägigen Vorschriften und Regeln der Technik technisch notwendigerweise in Leerrohren zu verlegen sind, wohingegen andere Leitungen wie z.B. Regenwasser- und Abwasserleitungen nicht zwingend in Leerrohren zu verlegen sind und dass (ii) sich dementsprechend die vertragliche Pflicht zur Verlegung und Dimensionierung von Leerrohren an den notwendigen Kabeln der zu berücksichtigende Endausbauleistung des jeweiligen Standortes im Jahr 2035 orientiert.</t>
  </si>
  <si>
    <t xml:space="preserve">Bezug lt. Katalog: Entwässerung 4.11.6; 4.11.7; 4.7; 4.11.2 Vertragsanlage 04, LB Errichtung Erd-, Entwässerungs- und Kanalarbeiten
Katalogdatum: 29.09.2025 // Antwort: Zu a) Die Regelung zur 20%-igen Platzreserve wird in der Vertragsanlage 4 Leistungsbeschreibung Errichtung gestrichen. Eine angepasste Unterlage wird mit den forteschriebenen Vergabeunterlagen zur Verfügung gestellt. Zu b) Ihre Annahme ist zutreffend. Zu c) Siehe Antwort zu a. zu d) (i) ja, das Verständnis ist korrekt. Leerrohre sind nur dort vorzusehen wo deren Einsatz aus technischer Sicht erforderlich ist (zu beachten ist u.a. die Definition der Verkehrsflächen nach ERS, Kap.6.1) zu d) (ii) ja, das Verständnis ist korrekt. Die Dimensionierung der Leerrohre orientiert sich am Endausbau 2035.</t>
  </si>
  <si>
    <t xml:space="preserve">ANF-397</t>
  </si>
  <si>
    <t xml:space="preserve">Nr. 342 / S. 33</t>
  </si>
  <si>
    <t xml:space="preserve">Klarstellung: Vielen Dank für den Hinweis. Ihr Verständnis ist korrekt.</t>
  </si>
  <si>
    <t xml:space="preserve">Wir bitten um Ihre Bestätigung, dass einige der für den DE-HE-490004 Am Sonneborn bereitgestellten Pläne möglicherweise irrtümlich die PWC-Anlage der gegenüberlie- genden Richtungsfahrbahn betreffen. Falls ja, bitten wir um Korrektur und Bereitstel- lung der zutreffenden Pläne.</t>
  </si>
  <si>
    <t xml:space="preserve">Bezug lt. Katalog: Bestandsunterlagen
Katalogdatum: 29.09.2025 // Antwort: Vielen Dank für den Hinweis. Ihr Verständnis ist korrekt. Die richtigen Unterlagen werden mit den fortgeschriebenen Vergabeunterlagen zur Verfügung gestellt</t>
  </si>
  <si>
    <t xml:space="preserve">ANF-398</t>
  </si>
  <si>
    <t xml:space="preserve">Nr. 343 / S. 33</t>
  </si>
  <si>
    <t xml:space="preserve">Klarstellung: § 55.2a in der Fassung vom 11.06.2025 ist jetzt § 57.2a in der Fassung vom 17.10.2025. Der Ersatz des Wertes der abgeschlossenen Teilleistungen setzt voraus, dass der Auftragnehmer nachweist, dass am betreffenden Standort …</t>
  </si>
  <si>
    <t xml:space="preserve">Könnten Sie bitte näher erläutern, wie der „Wert derjenigen in sich abgeschlossenen Teilleistungen (…), die vom Auftragnehmer bereits erbracht wurden“ bewertet und berechnet werden und welche Kosten berücksichtigt werden?</t>
  </si>
  <si>
    <t xml:space="preserve">Bezug lt. Katalog: Teilleistungen 55.2.a PV
Katalogdatum: 29.09.2025 // Antwort: § 55.2a in der Fassung vom 11.06.2025 ist jetzt § 57.2a in der Fassung vom 17.10.2025. Der Ersatz des Wertes der abgeschlossenen Teilleistungen setzt voraus, dass der Auftragnehmer nachweist, dass am betreffenden Standort mindestens Bauleistungen im Wert des Wertersatzes erbracht worden sind. Entsprechende Nachweise sind mit Vorlage einer prüffähigen Rechnung dem Auftraggeber vorzulegen. Der Wert der Bauleistungen bestimmt sich nach den tatsächlich erforderlichen Kosten,d.h. ohne Zuschläge für Wagnis und Gewinn.</t>
  </si>
  <si>
    <t xml:space="preserve">ANF-399</t>
  </si>
  <si>
    <t xml:space="preserve">Nr. 344 / S. 33</t>
  </si>
  <si>
    <t xml:space="preserve">Klarstellung: Die Regelung entfällt.</t>
  </si>
  <si>
    <t xml:space="preserve">Falls die Kosten der für die Errichtung der Infrastruktur erforderlichen Ladepunkte oder Transformatoren erheblich über den vom Auftragnehmer ermittelten Preise liegen, so trägt der Auftraggeber gem. §40.6 b) und c) einen Teil der Preissteigerung. Wann und wie erfolgt die Entschädigung?</t>
  </si>
  <si>
    <t xml:space="preserve">Bezug lt. Katalog: Preissteigerung 40.6 PV
Katalogdatum: 29.09.2025 // Antwort: Die Regelung entfällt.</t>
  </si>
  <si>
    <t xml:space="preserve">ANF-400</t>
  </si>
  <si>
    <t xml:space="preserve">Nr. 345 / S. 33</t>
  </si>
  <si>
    <t xml:space="preserve">Klarstellung: § 36.4 in der Fassung vom 11.06.2025 ist jetzt § 39.4 in der Fassung vom 17.10.2025. Soweit mit der Bieterfrage die Vergütung im Falle der Annahme des Angebotes durch den AG gemeint ist, erfolgt die Vergütung nach Abnahme der …</t>
  </si>
  <si>
    <t xml:space="preserve">Wann und wie wird der Auftragnehmer im Falle des §36.4 PV, wenn der Auftraggeber beschließt, die zusätzlichen Arbeiten in Auftrag zu geben, vergütet?</t>
  </si>
  <si>
    <t xml:space="preserve">Bezug lt. Katalog: Zusätzliche Leistungen 36.4 PV
Katalogdatum: 29.09.2025 // Antwort: § 36.4 in der Fassung vom 11.06.2025 ist jetzt § 39.4 in der Fassung vom 17.10.2025. Soweit mit der Bieterfrage die Vergütung im Falle der Annahme des Angebotes durch den AG gemeint ist, erfolgt die Vergütung nach Abnahme der entsprechenden Leistungen und Prüfung einer prüffähigen Rechnung durch den AG.</t>
  </si>
  <si>
    <t xml:space="preserve">ANF-401</t>
  </si>
  <si>
    <t xml:space="preserve">Nr. 346 / S. 33</t>
  </si>
  <si>
    <t xml:space="preserve">Klarstellung: § 40.3 in der Fassung vom 11.06.2025 ist jetzt § 43.3 in der Fassung vom 17.10.2025 Der AG weißt auf die geänderten Zahlungsbedingungen für das Errichtungsentgelt hin. § 40.7 in der Fassung vom 11.06.2025 ist jetzt § 43.6 in der …</t>
  </si>
  <si>
    <t xml:space="preserve">Wir bitten um Ihre Bestätigung, dass gemäß den § 40.3 und 40.7 (Projektvertrag vom 06.06.2025) der Auftragnehmer Folgendes ausstellt: a. die Rechnung über die ersten 50 % des Errichtungsentgelts an dem Tag, an dem sowohl die Abnahme als auch die Betriebsfreigabe vorliegen, und b. die Rechnung über die restlichen 50 % am Ende jedes Quartals nach der Freigabe. Nach unseren Berechnungen würde der Auftragnehmer beispielsweise, wenn er alle Arbeiten am 01.11.2026 abschließt und die Abnahme und Betriebsfreigabe am 15.12.2026 erhält (6 Wochen gemäß Anhang 10 Absatz 1), würde der Auftragnehmer die Rechnung über die ersten 50 % am 15.12.2026 und die Rechnung über die restlichen 50 % am 31.03.2027 ausstellen.</t>
  </si>
  <si>
    <t xml:space="preserve">Bezug lt. Katalog: Errichtungsentgelt 40 PV
Katalogdatum: 29.09.2025 // Antwort: § 40.3 in der Fassung vom 11.06.2025 ist jetzt § 43.3 in der Fassung vom 17.10.2025 Der AG weißt auf die geänderten Zahlungsbedingungen für das Errichtungsentgelt hin. § 40.7 in der Fassung vom 11.06.2025 ist jetzt § 43.6 in der Fassung vom 17.10.2025 Der erste Teil des Errichtungsentgeltes für den betreffenden Standort wird nach Abschluss des Quartals in dem Abnahme und Betriebsfreigabe erfolgen, vom AN in Rechnung gestellt. Der verbleibende Rest des Errichtungsentgelts wird ab dem auf die Betriebsfreigabe folgenden Quartal ratierlich in vierteljährlichen Teilbeträgen über die verbleibende Vertragslaufzeit (ohne optionale Verlängerung) gezahlt.</t>
  </si>
  <si>
    <t xml:space="preserve">ANF-402</t>
  </si>
  <si>
    <t xml:space="preserve">Nr. 347 / S. 34</t>
  </si>
  <si>
    <t xml:space="preserve">Klarstellung: Das Betreiberentgelt wird nachschüssig, jeweils nach Ablauf eines Kalenderquartals – erstmals im Kalenderquartal nach dem Kalenderquartal der Betriebsfreigabe – gezahlt.</t>
  </si>
  <si>
    <t xml:space="preserve">Können Sie bitte bestätigen, dass gemäß § 41 PV das Betreiberentgelt nachträglich am Ende jedes Kalenderquartals zu entrichten ist – erstmals im Kalenderquartal, das auf das Kalenderquartal folgt, in dem der Betrieb genehmigt wurde. In dem oben genannten Beispiel würde die erste Rechnung also am 31.03.2027 für den Zeitraum vom 15.12.2026 bis zum 31.03.2027 gestellt werden?</t>
  </si>
  <si>
    <t xml:space="preserve">Bezug lt. Katalog: Betreiberentgelt 41 PV
Katalogdatum: 29.09.2025 // Antwort: 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 Im Beispiel einer Inbetriebnahme am 15.12.2026 würde also im Januar 2027 eine Rechnung über das Betreiberentgelt vom 15.12.2026 bis zum 31.12.2026 gestellt.</t>
  </si>
  <si>
    <t xml:space="preserve">ANF-403</t>
  </si>
  <si>
    <t xml:space="preserve">Nr. 348 / S. 34</t>
  </si>
  <si>
    <t xml:space="preserve">Klarstellung: Siehe § 52.7 in der Fassung des Betreibervertrages vom 17.10.2025.</t>
  </si>
  <si>
    <t xml:space="preserve">Gehen wir recht in der Annahme, dass die Bürgschaft gemäß § 50 Ziffer 1 PV auch von einem Nachunternehmer des Auftragnehmers gestellt werden kann, wenn sie inhaltlich den Anforderungen des § 50 entspricht?</t>
  </si>
  <si>
    <t xml:space="preserve">Bezug lt. Katalog: Bürgschaft 50 PV
Katalogdatum: 29.09.2025 // Antwort: Siehe § 52.7 in der Fassung des Betreibervertrages vom 17.10.2025.</t>
  </si>
  <si>
    <t xml:space="preserve">ANF-404</t>
  </si>
  <si>
    <t xml:space="preserve">Nr. 349 / S. 34</t>
  </si>
  <si>
    <t xml:space="preserve">Klarstellung: Siehe § 23 Abs. 4 in der Fassung des Betreibervertrages vom 17.10.2025.</t>
  </si>
  <si>
    <t xml:space="preserve">Jede CCS- Ladesäule soll zum Zwischenladen (400 kW) und Übernachtladen (150kW) zur Verfügung stehen und genutzt werden können, mit und ohne vorherige Reservierung. Diese Anforderungen auf alle am Standort verfügbaren Ladesäulen macht die Prozesse komplex. Wie regelt man zum Beispiel, ob jemand, der in der App reserviert hat sein Fahrzeug früher oder später laden kann, als jemand, der vor Ort ohne Reservierung auf einen Ladeslot wartet? Wäre eine grundsätzliche Aufteilung zwischen reservierbarer und nicht reservierbarer Ladesäule am Standort denkbar?</t>
  </si>
  <si>
    <t xml:space="preserve">Bezug lt. Katalog: Reservierung generell, Bezug: Betreibervertrag §20
Katalogdatum: 30.09.2025 // Antwort: Siehe § 23 Abs. 4 in der Fassung des Betreibervertrages vom 17.10.2025.</t>
  </si>
  <si>
    <t xml:space="preserve">OCPI Buchungskalender / Ladeeinrichtung</t>
  </si>
  <si>
    <t xml:space="preserve">ANF-405</t>
  </si>
  <si>
    <t xml:space="preserve">Nr. 350 / S. 34</t>
  </si>
  <si>
    <t xml:space="preserve">Klarstellung: Siehe § 23 in der Fassung des Betreibervertrages vom 17.10.2025.</t>
  </si>
  <si>
    <t xml:space="preserve">Die Höhe des Reservierungsentgeltes wird von der Autobahn GmbH festgelegt. Hier ist unbedingt darauf zu achten, dass das Entgelt nicht zu niedrig angesetzt wird, um als Parkgebühr zum Teil auch von Verbrennern für einen Stellplatz akzeptiert wird. Zum Vergleich: ein Stellplatz inkl. Verzehrgutschein auf einem Autohof kostet zwischen 15 und 20 Euro. Würden Sie bitte ein beim Ladevorgang verrechenbares Reservierungsentgelt ansetzen, das mindestens 25 Euro beträgt?</t>
  </si>
  <si>
    <t xml:space="preserve">Bezug lt. Katalog: Reservierungsentgelt, Bezug: Betreibervertrag §20
Katalogdatum: 30.09.2025 // Antwort: Siehe § 23 in der Fassung des Betreibervertrages vom 17.10.2025.</t>
  </si>
  <si>
    <t xml:space="preserve">ANF-406</t>
  </si>
  <si>
    <t xml:space="preserve">Nr. 352 / S. 34</t>
  </si>
  <si>
    <t xml:space="preserve">Bestätigt: das Verständnis ist zutreffend.</t>
  </si>
  <si>
    <t xml:space="preserve">Ist das Verständnis richtig, dass beide Auftraggeber im Falle einer Kündigung des Projektvertrages nach § 55 sowohl für die Kostenentschädigung als auch für die Zahlungen des Errichtungs- und Betreiberentgelts inklusive einer etwaigen Zahlung des Wertersatzes gemäß § 55 Ziffer 2.a. gesamtschuldnerisch haften? Wir gehen davon aus, dass es den finanzierenden Banken wichtig sein wird, dass jedenfalls der AG1 für solche Zahlungen haftet.</t>
  </si>
  <si>
    <t xml:space="preserve">Bezug lt. Katalog: Kündigung des Projektvertrages, Bezug: Betreibervertrag §55
Katalogdatum: 30.09.2025 // Antwort: Ja, das Verständnis ist zutreffend.</t>
  </si>
  <si>
    <t xml:space="preserve">ANF-407</t>
  </si>
  <si>
    <t xml:space="preserve">Nr. 353 / S. 34</t>
  </si>
  <si>
    <t xml:space="preserve">Klarstellung: Die Trafoauslegung ist grundsätzlich auf den Leistungsbedarf der aufzubauenden Ladepunkte zu dimensionieren und weitere Details zur Auslegung werden mit den fortgeschriebenen Vergabeunterlagen zur Verfügung gestellt.</t>
  </si>
  <si>
    <t xml:space="preserve">Am Standort Schwalenberg Ost fällt die Netzausbauleistung geringer aus als der geforderte LIS-Bedarf im Endausbau. Gehen wir recht in der Annahme, dass die Trafoauslegung im Bezug auf die Netzanschlussleistung zu kalkulieren ist.</t>
  </si>
  <si>
    <t xml:space="preserve">Bezug lt. Katalog: Leistungsauslegung
Katalogdatum: 01.10.2025 // Antwort: Die Trafoauslegung ist grundsätzlich auf den Leistungsbedarf der aufzubauenden Ladepunkte zu dimensionieren und weitere Details zur Auslegung werden mit den fortgeschriebenen Vergabeunterlagen zur Verfügung gestellt.</t>
  </si>
  <si>
    <t xml:space="preserve">ANF-408</t>
  </si>
  <si>
    <t xml:space="preserve">Nr. 354 / S. 34</t>
  </si>
  <si>
    <t xml:space="preserve">Klarstellung: Übernachtladepunkte CCS100 sind in der Auslegung der Anschlüsse gesondert aufgeführt, da diese nicht zeitgleich mit den Zwischenladepunkte CCS400 oder MCS1000 betrieben werden und somit genug Leistung der Zwischenladepunkte …</t>
  </si>
  <si>
    <t xml:space="preserve">Wir haben festgestellt, dass die Leistungen der CCS100 Ladepunkte in der Spalte „LIS-Bedarf“ nicht berücksichtigt werden. Da diese Spalte gemäß Bieterfrage 59 kalkulationsrelevant ist, bitten wir um entsprechende Aufklärung.</t>
  </si>
  <si>
    <t xml:space="preserve">Bezug lt. Katalog: Vertragsanlage05 – Details zum Netzanschluss:
Katalogdatum: 01.10.2025 // Antwort: Übernachtladepunkte CCS100 sind in der Auslegung der Anschlüsse gesondert aufgeführt, da diese nicht zeitgleich mit den Zwischenladepunkte CCS400 oder MCS1000 betrieben werden und somit genug Leistung der Zwischenladepunkte während der Übernachtladung verfügbar ist.</t>
  </si>
  <si>
    <t xml:space="preserve">ANF-409</t>
  </si>
  <si>
    <t xml:space="preserve">Nr. 355 / S. 34</t>
  </si>
  <si>
    <t xml:space="preserve">Klarstellung: Siehe dazu Antwort auf Frage Nr. 338.</t>
  </si>
  <si>
    <t xml:space="preserve">Wie kann sichergestellt werden, dass die aktuell verfügbare Hardware für Ladeinfrastruktur den Anforderungen des Durchleitungsmodells gerecht wird, wenn die notwendige präzise Zeiterfassung und Datenübermittlung bei Abschluss eines Ladevorgangs noch nicht umsetzbar ist? Es sollte vermieden werden, dass Anbieter benachteiligt werden, wenn zu Beginn der Umsetzungsphase keine geeignete Hardware am Markt verfügbar ist.</t>
  </si>
  <si>
    <t xml:space="preserve">Bezug lt. Katalog: Durchleitungsmodell, Betreibervertrag §29
Katalogdatum: 08.10.2025 // Antwort: Siehe dazu Antwort auf Frage Nr. 338.</t>
  </si>
  <si>
    <t xml:space="preserve">ANF-410</t>
  </si>
  <si>
    <t xml:space="preserve">Nr. 356 / S. 34</t>
  </si>
  <si>
    <t xml:space="preserve">Bestätigt: dies wäre ausreichend und wurde in § 54 Abs. 4 lit. f) im Betreibervertrag Fassung vom 17.10.2025 klargestellt.</t>
  </si>
  <si>
    <t xml:space="preserve">Frage zu § 52 Betreibervertrag: Gehen wir richtig in der Annahme, dass der AN den Versicherungsschutz gem. § 52 Betreibervertag sicherstellen und wie dort vorgeschrieben nachweisen muss, nicht aber zwingend selbst Partei des Versicherungsvertrages werden muss.</t>
  </si>
  <si>
    <t xml:space="preserve">Bezug lt. Katalog: Versicherungsschutz § 52 Betreibervertrag
Katalogdatum: 09.10.2025 // Antwort: Ja, dies wäre ausreichend und wurde in § 54 Abs. 4 lit. f) im Betreibervertrag Fassung vom 17.10.2025 klargestellt.</t>
  </si>
  <si>
    <t xml:space="preserve">ANF-411</t>
  </si>
  <si>
    <t xml:space="preserve">Nr. 357 / S. 34</t>
  </si>
  <si>
    <t xml:space="preserve">Bestätigt: die Annahme ist zutreffend, dass im Falle der Durchleitung bei Autorisierung über eine Roaming-Plattform die Zusatzvereinbarung gemäß Anlage 13 (ehemals Anlage 14) alle notwendigen Regelungen zwischen CPO und (durchleitendem) EMP …</t>
  </si>
  <si>
    <t xml:space="preserve">Gehen wir recht in der Annahme, dass im Falle der Durchleitung bei Autorisierung über eine Roaming- Plattform die Zusatzvereinbarung gemäß Anlage 14 alle notwendigen Regelungen zwischen CPO und (durchleitendem) EMP enthält? Falls ja, teilt die Vergabestelle die Interpretation, dass die Abrechnung des Infrastrukturentgeltes und der weiteren Leistungsbestandteile gemäß Vertragsanlage 14, §7 Entgelte umsatzsteuerrechtlich als Dienstleistung anzusehen ist? Teilt die Vergabestellung die Auffassung, dass in jedem Fall eine über alle Lose einheitliche umsatzsteuerrechtliche Interpretation wünschenswert ist? Falls ja, bitten wir um Ergänzung einer entsprechenden Passage in Anlage 14.</t>
  </si>
  <si>
    <t xml:space="preserve">Bezug lt. Katalog: Durchleitungsmodell - Roaming Plattform Zusatzvereinbarung
Katalogdatum: 14.10.2025 // Antwort: Ja, die Annahme ist zutreffend, dass im Falle der Durchleitung bei Autorisierung über eine Roaming-Plattform die Zusatzvereinbarung gemäß Anlage 13 (ehemals Anlage 14) alle notwendigen Regelungen zwischen CPO und (durchleitendem) EMP enthält. Die Umsatzsteuerpflicht regelt § 7 Abs. 6 der Anlage 13.</t>
  </si>
  <si>
    <t xml:space="preserve">ANF-412</t>
  </si>
  <si>
    <t xml:space="preserve">Nr. 358 / S. 35</t>
  </si>
  <si>
    <t xml:space="preserve">Klarstellung: Der Kunde wäre in diesem Fall sein eigener EMP und müsste dementsprechend sicherstellen, dass sich die Fahrer seiner Fahrzeuge authentifizieren können.</t>
  </si>
  <si>
    <t xml:space="preserve">Laut Vertragsanlage 14 Seite 4 können auch Kunden einen Vertrag über die bilanzielle Zuordnung von Liefermengen der entnommenen Strommengen nach dem Durchleitungsmodell schließen. Die Formulierung legt nahe, dass der Kunde in diesem Fall kein „normaler“ EMP ist bzw. wird. Ist es zutreffend, dass der Kunde für den Zugang zu den Ladeeinrichtungen darüber hinaus noch einen Vertrag mit einem EMP schließen soll (z.B. um eine Ladekarte zu erhalten oder über dessen App einen Ladevorgang zu starten)? Falls ja, gehen wir recht in der Annahme, dass dieser EMP dann auch Kunden verschiedener Stromlieferanten haben kann sowie auch Kunden, welche im bisherigen Roaming-Modell verbleiben wollen? Falls ja, gehen wir recht in der Annahme, dass dieser EMP dann unter seiner bisherigen Kennung im Markt kommuniziert und es aus Sicht der Vergabestelle keiner Ergänzungen des bisherigen EMP-Vertrages mit dem CPO (bzw. der Roaming-Plattform) bedarf? Falls ja, gehen wir recht in der Annahme, dass für den Fall, dass seitens dieses EMP ein falscher Stromlieferant für den autorisierten Ladevorgang übermittelt wird (z.B. weil der Kunde vergessen hat, seinem EMP einen Wechsel seines Stromlieferanten mitzuteilen), dann die Rückabwicklung bzw. Korrektur der fehlhaften Bilanzierung dem CPO (bzw. einem von ihm beauftragten Dienstleister) obliegt und der CPO den höheren Abwicklungsaufwand tragen muss? Falls ja, inwiefern ist der CPO berechtigt, den betreffenden Kunden anhand seiner token temporär zu sperren, bis dass ein neuer Lieferant seitens des EMP bestätigt wurde?</t>
  </si>
  <si>
    <t xml:space="preserve">Bezug lt. Katalog: Liefermengen entnommener Strommengen
Katalogdatum: 14.10.2025 // Antwort: Der Kunde wäre in diesem Fall sein eigener EMP und müsste dementsprechend sicherstellen, dass sich die Fahrer seiner Fahrzeuge authentifizieren können. Es wäre vom CPO bzw. den Roamingplattformen zu entscheiden, inwieweit es erforderlich ist, dass EMP für die Abwicklung des Durchleitungsmodells mit einer anderen Kennung agieren müssen. Den Fall der unterlassenen Mitteilung eines Wechsels des Stromliefernaten vermögen wir unter den Rahmenbedingungen des § 3 der Anlage 13 (ex 14) nicht zu erkennen: Der Mobilitätsdienstleister hat eine oder mehrere MaLo-ID's, denen jeweils ein Bilanzkreis zugeordnet ist. Handelt es sich um den Bilanzkreis eines Dritten, (also nicht des Mobilitätsdienstleisters), dann ist eine Zuordnungsermächtigung erforderlich. Insoweit ist das System mit der Netznutzung vergleichbar. Die Kündigung des Bilanzkreises oder einer Zuordnungsermächtigung ohne rechtzeitige Neuregelung seitens des Mobilitätsdienstleisters stellt einen Grund zur außerordentlichen Kündigung dar.</t>
  </si>
  <si>
    <t xml:space="preserve">Authentifizierungskomponente / OCPI Buchungskalender / Ladeeinrichtung</t>
  </si>
  <si>
    <t xml:space="preserve">ANF-413</t>
  </si>
  <si>
    <t xml:space="preserve">Nr. 359 / S. 35</t>
  </si>
  <si>
    <t xml:space="preserve">Klarstellung: Siehe § 43 Abs. 3 in der Fassung des Betreibervertrages vom 17.10.2025.</t>
  </si>
  <si>
    <t xml:space="preserve">Nach unserer Auslegung der derzeitigen Vertragsstruktur entsteht mit der Abnahme eines jeden Standorts die Verpflichtung auf Seiten des Auftragnehmers zur Abführung der Umsatzsteuer auf das gesamte Errichtungsentgelt.Da der Auftraggeber gemäß Vertragsentwurf zu diesem Zeitpunkt jedoch lediglich 50 % des Errichtungsentgelts (zuzüglich der darauf entfallenden Umsatzsteuer) zahlt und der verbleibende Anteil ratierlich über die Konzessionslaufzeit vergütet wird, würde hieraus für den Auftragnehmer ein temporärer Vorfinanzierungsbedarf der Umsatzsteuer entstehen. Besteht die Möglichkeit, dass der Auftraggeber die gesamte Umsatzsteuer auf das Errichtungsentgelt bereits mit dem ersten Abschlag (50 %-Zahlung bei Abnahme) leistet oder soll der Auftragnehmer die Kosten der Vorfinanzierung im Angebotspreis berücksichtigen?</t>
  </si>
  <si>
    <t xml:space="preserve">Bezug lt. Katalog: Vorfinanzierung der Umsatzsteuer
Katalogdatum: 09.10.2025 // Antwort: Siehe § 43 Abs. 3 in der Fassung des Betreibervertrages vom 17.10.2025.</t>
  </si>
  <si>
    <t xml:space="preserve">ANF-414</t>
  </si>
  <si>
    <t xml:space="preserve">Nr. 360 / S. 35</t>
  </si>
  <si>
    <t xml:space="preserve">Klarstellung: Der Netznutzungsvertrag gemäß Beschluss BK6-20-160 gibt hierzu Auskunft. Der VNB stellt dem CPO die "jeweils gültigen gesetzlich vorgesehenen Steuern und sonstige hoheitlich veranlasste oder gesetzliche Belastungen wie Abgaben …</t>
  </si>
  <si>
    <t xml:space="preserve">Wer führt im Anwendungsfall des Durchleitungsmodells die Umlagen/Abgaben (KWKG-Umlage, §19- Aufschlag „besondere Netznutzung“, Offshore-Netzumlage) an den jeweils zuständigen Übertragungsnetzbetreiber ab — der VNB oder der CPO?</t>
  </si>
  <si>
    <t xml:space="preserve">Bezug lt. Katalog: Durchleitungsmodell - Abgaben/Umlagen – Zuständigkeit &amp; Prozess (VNB vs. CPO):
Katalogdatum: 14.10.2025 // Antwort: Der Netznutzungsvertrag gemäß Beschluss BK6-20-160 gibt hierzu Auskunft. Der VNB stellt dem CPO die "jeweils gültigen gesetzlich vorgesehenen Steuern und sonstige hoheitlich veranlasste oder gesetzliche Belastungen wie Abgaben und Umlagen mit dem Netzentgelt in Rechnung". (§ 7 Nr. 1 S. 3). Dementsprechend zahlt der CPO die Umlagen und Abgaben an den VNB, der diese an den ÜNB abführt.</t>
  </si>
  <si>
    <t xml:space="preserve">ANF-415</t>
  </si>
  <si>
    <t xml:space="preserve">Nr. 361 / S. 35</t>
  </si>
  <si>
    <t xml:space="preserve">Klarstellung: Der CPO bilanziert alle Energiemengen, siehe Anwendungshilfe zum Modell zwei BK6-20-160-BDEW Kapitel 1.5 "Für den NB (VNB) entfällt die Bilanzierungsverantwortung für die in Modell 2 angemeldeten MaLo."</t>
  </si>
  <si>
    <t xml:space="preserve">Ist die Annahme richtig, dass an allen Standorten, in denen die Durchleitung angeboten wird, der CPO in der MaBiS-Rolle NB die ladevorgangsscharfe Bilanzierung für alle geflossenen Energiemengen, also aus allen Ladeoptionen, übernimmt und für diesen Standort die Bilanzierung für den VNB entfällt? Oder gibt es Ausnahmen?</t>
  </si>
  <si>
    <t xml:space="preserve">Bezug lt. Katalog: Durchleitungsmodell - Bilanzierungsumfang des CPO (NB-Rolle) in Gebieten mit Durchleitung:
Katalogdatum: 14.10.2025 // Antwort: Der CPO bilanziert alle Energiemengen, siehe Anwendungshilfe zum Modell zwei BK6-20-160-BDEW Kapitel 1.5 "Für den NB (VNB) entfällt die Bilanzierungsverantwortung für die in Modell 2 angemeldeten MaLo."</t>
  </si>
  <si>
    <t xml:space="preserve">ANF-416</t>
  </si>
  <si>
    <t xml:space="preserve">Nr. 362 / S. 35</t>
  </si>
  <si>
    <t xml:space="preserve">Klarstellung: Das Dokument "Anwendungshilfe zum Modell 2" sieht in Kapitel 1.5 vor, dass der CPO einen einzigen Bilanzkreis pro Regelzone betreibt, in dem alle Ladevorgänge außerhalb des Durchleitungsmodells bilanziell abgebildet werden, …</t>
  </si>
  <si>
    <t xml:space="preserve">Gibt es Vorgaben an Bilanzkreisen je Regelzone, die der CPO im Anwendungsfall des Durchleitungsmodells, neben den Bilanzkreis für etwaige Deltamengen, zwingend vorzuhalten hat? Wäre folgende Struktur zulässig zur Bewirtschaftung von Bilanzkreisen im Anwendungsfall des Durchleitungsmodells zulässig? Bilanzkreis 1 für Deltamengen Bilanzkreis 2 für Energiemengen, welche außerhalb der Ladeoption “Durchleitungsmodell” entstehen</t>
  </si>
  <si>
    <t xml:space="preserve">Bezug lt. Katalog: Durchleitungsmodell - Anzahl und Zweck der vom CPO vorzuhaltenden Bilanzkreise:
Katalogdatum: 14.10.2025 // Antwort: Das Dokument "Anwendungshilfe zum Modell 2" sieht in Kapitel 1.5 vor, dass der CPO einen einzigen Bilanzkreis pro Regelzone betreibt, in dem alle Ladevorgänge außerhalb des Durchleitungsmodells bilanziell abgebildet werden, ebenso wie etwaige Deltamengen (z.B. Verlustenergie im DL-Modell). Die bilanzielle Verantwortung für die Deltamengen liegt beim Bilanzkreisverantwortlichen des CPO.</t>
  </si>
  <si>
    <t xml:space="preserve">ANF-417</t>
  </si>
  <si>
    <t xml:space="preserve">Nr. 363 / S. 35</t>
  </si>
  <si>
    <t xml:space="preserve">Anpassung der Unterlagen: Die Passage wurde angepasst und wird Ihnen mit den Vergabeunterlagen für die Erstellung der finalen Angebote zu Verfügung gestellt.</t>
  </si>
  <si>
    <t xml:space="preserve">Wird nicht innerhalb von 15 Minuten ein Ladevorgang gestartet, entfällt die Wartezeit. Wurde ein Ladepunkt reserviert, so beginnt die Wartezeit erst 15 Minuten nach Ablauf des reservierten Zeitraums.“ Aus unserer Sicht sind die zwei Sätze vertauscht bzw. ergeben so keinen Sinn. Korrekt wäre: „Wurde ein Ladepunkt reserviert, so beginnt die Wartezeit erst 15 Minuten nach Ablauf des reservierten Zeitraums. Wird nicht innerhalb von 15 Minuten (sowie einfügen: nach Ablauf des reservierten Zeitraums) ein Ladevorgang gestartet, entfällt die Wartezeit.“ Ist die Umstellung und Ergänzung der beiden Sätze korrekt?</t>
  </si>
  <si>
    <t xml:space="preserve">Bezug lt. Katalog: Vertragsanlage 13, §8.1.
Katalogdatum: 21.10.2025 // Antwort: Die Passage wurde angepasst und wird Ihnen mit den Vergabeunterlagen für die Erstellung der finalen Angebote zu Verfügung gestellt.</t>
  </si>
  <si>
    <t xml:space="preserve">ANF-418</t>
  </si>
  <si>
    <t xml:space="preserve">Nr. 364 / S. 35</t>
  </si>
  <si>
    <t xml:space="preserve">Klarstellung: Anlage 13 regelt das Vertragsverhältnis zwischen EMP und CPO im Rahmen der Durchleitung und legt dafür die Voraussetzung fest, dass das Durchleitungsmodell diskriminierungsfrei durchgeführt werden kann.</t>
  </si>
  <si>
    <t xml:space="preserve">„Beim Durchleitungsmodell sind keine Erlöse für den Auftragnehmer vorgesehen. Wir haben nun im Marktvergleich der Dienstleister für die Umsetzung des Durchleitungsmodells erfahren, dass für die Teilnahme am Durchleitungsmodell auch die Lieferanten/EMP-Durchleitung für die Nutzung der jeweiligen Durchleitungsplattform Kosten entstehen. Die Erlöse erhält nicht der Auftragnehmer, sondern der Dienstleister der Plattform. Somit würden auch alle Teilnehmer des Durchleitungsmodells fairerweise an den Kosten beteiligt. Damit entstehen jedoch Unterschiede in der Kalkulation für die Anbieter bei der Berücksichtigung der Kosten. Ist eine Beteiligung an den Kosten der Plattform (sowohl initial wie auch fortlaufend je kWh) des Lieferanten mit Zahlung an den Dienstleister (nicht Auftragnehmer) möglich?“</t>
  </si>
  <si>
    <t xml:space="preserve">Bezug lt. Katalog: Durchleitungsmodell
Katalogdatum: 21.10.2025 // Antwort: Anlage 13 regelt das Vertragsverhältnis zwischen EMP und CPO im Rahmen der Durchleitung und legt dafür die Voraussetzung fest, dass das Durchleitungsmodell diskriminierungsfrei durchgeführt werden kann. Ein Vertragsverhältnis zwischen EMP und demselben (CPO-)Durchleitungs-Dienstleister ist dabei weder vorgesehen noch nötig. Inwiefern EMPs sich weiterer Dienstleister bedienen, liegt außerhalb der Einflusssphäre des AG.</t>
  </si>
  <si>
    <t xml:space="preserve">ANF-419</t>
  </si>
  <si>
    <t xml:space="preserve">Nr. 365 / S. 35</t>
  </si>
  <si>
    <t xml:space="preserve">Klarstellung: Ihre Annahmen sind zutreffend.</t>
  </si>
  <si>
    <t xml:space="preserve">Mit Bezug auf die Beantwortung der Bieterfrage 337 bitten wir um folgende Klarstellung: 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 gesetzt werden müssen. Eine pauschale Kalkulation zur Beseitigung sämtlicher bereits bestehender Schäden im Baufeld erscheint uns nicht möglich und würde zu erheblichen Unsicherheiten in der Angebotskalkulation führen.</t>
  </si>
  <si>
    <t xml:space="preserve">Bezug lt. Katalog: Bezug zu Bieterfrage 337
Katalogdatum: 21.10.2025 // Antwort: Ihre Annahmen sind zutreffend.</t>
  </si>
  <si>
    <t xml:space="preserve">ANF-420</t>
  </si>
  <si>
    <t xml:space="preserve">Nr. 366 / S. 36</t>
  </si>
  <si>
    <t xml:space="preserve">Klarstellung: Der Absatz 2 wird wie folgt neu gefasst: „Hat ein Mobilitätsdienstleister einen Ladepunkt entsprechend des § 23 reserviert, so beginnt die Wartezeit nach Absatz 1 erst 15 Minuten nach Ablauf des reservierten Zeitraums.</t>
  </si>
  <si>
    <t xml:space="preserve">Analog der missverständlichen Satzstellung beim Durchleitungsmodell (§8.1.) ist im Absatz 1. als letzter Satz „Start- und zeitabhängige Entgelte dürfen nicht erhoben werden. Dies gilt nicht für vertraglich vereinbarte Blockadeentgelte, die nach Ablauf einer Wartezeit vom Endnutzer bzw. Mobilitätsdienstleister unabhängig davon, welches der Zugangsmodelle des § 28 Abs. 2 gewählt wird, erhoben werden. Die Wartezeit beginnt mit Beginn des Ladevorgangs und beträgt a. bei MCS- Ladepunkten und CCS-Ladepunkten zum Zwischenladen mindestens 1 Stunde, b. bei CCS-Ladepunkten zum Übernachtladen und c. MCS- oder CCS-Ladepunkte zum Zwischenladen, die zum Übernachtladen freigegeben wurden, 12 Stunden. Wird nicht innerhalb von 15 Minuten ein Ladevorgang gestartet, entfällt die Wartezeit.“ das Entfallen der Wartezeit bei einem nicht gestarteten Ladevorgang innerhalb von 15 Minuten. Wenn ein Ladevorgang nicht gestartet wird, dann gibt es auch keine Wartezeit und ergo keine Blockadeentgelte.Wir vermuten, dass der letzte Satz von Abs. 1. zu Abs. 2 gehört: „Hat ein Mobilitätsdienstleister einen Ladepunkt entsprechend des § 23 reserviert, so beginnt die Wartezeit nach Absatz 1 erst 15 Minuten nach Ablauf des reservierten Zeitraums.“ Hier müsste der Satz von Abs. 1. angefügt werden, da ansonsten bei einem nicht begonnenen Ladevorgang bei einer Reservierung trotzdem die Wartezeit beginnen würde.</t>
  </si>
  <si>
    <t xml:space="preserve">Bezug lt. Katalog: §36 1. und 2. Betreibervertrag
Katalogdatum: 21.10.2025 // Antwort: Der Absatz 2 wird wie folgt neu gefasst: „Hat ein Mobilitätsdienstleister einen Ladepunkt entsprechend des § 23 reserviert, so beginnt die Wartezeit nach Absatz 1 erst 15 Minuten nach Ablauf des reservierten Zeitraums. Wird nicht innerhalb von 15 Minuten nach Ablauf des reservierten Zeitraums ein Ladevorgang gestartet, entfällt die Wartezeit.“</t>
  </si>
  <si>
    <t xml:space="preserve">ANF-421</t>
  </si>
  <si>
    <t xml:space="preserve">Nr. 367 / S. 36</t>
  </si>
  <si>
    <t xml:space="preserve">Klarstellung: Bis Mitte November kann mit einer Aufforderung zur Angebotsabgabe gerechnet werden.</t>
  </si>
  <si>
    <t xml:space="preserve">Damit die erforderlichen Kapazitäten für die Angebotserstellung bereitgestellt werden können, bitten wir um Information, wann mit einer Aufforderung zur finalen Angebotsabgabe zu rechnen ist.</t>
  </si>
  <si>
    <t xml:space="preserve">Bezug lt. Katalog: Finale AZA
Katalogdatum: 23.10.2025 // Antwort: Bis Mitte November kann mit einer Aufforderung zur Angebotsabgabe gerechnet werden.</t>
  </si>
  <si>
    <t xml:space="preserve">ANF-422</t>
  </si>
  <si>
    <t xml:space="preserve">Nr. 368 / S. 36</t>
  </si>
  <si>
    <t xml:space="preserve">Klarstellung: Es ist Aufgabe der AN die konkrete technische Ausgestaltung unter anderem auf Basis von Markt- und Herstellerangaben zu ermitteln und herzustellen.</t>
  </si>
  <si>
    <t xml:space="preserve">Die Formulierung „Die Länge der Ladekabel muss ausreichend dimensioniert werden, so dass alle gängigen Fahrzeugtypen der Klassen N2 und N3 [...] sicher und handhabbar geladen werden können“ lässt offen, was unter „ausreichend dimensioniert“ konkret zu verstehen ist. Bitte um Klärung: Nach welchen Kriterien oder Referenzplanung bzw -fahrzeugen soll die „ausreichende Länge“ bemessen werden (z. B. größte Fahrzeugabmessungen, spezifische Ladebüchsenpositionen, typische Abstände auf dem Parkplatz)? Gibt es normative Vorgaben, an denen sich die Auslegung orientieren soll?</t>
  </si>
  <si>
    <t xml:space="preserve">Bezug lt. Katalog: Vertragsanlage 6, Ziff. 3 Ladekabel und Stecker Kabellänge:
Katalogdatum: 28.10.2025 // Antwort: Es ist Aufgabe der AN die konkrete technische Ausgestaltung unter anderem auf Basis von Markt- und Herstellerangaben zu ermitteln und herzustellen. Außerdem sidn die einschlägigen Regelwerke für den Bau von Rastanlagen sowie die zur Verfügung gestellten Referenzplanungen und die unverbindlichen Voruntersuchungen (siehe Vertragsanlage 3) zu beachten.</t>
  </si>
  <si>
    <t xml:space="preserve">ANF-423</t>
  </si>
  <si>
    <t xml:space="preserve">Nr. 369 / S. 36</t>
  </si>
  <si>
    <t xml:space="preserve">Klarstellung: Sofern ein neues, vom Hersteller als sicherheitsrelevantes eingestuftes Software-Update herausgegeben wurde, ist dieses unverzüglich zu installieren.</t>
  </si>
  <si>
    <t xml:space="preserve">Nach welchen Kriterien wird bestimmt, ob ein Software-Update als sicherheitsrelevant einzustufen ist (z. B. durch Herstellerklassifizierung, interne Bewertung, behördliche Vorgaben)? Wie ist der Begriff „umgehend“ konkret zu verstehen? Gibt es eine definierte Frist (z. B. innerhalb von X Tagen oder Wochen nach Bereitstellung des Updates)? Wer ist verantwortlich für die Bewertung der Sicherheitsrelevanz und die Freigabe zum Rollout?</t>
  </si>
  <si>
    <t xml:space="preserve">Bezug lt. Katalog: Vertragsanlage 6, Ziff. 5 ISO 15118 und Software Software-Versionen und Update:
Katalogdatum: 28.10.2025 // Antwort: Sofern ein neues, vom Hersteller als sicherheitsrelevantes eingestuftes Software-Update herausgegeben wurde, ist dieses unverzüglich zu installieren. Das heißt, es ist ohne schuldhaftes Zögern und mit vertretbarem Aufwand zu handeln.</t>
  </si>
  <si>
    <t xml:space="preserve">ANF-424</t>
  </si>
  <si>
    <t xml:space="preserve">Nr. 371 / S. 36</t>
  </si>
  <si>
    <t xml:space="preserve">Klarstellung: Zu 1. Der Grundmodus ist so definiert, dass die Gesamtleistung auf einen festgelegten Wert begrenzt wird, ohne dass eine intelligente Lastverteilung zwischen den Ladepunkten erfolgt.</t>
  </si>
  <si>
    <t xml:space="preserve">Wie wird der Grundmodus definiert? Wie soll bei einem Ausfall die verbleibende Leistung zwischen den Ladepunkten verteilt werden? Welche Ausfallszenarien sind gemeint? Sollen bestimmte Ladepunkte gegenüber anderen priorisiert werden?</t>
  </si>
  <si>
    <t xml:space="preserve">Bezug lt. Katalog: Vertragsanlage 6, Ziff. 2.3. EMS
Katalogdatum: 28.10.2025 // Antwort: Zu 1. Der Grundmodus ist so definiert, dass die Gesamtleistung auf einen festgelegten Wert begrenzt wird, ohne dass eine intelligente Lastverteilung zwischen den Ladepunkten erfolgt. Zu 2. Im Falle eines Ausfalls wird die verbleibende Leistung statisch verteilt. Jeder Ladepunkt kann dabei maximal seine Nennleistung abrufen, während die Gesamtleistung weiterhin auf die verfügbare Netzanschlussleistung begrenzt bleibt. Zu 3. Bei den Ausfallszenarien handelt es sich ausschließlich um den Ausfall oder die Störung des Energiemanagementsystems (EMS) beziehungsweise dessen nicht ordnungsgemäße Funktion. Zu 4. Die Priorisierung kann durch den Auftragnehmer festgelegt werden, sofern dabei alle Anforderungen des Betreibervertrages vollständig erfüllt werden.</t>
  </si>
  <si>
    <t xml:space="preserve">ANF-425</t>
  </si>
  <si>
    <t xml:space="preserve">Nr. 372 / S. 36</t>
  </si>
  <si>
    <t xml:space="preserve">Klarstellung: Für Autobahnen und Rastanlagen ist die TA Lärm anzuwenden.</t>
  </si>
  <si>
    <t xml:space="preserve">Die Anforderung erscheint sehr vage – gelten für Autobahnen und Rastanlagen besondere Lärm- und Schallschutzvorschriften oder kommt hier ausschließlich die TA-Lärm zur Anwendung?</t>
  </si>
  <si>
    <t xml:space="preserve">Bezug lt. Katalog: Vertragsanlage 6, Ziff. 1.2. Geräuschemissionen
Katalogdatum: 28.10.2025 // Antwort: Für Autobahnen und Rastanlagen ist die TA Lärm anzuwenden.</t>
  </si>
  <si>
    <t xml:space="preserve">ANF-426</t>
  </si>
  <si>
    <t xml:space="preserve">Nr. 379 / S. 37</t>
  </si>
  <si>
    <t xml:space="preserve">Klarstellung: Einzelheiten zum weiteren Vorgehen und zeitlichen Ablauf können Sie dem 5. Verfahrensbrief zum Verhandlungsverfahren entnehmen.</t>
  </si>
  <si>
    <t xml:space="preserve">Ist damit zu rechnen, dass die Aufforderung zur finalen Angebotsabgabe erst nach der Entscheidung der Notifizierung erfolgt? Falls ja, wann in etwa rechnet der Bund mit der Notifizierung?</t>
  </si>
  <si>
    <t xml:space="preserve">Bezug lt. Katalog: Angebotsaufforderung
Katalogdatum: 28.10.2025 // Antwort: Einzelheiten zum weiteren Vorgehen und zeitlichen Ablauf können Sie dem 5. Verfahrensbrief zum Verhandlungsverfahren entnehmen.</t>
  </si>
  <si>
    <t xml:space="preserve">ANF-427</t>
  </si>
  <si>
    <t xml:space="preserve">Nr. 380 / S. 37</t>
  </si>
  <si>
    <t xml:space="preserve">Anpassung der Unterlagen: Zu i &amp; ii) Der entsprechende Vertragstext wurde überarbeitet und wird den Bietern mit den Vergabeunterlagen für die Erstellung der verbindlichen Angebote zu Verfügung gestellt.</t>
  </si>
  <si>
    <t xml:space="preserve">Kann die Vergabestelle das folgende Verständnis des Rechnungsstellungs- und Zahlungsprozesses bestätigen? Für die Standorte, die zwischen dem 1. Januar und dem 31. März (1. Quartal) die Betriebsfreigabe erhalten haben, kann die Rechnungsstellung zum 31. März erfolgen für i) 70 % des Errichtungsentgelts, ii) die erste vierteljährliche Teilzahlung der restlichen 30 % des Errichtungsentgelts und iii) die erste Zahlung des Betreiberentgelts auf Zeitbasis vom Zeitpunkt der Betriebsfreigabe bis zum Quartalsende. Die Zahlung der Rechnung erfolgt innerhalb von 30 Tagen.</t>
  </si>
  <si>
    <t xml:space="preserve">Bezug lt. Katalog: Rechnungsstellungs- und Zahlungsprozess Abschnitt 7 - Entgelte
Katalogdatum: 30.10.2025 // Antwort: Zu i &amp; ii) Der entsprechende Vertragstext wurde überarbeitet und wird den Bietern mit den Vergabeunterlagen für die Erstellung der verbindlichen Angebote zu Verfügung gestellt. Zu iii) ja das Verständnis ist zutreffend. Siehe ergänzend Antwort auf Bieterfrage 347.</t>
  </si>
  <si>
    <t xml:space="preserve">ANF-428</t>
  </si>
  <si>
    <t xml:space="preserve">Nr. 381 / S. 37</t>
  </si>
  <si>
    <t xml:space="preserve">Verweis des Auftraggebers auf die Antwort zu Bieterfrage 365.</t>
  </si>
  <si>
    <t xml:space="preserve">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instandgesetzt werden müssen. Eine pauschale Kalkulation zur Beseitigung sämtlicher bereits bestehender Schäden im Baufeld erscheint uns nicht möglich und würde zu erheblichen Unsicherheiten in der Angebotskalkulation führen.</t>
  </si>
  <si>
    <t xml:space="preserve">Bezug lt. Katalog: Bieterfrage 337
Katalogdatum: 30.10.2025 // Antwort: Siehe Antwort auf Bieterfrage 365.</t>
  </si>
  <si>
    <t xml:space="preserve">Automatisch ausgewertet: Die Antwort des Auftraggebers verweist ausschließlich auf Bieterfrage 365. Keine eigenständige Anforderung – der Inhalt ist unter der dort erfassten Zeile nachzuhalten.</t>
  </si>
  <si>
    <t xml:space="preserve">ANF-429</t>
  </si>
  <si>
    <t xml:space="preserve">Nr. 382 / S. 37</t>
  </si>
  <si>
    <t xml:space="preserve">Klarstellung: Die Anforderungen wurden überarbeitet und werden mit der Aufforderung zur Abgabe der verbindlichen Angebote bereitgestellt.</t>
  </si>
  <si>
    <t xml:space="preserve">In Ihrer Auflistung der Standorte (Vertragsanlage 05) finden wir derzeit lediglich Angaben zum Energieinhalt der Speicher (in kWh). Diese allein erlauben jedoch keine Aussage über die erforderliche elektrische Leistung (in kW), die für die Auslegung der Speicher maßgeblich ist. Wir bitten daher um ergänzende Informationen zur vorgesehenen elektrischen Leistung je Standort - also der Leistung, die der Speicher im Betrieb bereitstellen soll. Bitte beachten Sie zudem, dass die Wahl der Speicherkapazität (z.B. 1 h, 2 h etc.) direkten Einfluss auf die verfügbare Ladeleistung pro Ladepunkt hat. Aus unserer Sicht ist daher eine Einbindung des Speichers in das Lastmanagementsystem zwingend erforderlich.</t>
  </si>
  <si>
    <t xml:space="preserve">Bezug lt. Katalog: Vertragsanlage 05_Details zum Netzanschluss
Katalogdatum: 31.10.2025 // Antwort: Die Anforderungen wurden überarbeitet und werden mit der Aufforderung zur Abgabe der verbindlichen Angebote bereitgestellt.</t>
  </si>
  <si>
    <t xml:space="preserve">ANF-430</t>
  </si>
  <si>
    <t xml:space="preserve">Nr. 383 / S. 37</t>
  </si>
  <si>
    <t xml:space="preserve">Bestätigt: dieses Verständnis ist zutreffend und wird im Vertrag klargestellt.</t>
  </si>
  <si>
    <t xml:space="preserve">Wir bitten um Bestätigung, dass die Auftraggeber mit den Fremdkapitalgebern (in jedem Fall) einen Direktvertrag gem. dem Muster in Vertragsanlage 15 abschließen werden und der Abschluss des Direktvertrages nicht nur im Fall einer Kündigung oder beabsichtigten Kündigung durch den Auftraggeber 2 erfolgt. Erläuterung: Der Abschluss eines Direktvertrages zwischen den Auftraggebern und den Fremdkapitalgebern ist eine marktübliche Bedingung für den Financial Close einer Projektfinanzierung und somit für den Abschluss der Fremdfinanzierung.</t>
  </si>
  <si>
    <t xml:space="preserve">Bezug lt. Katalog: § 56 Betreibervertrag
Katalogdatum: 31.10.2025 // Antwort: Ja, dieses Verständnis ist zutreffend und wird im Vertrag klargestellt.</t>
  </si>
  <si>
    <t xml:space="preserve">ANF-431</t>
  </si>
  <si>
    <t xml:space="preserve">Nr. 384 / S. 37</t>
  </si>
  <si>
    <t xml:space="preserve">Klarstellung: Aktuell ist keine Rückspeisung vorgesehen, da der Netzanschluss momentan für reinen Bezug beantragt und ausgelegt ist.</t>
  </si>
  <si>
    <t xml:space="preserve">In der Vergleichsfassung des Betreibervertrags ist unter § 3 Vertragsgegenstand und Hauptleistungspflichten folgender Satz gestrichen worden: "cc nach Wahl des Auftragnehmers – bei CCS- Ladepunkten die für das Übernachtladen genutzt werden dürfen – für Endnutzer zur Rückspeisung". Ist dies als Verbot der Rückspeisung zu verstehen oder handelt es sich lediglich um eine redaktionelle Anpassung?</t>
  </si>
  <si>
    <t xml:space="preserve">Bezug lt. Katalog: § 3 Betreibervertrag
Katalogdatum: 03.11.2025 // Antwort: Aktuell ist keine Rückspeisung vorgesehen, da der Netzanschluss momentan für reinen Bezug beantragt und ausgelegt ist.</t>
  </si>
  <si>
    <t xml:space="preserve">ANF-432</t>
  </si>
  <si>
    <t xml:space="preserve">Nr. 385 / S. 37</t>
  </si>
  <si>
    <t xml:space="preserve">Klarstellung: Der Bieter muss einen alternativ vorgeschlagenen Standort akzeptieren.</t>
  </si>
  <si>
    <t xml:space="preserve">Im Betreibervertrag ist unter §17 die Benennung von Ersatzstandorten geregelt. Muss der Bieter einen alternativen Standort akzeptieren oder kann dieser auch abgelehnt werden?</t>
  </si>
  <si>
    <t xml:space="preserve">Bezug lt. Katalog: § 17 Betreibervertrag
Katalogdatum: 03.11.2025 // Antwort: Der Bieter muss einen alternativ vorgeschlagenen Standort akzeptieren.</t>
  </si>
  <si>
    <t xml:space="preserve">ANF-433</t>
  </si>
  <si>
    <t xml:space="preserve">Nr. 386 / S. 37</t>
  </si>
  <si>
    <t xml:space="preserve">Klarstellung: Die vom Bieter mit Abgabe des verbindlichen Angebot einzureichenden Unterlagen sind der Aufforderung zur Abgabe der verbindlichen Angebote zu entnehmen.</t>
  </si>
  <si>
    <t xml:space="preserve">Welche Unterlagen werden vom Auftraggeber mit Abgabe des verbindlichen Angebot gefordert im Zusammenhang zu den geforderten Batteriespeichern abseits der Bepreisung der Kosten für Errichtung und Betrieb im Errichtungsentgelt (z.B. technisches Konzept, Errichtungs- und Betriebskonzept, etc.)?</t>
  </si>
  <si>
    <t xml:space="preserve">Bezug lt. Katalog: Verfahren / Abgabe verbidlicher Angebote
Katalogdatum: 03.11.2025 // Antwort: Die vom Bieter mit Abgabe des verbindlichen Angebot einzureichenden Unterlagen sind der Aufforderung zur Abgabe der verbindlichen Angebote zu entnehmen.</t>
  </si>
  <si>
    <t xml:space="preserve">ANF-434</t>
  </si>
  <si>
    <t xml:space="preserve">Nr. 387 / S. 37</t>
  </si>
  <si>
    <t xml:space="preserve">Verweis des Auftraggebers auf die Antwort zu Bieterfrage 382.</t>
  </si>
  <si>
    <t xml:space="preserve">Ist der Nettoenergieinhalt des Speichers in kWh, der in Vertragsanlage 5_Details zum Netzanschluss angegeben wird, festgeschrieben oder kann davon abgewichen werden, sofern die funktionalen Anforderungen erfüllt werden?</t>
  </si>
  <si>
    <t xml:space="preserve">Bezug lt. Katalog: Vertragsanlage 5
Katalogdatum: 03.11.2025 // Antwort: Siehe Antwort auf Bieterfrage 382.</t>
  </si>
  <si>
    <t xml:space="preserve">Automatisch ausgewertet: Die Antwort des Auftraggebers verweist ausschließlich auf Bieterfrage 382. Keine eigenständige Anforderung – der Inhalt ist unter der dort erfassten Zeile nachzuhalten.</t>
  </si>
  <si>
    <t xml:space="preserve">ANF-435</t>
  </si>
  <si>
    <t xml:space="preserve">Nr. 388 / S. 38</t>
  </si>
  <si>
    <t xml:space="preserve">Anpassung der Unterlagen: Die Vergabeunterlagen werden angepasst und mit der Aufforderung zur Abgabe verbindlicher Angbeote zur Verfügung gestellt.</t>
  </si>
  <si>
    <t xml:space="preserve">Momentan ist in Vertragsanlage 5_Informationen zu Netzanschluss noch keine Kategorisierung bei den Speichern zwischen "möglicherweise erforderlich" und "sicher erforderlich" erkennbar, wie es im Betreibervertrag beschrieben wurde. Wann wird diese Kategorisierung vorgenommen?</t>
  </si>
  <si>
    <t xml:space="preserve">Bezug lt. Katalog: Vertragsanlage 5
Katalogdatum: 03.11.2025 // Antwort: Die Vergabeunterlagen werden angepasst und mit der Aufforderung zur Abgabe verbindlicher Angbeote zur Verfügung gestellt.</t>
  </si>
  <si>
    <t xml:space="preserve">ANF-436</t>
  </si>
  <si>
    <t xml:space="preserve">Nr. 389 / S. 38</t>
  </si>
  <si>
    <t xml:space="preserve">Klarstellung: Die abgebildete Insel zeigt die in Vertragsanlage 4, Abschnitt 3.9.2.1 beschriebene seitliche Abgrenzung (Flankenbarriere).</t>
  </si>
  <si>
    <t xml:space="preserve">In den Voruntersuchungen (Layout) gibt es in mehreren Plänen, zum Beispiel VU_LP_DE-MV- 001350_Meynbach West (Los 2), am äußeren Rand des Ladeparks eine Insel in der Länge 13,5m x 1,00m. Was ist auf der Insel abgebildet und ist dies als planerischer Entwurf zu sehen oder eine Pflichtvoraussetzung zur Umsetzung?</t>
  </si>
  <si>
    <t xml:space="preserve">Bezug lt. Katalog: Layout unverbindliche Plnaunsgempfehlung
Katalogdatum: 03.11.2025 // Antwort: Die abgebildete Insel zeigt die in Vertragsanlage 4, Abschnitt 3.9.2.1 beschriebene seitliche Abgrenzung (Flankenbarriere). Abhängig von den Aufstellvarianten ist diese Abgrenzung (Anhang 1a) gemäß Referenzplanung verpflichtend zu errichten. Die Vertragsanlage 4 wird mit der Aufforderung zur Abgabe verbindlicher Angbeote zur Verfügung gestellt.</t>
  </si>
  <si>
    <t xml:space="preserve">ANF-437</t>
  </si>
  <si>
    <t xml:space="preserve">Nr. 390 / S. 38</t>
  </si>
  <si>
    <t xml:space="preserve">Klarstellung: Die konkrete Ausgestaltung sowie die Positionierung der Schutzelemente obliegen dem Auftragnehmer.</t>
  </si>
  <si>
    <t xml:space="preserve">In den Anforderungen heißt es, dass die ein GST konformer Anfahrschutz errichtet werden muss. Frage: Muss bei der Ladeinsel vorne und hinten jeweils ein GST Anfahrschutz gesetzt werden und ebenfalls bei der Barriereninsel vorne und hinten einer, sodass am Ende 4 benötigt werden?</t>
  </si>
  <si>
    <t xml:space="preserve">Bezug lt. Katalog: LB Errichtung GST
Katalogdatum: 03.11.2025 // Antwort: Die konkrete Ausgestaltung sowie die Positionierung der Schutzelemente obliegen dem Auftragnehmer. Maßgeblich ist das Schutzziel, die auf den Inseln installierte Technik (insbesondere Ladeeinrichtungen und Schrankenanlagen) wirksam gegen mechanische Einwirkungen zu sichern. Die Wahl der Ausführung, Dimensionierung und Positionierung hat unter Beachtung der einschlägigen Regeln der Technik sowie unter Berücksichtigung der möglichen Auswirkungen auf die Rastanlage zu erfolgen.</t>
  </si>
  <si>
    <t xml:space="preserve">ANF-438</t>
  </si>
  <si>
    <t xml:space="preserve">Nr. 391 / S. 38</t>
  </si>
  <si>
    <t xml:space="preserve">Klarstellung: Richtigerweise muss dort ein Punkt stehen. "Die Übermittlung erfolgt bei Änderungen (on Change)."</t>
  </si>
  <si>
    <t xml:space="preserve">Steckvorrichtungsinformationen: Die Übermittlung erfolgt bei Änderung (on Change) -&gt; Im vorherigen Dokument ging der Satz weiter &amp; hier steht ein Komma. Wurde ein Satzteil abgeschitten?</t>
  </si>
  <si>
    <t xml:space="preserve">Bezug lt. Katalog: Vertragsanlage 10 Absatz 4.3, Seite 10 Near-Realtime Datenanbindung
Katalogdatum: 03.11.2025 // Antwort: Richtigerweise muss dort ein Punkt stehen. "Die Übermittlung erfolgt bei Änderungen (on Change)."</t>
  </si>
  <si>
    <t xml:space="preserve">ANF-439</t>
  </si>
  <si>
    <t xml:space="preserve">Nr. 392 / S. 38</t>
  </si>
  <si>
    <t xml:space="preserve">Zusage / Ankündigung: Im Rahmen der Angebotslegung ist davon auszugehen, dass während einer Sperrung des Standortes keine Arbeiten durchgeführt werden können.</t>
  </si>
  <si>
    <t xml:space="preserve">In der Vertragsanlage 3 „Angaben/Infos zu Standorten“ sind geplante Baumaßnahmen dargestellt. Der Standort DE-BY-000443 ist beispielsweise voraussichtlich ab Q1/2028 gesperrt. Dürfen während parallel laufender Arbeiten seitens der Autobahn GmbH dennoch Arbeiten jeglicher Art durch den AN durchgeführt werden, oder dürfen ladeparkbezogene Maßnahmen erst beginnen, sobald der Standort offiziell freigegeben ist?</t>
  </si>
  <si>
    <t xml:space="preserve">Bezug lt. Katalog: Vertragsanlage 3
Katalogdatum: 03.11.2025 // Antwort: Im Rahmen der Angebotslegung ist davon auszugehen, dass während einer Sperrung des Standortes keine Arbeiten durchgeführt werden können. Für die Kalkulation und Terminplanung ist daher die Sperrzeit als nicht nutzbar zu berücksichtigen. In der operativen Umsetzung wird der AG jedoch bestrebt sein, Synergien mit parallel laufenden Aus- und Umbaumaßnahmen zu nutzen und den Gesamtzeitplan zu optimieren. Sofern die baulichen Gegebenheiten und die Sicherheitsvorgaben dies zulassen, können im Einzelfall und in Abstimmung mit der zuständigen Niederlassung des AG Arbeiten am Ladepark parallel zu den Aus- und Umbaumaßnahmen des AG erfolgen.</t>
  </si>
  <si>
    <t xml:space="preserve">ANF-440</t>
  </si>
  <si>
    <t xml:space="preserve">Nr. 393 / S. 38</t>
  </si>
  <si>
    <t xml:space="preserve">Klarstellung: Die in den Voruntersuchungen dargestellte Verortung der Ladeinfrastruktur auf dem Standort stellt einen unverbindlichen Planungsvorschlag dar.</t>
  </si>
  <si>
    <t xml:space="preserve">In den bereitgestellten unverbindlichen Voruntersuchungen (Entwurfsplanung zu jedem Standort) ist das Schrankensystem nicht auf der gleichen Insel wie die Ladeinfrastruktur verortet. Ist es Pflicht die Schranke auf einer separaten Insel mit gewissen Abstand zur Ladehardware zu installieren?</t>
  </si>
  <si>
    <t xml:space="preserve">Bezug lt. Katalog: Layout unverbindliche Plnaunsgempfehlung
Katalogdatum: 03.11.2025 // Antwort: Die in den Voruntersuchungen dargestellte Verortung der Ladeinfrastruktur auf dem Standort stellt einen unverbindlichen Planungsvorschlag dar. Maßgeblich sind die Vorgaben der Referenzplanung für Längs- und Schrägparker gemäß Anhang 1a der Vertragsanlage 4 „Leistungsbeschreibung Errichtung“. Die Vertragsanlage 4 enthält zusätzliche Informationen und wird mit der Aufforderung zur Abgabe verbindlicher Angbeote zur Verfügung gestellt.</t>
  </si>
  <si>
    <t xml:space="preserve">Alpitronic / SCS</t>
  </si>
  <si>
    <t xml:space="preserve">Schrankensteuerung / Ladeeinrichtung</t>
  </si>
  <si>
    <t xml:space="preserve">ANF-441</t>
  </si>
  <si>
    <t xml:space="preserve">Nr. 394 / S. 38</t>
  </si>
  <si>
    <t xml:space="preserve">Klarstellung: Die Vertragsanlage 4 enthält zusätzliche Informationen und wird mit der Aufforderung zur Abgabe verbindlicher Angbeote zur Verfügung gestellt.</t>
  </si>
  <si>
    <t xml:space="preserve">In der bereitgestellten "Vertragsanlage 03_Angaben und Informationen zu Standorten_Los 5" sind im Bereich Beschilderung folgende Typen: Aufsetzer, Abdecker und Gesamterneuerung". Was ist genau der Unterschied zwischen diesen? Anhang 3_zur Vertragsanlage 4_Markierungs- und Beschilderungsplan" gibt keine Information dazu.</t>
  </si>
  <si>
    <t xml:space="preserve">Bezug lt. Katalog: Vertragsanlage 3
Katalogdatum: 03.11.2025 // Antwort: Die Vertragsanlage 4 enthält zusätzliche Informationen und wird mit der Aufforderung zur Abgabe verbindlicher Angbeote zur Verfügung gestellt.</t>
  </si>
  <si>
    <t xml:space="preserve">ANF-442</t>
  </si>
  <si>
    <t xml:space="preserve">Nr. 395 / S. 38</t>
  </si>
  <si>
    <t xml:space="preserve">Es wurde spezifiziert, dass die Schaltfelder für die Endausbauleistung zu dimensionieren sind. Bedeutet dies auch, dass im Rahmen einer potentiellen Erweiterung der Leistung 2030 auf die Leistung 2035 keine weitere Verrechnungsmessung notwendig werden darf. Oder wäre auch ein zweiter Netzübergabepunkt im Rahmen einer solchen Erweiterung akzeptabel?</t>
  </si>
  <si>
    <t xml:space="preserve">Bezug lt. Katalog: Endausbauleistung / Erweiterung
Katalogdatum: 03.11.2025 // Antwort: Die Vertragsanlage 4 enthält zusätzliche Informationen und wird mit der Aufforderung zur Abgabe verbindlicher Angbeote zur Verfügung gestellt.</t>
  </si>
  <si>
    <t xml:space="preserve">ANF-443</t>
  </si>
  <si>
    <t xml:space="preserve">Nr. 396 / S. 38</t>
  </si>
  <si>
    <t xml:space="preserve">Klarstellung: Eine Senkung der Haftungsgrenze ist nicht vorgesehen.</t>
  </si>
  <si>
    <t xml:space="preserve">Wir sind der Ansicht, dass die Höhe der Haftung des Auftragnehmers für alle Schäden während der Vertragslaufzeit in Höhe von 50 % der Auftragssumme gemäß § 53 (Fassung vom 17.10.2025) sehr hoch angesetzt ist. Dies würde zu einer zusätzlichen Risikoprämie und höheren Baukosten sowie höheren Finanzierungskosten führen. Wir würden daher eine Klarstellung begrüßen, ob die Absicht oder Möglichkeit besteht, die Haftungsgrenze in einer künftigen Fassung des Betreibervertrags zu senken.</t>
  </si>
  <si>
    <t xml:space="preserve">Bezug lt. Katalog: Haftungsgrenze § 53 PV
Katalogdatum: 05.11.2025 // Antwort: Eine Senkung der Haftungsgrenze ist nicht vorgesehen.</t>
  </si>
  <si>
    <t xml:space="preserve">ANF-444</t>
  </si>
  <si>
    <t xml:space="preserve">Nr. 397 / S. 38</t>
  </si>
  <si>
    <t xml:space="preserve">Klarstellung: Das Verständnis ist unzutreffend, da die Schadensposition "Mehraufwendungen bei der Erbringung der Leistungen durch einen anderen Auftragnehmer" gerade auch auf die Differenz der Angebotspreise abzielt.</t>
  </si>
  <si>
    <t xml:space="preserve">Gemäß § 57.7 (Fassung vom 17.10.2025) verstehen wir im Falle einer Kündigung oder Teilkündigung des Projektvertrags, dass mit Schadensersatz, „insbesondere den Kosten eines durchzuführenden Vergabeverfahrens und von Mehraufwendungen bei der Erbringung der Leistungen durch einen anderen Auftragnehmer“, nur die Kosten einer neuen Ausschreibung gemeint sind, d. h. Beraterkosten usw., und nicht die Differenz zwischen den Angebotspreisen des bestehenden und des neuen Auftragnehmers (Errichtungsentgelt und Betreiberentgelt). Können Sie bitte klären, ob unser Verständnis korrekt ist? Andernfalls sind wir der Meinung, dass Letzteres nicht vom ursprünglichen Auftragnehmer zu tragen ist und nicht von der vom Auftraggeber zu zahlenden Kündigungszahlung abgezogen werden sollte.</t>
  </si>
  <si>
    <t xml:space="preserve">Bezug lt. Katalog: Schadensersatz im Falle einer Kündigung oder Teilkündigung § 57 PV
Katalogdatum: 05.11.2025 // Antwort: Das Verständnis ist unzutreffend, da die Schadensposition "Mehraufwendungen bei der Erbringung der Leistungen durch einen anderen Auftragnehmer" gerade auch auf die Differenz der Angebotspreise abzielt.</t>
  </si>
  <si>
    <t xml:space="preserve">ANF-445</t>
  </si>
  <si>
    <t xml:space="preserve">Nr. 398 / S. 38</t>
  </si>
  <si>
    <t xml:space="preserve">Verneint: es geht um Sicherungsinstrumente eines Gesellschafters des Betreibers und/oder eines mit dem Betreiber im Sinne des § 15 AktG verbundenen Unternehmens oder einer am Betreiber beteiligten Gebietskörperschaft.</t>
  </si>
  <si>
    <t xml:space="preserve">Gehen wir recht in der Annahme, dass eine Garantie eines oder mehrerer Gesellschafter eines Nachunternehmers (gemäß der Definition in § 61) und/oder eines oder mehrerer mit dem Nachunternehmer im Sinne des § 15 AktG verbundenen Unternehmen mit Ratings mindestens gemäß § 52 Absatz 2 bzw. anderweitig nachgewiesener vergleichbarer Bonität den Anforderungen des § 52 Ziff. 7 PV entspricht, sofern sie die inhaltlichen Anforderungen des § 52 Ziff. 7 PV erfüllt?</t>
  </si>
  <si>
    <t xml:space="preserve">Bezug lt. Katalog: Garantie eines Nachunternehmers § 52 Ziff. 7 PV
Katalogdatum: 05.11.2025 // Antwort: Nein, es geht um Sicherungsinstrumente eines Gesellschafters des Betreibers und/oder eines mit dem Betreiber im Sinne des § 15 AktG verbundenen Unternehmens oder einer am Betreiber beteiligten Gebietskörperschaft.</t>
  </si>
  <si>
    <t xml:space="preserve">ANF-446</t>
  </si>
  <si>
    <t xml:space="preserve">Nr. 399 / S. 38</t>
  </si>
  <si>
    <t xml:space="preserve">Klarstellung: § 17 stellt in Abs. 1 auch darauf ab, dass die Verzögerung nicht vom Auftragnehmer zu vertreten ist.</t>
  </si>
  <si>
    <t xml:space="preserve">Gehen wir recht in der Annahme, dass die Formulierung “wenn sich Verzögerungen aus der Realisierung des Netzanschlusses ergeben und die Verzögerungen nicht vom Auftragnehmer zu vertreten sind” keine Einschränkung des Anspruches auf Anpassung des Rahmen-terminplans und der Standortterminpläne sein soll, sondern das Vorliegen der Voraussetzungen von § 17 Abs. 8 oder 18 Abs. 6 ausreicht? Andernfalls würden § 17 Abs. 8 und 18 Abs. 6 gleichsam ausgehebelt.</t>
  </si>
  <si>
    <t xml:space="preserve">Bezug lt. Katalog: Verzögerung Netzanschluss § 12 Ziff. 2 lit. C) PV
Katalogdatum: 05.11.2025 // Antwort: § 17 stellt in Abs. 1 auch darauf ab, dass die Verzögerung nicht vom Auftragnehmer zu vertreten ist. Insoweit sehen wir den Widerspruch zur Regelung in § 12 nicht und bitten, diesen zu erläutern.</t>
  </si>
  <si>
    <t xml:space="preserve">ANF-447</t>
  </si>
  <si>
    <t xml:space="preserve">Nr. 400 / S. 38</t>
  </si>
  <si>
    <t xml:space="preserve">Klarstellung: Ihre Annahme ist grundsätzlich zutreffend. Die Vertragsanlage 4 enthält eine geänderte Systematik und wird mit der Aufforderung zur Abgabe verbindlicher Angbeote zur Verfügung gestellt.</t>
  </si>
  <si>
    <t xml:space="preserve">Aufgrund der Tatsache, dass die finale Angebotsaufforderung für Mitte November angekündigt wurde, rechnen wir mit einer Beauftragung im Laufe des ersten Quartal 2026. Können wir davon ausgehen, dass die bisher in Anlage 4 aufgeführte zeitliche Übersicht hinsichtlich der Realisierungszeiten, aufgrund der späteren Angebotsaufforderung &amp; Beauftragung, entsprechend fortgeschrieben wird? Beispielsweise eine Verschiebung des ersten zu errichtenden Standorts je Los in das Jahr 2027.</t>
  </si>
  <si>
    <t xml:space="preserve">Bezug lt. Katalog: Verfahren
Katalogdatum: 06.11.2025 // Antwort: Ihre Annahme ist grundsätzlich zutreffend. Die Vertragsanlage 4 enthält eine geänderte Systematik und wird mit der Aufforderung zur Abgabe verbindlicher Angbeote zur Verfügung gestellt.</t>
  </si>
  <si>
    <t xml:space="preserve">ANF-448</t>
  </si>
  <si>
    <t xml:space="preserve">Nr. 401 / S. 38</t>
  </si>
  <si>
    <t xml:space="preserve">Klarstellung: Eine Stoffpreisgleitklausel wurde in der aktualisierten Vertragsfassung aufgenommen.</t>
  </si>
  <si>
    <t xml:space="preserve">In der Regel kann der AG durch die Einführung von Stoffpreisgleitklauseln erhebliche Kosten einsparen. Zudem ist es bei längeren Maßnahmen üblich und sinnvoll, dass Stoffpreisgleitklauseln vorhanden sind, wie hiervorliegend einer insgesamten Bauzeit von ca. fünf Jahren. In den derzeitigen Vertragsunterlagen, respektive Anlage 1 zum Verfahrensbrief "Betreibervertrag" ist derzeit die Stoffpreisklausel nicht enthalten. Wird der AG hierzu im Hauptvertrag bzw. in der Anlage 4 "Errichtung" eine solche Fortschreibung noch vornehmen?</t>
  </si>
  <si>
    <t xml:space="preserve">Bezug lt. Katalog: Stoffpreisgleitklausel
Katalogdatum: 06.11.2025 // Antwort: Eine Stoffpreisgleitklausel wurde in der aktualisierten Vertragsfassung aufgenommen.</t>
  </si>
  <si>
    <t xml:space="preserve">ANF-449</t>
  </si>
  <si>
    <t xml:space="preserve">Nr. 402 / S. 39</t>
  </si>
  <si>
    <t xml:space="preserve">Klarstellung: Der AG geht davon aus, dass auf den Rastanlagen grundsätzlich ausreichend geeignete Flächen zur Verfügung stehen.</t>
  </si>
  <si>
    <t xml:space="preserve">Wir bitten um Bestätigung, dass auf den PWC-Anlagen ausreichend geeignete Flächen zur Verfügung stehen und die erforderlichen Genehmigungen erteilt werden, um das anfallende Aushubmaterial gemäß den geltenden technischen Regelwerken ordnungsgemäß zwischenlagern zu können.</t>
  </si>
  <si>
    <t xml:space="preserve">Bezug lt. Katalog: Errichtung/Lagerung Aushubmaterial
Katalogdatum: 06.11.2025 // Antwort: Der AG geht davon aus, dass auf den Rastanlagen grundsätzlich ausreichend geeignete Flächen zur Verfügung stehen.</t>
  </si>
  <si>
    <t xml:space="preserve">ANF-450</t>
  </si>
  <si>
    <t xml:space="preserve">Nr. 403 / S. 39</t>
  </si>
  <si>
    <t xml:space="preserve">Klarstellung: Die Errichtung der Ladeinfrastruktur hat so zu erfolgen, dass der Verkehr auf den Bundesautobahnen, an der die jeweilige unbewirtschaftete Rastanlage gelegen ist, sowie auf der Rastanlage selbst nicht mehr als unbedingt …</t>
  </si>
  <si>
    <t xml:space="preserve">Wir bitten um Bestätigung, dass in der Angebotskalkulation davon ausgegangen werden kann, dass die PWC-Anlagen, insbesondere die Lkw-Bereiche, während der gesamten Bauphase vollständig für den Verkehr gesperrt werden können.</t>
  </si>
  <si>
    <t xml:space="preserve">Bezug lt. Katalog: Bauphase - Sperrung Verkerhsanlage
Katalogdatum: 06.11.2025 // Antwort: 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</si>
  <si>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ANF-451</t>
  </si>
  <si>
    <t xml:space="preserve">Nr. 404 / S. 39</t>
  </si>
  <si>
    <t xml:space="preserve">Klarstellung: Die Kosten für die Zertifizierung sind vom Auftragnehmer in den Angbeotspreis mit einzukalkulieren.</t>
  </si>
  <si>
    <t xml:space="preserve">Ist sich der AG bewusst, dass die Speicheranlagen zertifiziert werden müssen. Sind diese Kosten im Angebot zu berücksichtigen oder werden diese vom AG als Anlageneigentümer separat übernommen?</t>
  </si>
  <si>
    <t xml:space="preserve">Bezug lt. Katalog: Speicher
Katalogdatum: 06.11.2025 // Antwort: Die Kosten für die Zertifizierung sind vom Auftragnehmer in den Angbeotspreis mit einzukalkulieren. Die Vertragsanlage 4 enthält weitergehende Ausführungen und wird mit der Aufforderung zur Abgabe verbindlicher Angbeote zur Verfügung gestellt.</t>
  </si>
  <si>
    <t xml:space="preserve">ANF-452</t>
  </si>
  <si>
    <t xml:space="preserve">Nr. 405 / S. 39</t>
  </si>
  <si>
    <t xml:space="preserve">Ist ein Inselbetrieb des Speichers im Notfall vorgesehen?</t>
  </si>
  <si>
    <t xml:space="preserve">Bezug lt. Katalog: Speicher
Katalogdatum: 06.11.2025 // Antwort: Die Vertragsanlage 4 enthält zusätzliche Informationen und wird mit der Aufforderung zur Abgabe verbindlicher Angbeote zur Verfügung gestellt.</t>
  </si>
  <si>
    <t xml:space="preserve">ANF-453</t>
  </si>
  <si>
    <t xml:space="preserve">Nr. 406 / S. 39</t>
  </si>
  <si>
    <t xml:space="preserve">Klarstellung: Der Auftraggeber prüft in welchem Umfang Betriebsdaten und -zustände der Speicher zur Verfügung gestellt werden müssen.</t>
  </si>
  <si>
    <t xml:space="preserve">Sollen Betriebsdaten und -zustände dem Bund zur Verfügung gestellt werden?</t>
  </si>
  <si>
    <t xml:space="preserve">Bezug lt. Katalog: Speicher
Katalogdatum: 06.11.2025 // Antwort: Der Auftraggeber prüft in welchem Umfang Betriebsdaten und -zustände der Speicher zur Verfügung gestellt werden müssen.</t>
  </si>
  <si>
    <t xml:space="preserve">ANF-454</t>
  </si>
  <si>
    <t xml:space="preserve">Nr. 407 / S. 39</t>
  </si>
  <si>
    <t xml:space="preserve">Klarstellung: Das Infrastrukturentgelt gem. § 45.5 (jetzt § 46.5) ist kein durchlaufender Posten und unterliegt als Entgelt (bzw.</t>
  </si>
  <si>
    <t xml:space="preserve">Der Bieter ist der Auffassung, dass das Infrastrukturentgelt als Bestandteil der Entgelte gem. §§ 30, 34 und 35 umsatzsteuerpflichtig ist. Das Infrastrukturentgelt ist gem. § 45.5 „in vollem Umfang an den Auftraggeber 2 abzuführen“. Hierfür hat der Auftragnehmer dem Auftraggeber 2 gem. § 50.5 eine Gutschrift zu erstellen. Der Bieter bittet um Angabe, 1. ob es sich im Gegensatz zur vorgenannten Umsatzsteuerpflicht beim Infrastrukturentgelt um einen durchlaufenden Posten gem. § 10 Abs. 1 Satz 5 UStG handelt oder 2. ob das vom Auftraggeber 2 vereinnahmte Infrastrukturentgelt der Umsatzsteuer unterliegt, sodass die Gutschrift mit Umsatzsteuer auszuweisen ist. Der Bieter bittet weiterhin, die insoweit vertretene steuerliche Rechtsauffassung der Parteien in den Vertrag aufzunehmen. Sollte die Finanzverwaltung eine andere Rechtsauffassung vertreten, stellen sich die Parteien wirtschaftlich so, wie es der ursprünglichen Rechtsauffassung der Parteien entspricht.</t>
  </si>
  <si>
    <t xml:space="preserve">Bezug lt. Katalog: § 45 Betreibervertrag
Katalogdatum: 07.11.2025 // Antwort: Das Infrastrukturentgelt gem. § 45.5 (jetzt § 46.5) ist kein durchlaufender Posten und unterliegt als Entgelt (bzw. Bestandteil des Entgelts) der Umsatzsteuer. Dies gilt sowohl für die Leistungsbeziehung des Auftraggebers 2 zum Auftragnehmer als auch des Auftragnehmers zum jeweiligen Mobilitätsanbieter. Da zwischen dem Auftraggeber 2 und dem Mobilitätsanbieter keine Leistungsbeziehungen begründet werden, ist die Annahme eines durchlaufenden Postens unbegründet. Damit muss die Gutschrift des Auftragnehmers mit Umsatzsteuer erfolgen.</t>
  </si>
  <si>
    <t xml:space="preserve">ANF-455</t>
  </si>
  <si>
    <t xml:space="preserve">Nr. 408 / S. 39</t>
  </si>
  <si>
    <t xml:space="preserve">Bestätigt: der SLA ändert sich dann auf 24/7. (Die Einschränkung bezieht sich nur auf die im ersten Satzteil genannten Störungen)</t>
  </si>
  <si>
    <t xml:space="preserve">Beziehen sich die in §26 Absatz 3 Satz 1 genannten Entstörungszeiten (Montag 8:00 Uhr bis Freitag 17:00 Uhr) auf alle Entstörungen und die damit verbundenen Tätigkeiten? Beispiel: Alle Ladepunkte an einem Standort fallen aus. Dafür haben wir eine Entstörzeit von 24 Stunden. Sind die 24 Stunden von Montag 8:00 Uhr bis Freitag 17:00 Uhr einzuhalten oder ändert sich der SLA auf 24/7 in einem solchen Fall?</t>
  </si>
  <si>
    <t xml:space="preserve">Bezug lt. Katalog: zu § 26 Betreibervertrag
Katalogdatum: 07.11.2025
Zuordnung prüfen (Komponente/Partner nicht eindeutig) // Antwort: Ja, der SLA ändert sich dann auf 24/7. (Die Einschränkung bezieht sich nur auf die im ersten Satzteil genannten Störungen)</t>
  </si>
  <si>
    <t xml:space="preserve">ANF-456</t>
  </si>
  <si>
    <t xml:space="preserve">Nr. 409 / S. 39</t>
  </si>
  <si>
    <t xml:space="preserve">Klarstellung: Die Lösungszeit bezieht sich auf eine Remote-Entstörung. Für Vor-Ort-Entstörungen gilt die speziellere Regelung des § 26 (neu: § 28) Abs.</t>
  </si>
  <si>
    <t xml:space="preserve">In §24 Absatz 3 wird von einer finalen Bearbeitung (Lösungszeit) von 12 Stunden gesprochen. Ist die Lösungszeit als Remote-Entstörung ohne Vor-Ort-Einsatz zu verstehen?</t>
  </si>
  <si>
    <t xml:space="preserve">Bezug lt. Katalog: zu § 24 Betreibervertrag
Katalogdatum: 07.11.2025
Zuordnung prüfen (Komponente/Partner nicht eindeutig) // Antwort: Die Lösungszeit bezieht sich auf eine Remote-Entstörung. Für Vor-Ort-Entstörungen gilt die speziellere Regelung des § 26 (neu: § 28) Abs. 3.</t>
  </si>
  <si>
    <t xml:space="preserve">ANF-457</t>
  </si>
  <si>
    <t xml:space="preserve">Nr. 410 / S. 39</t>
  </si>
  <si>
    <t xml:space="preserve">Verweis des Auftraggebers auf die Antwort zu Bieterfrage 384 und 405.</t>
  </si>
  <si>
    <t xml:space="preserve">Gehen wir richtig in der Annahme, dass die beantragten bzw. beauftragten Netzanschlüsse insb. auch eine Rückspeisung durch Batteriespeicher erlauben?</t>
  </si>
  <si>
    <t xml:space="preserve">Bezug lt. Katalog: § 22 Abs. 4 Betreibervertrag
Katalogdatum: 07.11.2025 // Antwort: Siehe Antwort auf Bieterfrage 384 und 405.</t>
  </si>
  <si>
    <t xml:space="preserve">Automatisch ausgewertet: Die Antwort des Auftraggebers verweist ausschließlich auf Bieterfrage 384 und 405. Keine eigenständige Anforderung – der Inhalt ist unter der dort erfassten Zeile nachzuhalten.</t>
  </si>
  <si>
    <t xml:space="preserve">ANF-458</t>
  </si>
  <si>
    <t xml:space="preserve">Nr. 411 / S. 39</t>
  </si>
  <si>
    <t xml:space="preserve">Bestätigt: in Anlage 13 wurde eine entsprechende Regelung aufgenommen und wird mit der Aufforderung zur Abgabe verbindlicher Angbeote zur Verfügung gestellt.</t>
  </si>
  <si>
    <t xml:space="preserve">Gemäß § 32 Abs. 6 BV wird in den dort genannten Fällen die Verpflichtung nach § 32 BV für den AN ausgesetzt. Vertragsanlage 13 sieht keine analoge Regelung gegenüber Mobilitätsdienstlern vor, bei welchen evtl. auch ein Schaden entsteht. Gehen wir Recht der Annahme, dass der AN dann vom EMP+ in Regress genommen werden kann? Kann eine Regelung in Anlage 13 hinzugefügt werden, die das ausschließt?</t>
  </si>
  <si>
    <t xml:space="preserve">Bezug lt. Katalog: Durchleitung; § 32 Abs. 6 Betreibervertrag
Katalogdatum: 07.11.2025 // Antwort: Ja, in Anlage 13 wurde eine entsprechende Regelung aufgenommen und wird mit der Aufforderung zur Abgabe verbindlicher Angbeote zur Verfügung gestellt.</t>
  </si>
  <si>
    <t xml:space="preserve">ANF-459</t>
  </si>
  <si>
    <t xml:space="preserve">Nr. 412 / S. 39</t>
  </si>
  <si>
    <t xml:space="preserve">Bestätigt: die Annahme ist zutreffend.</t>
  </si>
  <si>
    <t xml:space="preserve">In der Anlage 5 Details zum Netzanschluss findet sich in der Spalte ganz rechts die Bezeichnung Nettoenergieinhalt in kW/h. Gehen wir recht in der Annahme, dass die Einheit kWh gemeint ist?</t>
  </si>
  <si>
    <t xml:space="preserve">Bezug lt. Katalog: Einheit Batteriespeicher, Vertragsanlage 5
Katalogdatum: 07.11.2025 // Antwort: Ja die Annahme ist zutreffend.</t>
  </si>
  <si>
    <t xml:space="preserve">ANF-460</t>
  </si>
  <si>
    <t xml:space="preserve">Nr. 413 / S. 39</t>
  </si>
  <si>
    <t xml:space="preserve">Verweis des Auftraggebers auf die Antwort zu Bieterfrage 405.</t>
  </si>
  <si>
    <t xml:space="preserve">Gehen wir weiter in der Annahme, dass die Vorgabe des Auftraggebers gemäß § 48 Abs. 1 a.E. BV nur auf die Angabe des Nettoenergieinhalts gemäß Vertragsanlage 5 bezieht und es dem Bieter (im Rahmen der verfügbaren Netzanschlussleistung) freigestellt ist, mit welcher Anschlussleistung er den Batteriespeicher auslegt? Falls nein, bitten wir um Konkretisierung für die betroffenen Standorte für die Angebotserstellung.</t>
  </si>
  <si>
    <t xml:space="preserve">Bezug lt. Katalog: Anschlussleistung Batteriespeicher, § 48 Abs. 1 Betreibervertrag
Katalogdatum: 07.11.2025 // Antwort: Siehe Antwort auf Bieterfrage 405.</t>
  </si>
  <si>
    <t xml:space="preserve">Automatisch ausgewertet: Die Antwort des Auftraggebers verweist ausschließlich auf Bieterfrage 405. Keine eigenständige Anforderung – der Inhalt ist unter der dort erfassten Zeile nachzuhalten.</t>
  </si>
  <si>
    <t xml:space="preserve">ANF-461</t>
  </si>
  <si>
    <t xml:space="preserve">Nr. 414 / S. 39</t>
  </si>
  <si>
    <t xml:space="preserve">Laut § 22 Abs. 4 BV ist eine anderweitige Nutzung des Speichers gestattet, sowie der tatsächliche Bedarf an vorzuhaltender Ladeleistung nicht beeinträchtigt wird. Inwieweit dürfen für die Bestimmung des tatsächlichen Bedarfs Wahrscheinlichkeiten genutzt werden, da nie zu 100% ausgeschlossen werden kann, dass die volle Kapazität des Speichers einmal genutzt werden muss, auch wenn dies ggf. extrem unwahrscheinlich ist? (Bspw.: ist der Speicher mit 5.500 kWh drei Monate lang nie mehr als 25% genutzt worden, darf man dann davon ausgehen, dass er am nächsten Tag nicht zu mehr als 50% genutzt wird?), Falls ja, bitten wir um eine Konkretisierung durch Angabe eines Wahrscheinlichkeitskritieriums.</t>
  </si>
  <si>
    <t xml:space="preserve">Bezug lt. Katalog: Betrieb Speicher; § 22 Abs. 4 Betreibervertrag
Katalogdatum: 07.11.2025 // Antwort: Siehe Antwort auf Bieterfrage 405.</t>
  </si>
  <si>
    <t xml:space="preserve">ANF-462</t>
  </si>
  <si>
    <t xml:space="preserve">Nr. 415 / S. 39</t>
  </si>
  <si>
    <t xml:space="preserve">Gehen wir richtig in der Annahme, dass der Auftraggeber mit der Aufforderung zur Angebotsabgabe je Standort, der mit Speicher auszustatten ist, eine detaillierte technische Spezifikation des am Standort zu errichtenden Speichers zur Verfügung stellen wird?</t>
  </si>
  <si>
    <t xml:space="preserve">Bezug lt. Katalog: Speicher, § 48 Betreibervertrag
Katalogdatum: 07.11.2025 // Antwort: Siehe Antwort auf Bieterfrage 405.</t>
  </si>
  <si>
    <t xml:space="preserve">ANF-463</t>
  </si>
  <si>
    <t xml:space="preserve">Nr. 416 / S. 39</t>
  </si>
  <si>
    <t xml:space="preserve">Klarstellung: Der Auftraggeber aktualisiert die vorliegenden Informationen der Vertragsanlage 5 fortlaufend, sobald entsprechende Angaben der VNB vorliegen oder eine Beauftragung des Netzanschlusses erfolgt ist.</t>
  </si>
  <si>
    <t xml:space="preserve">Gehen wir richtig in der Annahme, dass der Auftraggeber mit der Aufforderung zur Angebotsabgabe für alle Standorte eine Indikation des VNB zur Verfügung stellt, bis wann die angefragte Netzanschlussleistung voraussichtlich bereitgestellt werden kann bzw. welche reduzierte Leistung zur Verfügung steht?</t>
  </si>
  <si>
    <t xml:space="preserve">Bezug lt. Katalog: Vertragsanlage 5
Katalogdatum: 07.11.2025 // Antwort: Der Auftraggeber aktualisiert die vorliegenden Informationen der Vertragsanlage 5 fortlaufend, sobald entsprechende Angaben der VNB vorliegen oder eine Beauftragung des Netzanschlusses erfolgt ist. Für Standorte, bei denen zum Zeitpunkt der Angebotsaufforderung keine Informationen vorliegen, ist das gemäß Betreibervertrag vorgesehene fiktive Szenario für die Kalkulation zugrunde zu legen.</t>
  </si>
  <si>
    <t xml:space="preserve">ANF-464</t>
  </si>
  <si>
    <t xml:space="preserve">Nr. 417 / S. 39</t>
  </si>
  <si>
    <t xml:space="preserve">Klarstellung: Die Annahme ist nicht zutreffend. Der Auftragnehmer hat unter Berücksichtigung der jeweiligen Standortbedingungen einen Vorschlag zur Verortung des Speichers, im Rahmen des Planungsprozesses, zu erarbeiten.</t>
  </si>
  <si>
    <t xml:space="preserve">Gehen wir richtig in der Annahme, dass der AG für alle Standorte, an denen in der Aufforderung zur Angebotsabgabe gemäß Vertragsanlage 5 ein Speicher zu errichten ist, jeweils einen angepassten Voruntersuchungsplan mit einem Verortungsvorschlag für den Speicher zur Verfügung stellt?</t>
  </si>
  <si>
    <t xml:space="preserve">Bezug lt. Katalog: Vertragsanlage 5 iVm Vertragsanlage 3
Katalogdatum: 07.11.2025 // Antwort: Die Annahme ist nicht zutreffend. Der Auftragnehmer hat unter Berücksichtigung der jeweiligen Standortbedingungen einen Vorschlag zur Verortung des Speichers, im Rahmen des Planungsprozesses, zu erarbeiten. Die konkrete Lage wird im Rahmen der Detailplanung in Abstimmung mit dem Auftraggeber festgelegt.</t>
  </si>
  <si>
    <t xml:space="preserve">ANF-465</t>
  </si>
  <si>
    <t xml:space="preserve">Nr. 418 / S. 39</t>
  </si>
  <si>
    <t xml:space="preserve">Klarstellung: Die Vertragsanlage wird mit der Aufforderung der Abgabe verbindlicher Angebote aktualisiert.</t>
  </si>
  <si>
    <t xml:space="preserve">An einigen Standorten (z.B. Aster Moos Ost, Olle Rheen Ost) ist die beauftragte Leistung größer als die für 2035 geplante Leistung. Gehen wir recht in der Annahme, dass an diesen Standorten die Übergabestation auf diese höhere, beauftragte Netzanschlusskapazität ausgelegt werden soll?</t>
  </si>
  <si>
    <t xml:space="preserve">Bezug lt. Katalog: Vertragsanlage 5
Katalogdatum: 07.11.2025 // Antwort: Die Vertragsanlage wird mit der Aufforderung der Abgabe verbindlicher Angebote aktualisiert.</t>
  </si>
  <si>
    <t xml:space="preserve">ANF-466</t>
  </si>
  <si>
    <t xml:space="preserve">Nr. 419 / S. 40</t>
  </si>
  <si>
    <t xml:space="preserve">Klarstellung: Das Preisblatt wird mit der Aufforderung der Abgabe verbindlicher Angebote aktualisiert.</t>
  </si>
  <si>
    <t xml:space="preserve">Im Preisblatt Betrieb (aller Lose) scheint in der Summenberechnung der Spalte E, Zelle E32, die Gesamtsumme falsch berechnet zu werden. Die Einträge aus den grau markierten Zellen in Spalten G bis AD werden nach unsererem Verständnis doppelt gezählt. Aus einem Eintrag von 1,00 Euro netto werden zunächst 1,19 Euro brutto und anschließend 2,38 Euro in der Summenzelle E32. Wir bitten daher um Korrektur oder Klarstellung.</t>
  </si>
  <si>
    <t xml:space="preserve">Bezug lt. Katalog: Anlage 06_zum Verfahrensbrief_Aufschlüssel_Pr eise Errichtung und Betrieb
Katalogdatum: 11.11.2025 // Antwort: Das Preisblatt wird mit der Aufforderung der Abgabe verbindlicher Angebote aktualisiert.</t>
  </si>
  <si>
    <t xml:space="preserve">ANF-467</t>
  </si>
  <si>
    <t xml:space="preserve">Nr. 420 / S. 40</t>
  </si>
  <si>
    <t xml:space="preserve">Klarstellung: Die Vertragsanlage 4 wurde mit der Aufforderung der Abgabe verbindlicher Angebote aktualisiert.</t>
  </si>
  <si>
    <t xml:space="preserve">Der Auftragnehmer ist verpflichtet (vorübergehend) technisch nicht verfügbare Ladeeinrichtungen entsprechend zu kennzeichnen, um ein Anfahren durch Endnutzer zu verhindern. Ist ein rotes Licht an der Ladestation als Kennzeichnung ausreichend?</t>
  </si>
  <si>
    <t xml:space="preserve">Bezug lt. Katalog: Verfügbarkeit
Katalogdatum: 11.11.2025 // Antwort: Die Vertragsanlage 4 wurde mit der Aufforderung der Abgabe verbindlicher Angebote aktualisiert. (Siehe Vertragsanlage 4 Abs. 3.13.4)</t>
  </si>
  <si>
    <t xml:space="preserve">ANF-468</t>
  </si>
  <si>
    <t xml:space="preserve">Nr. 421 / S. 40</t>
  </si>
  <si>
    <t xml:space="preserve">Klarstellung: Die Anlage 13 sieht aktuell eine Verpflichtung des Mobilitätsdienstleisters zur Zahlung einer Entschädigung beim Nichterreichen der Mindestlademenge vor.</t>
  </si>
  <si>
    <t xml:space="preserve">Nach §8 5. der Vertragsanlage 13 zur Bilanzierung des Durchleitungsmodells ist der Auftragnehmer berechtigt, ein Entschädigungsentgelt für das Nichterreichen der Mindest-kWh-Menge zu verlangen. Gehen wir richtig in der Annahme, dass der Mobilitätsdienstleister im Falle des Verlangens des Auftragnehmers dieses zwar bezahlen muss; diese allerdings nicht gezahlt werden muss, wenn wir als Auftragnehmer dieses nicht einfordern?</t>
  </si>
  <si>
    <t xml:space="preserve">Bezug lt. Katalog: §8 5. der Vertragsanlage 13
Katalogdatum: 11.11.2025 // Antwort: Die Anlage 13 sieht aktuell eine Verpflichtung des Mobilitätsdienstleisters zur Zahlung einer Entschädigung beim Nichterreichen der Mindestlademenge vor. Da die Entschädigung nicht an den Auftragge-ber abzuführen ist, kann der Auftragnehmer davon absehen die Entschädigung einzufordern..</t>
  </si>
  <si>
    <t xml:space="preserve">ANF-469</t>
  </si>
  <si>
    <t xml:space="preserve">Nr. 422 / S. 40</t>
  </si>
  <si>
    <t xml:space="preserve">Klarstellung: Die Vertragsanlage wird mit der Aufforderung der Abgabe verbindlicher Angebote weiter konkretisiert.</t>
  </si>
  <si>
    <t xml:space="preserve">In §8 1.der Vertragsanlage 13 zur Bilanzierung des Durchleitungsmodells ist geregelt, ab wann hier ein Blockadeentgelt anfällt. Gibt es grundsätzliche Vorgaben des Auftraggebers, wielange der Zeitraum einer Reservierung, insbesondere bei einer Reservierung im Rahmen es ad-hoc ladens, dauern sollte?</t>
  </si>
  <si>
    <t xml:space="preserve">Bezug lt. Katalog: §8 1.der Vertragsanlage 13
Katalogdatum: 11.11.2025 // Antwort: Die Vertragsanlage wird mit der Aufforderung der Abgabe verbindlicher Angebote weiter konkretisiert.</t>
  </si>
  <si>
    <t xml:space="preserve">Authentifizierungskomponente / OCPI Buchungskalender / Abrechnungskomponente</t>
  </si>
  <si>
    <t xml:space="preserve">ANF-470</t>
  </si>
  <si>
    <t xml:space="preserve">Nr. 423 / S. 40</t>
  </si>
  <si>
    <t xml:space="preserve">Anpassung der Unterlagen: Die Regelung wurde angepasst und wird mit den Vergabeunterlagen für die Erstellung der verbindlichen Angebote zur Verfügung gestellt.</t>
  </si>
  <si>
    <t xml:space="preserve">In der Regel kann der AG durch die Einführung von Abschlagszahlungen nach einzelnen Leistungsphasen/Meilensteinen, z.B. der Errichtungsphase, erhebliche Kosten einsparen, da bspw. die Finanzierungskosten hierdurch erheblich gesenkt werden können. Dies trifft vor allem bei hohen Baukosten, wie es bei Vorhaben zu erwarten ist, zu. Derzeit ist im Hauptvertrag keine solche Regelung verankert. Gedenkt der Auftraggeber hier noch eine Fortschreibung vorzunehmen?</t>
  </si>
  <si>
    <t xml:space="preserve">Bezug lt. Katalog: Abschlagszahlungen Anlage 1 Betreibervertrag §42 Kosten, Entgelte; Infrastrukturentgelt
Katalogdatum: 12.11.2025 // Antwort: Die Regelung wurde angepasst und wird mit den Vergabeunterlagen für die Erstellung der verbindlichen Angebote zur Verfügung gestellt.</t>
  </si>
  <si>
    <t xml:space="preserve">ANF-471</t>
  </si>
  <si>
    <t xml:space="preserve">Nr. 424 / S. 40</t>
  </si>
  <si>
    <t xml:space="preserve">Klarstellung: Die Beschaffung der Flurkarten obliegt dem Auftragnehmer. Die erforderlichen Informationen können über die einschlägigen öffentlichen Quellen (z.</t>
  </si>
  <si>
    <t xml:space="preserve">In der Regel gehen die zu vermessenden Flurstücke einer Rastanlage weit über die öffentlich nutzbare Rastanlage erheblich hinaus. Auf den nichtöffentlichen Flächen können z.B. Regelrückhaltebecken, Ausgleichmaßnahmen wie Wälder, Biotope, etc. oder sonstige nicht genutzte Flächen, weil das Grundstück nicht anderweitig erworben konnte, befinden. In der Praxis ist die dreifache Fläche gegenüber der öffentlich nutzbaren Fläche einer Rastanlage durchaus möglich. Mit den vorhandenen Angaben in den Ausschreibungsunterlagen ist dies kalkulatorisch nicht je Standort erfassbar. Wir bitten daher um die Übermittelung der jeweiligen Flurkarten je Standort.</t>
  </si>
  <si>
    <t xml:space="preserve">Bezug lt. Katalog: Flurstücksvermessung Anlage 4: Leistungsbeschreibung Errichtung 3.3.1 Bestandsaufnahme, Absatz 1
Katalogdatum: 12.11.2025 // Antwort: Die Beschaffung der Flurkarten obliegt dem Auftragnehmer. Die erforderlichen Informationen können über die einschlägigen öffentlichen Quellen (z. B. Katasterämter, Geoportale) eingeholt werden. Der Auftraggeber stellt keine zusätzlichen Flurkarten zur Verfügung.</t>
  </si>
  <si>
    <t xml:space="preserve">ANF-472</t>
  </si>
  <si>
    <t xml:space="preserve">Nr. 425 / S. 40</t>
  </si>
  <si>
    <t xml:space="preserve">Klarstellung: Es kann nicht bestätigt werden, dass sich die Kosten einer ordnungsgemäßen Verwertung des Bodens an den Kosten der Bodenklasse 0 orientieren.</t>
  </si>
  <si>
    <t xml:space="preserve">Es wird beschrieben, dass der Auftragsnehmer das Risiko des Vorhandenseins von Schadstoffbelastungen des Bodens und von Ausbaustoffen trägt. Der Auftragnehmer kann jedoch, wenn Bodenmaterialien und Ausbaustoffe, die im Hauptvertrag beschriebenen Güteklassen überschreiten oder dem gefährlichen Abfall zuzuordnen sind, diejenigen Kosten als tatsächlich erforderliche Kosten geltend machen, die über die Kosten einer ordnungsgemäßen Verwertung oder Entsorgung von Bodenmaterialien hinausgehen. Wir bitten um Bestätigung, dass die Kosten einer ordnungsgemäßen Verwertung des Bodens, sich an den Kosten der Entsorgung/Verwertung der Bodenklasse 0 orientiert.</t>
  </si>
  <si>
    <t xml:space="preserve">Bezug lt. Katalog: Flurstücksvermessung Anlage 1 Betreibervertrag §7 Abs. 10: Satz 5
Katalogdatum: 12.11.2025 // Antwort: Es kann nicht bestätigt werden, dass sich die Kosten einer ordnungsgemäßen Verwertung des Bodens an den Kosten der Bodenklasse 0 orientieren. Die Kalkulation der Entsorgungs- und Verwertungskosten ist Bestandteil des Leistungsbildes des Auftragnehmers gemäß den Anforderungen des Betreibervertrags und der Vertragsanlage 4 „Leistungsbeschreibung Errichtung“. Die aktualisierte Vertragsanlage wird mit der Aufforderung zur Abgabe verbindlicher Angebote zur Verfügung gestellt.</t>
  </si>
  <si>
    <t xml:space="preserve">ANF-473</t>
  </si>
  <si>
    <t xml:space="preserve">Nr. 426 / S. 40</t>
  </si>
  <si>
    <t xml:space="preserve">Klarstellung: Der Betreibervertrag wurde mit der Aufforderung der Abgabe verbindlicher Angebote aktualisiert.</t>
  </si>
  <si>
    <t xml:space="preserve">Wir bitten um Bestätigung, ob unser Verständnis der Regelung in § 14 zur Berechnung der Vertragsstrafe bei verspäteter Errichtung richtig ist und haben dieses anhand des nachfolgenden Beispiels mit fiktiv überhöhten Werten veranschaulicht. Fiktives Rechenbeispiel: Annahme: gesamtes Errichtungsentgelt für Los 1 mit 25 Standorten beträgt 200.000,00 durchschnittliches Errichtungsentgelt: 800.000,00 (=200.000,00/25) 0,10% 8.000,00 (=8.000.000*0,1%) 5,00% 400.000,00 (max. Vertragsstrafe) Bspl. 1: 1 von 25 (Vertragswiedrig und vom AN zu vertretene, nicht vollständig freigegebene Standorte), 4,00% (Prozentsatz der nicht vollständig freigegeben Standorte), 200.000,00 = 8.000/4% (tägliche Vertragsstrafe) Bspl. 2: 5 von 25 (Vertragswiedrig und vom AN zu vertretene, nicht vollständig freigegebene Standorte), 20,00% (Prozentsatz der nicht vollständig freigegeben Standorte), 40.000,00 =8.000/20% (tägliche Vertragsstrafe) a) Ist unser Verständnis richtig, dass die insgesamt zu zahlende tägliche Vertragsstrafe mit zunehmender Anzahl an vom Auftragnehmer zu vertretenden, nicht vollständig freigegebenen Standorten sinkt? Falls das Verständnis nicht richtig ist, bitten wir die Regelung anhand des vorstehenden Rechenbeispiels zu erläutern. b) Anhand des vorstehenden Rechenbeispiels würde sich eine tägliche Vertragsstrafe für einen verspäteten Standort in Höhe von EUR 200.000 ergeben. Ist tatsächlich eine tägliche Vertragsstrafe in dieser Größenordnung beabsichtigt? c) Ist die gesamte Vertragsstrafe bei verspäteter Errichtung auf 5% des durchschnittlichen Errichtungsentgeltes begrenzt?</t>
  </si>
  <si>
    <t xml:space="preserve">Bezug lt. Katalog: Zu § 14 Vertragsstrafe bei verspäteter Errichtung
Katalogdatum: 13.11.2025 // Antwort: Der Betreibervertrag wurde mit der Aufforderung der Abgabe verbindlicher Angebote aktualisiert.</t>
  </si>
  <si>
    <t xml:space="preserve">ANF-474</t>
  </si>
  <si>
    <t xml:space="preserve">Nr. 427 / S. 41</t>
  </si>
  <si>
    <t xml:space="preserve">Klarstellung: Eine Anpassung des Errichtungsentgeltes oder den Ersatz zusätzlicher Finanzierungskosten sieht der Vertrag neben dem Anspruch auf Zahlung eines Betreiberentgelts und Zahlung von entgangenem Gewinn entsprechend § 16 Abs.</t>
  </si>
  <si>
    <t xml:space="preserve">Laut § 15 Abs. 2 ist der AN verpflichtet in Vertragsanlage 2 vorgesehenen Standorte auf Aufforderung des Auftraggeber 2 auch nach dem 31.12.2030 zu errichten und unter Anwendung eines Lastmanagements zu betreiben, soweit dies unter Berücksichtigung der an dem Standort vorhandenen Netzanschlusskapazität erforderlich ist.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t>
  </si>
  <si>
    <t xml:space="preserve">Bezug lt. Katalog: § 15 Abs. 2 und 3
Katalogdatum: 13.11.2025 // Antwort: Eine Anpassung des Errichtungsentgeltes oder den Ersatz zusätzlicher Finanzierungskosten sieht der Vertrag neben dem Anspruch auf Zahlung eines Betreiberentgelts und Zahlung von entgangenem Gewinn entsprechend § 16 Abs. 2 lit. b Satz 2 für diesen Fall nicht vor.</t>
  </si>
  <si>
    <t xml:space="preserve">ANF-475</t>
  </si>
  <si>
    <t xml:space="preserve">Nr. 428 / S. 41</t>
  </si>
  <si>
    <t xml:space="preserve">Laut § 17 Abs. 5 ist der AN verpflichtet, sofern der AG 2 keinen Ersatzstandort benennt und die Errichtung eines in Vertragsanlage 2 vorgesehenen Standortes unter Berücksichtigung der an dem Standort vorhandenen Netzanschlusskapazität erst nach dem 31.12.2030 möglich ist, den Standort nach dem 31.12.2030 zu errichten und zu betreiben. Im Falle einer Verlängerung kann der AG 2 die Errichtung auch nach dem 31.12.2035 vom Auftragnehmer verlangen.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 c) Wer trägt im Fall der Nichtrealisierung von nachträglichen zu errichtenden Standorten etwaig „nutzlos“ aufgewendete Errichtungskosten? § 17.7 spricht nur von „Planungskosten“?</t>
  </si>
  <si>
    <t xml:space="preserve">Bezug lt. Katalog: § 17 Abs. 5 und 6, Abs. 7
Katalogdatum: 13.11.2025 // Antwort: Eine Anpassung des Errichtungsentgeltes oder den Ersatz zusätzlicher Finanzierungskosten sieht der Vertrag neben dem Anspruch auf Zahlung eines Betreiberentgelts und Zahlung von entgangenem Gewinn entsprechend § 16 Abs. 2 lit. b Satz 2 für diesen nur vor, wenn die Errichtung in der Verlängerungsphase erfolgt. In diesem Fall erfolgt zwischen den Parteien eine Vereinbarung nach § 41 n.F. des Betreibervertrages.</t>
  </si>
  <si>
    <t xml:space="preserve">ANF-476</t>
  </si>
  <si>
    <t xml:space="preserve">Nr. 429 / S. 41</t>
  </si>
  <si>
    <t xml:space="preserve">Klarstellung: zu a) Der Auftragnehmer ist für die Erhebung des Blockadeentgelts beim Endnutzer bzw. Mobilitätsdienstleister zuständig.</t>
  </si>
  <si>
    <t xml:space="preserve">a) Wer ist für die Erhebung des Blockadeentgelts beim Endnutzer bzw. Mobilitätsdienstleister zuständig? Der Auftragnehmer oder die Reservierungsplattform, die das vereinnahmte Blockadeentgelt dann an den Auftragnehmer abführt? b) Ist unser Verständnis richtig, dass der Auftragnehmer die Höhe des Blockadeentgelts festlegt unter Berücksichtigung der Vorgaben des § 36 Abs. 4 zur maximalen Höhe des Blockadeentgelts?</t>
  </si>
  <si>
    <t xml:space="preserve">Bezug lt. Katalog: Zum Blockadeentgelt (§ 23 Abs. 2 f sowie § 36)
Katalogdatum: 13.11.2025 // Antwort: zu a) Der Auftragnehmer ist für die Erhebung des Blockadeentgelts beim Endnutzer bzw. Mobilitätsdienstleister zuständig. Er kann hierfür auch Regelungen mit Reservfierungsplattformen treffen. Zu b) Ihr Verständnis ist zutreffend.</t>
  </si>
  <si>
    <t xml:space="preserve">OCPI Buchungskalender / Reservierungsplattform / Abrechnungskomponente</t>
  </si>
  <si>
    <t xml:space="preserve">ANF-477</t>
  </si>
  <si>
    <t xml:space="preserve">Nr. 430 / S. 41</t>
  </si>
  <si>
    <t xml:space="preserve">Bestätigt: obgleich wir Ihre Einschätzung zum Durchleitungsmodell so nicht teilen, ist Ihre finale Schlussfolgerung zutreffend.</t>
  </si>
  <si>
    <t xml:space="preserve">Die aktuelle Regelung des § 32 Betreibervertrag überträgt dem Auftragnehmer die Verantwortung für die Realisierung des Durchleitungsmodells und gewährt lediglich eine maximal 6-monatige Aussetzung dieser Verpflichtung, wenn ein zu diesem Zweck vom Auftragnehmer beauftragter Nachunternehmer ausfällt. Bedeutet dies, dass alle anderen Fälle des Nicht- oder Schlechtfunktionierens des praktisch bislang kaum erprobten Durchleitungsmodells, für das nach Kenntnistand des Bieters am Markt keine erfahrenen und ausreichend finanzstarken Nachunternehmer zur Verfügung stehen, in das Risiko des Auftragnehmers fallen, inklusive etwaiger Vertragsstrafen und Kündigungsmöglichkeiten?</t>
  </si>
  <si>
    <t xml:space="preserve">Bezug lt. Katalog: § 32, Durchleitungsmodell
Katalogdatum: 13.11.2025 // Antwort: Ja, obgleich wir Ihre Einschätzung zum Durchleitungsmodell so nicht teilen, ist Ihre finale Schlussfolgerung zutreffend.</t>
  </si>
  <si>
    <t xml:space="preserve">ANF-478</t>
  </si>
  <si>
    <t xml:space="preserve">Nr. 431 / S. 41</t>
  </si>
  <si>
    <t xml:space="preserve">Klarstellung: Das Verständnis ist zutreffend. Sofern die Leistung vollständig erbracht wurde, erfolgt die Auszahlung gemäß § 45 Abs.</t>
  </si>
  <si>
    <t xml:space="preserve">Wir bitten um Bestätigung unseres Verständnisses, dass im Falle der Stilllegung einzelner Standorte das noch ausstehende Errichtungsentgelt für den stillgelegten Standort weitergezahlt wird.</t>
  </si>
  <si>
    <t xml:space="preserve">Bezug lt. Katalog: Zu § 38 Abs. 6 sowie § 44 Abs. 6: Stilllegung einzelner Standorte
Katalogdatum: 13.11.2025 // Antwort: Das Verständnis ist zutreffend. Sofern die Leistung vollständig erbracht wurde, erfolgt die Auszahlung gemäß § 45 Abs. 6 (neu).</t>
  </si>
  <si>
    <t xml:space="preserve">ANF-479</t>
  </si>
  <si>
    <t xml:space="preserve">Nr. 432 / S. 41</t>
  </si>
  <si>
    <t xml:space="preserve">Die Regelung des § 43 Abs.6 BV sah in eingeschränktem Maße eine Beteiligung des AG an einer Steigerung der Beschaffungspreise vor. Mit der letzten Fassung des Betreibervertrages wurde diese Regelung ersatzlos gestrichen. Soll der Auftragnehmer das Preissteigerungsrisiko bei den genannten technischen Komponenten nach Auffassung der Vergabestelle über den gesamten Errichtungszeitraum, der zudem nach aktuellem Sachstand nach hinten offen ist, vollständig tragen?</t>
  </si>
  <si>
    <t xml:space="preserve">Bezug lt. Katalog: Zu § 43: fehlende Anpassung des Errichtungsentgeltes bei steigenden Kosten für Ladetechnik und/oder Trafos
Katalogdatum: 13.11.2025 // Antwort: Der Betreibervertrag wurde mit der Aufforderung der Abgabe verbindlicher Angebote aktualisiert.</t>
  </si>
  <si>
    <t xml:space="preserve">ANF-480</t>
  </si>
  <si>
    <t xml:space="preserve">Nr. 433 / S. 41</t>
  </si>
  <si>
    <t xml:space="preserve">Bestätigt: es ist beabsichtigt, eine Aktualisierung vorzunehmen.</t>
  </si>
  <si>
    <t xml:space="preserve">In den Definitionen für die Formel wird für - E0 Bezug genommen auf das Angebot des Auftragnehmers im Jahr 2024 und - L0 und M0 auf den Jahresindex für das Jahr 2022. Die Jahresbezüge scheinen veraltet. Ist beabsichtigt eine Aktualisierung vorzunehmen?</t>
  </si>
  <si>
    <t xml:space="preserve">Bezug lt. Katalog: Zu § 44 Abs. 5: Anpassung des Betreiberentgelts
Katalogdatum: 13.11.2025 // Antwort: Ja, es ist beabsichtigt, eine Aktualisierung vorzunehmen.</t>
  </si>
  <si>
    <t xml:space="preserve">ANF-481</t>
  </si>
  <si>
    <t xml:space="preserve">Nr. 434 / S. 41</t>
  </si>
  <si>
    <t xml:space="preserve">Klarstellung: Der Betreibervertrag wird mit der Aufforderung der Abgabe verbindlicher Angebote aktualisiert.</t>
  </si>
  <si>
    <t xml:space="preserve">§ 50 Abs. 1 und 5 enthalten weiterhin Referenzen zum Reservierungsentgelt, welches im Rahmen der Aktualisierung des Betreibervertrages vom 17.10.2025 entfallen ist. Wir bitten daher um entsprechende Anpassung des § 50 oder Erläuterung, welche Referenzen in § 50 Abs. 1 und 5 ansonsten in Bezug genommen werden sollen.</t>
  </si>
  <si>
    <t xml:space="preserve">Bezug lt. Katalog: § 50 Abs. 1 und 5
Katalogdatum: 13.11.2025 // Antwort: Der Betreibervertrag wird mit der Aufforderung der Abgabe verbindlicher Angebote aktualisiert.</t>
  </si>
  <si>
    <t xml:space="preserve">ANF-482</t>
  </si>
  <si>
    <t xml:space="preserve">Nr. 435 / S. 41</t>
  </si>
  <si>
    <t xml:space="preserve">§ 52 Abs. 1 2. Satz formuliert, dass die Vertragserfüllungsbürgschaft als Sicherheit für die Erfüllung sämtlicher Leistungspflichten des Auftraggebers betreffend Planung, Errichtung und Betrieb der Ladeinfrastruktur dient. Dies dürfte ein redaktionelles Versehen sein. Wir bitten um Klarstellung und Präzisierung wie folgt: „sämtlicher Leistungspflichten des Auftragnehmers“ statt des Auftraggebers?</t>
  </si>
  <si>
    <t xml:space="preserve">Bezug lt. Katalog: Zu § 52 (Sicherheiten)
Katalogdatum: 13.11.2025 // Antwort: Der Betreibervertrag wird mit der Aufforderung der Abgabe verbindlicher Angebote aktualisiert.</t>
  </si>
  <si>
    <t xml:space="preserve">ANF-483</t>
  </si>
  <si>
    <t xml:space="preserve">Nr. 436 / S. 41</t>
  </si>
  <si>
    <t xml:space="preserve">Wir bitten um Überprüfung der Referenz zum Direktvertrag in § 61 Abs. 6a. Die entsprechende Regelung zum Direktvertrag steht in § 56 und nicht in § 55 des Betreibervertrages. In § 61 Abs. 6a. wird Bezug auf die Ausschreibung „Deutschlandnetz-Autobahnlose“ genommen. Sollte hier nicht Bezug auf die Ausschreibung „LKW-Schnellladenetz – unbewirtschaftete Rastanlagen“ genommen werden?</t>
  </si>
  <si>
    <t xml:space="preserve">Bezug lt. Katalog: Zu § 61 Abs. 6a
Katalogdatum: 13.11.2025 // Antwort: Der Betreibervertrag wurde mit der Aufforderung der Abgabe verbindlicher Angebote aktualisiert.</t>
  </si>
  <si>
    <t xml:space="preserve">ANF-484</t>
  </si>
  <si>
    <t xml:space="preserve">Nr. 437 / S. 41</t>
  </si>
  <si>
    <t xml:space="preserve">In § 6.2 a. des Direktvertrages wird zweimal Bezug genommen auf „§ 3 Abs. 4 lit. d) dieses Direktvertrags“. Wir bitten daher um Überprüfung.</t>
  </si>
  <si>
    <t xml:space="preserve">Bezug lt. Katalog: Zu Anlage 15: Direktvertrag
Katalogdatum: 13.11.2025 // Antwort: Der Betreibervertrag wird mit der Aufforderung der Abgabe verbindlicher Angebote aktualisiert.</t>
  </si>
  <si>
    <t xml:space="preserve">ANF-485</t>
  </si>
  <si>
    <t xml:space="preserve">Nr. 438 / S. 42</t>
  </si>
  <si>
    <t xml:space="preserve">Klarstellung: Die Angebotsaufforderung ist erfolgt. Die Angebotsfrist wurde entsprechend auskömmlich und angemessen bemessen.</t>
  </si>
  <si>
    <t xml:space="preserve">Gehen wir recht in der Annahme, dass der Auftraggeber nicht mehr beabsichtigt, im Jahr 2025 zur Abgabe von finalen Angeboten aufzufordern? Hintergrund der Frage ist, dass unser Unternehmen im Falle einer Angebotsaufforderung noch im Laufe des Jahres 2025 nicht zur Angebotsabgabe in der Lage wäre. Voraussetzung für die Abgabe eines verbindlichen Angebots sind komplexe Abstimmungen innerhalb des Unternehmens sowie mit Unterauftragnehmern, finanzierenden Banken, Lieferanten, Versicherungen u.v.m. Dies kann angesichts der Komplexität und des Volumens des Auftrags weder im Rahmen des Jahresendgeschäfts noch während der Feiertage geleistet werden.</t>
  </si>
  <si>
    <t xml:space="preserve">Bezug lt. Katalog: Terminplanung der Angebotsaufforderung 2025
Katalogdatum: 14.11.2025 // Antwort: Die Angebotsaufforderung ist erfolgt. Die Angebotsfrist wurde entsprechend auskömmlich und angemessen bemessen.</t>
  </si>
  <si>
    <t xml:space="preserve">ANF-486</t>
  </si>
  <si>
    <t xml:space="preserve">Nr. 439 / S. 42</t>
  </si>
  <si>
    <t xml:space="preserve">Im Betreibervertrag wurde die Definition von MCS-Ladepunkten von 1.000 kW mehrfach auf 950 kW angepasst (S. 8+9+12 in der Vergleichsfassung). In Vertragsanlage 6 zu den Anforderungen an die Ladeeinrichtungen ist jedoch aufgeführt: "Jeder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Handelt es sich hier um eine noch nicht erfolgte Anpassung der Leistung auf 950 kW? Oder bezieht sich die Formulierung darauf, dass die Hardware 1.000 kW-fähig sein sollte, real diese Leistung aber auf 950 kW unterschritten werden kann? Was heißt in diesem Zusammenhang "im Dauerbetrieb"?</t>
  </si>
  <si>
    <t xml:space="preserve">Bezug lt. Katalog: Vertragsanlage 6 - Minimum Nennleistung
Katalogdatum: 19.11.2025 // Antwort: Die Vertragsanlage wird mit der Aufforderung der Abgabe verbindlicher Angebote aktualisiert.</t>
  </si>
  <si>
    <t xml:space="preserve">ANF-487</t>
  </si>
  <si>
    <t xml:space="preserve">Nr. 440 / S. 42</t>
  </si>
  <si>
    <t xml:space="preserve">Klarstellung: Die entsprechenden Vertragsanlagen enthalten zusätzliche Informationen und werden mit der Aufforderung zur Abgabe verbindlicher Angebote zur Verfügung gestellt.</t>
  </si>
  <si>
    <t xml:space="preserve">Inwiefern ist beim Nettoenergieinhalt in kWh des Speichers, der in Vertragsanlage 5_Details zum Netzanschluss angegeben ist, schon eine Degradation des Speichers über die Laufzeit angenommen? Für welchen Zeitpunkt muss der Nettoenergieinhalt in kWh gewährleistet werden (Anfang oder Ende der Vertragslaufzeit)?</t>
  </si>
  <si>
    <t xml:space="preserve">Bezug lt. Katalog: Vertragsanlage 5 Details zum Netzanschluss - Degradation Speicher
Katalogdatum: 19.11.2025 // Antwort: Die entsprechenden Vertragsanlagen enthalten zusätzliche Informationen und werden mit der Aufforderung zur Abgabe verbindlicher Angebote zur Verfügung gestellt.</t>
  </si>
  <si>
    <t xml:space="preserve">ANF-488</t>
  </si>
  <si>
    <t xml:space="preserve">Nr. 441 / S. 42</t>
  </si>
  <si>
    <t xml:space="preserve">Klarstellung: Die Vertragsanlage 6 wird mit der Aufforderung der Abgabe verbindlicher Angebote aktualisiert.</t>
  </si>
  <si>
    <t xml:space="preserve">Durch die Zufahrtsbeschränkungen an den Ladeplätzen (Schranken, Poller) gehen wir davon aus, dass ein Anmeldeterminal erforderlich wird, um die Zufahrt für Ad-hoc-Ladevorgänge zu ermöglichen. Wir bitten um Bestätigung.</t>
  </si>
  <si>
    <t xml:space="preserve">Bezug lt. Katalog: Vertragsanlage 6 Anforderungen an die Ladeeinrichtung 8 Authentifizierungsoptionen – Ad hoc-Laden
Katalogdatum: 20.11.2025 // Antwort: Die Vertragsanlage 6 wird mit der Aufforderung der Abgabe verbindlicher Angebote aktualisiert.</t>
  </si>
  <si>
    <t xml:space="preserve">Alpitronic / eRound / SCS / tbd</t>
  </si>
  <si>
    <t xml:space="preserve">Schrankenanlage / Schrankensteuerung / Authentifizierungskomponente / Ladeeinrichtung</t>
  </si>
  <si>
    <t xml:space="preserve">ANF-489</t>
  </si>
  <si>
    <t xml:space="preserve">Nr. 442 / S. 42</t>
  </si>
  <si>
    <t xml:space="preserve">Klarstellung: Die entsprechenden Vertragsanlagen enthalten zusätzliche Informationen und werden mit der Aufforderung zur Abgabe verbindlicher Angbeote zur Verfügung gestellt.</t>
  </si>
  <si>
    <t xml:space="preserve">Wir gehen davon aus, dass ein zentrales Anmeldeterminal vorgesehen ist und keine dezentralen Terminals an den Ladeplätzen. Wir bitten um Bestätigung.</t>
  </si>
  <si>
    <t xml:space="preserve">Bezug lt. Katalog: Vertragsanlage 6 Anforderungen an die Ladeeinrichtung 8 Authentifizierungsoptionen – Ad hoc-Laden
Katalogdatum: 20.11.2025 // Antwort: Die entsprechenden Vertragsanlagen enthalten zusätzliche Informationen und werden mit der Aufforderung zur Abgabe verbindlicher Angbeote zur Verfügung gestellt.</t>
  </si>
  <si>
    <t xml:space="preserve">Authentifizierungskomponente / Ladeeinrichtung</t>
  </si>
  <si>
    <t xml:space="preserve">ANF-490</t>
  </si>
  <si>
    <t xml:space="preserve">Nr. 443 / S. 42</t>
  </si>
  <si>
    <t xml:space="preserve">Klarstellung: Die Vergabeunterlagen werden mit der Aufforderung zur Abgabe verbindlicher Angebote konkretisiert..</t>
  </si>
  <si>
    <t xml:space="preserve">Um den Anmeldevorgang durchzuführen, muss das Fahrzeug temporär abgestellt werden. Ist hierfür ein temporärer nutzbarer Lkw-Stellplatz am Anmeldeterminal vorgesehen oder kann davon ausgegangen werden, dass die Fahrgasse für diesen Vorgang kurzzeitig blockiert werden kann? Für Ersteres bitten wir um Klarstellung, wie die Freihaltung dieser Verkehrsfläche gewährleistet werden soll.</t>
  </si>
  <si>
    <t xml:space="preserve">Bezug lt. Katalog: Vertragsanlage 6 Anforderungen an die Ladeeinrichtung 8 Authentifizierungsoptionen – Ad hoc-Laden
Katalogdatum: 20.11.2025 // Antwort: Die Vergabeunterlagen werden mit der Aufforderung zur Abgabe verbindlicher Angebote konkretisiert..</t>
  </si>
  <si>
    <t xml:space="preserve">ANF-491</t>
  </si>
  <si>
    <t xml:space="preserve">Nr. 444 / S. 42</t>
  </si>
  <si>
    <t xml:space="preserve">Klarstellung: Die Frage ist unverständlich, der Auftraggeber bittet um Konkretisierung.</t>
  </si>
  <si>
    <t xml:space="preserve">Können Sie bestätigen, dass etwaige flankierende Maßnahmen für die Errichtung des Ladeparks ausschließlich innerhalb des Bereichs der PWC-Anlage zu erbringen sind und keine Maßnahmen außerhalb dieses Bereichs (z.B. entlang der Autobahn), gefordert werden?</t>
  </si>
  <si>
    <t xml:space="preserve">Bezug lt. Katalog: Vertragsanlage 4 Errichtung 3.8.3 Fahrzeugrückhaltesysteme
Katalogdatum: 20.11.2025 // Antwort: Die Frage ist unverständlich, der Auftraggeber bittet um Konkretisierung.</t>
  </si>
  <si>
    <t xml:space="preserve">ANF-492</t>
  </si>
  <si>
    <t xml:space="preserve">Nr. 445 / S. 42</t>
  </si>
  <si>
    <t xml:space="preserve">Klarstellung: Der Auftragnehmer hat ausschließlich die im Rahmen dieser Ausschreibung vorgesehenen Leistungen zu erbringen.</t>
  </si>
  <si>
    <t xml:space="preserve">Können Sie weiterhin bestätigen, dass Bestandsdefizite (z. B. fehlende Schutzeinrichtungen), nicht auf den Auftragnehmer übertragen werden und somit nicht Bestandteil des ausgeschriebenen Leistungsumfangs sind?</t>
  </si>
  <si>
    <t xml:space="preserve">Bezug lt. Katalog: Vertragsanlage 4 Errichtung 3.8.3 Fahrzeugrückhaltesysteme
Katalogdatum: 20.11.2025 // Antwort: Der Auftragnehmer hat ausschließlich die im Rahmen dieser Ausschreibung vorgesehenen Leistungen zu erbringen. Erforderliche Anpassungen sind nur dann vorzunehmen, wenn sie unmittelbar durch die Errichtung und den späteren Betrieb der Ladeinfrastruktur bedingt sind.</t>
  </si>
  <si>
    <t xml:space="preserve">ANF-493</t>
  </si>
  <si>
    <t xml:space="preserve">Nr. 446 / S. 42</t>
  </si>
  <si>
    <t xml:space="preserve">Klarstellung: Die Entscheidung über eine Beleuchtung der Energieanlagen obliegt dem Auftragnehmer. Sofern eine Beleuchtung vorgesehen wird, ist diese so auszuführen, dass die einschlägigen Regelwerke berücksichtigt werden sowie Lichtemissionen …</t>
  </si>
  <si>
    <t xml:space="preserve">Können Sie bestätigen, dass die Energieanlagen ebenfalls mit Beleuchtung auszustatten sind. Wenn ja, sind hier spezielle Vorgaben (z.B Einsatz mobiler Beleuchtung möglich, Anzahl Leuchten) umzusetzen?</t>
  </si>
  <si>
    <t xml:space="preserve">Bezug lt. Katalog: Vertragsanlage 4 Errichtung 3.10.1 Beleuchtung
Katalogdatum: 20.11.2025
Zuordnung prüfen (Komponente/Partner nicht eindeutig) // Antwort: Die Entscheidung über eine Beleuchtung der Energieanlagen obliegt dem Auftragnehmer. Sofern eine Beleuchtung vorgesehen wird, ist diese so auszuführen, dass die einschlägigen Regelwerke berücksichtigt werden sowie Lichtemissionen und Energieverbrauch möglichst gering gehalten werden (z. B. durch den Einsatz von Bewegungssteuerung).</t>
  </si>
  <si>
    <t xml:space="preserve">ANF-494</t>
  </si>
  <si>
    <t xml:space="preserve">Nr. 447 / S. 42</t>
  </si>
  <si>
    <t xml:space="preserve">Klarstellung: Die Regelung zur Errichtung von Standorten nach dem 31.12.2030 wurde im Rahmen der Überarbeitung des Betreibervertrages noch einmal angepasst. § 15 Abs.</t>
  </si>
  <si>
    <t xml:space="preserve">Gehen wir recht in der Annahme, dass die Aufforderung des AG gem. § 15 Abs. 2 S. 1 ein Verlangen geänderter Leistungen i.S.d. § 39 Abs. 1 ist und dementsprechend einen Anspruch auf umfassenden Mehrkostenersatz auslöst? Dies ist notwendig, da die Errichtung von Standorten nach dem 31.12.2030 bei Abgabe des BAFO schlechthin unkalkulierbar ist und daher eine Vergleichbarkeit der verbindlichen Angebote im Vergabeverfahren nicht mehr gewährleistet wäre.</t>
  </si>
  <si>
    <t xml:space="preserve">Bezug lt. Katalog: § 15 Abs. 2
Katalogdatum: 20.11.2025 // Antwort: Die Regelung zur Errichtung von Standorten nach dem 31.12.2030 wurde im Rahmen der Überarbeitung des Betreibervertrages noch einmal angepasst. § 15 Abs. 2 sieht für den Fall, dass sich die Errichtung über den 31.12.2030 hinaus verzögert, vor, dass der Auftragnehmer einen Anspruch auf Anpassung des Rahmenterminplans nach § 12 Abs. 2 lit c) hat. Daneben hat der Auftragnehmer ab dem 01.01.2031 einen Anspruch auf Zahlung eines Betreiberentgelts und bis zur Errichtung auf Zahlung von entgangenem Gewinn entsprechend § 16 Abs. 2 lit. b Satz 2. Mit der Errichtung erhält er das – im Rahmen der Stoffpreisgleitklausel indexierte – Errichtungsentgelt und weiterhin das Betreiberentgelt.</t>
  </si>
  <si>
    <t xml:space="preserve">ANF-495</t>
  </si>
  <si>
    <t xml:space="preserve">Nr. 448 / S. 42</t>
  </si>
  <si>
    <t xml:space="preserve">Anpassung der Unterlagen: Der Vertrag wird entsprechend angepasst und den Bietern zur Verfügung gestellt.</t>
  </si>
  <si>
    <t xml:space="preserve">Gehen wir recht in der Annahme, dass auch im Falle einer Reduzierung des Standortes gem. § 16 Abs. 1 das vollständige Errichtungsentgelt für den jeweiligen Standort gem. 43 Abs. 2 gezahlt wird?</t>
  </si>
  <si>
    <t xml:space="preserve">Bezug lt. Katalog: § 16 Abs. 1
Katalogdatum: 20.11.2025 // Antwort: Der Vertrag wird entsprechend angepasst und den Bietern zur Verfügung gestellt.</t>
  </si>
  <si>
    <t xml:space="preserve">ANF-496</t>
  </si>
  <si>
    <t xml:space="preserve">Nr. 449 / S. 42</t>
  </si>
  <si>
    <t xml:space="preserve">Klarstellung: Die Frage ist aus sich heraus nicht verständlich. Der Auftraggeber bittet um Erläuterung der Frage.</t>
  </si>
  <si>
    <t xml:space="preserve">Können Sie bestätigen, dass die nicht vermeidbaren Kosten das Betreiberentgelt abzüglich ersparter Aufwendungen umfassen?</t>
  </si>
  <si>
    <t xml:space="preserve">Bezug lt. Katalog: § 16 Abs. 2 lit. a
Katalogdatum: 20.11.2025 // Antwort: Die Frage ist aus sich heraus nicht verständlich. Der Auftraggeber bittet um Erläuterung der Frage.</t>
  </si>
  <si>
    <t xml:space="preserve">ANF-497</t>
  </si>
  <si>
    <t xml:space="preserve">Nr. 450 / S. 42</t>
  </si>
  <si>
    <t xml:space="preserve">Verneint: Baumaterial fällt nicht unter Planungskosten.</t>
  </si>
  <si>
    <t xml:space="preserve">Können Sie unser Verständnis bestätigen, dass Planungskosten sämtliche bei der Planung des Standortes angefallenen Kosten umfassen, auch bspw. Bestellung von Baumaterial?</t>
  </si>
  <si>
    <t xml:space="preserve">Bezug lt. Katalog: § 17 Abs. 7
Katalogdatum: 20.11.2025 // Antwort: Nein, Baumaterial fällt nicht unter Planungskosten.</t>
  </si>
  <si>
    <t xml:space="preserve">ANF-498</t>
  </si>
  <si>
    <t xml:space="preserve">Nr. 451 / S. 42</t>
  </si>
  <si>
    <t xml:space="preserve">Verneint: diese Annahme ist nicht zutreffend. Die Vergütungsregelungen sind in § 18 Abs.</t>
  </si>
  <si>
    <t xml:space="preserve">Gehen wir recht in der Annahme, dass das Verlangen des AG nach einer teilweisen Errichtung von Standorten gem. § 18 Abs. 1 ein Verlangen gem. § 39 Abs. 1 darstellt und einen entsprechenden Mehrkostenerstattungsanspruch nach sich zieht?</t>
  </si>
  <si>
    <t xml:space="preserve">Bezug lt. Katalog: § 18. Abs. 1
Katalogdatum: 20.11.2025 // Antwort: Nein, diese Annahme ist nicht zutreffend. Die Vergütungsregelungen sind in § 18 Abs. 4 geregelt.</t>
  </si>
  <si>
    <t xml:space="preserve">ANF-499</t>
  </si>
  <si>
    <t xml:space="preserve">Nr. 452 / S. 42</t>
  </si>
  <si>
    <t xml:space="preserve">Verneint: Ihre Annahme ist nicht zutreffend.</t>
  </si>
  <si>
    <t xml:space="preserve">Gehen wir recht in der Annahme, dass die Aufforderung des AG 2 als Anordnung gem. § 39 zu verstehen ist und einen entsprechenden Mehrkostenerstattungsanspruch auslöst?</t>
  </si>
  <si>
    <t xml:space="preserve">Bezug lt. Katalog: § 8 Abs. 3
Katalogdatum: 20.11.2025 // Antwort: Nein, Ihre Annahme ist nicht zutreffend.</t>
  </si>
  <si>
    <t xml:space="preserve">ANF-500</t>
  </si>
  <si>
    <t xml:space="preserve">Nr. 453 / S. 43</t>
  </si>
  <si>
    <t xml:space="preserve">Verneint: die Regelung ist bereits ein Kompromiss, da sie erst nach 18 Monaten unter der Prämisse greift, dass mindestens ein Anbieter entsprechende eichrechtskonforme Ladeeinrichtungen anbietet.</t>
  </si>
  <si>
    <t xml:space="preserve">Da die Verwendung von MCS-Ladepunkten i.S.d. § 8 Abs. 3 bedeutet, dass MCS-Ladepunkte bereits zu einem sehr frühen Zeitpunkt errichtet werden müssen, besteht das erhöhte Risiko von „Kinderkrankheiten“ der MCS-Ladepunkte wegen deren technischer Neuheit. Können Sie vor diesem Hintergrund eine Karenzzeit bezüglich der Verfügbarkeit der Ladepunkte einräumen?</t>
  </si>
  <si>
    <t xml:space="preserve">Bezug lt. Katalog: § 8 Abs. 3
Katalogdatum: 20.11.2025 // Antwort: Nein, die Regelung ist bereits ein Kompromiss, da sie erst nach 18 Monaten unter der Prämisse greift, dass mindestens ein Anbieter entsprechende eichrechtskonforme Ladeeinrichtungen anbietet.</t>
  </si>
  <si>
    <t xml:space="preserve">ANF-501</t>
  </si>
  <si>
    <t xml:space="preserve">Nr. 454 / S. 43</t>
  </si>
  <si>
    <t xml:space="preserve">Klarstellung: Die Frage ist unverständlich. Wir bitten um Konkretisierung der Frage, wenn Sie nicht bereits durch die Aktualisierung der Vergabeunterlagen beantwortet werden konnte.</t>
  </si>
  <si>
    <t xml:space="preserve">Gehen wir recht in der Annahme, dass durch die verschiedenen Einschränkungen der Privatautonomie des AN der § 32 Abs. 5 so zu verstehen ist, dass jegliches Fehlverhalten des Mobilitätsdienstleisters nicht dem AN zur Last fallen kann?</t>
  </si>
  <si>
    <t xml:space="preserve">Bezug lt. Katalog: § 32 Abs. 5
Katalogdatum: 20.11.2025 // Antwort: Die Frage ist unverständlich. Wir bitten um Konkretisierung der Frage, wenn Sie nicht bereits durch die Aktualisierung der Vergabeunterlagen beantwortet werden konnte.</t>
  </si>
  <si>
    <t xml:space="preserve">ANF-502</t>
  </si>
  <si>
    <t xml:space="preserve">Nr. 456 / S. 43</t>
  </si>
  <si>
    <t xml:space="preserve">Klarstellung: Die Regelung in § 52 Abs. 6 des Betreibervertrags wurde mit der Aufforderung der Abgabe verbindlicher Angebote aktualisiert.</t>
  </si>
  <si>
    <t xml:space="preserve">In § 51, 5. findet sich: „Die nach diesem Vertrag insgesamt zu zahlenden Vertragsstrafen sind der Höhe nach auf 5 % des im Angebot des Auftragnehmers insgesamt angegebenen Brutto-Errichtungsentgelts begrenzt.“ Gehen wir recht in der Annahme, dass dies sowohl Vertragsstrafen für verspätete Errichtung als auch die Vertragsstrafen aufgrund von Einschränkung der technischen Verfügbarkeit mit einschließt?</t>
  </si>
  <si>
    <t xml:space="preserve">Bezug lt. Katalog: Vertragsstrafen § 51, 5
Katalogdatum: 25.11.2025
Zuordnung prüfen (Komponente/Partner nicht eindeutig) // Antwort: Die Regelung in § 52 Abs. 6 des Betreibervertrags wurde mit der Aufforderung der Abgabe verbindlicher Angebote aktualisiert.</t>
  </si>
  <si>
    <t xml:space="preserve">ANF-503</t>
  </si>
  <si>
    <t xml:space="preserve">Nr. 457 / S. 43</t>
  </si>
  <si>
    <t xml:space="preserve">Anhand der Vorplanungen entsteht der Eindruck, dass zur Abschrankung der Stellplätze im Längsparken versenkbare Poller vorgesehen werden sollten. Diese müssten mit dem Reservierungssystem gekoppelt sein, sodass ein wartungs- und verschleiß armes hydraulisches System eingesetzt werden könnte. Unserer Ansicht nach wäre der Aufwand hierfür sowohl für die Installation als auch die Wartung vglw. Hoch. Wir bitten darum zu prüfen, ob der Einsatz der Schranke für Querparkplätze in Frage kommt.</t>
  </si>
  <si>
    <t xml:space="preserve">Bezug lt. Katalog: Einschrankung
Katalogdatum: 25.11.2025 // Antwort: Die Vertragsanlage wird mit der Aufforderung der Abgabe verbindlicher Angebote aktualisiert.</t>
  </si>
  <si>
    <t xml:space="preserve">eRound / SCS / Reservierungsplattform / tbd</t>
  </si>
  <si>
    <t xml:space="preserve">Schrankenanlage / Schrankensteuerung / OCPI Buchungskalender / Reservierungsplattform</t>
  </si>
  <si>
    <t xml:space="preserve">ANF-504</t>
  </si>
  <si>
    <t xml:space="preserve">Nr. 458 / S. 43</t>
  </si>
  <si>
    <t xml:space="preserve">Aufgrund des nahenden Jahreswechsels, der neben Feiertagen auch bei uns und unseren Partnern mit urlaubsbedingten Nichtverfügbarkeiten einhergehen wird, würde sich die Angebotsabgabe bei einer Frist von 6-8 Wochen schwierig gestalten. Wir bitten daher darum, die Aufforderung zur finalen Angebotsabgabe in das nächste Jahr zu verschieben.</t>
  </si>
  <si>
    <t xml:space="preserve">Bezug lt. Katalog: Angebotsabgabe
Katalogdatum: 25.11.2025 // Antwort: Die Angebotsaufforderung ist erfolgt. Die Angebotsfrist wurde entsprechend auskömmlich und angemessen bemessen.</t>
  </si>
  <si>
    <t xml:space="preserve">ANF-505</t>
  </si>
  <si>
    <t xml:space="preserve">Nr. 459 / S. 43</t>
  </si>
  <si>
    <t xml:space="preserve">Anpassung der Unterlagen: Die Vertragsanlage wurde entsprechend angepasst und mit der Aufforderung der Abgabe verbindlicher Angebote aktualisiert.</t>
  </si>
  <si>
    <t xml:space="preserve">Bei den MCS-Ladesystemen ist im Fall gemeinsam genutzter Leistungseinheiten eine Unterschreitung der geforderten 800 kW bei zeitgleichen Ladevorgängen um bis zu 5 % zulässig, wenn dies auf schaltungstechnische Gründe des Ladesystems zurückzuführen ist (Granularität der Schaltmatrix). Damit ist eine optimiere Auslegung der Leistungseinheiten von einem der relevantesten Lieferanten noch nicht möglich. Hier wäre die Zulassung einer Mindestleistung von 750 kW erforderlich. Ist eine Anpassung dieser Untergrenze möglich, bspw. durch Akzeptanz einer Unterschreitung um bis zu 6,5 %? Geschrieben steht: "Es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 Ist dies so zu verstehen, dass dies nur für Ladeeinrichtungen gilt, die zum Zeitpunkt der Forderung des höheren Spannungsbereichs noch nicht errichtet waren? Ist eine Kombination von MCS-Ladepunkten und CCS-Ladepunkten an einer Leistungseinheit zulässig?</t>
  </si>
  <si>
    <t xml:space="preserve">Bezug lt. Katalog: Vertragsanlage 6, Punkt 2.1
Katalogdatum: 26.11.2025 // Antwort: Die Vertragsanlage wurde entsprechend angepasst und mit der Aufforderung der Abgabe verbindlicher Angebote aktualisiert. Ja, dies gilt dann für MCS Lader die nicht zum Zeitpunkt der Forderung errichtet waren. Ja, es ist eine Kombination von CCS / MCS an der Leistungseinheit zulässig.</t>
  </si>
  <si>
    <t xml:space="preserve">ANF-506</t>
  </si>
  <si>
    <t xml:space="preserve">Nr. 460 / S. 43</t>
  </si>
  <si>
    <t xml:space="preserve">Bestätigt: ein Lastmanagementsystem ist für jeden Standort vorzusehen.</t>
  </si>
  <si>
    <t xml:space="preserve">Ist ein Lastmanagementsystem für jeden Standort vorzusehen?</t>
  </si>
  <si>
    <t xml:space="preserve">Bezug lt. Katalog: Vertragsanlage 6, Punkt 2.3
Katalogdatum: 26.11.2025 // Antwort: Ja ein Lastmanagementsystem ist für jeden Standort vorzusehen.</t>
  </si>
  <si>
    <t xml:space="preserve">ANF-507</t>
  </si>
  <si>
    <t xml:space="preserve">Nr. 461 / S. 43</t>
  </si>
  <si>
    <t xml:space="preserve">Klarstellung: Die Angabe des Blockadeentgelts bezieht sich auf das vertraglich vereinbarte Blockadeentgelt gemäß § 36 (neu § 38), die nach Ablauf einer maximalen Nutzungszeit vom Endnutzer bzw.</t>
  </si>
  <si>
    <t xml:space="preserve">Es ist ein Display zur Anzeige von Informationen zum Ladevorgang gefordert, unter anderem zum Blockadeentgelt. Bezieht sich dies auf eine tarifliche Angabe, in welcher Höher ein Blockadeentgelt beim Adhoc-Laden anfällt? Eine Aussage zum Blockadeentgelt, welches durch einen dritten EMSP erhoben wird und von diesem vertraglich mit dem Kunden vereinbart ist, kann ein CPO keine Information an der Ladestation anzeigen.</t>
  </si>
  <si>
    <t xml:space="preserve">Bezug lt. Katalog: Vertragsanlage 6, Punkt 4
Katalogdatum: 26.11.2025 // Antwort: Die Angabe des Blockadeentgelts bezieht sich auf das vertraglich vereinbarte Blockadeentgelt gemäß § 36 (neu § 38), die nach Ablauf einer maximalen Nutzungszeit vom Endnutzer bzw. Mobilitätsdienstleister unabhängig davon, welches der Zugangsmodelle des § 28 (neu § 30) Abs. 2 gewählt wird, erhoben werden.</t>
  </si>
  <si>
    <t xml:space="preserve">Dynamische Anzeige / Authentifizierungskomponente / Abrechnungskomponente</t>
  </si>
  <si>
    <t xml:space="preserve">ANF-508</t>
  </si>
  <si>
    <t xml:space="preserve">Nr. 462 / S. 43</t>
  </si>
  <si>
    <t xml:space="preserve">Klarstellung: Die Vertragsanlage wurde mit der Aufforderung der Abgabe verbindlicher Angebote aktualisiert.</t>
  </si>
  <si>
    <t xml:space="preserve">Bezugnehmend auf die Bieterfrage Nr. 160, Nr. 328 sowie Nr. 341 bitten wir um Klarstellung, da unserer Ansicht nach, bei einer Verlegung der Zuleitungen in Elektroinstallationsrohren im Erdreich, aufgrund der hohen Nenn-Betriebsströme der HPC-Ladeinfrastruktur, nach DIN VDE 298-4 nur mit solchen Querschnitten möglich, welche ladestationsseitig nicht mehr angeschlossen werden könnten. Folglich ist eine Verlegung der Leitungen direkt im Erdreich notwendig damit ein Anschluss gewährleistet werden kann. Kann vor diesem Hintergrund davon ausgegangen werden, dass der Punkt „Elektroinstallationsrohre“ im Hinblick auf das Vorhalten von Reserven entfallen kann?</t>
  </si>
  <si>
    <t xml:space="preserve">Bezug lt. Katalog: Vertragsanlage 04 – LB Errichtung Ziff. 4.11.2 Kabelleerrohre (unter Verkehrsflächen)
Katalogdatum: 27.11.2025 // Antwort: Die Vertragsanlage wurde mit der Aufforderung der Abgabe verbindlicher Angebote aktualisiert.</t>
  </si>
  <si>
    <t xml:space="preserve">ANF-509</t>
  </si>
  <si>
    <t xml:space="preserve">Nr. 463 / S. 43</t>
  </si>
  <si>
    <t xml:space="preserve">Klarstellung: Die zitierte Passage aus § 28 Abs. 3 (aktuelle Fassung) ist rein klarstellend zu verstehen.</t>
  </si>
  <si>
    <t xml:space="preserve">Soweit eine Vor-Ort-Entstörung bei MCS- und CCS-Ladepunkten nicht unmittelbar durch den Auftragnehmer durchgeführt werden kann, ist eine Behebung von Störungen oder Schäden abweichend von Satz 1 unverzüglich vom Auftragnehmer zu beauftragen. Wie ist dieser Absatz zu bewerten und auf welche Art der Entstörung bezieht sich dieser. Da hierdurch die Behebung von Störungen binnen 48 Stunden widerlegt wird ist es essenziell das klargestellt wird, wann nur eine Behebung beauftragt werden muss und wann diese binnen 48 Stunden erledigt sein muss.</t>
  </si>
  <si>
    <t xml:space="preserve">Bezug lt. Katalog: §26 Betreibervertrag
Katalogdatum: 02.12.2025
Zuordnung prüfen (Komponente/Partner nicht eindeutig) // Antwort: Die zitierte Passage aus § 28 Abs. 3 (aktuelle Fassung) ist rein klarstellend zu verstehen. Für die Entstörung gelten die genannten Fristen.</t>
  </si>
  <si>
    <t xml:space="preserve">ANF-510</t>
  </si>
  <si>
    <t xml:space="preserve">Nr. 464 / S. 44</t>
  </si>
  <si>
    <t xml:space="preserve">Verneint: diese Regelung bezieht sich neben dem Transformator auch auf die MS-Schaltanlage bzw. den Stationskörper (soweit es um Schäden geht, die den sicheren Betrieb der Trafostation beeinflussen - z.</t>
  </si>
  <si>
    <t xml:space="preserve">Für Schäden und Störungen am Transformator muss abweichend von Satz 1 innerhalb von 24 Stunden nach Kenntniserlangung eine Behebung der Störung/des Schadens (gegebenenfalls durch die übergangsweise Anmietung eines Miettransformators) initiiert werden. Bezieht sich dieser Absatz nur auf den Transformator einer Trafostation? Auch Störungen in der Mittelspannungsschaltanlage oder defekte an dem Stationskörper können zu längeren ausfällen führen, die nicht innerhalb von 24 behoben werden können.</t>
  </si>
  <si>
    <t xml:space="preserve">Bezug lt. Katalog: §26 Betreibervertrag
Katalogdatum: 02.12.2025 // Antwort: Nein diese Regelung bezieht sich neben dem Transformator auch auf die MS-Schaltanlage bzw. den Stationskörper (soweit es um Schäden geht, die den sicheren Betrieb der Trafostation beeinflussen - z. B. Einsturzgefahr, Brand-schaden, massiver Wassereintritt).</t>
  </si>
  <si>
    <t xml:space="preserve">ANF-511</t>
  </si>
  <si>
    <t xml:space="preserve">Nr. 465 / S. 44</t>
  </si>
  <si>
    <t xml:space="preserve">Klarstellung: Wir können die Berechnung nicht ganz nachvollziehen, da sich u.E. bei MCS-LP eine Wert pro Ausfallminute von 0,69 EuroCt ergibt und bei CCS-LP ein Wert von 0,52 EuroCt - die errechneten Werte sind daher zu hoch.</t>
  </si>
  <si>
    <t xml:space="preserve">Wir bitten um Klarstellung zur Auslegung der Pönaleregelungen gemäß § 25 Abs. 2 des Betreibervertrags sowie der Berechnungssystematik gemäß Vertragsanlage 10 (Leistungsbeschreibung Betrieb). In einem Rechenbeispiel gehen wir von einer Verfügbarkeit der Ladeinfrastruktur von 99 % aus, entsprechend 1 % Nichtverfügbarkeit bzw. ca. 5.256 Ausfallminuten pro Ladepunkt und Jahr bzw. 5.256 EUR Pönale pro Ladepunkt. Bei einer beispielhaften Projektgröße von 200 Ladepunkten ergäbe dies nach unserem Verständnis eine jährliche Pönale von rund 1.051.200 EUR, da die jährlichen Caps pro Ladepunkt in diesem Szenario nicht erreicht werden. 1. Ist diese Interpretation der Berechnungssystematik korrekt? 2. Entspricht es dem Willen des Auftraggebers, dass auch bei Verfügbarkeit von 99 % Pönalen in der genannten Größenordnung entstehen können?</t>
  </si>
  <si>
    <t xml:space="preserve">Bezug lt. Katalog: § 25 Abs. 2 des Betreibervertrags sowie Berechnungssystematik gemäß Vertragsanlage 10
Katalogdatum: 04.12.2025 // Antwort: Wir können die Berechnung nicht ganz nachvollziehen, da sich u.E. bei MCS-LP eine Wert pro Ausfallminute von 0,69 EuroCt ergibt und bei CCS-LP ein Wert von 0,52 EuroCt - die errechneten Werte sind daher zu hoch. Was die Eintrittswahrscheinlichkeit einer Vertragsstrafe generell angeht, dürfen wir darauf hinweisen, dass nur Ausfallminuten relevant sind, die der Betreiber als nicht vertragsgemäß zu vertreten hat und der Vertrag in § 27 Abs. 1 und 5 (neu) zwei Ramp-Up-Phasen vorsieht. Die in der Frage angesprochenen Jahreshöchstbeträge werden bei einer Verfügbarkeit von 99% nicht relevant, wohl aber bei deutlich darunter liegenden Verfügbarkeiten.</t>
  </si>
  <si>
    <t xml:space="preserve">ANF-512</t>
  </si>
  <si>
    <t xml:space="preserve">Nr. 466 / S. 44</t>
  </si>
  <si>
    <t xml:space="preserve">Klarstellung: Zu 1: Eine Aufnahme von Beton in die Stoffpreisgleitung erfolgt nicht, da die erforderliche Preisvolatilität nicht vorliegt.</t>
  </si>
  <si>
    <t xml:space="preserve">In den Vertragsanlagen 14.2 und 14.3 sind Stoffpreisgleitklauseln vorgesehen. Vor dem Hintergrund der im Vertrag festgelegten langen Bauzeit halten wir diese Regelungen für sachgerecht. Wir bitten jedoch um folgende Klarstellungen bzw. Anpassungen: 1. Bei der überwiegenden Mehrzahl der Standorte ist ein Betonoberbau vorhanden, die gemäß den vertraglichen Vorgaben wiederherzustellen sind. Da Beton hinsichtlich der Baumasse den dominierenden Baustoff darstellt, regen wir an, Beton zusätzlich in die Stoffpreisgleitung gemäß Anlage 14.2 aufzunehmen.</t>
  </si>
  <si>
    <t xml:space="preserve">Bezug lt. Katalog: Vertragsanlagen 14.2 und 14.3
Katalogdatum: 09.12.2025 // Antwort: Zu 1: Eine Aufnahme von Beton in die Stoffpreisgleitung erfolgt nicht, da die erforderliche Preisvolatilität nicht vorliegt. Insbesondere eine Stoffpreisgleitung im Interesse der Bieter/AN erscheint nicht möglich.</t>
  </si>
  <si>
    <t xml:space="preserve">ANF-513</t>
  </si>
  <si>
    <t xml:space="preserve">Nr. 467 / S. 44</t>
  </si>
  <si>
    <t xml:space="preserve">Anpassung der Unterlagen: Zu 2: Die Anlage 14.2 zum Vertrag wurde entsprechend ergänzt. Die aktualisierte Fassung wird den Bietern mit der Antwort zu dieser Bieterfrage zur Verfügung gestellt.</t>
  </si>
  <si>
    <t xml:space="preserve">2. Für Standorte mit Asphaltflächen im Bestand ist eine Wiederherstellung in Asphalt vorgesehen, sofern dies unter Berücksichtigung der Belastungsklasse realisierbar ist. Der Regelaufbau nach RStO sieht für den dreischichtigen Asphalt keine Gussasphaltdeckschicht, sondern eine Asphaltdeckschicht vor. Wir schlagen daher vor, die Asphaltdeckschicht anstelle des Gussasphalts in die Stoffpreisgleitung gemäß Anlage 14.3 aufzunehmen. Bitte teilen Sie uns mit, ob die vorgeschlagenen Ergänzungen in den Stoffpreisgleitklauseln der Vertragsanlagen 14.2 und 14.3 berücksichtigt werden können.</t>
  </si>
  <si>
    <t xml:space="preserve">Bezug lt. Katalog: Siehe 466
Katalogdatum: 09.12.2025 // Antwort: Zu 2: Die Anlage 14.2 zum Vertrag wurde entsprechend ergänzt. Die aktualisierte Fassung wird den Bietern mit der Antwort zu dieser Bieterfrage zur Verfügung gestellt.</t>
  </si>
  <si>
    <t xml:space="preserve">ANF-514</t>
  </si>
  <si>
    <t xml:space="preserve">Nr. 468 / S. 44</t>
  </si>
  <si>
    <t xml:space="preserve">Klarstellung: Eine Bereitstellung der Flächenabgrenzung, die an jeder Rastanlage zu vermessen ist, ist leider nicht möglich.</t>
  </si>
  <si>
    <t xml:space="preserve">Die Frage 424 wird wie folgt präzisiert: Es ist unklar, welche Flurstücke sich im Besitz von Die Autobahn befinden und welche dieser Flurstücke der Rastanlagen aus Sicht des AG zugeordnet werden. Diese Angaben sind nicht aus Flurkarten ablesbar. Daher bitten wir um Bereitstellung der Flächenabgrenzung, die an jeder Rastanlage zu vermessen ist.</t>
  </si>
  <si>
    <t xml:space="preserve">Bezug lt. Katalog: Flurstücksvermessung / Anlage 4: Leistungsbeschreibung Errichtung 3.3.1 Bestandsaufnahme, Absatz 1
Katalogdatum: 11.12.2025 // Antwort: Eine Bereitstellung der Flächenabgrenzung, die an jeder Rastanlage zu vermessen ist, ist leider nicht möglich. Es sollen die Flurstücke in die Vermessung einbezogen werden, die durch die Rastanlage geschnitten werden.</t>
  </si>
  <si>
    <t xml:space="preserve">ANF-515</t>
  </si>
  <si>
    <t xml:space="preserve">Nr. 469 / S. 44</t>
  </si>
  <si>
    <t xml:space="preserve">Klarstellung: a) Siehe Betreibervertrag §24 Absatz 4. b) Zellchemie muss den Betriebsanforderungen des Speichers genügen. c) Auslegung gemäß der mit Vertragsanlage 5 übermittelten Lastprofile d) Der Batteriespeicher muss während der …</t>
  </si>
  <si>
    <t xml:space="preserve">a. Soll der Speicher auch für Spitzenkappung (geringere Leistungswerte für den Auftraggeber) und/oder Stundenverschiebung für die Beschaffung genutzt werden? b. Welche bevorzugte Zellchemie sollen die Speicher haben? c. Welche Be- und Entladeleistung sollen die Speicher bereitstellen? d. Welche Garantiezeit ist vorgegeben (mit Zyklenangabe)? e. Gibt es Vorgaben zum Brandschutz? f. Gibt es Vorgaben zum Lärmschutz? g. Welche Zyklen sehen Sie für die Speicher vor? h. Welche maximale Speichergröße in kWh wünschen Sie? i. Werden die Speicher in den bisherigen Zeichnungen schon berücksichtigt? Falls nein, wird dies noch vorgenommen? j. Sind Streifenfundamente für die Errichtung ausreichend? (von normalen Bodenverhältnissen ausgehend) k. Welche Vorgaben für den Betrieb der Speicher sind gegeben? z.B. permanente Vorhaltung von 100% der Leistung, Stundenverschiebung nutzbar.</t>
  </si>
  <si>
    <t xml:space="preserve">Bezug lt. Katalog: Vertragsanlage 4, Kapitel 4.12.5
Katalogdatum: 11.12.2025 // Antwort: a) Siehe Betreibervertrag §24 Absatz 4. b) Zellchemie muss den Betriebsanforderungen des Speichers genügen. c) Auslegung gemäß der mit Vertragsanlage 5 übermittelten Lastprofile d) Der Batteriespeicher muss während der Vertragslaufzeit den geforderten Zweck erfüllen können. e) Der AN muss ein standortspezifisches Brandschutzkonzept erstellen, mit der zuständigen Niederlassung des AG abstimmen und umsetzen. f) Siehe Antwort auf Bieterfrage 372 g) Siehe Antwort zu c) h) Siehe Antwort zu c) i) Nein, die konkrete platzierung ist währenddes Planungs- und Freigabeprozesses mit der zuständigen Niederlassungdes AGs abzustimmen j) Die Wahl der geeigneten Fundamentart nach den gegebenen Boden- und Aufstellverhältnissen obliegt dem AN. Die Gründung muss stand- und frostsicher sein. Die Gründungsmaßnahmen müssen den Herstellerspezifikationen der Batteriesysteme genügen. k) Siehe Betreibervertrag §24 Absatz 4.</t>
  </si>
  <si>
    <t xml:space="preserve">ANF-516</t>
  </si>
  <si>
    <t xml:space="preserve">Nr. 470 / S. 44</t>
  </si>
  <si>
    <t xml:space="preserve">Klarstellung: Soweit der Vertrag dem Betreiber Zeit für eine Vor-Ort-Entstörung einräumt, wird die Nichtverfügbarkeit nicht pönalisiert.</t>
  </si>
  <si>
    <t xml:space="preserve">§ 7 (1) von Vertragsanlage 10 definiert die OCPI-Statusmeldungen, die eine Pönale nach Anlage 1 §27 Abs. 2 zur Folge haben. §7 (5) in Vertragsanlage 10 regelt Ausnahmen zu den Pönalen. Eine Vor-Ort- Entstörung nach §28 Abs. 3 in Anlage 1 ist in den Ausnahmen nicht enthalten. Wir gehen also davon aus, dass jede Minute Ausfallzeit während der Vor-Ort-Entstörungs-Zeit (48h Lösungszeit) mit einer Ponäle bestraft wird. Sind wir in dieser Annahme korrekt?</t>
  </si>
  <si>
    <t xml:space="preserve">Bezug lt. Katalog: § 7 Vertragsanlage 10
Katalogdatum: 11.12.2025 // Antwort: Soweit der Vertrag dem Betreiber Zeit für eine Vor-Ort-Entstörung einräumt, wird die Nichtverfügbarkeit nicht pönalisiert.</t>
  </si>
  <si>
    <t xml:space="preserve">OCPI Buchungskalender / Pönalisierungssystem / Monitoring</t>
  </si>
  <si>
    <t xml:space="preserve">ANF-517</t>
  </si>
  <si>
    <t xml:space="preserve">Nr. 471 / S. 45</t>
  </si>
  <si>
    <t xml:space="preserve">Klarstellung: Die Frage ist nicht ersichtlich. Wir bitten um Konkretisierung des Anliegens.</t>
  </si>
  <si>
    <t xml:space="preserve">Anlage 1 § 30, Abs. 1 im Betreibervertrag 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 Ebenso unter §32, Abs. 4: Wird vom Auftraggeber 1 an einem Standort ein die Anschlusskapazität teilweise ersetzender Speicher aufgestellt (vgl. § 48),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</si>
  <si>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Bezug lt. Katalog: Anlage 1 Betreibervertrag
Katalogdatum: 12.12.2025 // Antwort: Die Frage ist nicht ersichtlich. Wir bitten um Konkretisierung des Anliegens.</t>
  </si>
  <si>
    <t xml:space="preserve">ANF-518</t>
  </si>
  <si>
    <t xml:space="preserve">Nr. 472 / S. 45</t>
  </si>
  <si>
    <t xml:space="preserve">Klarstellung: Nach § 37 Abs 2. sind die veröffentlichten Industriestrompreise für das jeweils vorletzte Quartal relevant.</t>
  </si>
  <si>
    <t xml:space="preserve">Um das Vergütungssystem für Energieverluste bei Ladevorgängen nach dem Durchleitungsmodell vollständig zu verstehen, bestätigen Sie bitte, ob das unten aufgeführte Beispiel korrekt ist: Ein Ladevorgang mit 400 kWh der am 15. Juni 2025 stattfand. Daraus ergibt sich der Index für Q1 25 nach SMARD | Industriestrompreise. Monat Preisindex ohne Vergünstigungen Jan 25: 96,36 Feb 25: 98,03 Mrz 25: 89,63 _______________ Durchsch. 94,67 Auf Grundlage der Formel nach §35 (2) „Die Ausgleichszahlung richtet sich der Höhe nach dem von der Bundesnetzagentur für das jeweils vorletzte Quartal durchschnittlichen veröffentlichten Preisindex für Industriestrom ohne Vergünstigungen (veröffentlicht unter https://www.smard.de) geteilt durch 100 multipliziert mit 7,5.“ ergibt sich daraus folgender Wert. Rechenbeispiel: Preis [€ / verkaufter kWh] = Preisindex / 100 * 7,5 &gt;&gt; Preis [€ / verkaufter kWh] = 94,67 / 100 * 7,5 &gt;&gt; Preis = 0,071 [E / verkaufter kWh] Schließlich würde sich der Vergütungsbetrag daraus wie folgt berechnen: Vergütung = 0,071 [€ / verkaufter kWh] * 400 [kWh] = 28,4 [€]</t>
  </si>
  <si>
    <t xml:space="preserve">Bezug lt. Katalog: § 37.2
Katalogdatum: 15.12.2025 // Antwort: Nach § 37 Abs 2. sind die veröffentlichten Industriestrompreise für das jeweils vorletzte Quartal relevant. Wenn der Ladevorgang am 15. Juni 2025 stattfand (Q2 2025), wäre der durchschnittliche Industriestrompreis für die Monate Oktober, November und Dezember des Jahres 2024 relevant (Q4 2024 und nicht Q1 2025). Hätte in dem Beispiel der Ladevorgang am 15. Juli 2025 (Q3 2025) stattgefunden, dann wären die errechneten Werte korrekt.</t>
  </si>
  <si>
    <t xml:space="preserve">ANF-519</t>
  </si>
  <si>
    <t xml:space="preserve">Nr. 473 / S. 45</t>
  </si>
  <si>
    <t xml:space="preserve">Anpassung der Unterlagen: Der Verfahrensbrief wurde entsprechend angepasst und den Bietern wurde eine überarbeitete Version zur Verfügung gestellt.</t>
  </si>
  <si>
    <t xml:space="preserve">Gemäß 3.4 des fünften Verfahrensbriefs zum Verhandlungsverfahren ist für die Erstellung des Rahmenterminplans vom fiktiven Zuschlagsdatum 27.03.2025 auszugehen. Wir bitten um Überprüfung, da das genannte Zuschlagsdatum in der Vergangenheit liegt.</t>
  </si>
  <si>
    <t xml:space="preserve">Bezug lt. Katalog: 5. Verfahrensbrief
Katalogdatum: 15.12.2025 // Antwort: Der Verfahrensbrief wurde entsprechend angepasst und den Bietern wurde eine überarbeitete Version zur Verfügung gestellt.</t>
  </si>
  <si>
    <t xml:space="preserve">ANF-520</t>
  </si>
  <si>
    <t xml:space="preserve">Nr. 474 / S. 45</t>
  </si>
  <si>
    <t xml:space="preserve">Klarstellung: Die Frage ist unverständlich. Wir bitten um Konkretisierung der Frage.</t>
  </si>
  <si>
    <t xml:space="preserve">Gedenkt die Vergabestelle dem gegenwärtigen Zustand des Vergabeverfahrens vor dem 22.12.2025 Abhilfe zu leisten?</t>
  </si>
  <si>
    <t xml:space="preserve">Bezug lt. Katalog: Vergabeverfahren
Katalogdatum: 15.12.2025
Zuordnung prüfen (Komponente/Partner nicht eindeutig) // Antwort: Die Frage ist unverständlich. Wir bitten um Konkretisierung der Frage.</t>
  </si>
  <si>
    <t xml:space="preserve">ANF-521</t>
  </si>
  <si>
    <t xml:space="preserve">Nr. 475 / S. 45</t>
  </si>
  <si>
    <t xml:space="preserve">Klarstellung: Die Annahme kann bestätigt werden. § 51 Abs. 6.bezieht sich auf den Einbehalt von 30% des Errichtungsentgeltes, der nach Maßgabe von § 44 Abs.</t>
  </si>
  <si>
    <t xml:space="preserve">Gemäß § 44.3 des Betreibervertrags, kann der Auftragnehmer die Teilzahlungen des Errichtungs entgelts unmittelbar nach Abschluss der jeweiligen Phase in Rechnung stellen. Gemäß § 51.6 soll die Rechnungsstellung innerhalb eines Monats nach Ende des Quartals erfolgen. Wir bitten um Klarstellung, dass der Auftragnehmer die Teilzahlungen des Errichtungsentgelts für die Phasen 4, 5 und 6 unmittelbar nach Abschluss der jeweiligen Phase in Rechnung stellen kann und somit mit der Zahlung der Teilzahlungen binnen 30 Tagen rechnen kann.</t>
  </si>
  <si>
    <t xml:space="preserve">Bezug lt. Katalog: § 44.3, § 51.6
Katalogdatum: 15.12.2025 // Antwort: Die Annahme kann bestätigt werden. § 51 Abs. 6.bezieht sich auf den Einbehalt von 30% des Errichtungsentgeltes, der nach Maßgabe von § 44 Abs. 3 quartalsweise aufgelöst wird.</t>
  </si>
  <si>
    <t xml:space="preserve">ANF-522</t>
  </si>
  <si>
    <t xml:space="preserve">Nr. 476 / S. 45</t>
  </si>
  <si>
    <t xml:space="preserve">Klarstellung: Es ist Aufgabe des AN die konkrete technische Ausgestaltung (inkl. Positionierung) zu ermitteln und herzustellen.</t>
  </si>
  <si>
    <t xml:space="preserve">Bitte nehmen Sie Bezug auf Ihre Antwort zur Bieterfrage Nr. 324 und stellen Sie klar, wie diese im Einklang mit Anlage 4 LBE, Ziffer 3.13.8 Übergabe- und Umspannstation, Absatz 2 Satz 2 auszulegen ist. Ist die Mitwirkung des AN als Fachplaner bei der Positionierung bzw. Optimierung der Übergabestation vorgesehen?</t>
  </si>
  <si>
    <t xml:space="preserve">Bezug lt. Katalog: Vertragsanlage 04, 3.13.8
Katalogdatum: 15.12.2025 // Antwort: Es ist Aufgabe des AN die konkrete technische Ausgestaltung (inkl. Positionierung) zu ermitteln und herzustellen. Die vom AG bereitgestellte unverbindliche Voruntersuchung dient zur Information und stellt ausdrücklich einen unverbindlichen Planungsbeitrag dar. Bitte beachten Sie, dass die Voruntersuchung für den Standort Vellern überarbeitet wurde.</t>
  </si>
  <si>
    <t xml:space="preserve">ANF-523</t>
  </si>
  <si>
    <t xml:space="preserve">Nr. 477 / S. 45</t>
  </si>
  <si>
    <t xml:space="preserve">Klarstellung: Ein Gesamtmodell ist immer die Summe aller Fach-(Teil-)Modelle. Der Bieter hat alle Modelle der geforderten Gewerke (erforderliche Maßnahmen) entsprechend der Leistungsbeschreibung zu liefern und zusammenzuführen.</t>
  </si>
  <si>
    <t xml:space="preserve">Gemäß 5. Verfahrensbrief, Kapitel2, ist eine BIM-Dokumentation gefordert. Laut Vertragsanlage04, Kapitel 3.4, soll die BIM-Methode in einfacher Form angewendet werden. Darüber hinaus sind sämtliche Plan- und Ausführungsunterlagen gemäß RE-Richtlinie ausschließlich digital im editierbaren Format (z.B. Text-, Tabellen-, DWG) sowie zusätzlich als PDF über das EIM einzureichen. Vorgesehen ist zudem die Übergabe des Bestandsplans0 (inkl. Leitungen) und des Bestandsplans 1 (inkl. baulicher Umgriff) im IFC- Format sowie die Erstellung eines Vorschlags zum LOIN. Weitere Unterkapitel sowie die Unterlagenliste enthalten keine zusätzlichen BIM-Anforderungen oder Vorgaben für Gesamtmodelle. Wir gehen daher davon aus, dass im Rahmen der Planungen, keine vollständige BIM-Methodik vorausgesetzt wird und keine Gesamtmodelle einzureichen sind. Bitte bestätigen Sie diese Annahme.</t>
  </si>
  <si>
    <t xml:space="preserve">Bezug lt. Katalog: 5. Verfahrensbrief, Kapitel2; BIM- Dokumentation
Katalogdatum: 18.12.2025 // Antwort: Ein Gesamtmodell ist immer die Summe aller Fach-(Teil-)Modelle. Der Bieter hat alle Modelle der geforderten Gewerke (erforderliche Maßnahmen) entsprechend der Leistungsbeschreibung zu liefern und zusammenzuführen. Darüber hinaus sind die erhobenen Bestandsdaten in entsprechender Form abzugeben.</t>
  </si>
  <si>
    <t xml:space="preserve">ANF-524</t>
  </si>
  <si>
    <t xml:space="preserve">Nr. 478 / S. 46</t>
  </si>
  <si>
    <t xml:space="preserve">Klarstellung: Die Aussage, dass entsprechende Systeme nicht verfügbar seien, kann nicht bestätigt werden.</t>
  </si>
  <si>
    <t xml:space="preserve">In der Vertragsanlage 4 wird aufgeführt, dass „die Poller widerstandsfähig gegen Anprall und sonstige auf Rastplätzen zu erwartende Einwirkungen sein müssen sowie frost- und salzbeständig ausgeführt werden.“ Auf Grundlage unserer Recherchen sind derzeit keine marktverfügbaren Pollersysteme identifizierbar, die nachweislich für die beim LKW-Längsparkvorgang eingeleiteten Torsions- und Scherkräfte bzw. Vertikalkräfte ausgelegt sind und hierfür eine entsprechende Gewährleistung übernehmen. Bitte spezifizieren Sie die geforderte Pollerbauart sowie die maßgebenden Lastannahmen (insbesondere Torsionsmomente, Horizontallasten, dynamische Lastwechsel), sodass die Bemessung gemäß den projektseitigen Anforderungen erfolgen und ein wartungsarmer, betriebssicherer Betrieb gewährleistet werden kann. Zudem wird in Vertragsanlage 4, 3.13.2.2 Parkstände in Längsaufstellung, Absatz 5, definiert, dass die Poller zu beleuchten sind. Wir gehen davon aus, dass es sich hierbei um eine integrierte LED-Beleuchtung am Poller selbst handelt und keine separate eigenständige Beleuchtung. Wir bitten um Bestätigung dieses Sachverhaltes.</t>
  </si>
  <si>
    <t xml:space="preserve">Bezug lt. Katalog: Bieterfrage 459, respektive Vertragsanlage 4, 3.13.2.2 Parkstände in Längsaufstellung, Absatz 4ff.
Katalogdatum: 18.12.2025 // Antwort: Die Aussage, dass entsprechende Systeme nicht verfügbar seien, kann nicht bestätigt werden. Es sind marktübliche und geprüfte Pollersysteme verfügbar. Die Wahl des Pollersystems obliegt dem AN. Es gelten die Anforderungen der Vertragsanlage 4 Abschnitt 3.13.5 an automatische Poller. Ja, ihre Annahme ist korrekt. Es handelt sich um eine in den Poller integrierte LED-Beleuchtung.</t>
  </si>
  <si>
    <t xml:space="preserve">Dynamische Anzeige / Schrankenanlage</t>
  </si>
  <si>
    <t xml:space="preserve">ANF-525</t>
  </si>
  <si>
    <t xml:space="preserve">Nr. 479 / S. 46</t>
  </si>
  <si>
    <t xml:space="preserve">Klarstellung: Der AG kann derzeit keine Übersicht bereitstellen, an welchen Rastanlagen die Integration in telematisches Parken umzusetzen ist.</t>
  </si>
  <si>
    <t xml:space="preserve">Kann der AG bereits als Grundlage für die Angebotserstellung eine Übersicht bereitstellen, an welchen Rastanlagen die Integration in telematisches Parken umzusetzen ist? Falls nicht: Kann der AN eventuell entstehende Mehrkosten für die (nachträgliche) Integration in telematisches Parken - z.B. für einen Umbau der Parkreihen - ggü. dem AG geltend machen? (zur Vermeidung der Aufnahme von Risiko- /Eventualpositionen im verbindlichen Angebot?)</t>
  </si>
  <si>
    <t xml:space="preserve">Bezug lt. Katalog: Vertragsanlage 4, Ziffer 3.13.3
Katalogdatum: 19.12.2025
Zuordnung prüfen (Komponente/Partner nicht eindeutig) // Antwort: Der AG kann derzeit keine Übersicht bereitstellen, an welchen Rastanlagen die Integration in telematisches Parken umzusetzen ist. Sofern entsprechende Standorte im weiteren Projektverlauf vorgesehen werden, teilt der AG diese dem AN mit. Soweit eine nachträgliche, für den Bieter bei Angebotsabgabe nicht erkennbare, Integration in telematisches Parken erfolgt, können die Kosten gemäß den vertraglichen Regelungen über geänderte oder zusätzliche Leistungen nach § 40 des Vertrags geltend gemacht werden.</t>
  </si>
  <si>
    <t xml:space="preserve">ANF-526</t>
  </si>
  <si>
    <t xml:space="preserve">Nr. 480 / S. 46</t>
  </si>
  <si>
    <t xml:space="preserve">Klarstellung: Hinsichtlich der Einbindung von Nachunternehmern nach Zuschlagserteilung gilt § 62 des Vertrags.Die einzureichende Liste muss den aktuellen Stand abbilden.</t>
  </si>
  <si>
    <t xml:space="preserve">Nach Zuschlagerteilung soll binnen 8 Wochen ein Projekthandbuch inkl. Nachunternehmerliste erstellt werden. Inwieweit muss diese Liste vollständig sein bzw. ist der AN berechtigt, ggf. Unternehmen hinzuzufügen oder auszutauschen, falls er für einzelne Gewerke erst nach Zuschlagserteilung eine Ausschreibung vornehmen möchte?</t>
  </si>
  <si>
    <t xml:space="preserve">Bezug lt. Katalog: Vertragsanlage 4, Ziffer 2.3.
Katalogdatum: 19.12.2025 // Antwort: Hinsichtlich der Einbindung von Nachunternehmern nach Zuschlagserteilung gilt § 62 des Vertrags.Die einzureichende Liste muss den aktuellen Stand abbilden.</t>
  </si>
  <si>
    <t xml:space="preserve">ANF-527</t>
  </si>
  <si>
    <t xml:space="preserve">Nr. 481 / S. 46</t>
  </si>
  <si>
    <t xml:space="preserve">Klarstellung: Die Frage ist nicht nachvollziehbar. Es handelt sich um eine Koordinierungsleistung wie im Kapitel 2.4.5 "Verkehrskoordination" der Vertragsanlage 4 beschrieben.</t>
  </si>
  <si>
    <t xml:space="preserve">Laut VA 4 ist eine Abstimmung für die verkehrsrechtliche Anordnung nicht nur mit der zuständigen Niederlassung, sondern auch mit den AN benachbarter Standorte vorzunehmen. Inwieweit muss sich der AN auch Beschränkungen bzw. Verzögerungen, die durch "benachbarte" Baumaßnahmen verursacht werden, zurechnen lassen?</t>
  </si>
  <si>
    <t xml:space="preserve">Bezug lt. Katalog: Vertragsanlage 4, Ziffer 2.4.5
Katalogdatum: 19.12.2025 // Antwort: Die Frage ist nicht nachvollziehbar. Es handelt sich um eine Koordinierungsleistung wie im Kapitel 2.4.5 "Verkehrskoordination" der Vertragsanlage 4 beschrieben.</t>
  </si>
  <si>
    <t xml:space="preserve">ANF-528</t>
  </si>
  <si>
    <t xml:space="preserve">Nr. 482 / S. 46</t>
  </si>
  <si>
    <t xml:space="preserve">Klarstellung: Der AN ist als Vertragspartner für die Ausführungsqualität der von ihm eingesetzten Nachunternehmer verantwortlich.</t>
  </si>
  <si>
    <t xml:space="preserve">Laut VA 4 ist der AN für die Ausführungsqualität auch der von ihm eingesetzten Nachunternehmer verantwortlich. Ist damit beabsichtigt, dass der AN bei wiederkehrenden Tätigkeiten der Nachunternehmer (z. B. bei der Herstellung von Ladehardware) eigene, unmittelbare Maßnahmen zur Qualitätssicherung durchführen muss? Oder ist es ausreichend, wenn der AN die Qualitätssicherungsmaßnahmen des jeweiligen Nachunternehmers nachweist und überprüft (z. B. durch Dokumentation, Zertifikate oder Prüfkonzepte)?</t>
  </si>
  <si>
    <t xml:space="preserve">Bezug lt. Katalog: Vertragsanlage 4, Ziffer 2.4.6.
Katalogdatum: 19.12.2025 // Antwort: Der AN ist als Vertragspartner für die Ausführungsqualität der von ihm eingesetzten Nachunternehmer verantwortlich.</t>
  </si>
  <si>
    <t xml:space="preserve">ANF-529</t>
  </si>
  <si>
    <t xml:space="preserve">Nr. 483 / S. 46</t>
  </si>
  <si>
    <t xml:space="preserve">Klarstellung: Die Kostenerstattung erfolgt gemäß § 40 des Betreibervertrages. Der AG ist in jedem Fall Anschlussnehmer.</t>
  </si>
  <si>
    <t xml:space="preserve">"Der AN kann optional mit der Errichtung eines nachgelagerten Niederspannungsanschlusses (400V / 63A) zur Versorgung allgemeiner Einrichtungen der Rastanlage (z. B. Sanitäranlagen, Beleuchtung) beauftragt werden". Bitte um eine Info, wie hier die Kostenerstattung für den AN erfolgt (CAPEX für Beantragung Netzanschluss, Abstimmungen mit dem VNB, Netzanschlusskosten inkl. BKZ, Zähleranschlusssäule; OPEX für Zählermiete etc.) Wer wird Anschlussnehmer für diese Niederspannungsanschlüsse?</t>
  </si>
  <si>
    <t xml:space="preserve">Bezug lt. Katalog: Vertragsanlage 4, Ziffer 4.12.1
Katalogdatum: 19.12.2025
Zuordnung prüfen (Komponente/Partner nicht eindeutig) // Antwort: Die Kostenerstattung erfolgt gemäß § 40 des Betreibervertrages. Der AG ist in jedem Fall Anschlussnehmer.</t>
  </si>
  <si>
    <t xml:space="preserve">ANF-530</t>
  </si>
  <si>
    <t xml:space="preserve">Nr. 484 / S. 46</t>
  </si>
  <si>
    <t xml:space="preserve">Bestätigt: es wird bestätigt, dass im beschriebenen Fall eine Abweichung zwischen den genannten Vertragsunterlagen besteht.</t>
  </si>
  <si>
    <t xml:space="preserve">In Vertragsanlage 6, Ziff. 10 (3) ist festgelegt, dass sich die Ausfahrtsschranke öffnet, sobald ein Lkw seine Parkposition auf dem Ladeplatz erreicht hat. Gleichzeitig wird in Vertragsanlage 4 – Leistungsbeschreibung Errichtung, Kapitel 3.13.2.1 (S. 35) beschrieben, dass der Schrankenbaum während des Ladevorgangs in geschlossener Stellung verbleibt und erst nach Abschluss des Ladevorgangs ein kontrolliertes Ausfahren ermöglicht. Ist es korrekt, dass mit dem „Erreichen der Parkposition“ gemäß Vertragsanlage 06, Ziff. 10 (3) der Zeitpunkt nach Beginn des Ladevorgangs gemeint ist, und darf diese Logik technisch mit dem Start des Ladevorgangs verknüpft werden?</t>
  </si>
  <si>
    <t xml:space="preserve">Bezug lt. Katalog: Vertragsanlage 6, Ziff. 10 (3)
Katalogdatum: 19.12.2025 // Antwort: Ja, es wird bestätigt, dass im beschriebenen Fall eine Abweichung zwischen den genannten Vertragsunterlagen besteht. Der Auftraggeber wird die Unterlagen entsprechend anpassen. Bitte beachten Sie auch die Antwort auf Frage 500.</t>
  </si>
  <si>
    <t xml:space="preserve">ANF-531</t>
  </si>
  <si>
    <t xml:space="preserve">Nr. 485 / S. 46</t>
  </si>
  <si>
    <t xml:space="preserve">Klarstellung: Gemäß Vertragsanlage 6, Ziffer 8, muss die Freigabe des Ladeplatzes durch die physische Barriere innerhalb von maximal 45 Sekunden abgeschlossen sein, um den Verkehrsfluss möglichst wenig zu beeinträchtigen.</t>
  </si>
  <si>
    <t xml:space="preserve">Das VA 6 Ziff. 8, beschriebene Setup sieht bei diagonaler Stellplatzanordnung eine Einfahrts- und eine Ausfahrtsschranke vor. Beim Referenzszenario Längsparken entspricht der Poller jedoch lediglich einer Einfahrtsschranke. Inwieweit ist es in diesem Fall möglich, vom 45-Sekunden-Kriterium für die Dauer der Authentifizierung beim Ad-hoc-Laden abzuweichen, um den gesamten Ladeprozess vor dem Absenken des Pollers durchführen zu können?</t>
  </si>
  <si>
    <t xml:space="preserve">Bezug lt. Katalog: Vertragsanlage 6, Ziff. 8
Katalogdatum: 19.12.2025 // Antwort: Gemäß Vertragsanlage 6, Ziffer 8, muss die Freigabe des Ladeplatzes durch die physische Barriere innerhalb von maximal 45 Sekunden abgeschlossen sein, um den Verkehrsfluss möglichst wenig zu beeinträchtigen. Die angegebene Zeitspanne umfasst alle technischen Schritte der Authentifizierung bis zur Öffnung der Schranke bzw. des Pollers und gilt für alle vorgesehenen Zugangsarten. In diesem Zeitlimit ist der Start des Ladeprozesses nicht inbegriffen. Hierzu finden sich u. a. zum Ad-hoc-Laden Vorgaben in Vertragsanlage 1, § 31.</t>
  </si>
  <si>
    <t xml:space="preserve">eRound / SCS / tbd</t>
  </si>
  <si>
    <t xml:space="preserve">Schrankenanlage / Schrankensteuerung / Authentifizierungskomponente</t>
  </si>
  <si>
    <t xml:space="preserve">ANF-532</t>
  </si>
  <si>
    <t xml:space="preserve">Nr. 486 / S. 46</t>
  </si>
  <si>
    <t xml:space="preserve">Klarstellung: Die Allgemeinen Rundschreiben Straßenbau des BMV (ARS) dienen der Einführung von Regelwerke und/oder stellen Änderungen bzw.</t>
  </si>
  <si>
    <t xml:space="preserve">Welche der aktuellen Ausgaben des ARS sind hier gemeint? Es gibt viele Ausgaben, die nicht auf dieses Projekt anwendbar sind. Bitte geben Sie konkrete Sachgebiete oder Ausgaben an.</t>
  </si>
  <si>
    <t xml:space="preserve">Bezug lt. Katalog: Vertragsanlage 4, Ziffer 3.13.1
Katalogdatum: 19.12.2025 // Antwort: Die Allgemeinen Rundschreiben Straßenbau des BMV (ARS) dienen der Einführung von Regelwerke und/oder stellen Änderungen bzw. Ergänzungen zu bestehenden Regelwerken dar und ersetzen diese in den jeweils genannten Punkten. Es sind die ARS anzuwenden die für die Ausführung der hier ausgeschriebenen Leistungen relevant sind.</t>
  </si>
  <si>
    <t xml:space="preserve">ANF-533</t>
  </si>
  <si>
    <t xml:space="preserve">Nr. 487 / S. 46</t>
  </si>
  <si>
    <t xml:space="preserve">Klarstellung: Es ist Aufgabe des AN die konkrete technische Ausgestaltung zu ermitteln und herzustellen.</t>
  </si>
  <si>
    <t xml:space="preserve">Es wird darauf hingewiesen, dass bei der Anordnung der Stellplätze das Risiko von Rückstaus zu berücksichtigen ist. Darf der Auftragnehmer in diesem Zusammenhang die Position der Stellplätze anpassen? Eine Verlegung der Stellflächen würde zu geänderten Kabellängen führen, was wiederum Auswirkungen auf die Kosten hat.</t>
  </si>
  <si>
    <t xml:space="preserve">Bezug lt. Katalog: Vertragsanlage 4, Ziffer 3.13.1
Katalogdatum: 19.12.2025 // Antwort: Es ist Aufgabe des AN die konkrete technische Ausgestaltung zu ermitteln und herzustellen. Die vom AG bereitgestellte unverbindliche Voruntersuchung dient zur Information und stellt ausdrücklich einen unverbindlichen Planungsbeitrag dar.</t>
  </si>
  <si>
    <t xml:space="preserve">ANF-534</t>
  </si>
  <si>
    <t xml:space="preserve">Nr. 488 / S. 46</t>
  </si>
  <si>
    <t xml:space="preserve">Verweis des Auftraggebers auf die Antwort zu Bieterfrage 337.</t>
  </si>
  <si>
    <t xml:space="preserve">Wie genau ist der ‚Bereich der künftigen LKW-Ladeinfrastruktur‘ definiert? Müssen auch Flächen, die im Rahmen des Bauvorhabens nicht bearbeitet werden, jedoch bestehende Schäden aufweisen, instandgesetzt werden?</t>
  </si>
  <si>
    <t xml:space="preserve">Bezug lt. Katalog: Vertragsanlage 4, Ziffer 3.13.1
Katalogdatum: 19.12.2025 // Antwort: Siehe Antwort auf Frage 337</t>
  </si>
  <si>
    <t xml:space="preserve">Automatisch ausgewertet: Die Antwort des Auftraggebers verweist ausschließlich auf Bieterfrage 337. Keine eigenständige Anforderung – der Inhalt ist unter der dort erfassten Zeile nachzuhalten.</t>
  </si>
  <si>
    <t xml:space="preserve">ANF-535</t>
  </si>
  <si>
    <t xml:space="preserve">Nr. 489 / S. 47</t>
  </si>
  <si>
    <t xml:space="preserve">Klarstellung: Die Beleuchtung des Ladeplatzes muss gemäß Kapitel 3.14.1 so ausgeführt werden, dass sie dämmerungs- und bewegungsgesteuert funktioniert.</t>
  </si>
  <si>
    <t xml:space="preserve">Die Beleuchtung des Ladeplatzes soll gemäß Kapitel 3.14.1 mit einem Dämmerungssensor und einem Bewegungssensor ausgestattet sein. Ist zusätzlich ein weiterer Sensor zur Steuerung der Beleuchtung vorgesehen? Dieser würde denselben Zweck wie der Bewegungssensor erfüllen. Zudem ist ein dauerhaftes Leuchten während der Standzeit eines LKW laut Kapitel 3.14.1 nicht zulässig, da die Beleuchtung bei nicht erkannter Bewegung auf 10 % Leistung gedimmt werden muss.</t>
  </si>
  <si>
    <t xml:space="preserve">Bezug lt. Katalog: Vertragsanlage 4, Ziffer 4.13
Katalogdatum: 19.12.2025
Zuordnung prüfen (Komponente/Partner nicht eindeutig) // Antwort: Die Beleuchtung des Ladeplatzes muss gemäß Kapitel 3.14.1 so ausgeführt werden, dass sie dämmerungs- und bewegungsgesteuert funktioniert. Nach Zuschaltung bei Dämmerung ist bei ausbleibender Bewegung dauerhaft ein gedimmter Grundlichtpegel von ca. 10 % des Standardbetriebslichtpegels zu halten. Die geforderten Funktionen sind verbindlich umzusetzen; wie diese technisch realisiert werden, liegt im Verantwortungsbereich des AN. Alle einschlägigen Normen (insbesondere DIN EN 13201, ERS) sowie der Stand der Technik sind einzuhalten.</t>
  </si>
  <si>
    <t xml:space="preserve">ANF-536</t>
  </si>
  <si>
    <t xml:space="preserve">Nr. 490 / S. 47</t>
  </si>
  <si>
    <t xml:space="preserve">Klarstellung: Die Annahme wird bestätigt. Kabelkanäle sind ausschließlich in extra eingefriedeten Bereichen der elektrischen Anlagen gemäß Abschnitt 4.12 der Leistungsbeschreibung Errichtung zulässig.</t>
  </si>
  <si>
    <t xml:space="preserve">Gehen wir recht in der Annahme, dass Kabelkanäle nur bei bzw. unter unbefestigten Flächen (z.B. zwischen Trafo und Leistungseinheiten) gestattet sind, dass aber die Kabel unter den ggf. zu querenden Fahrbahnen und den Ladeplätzen verpflichtend in Leerrohren verlegt werden müssen?</t>
  </si>
  <si>
    <t xml:space="preserve">Bezug lt. Katalog: Vertragsanlage 4, Ziffer 4.11.2
Katalogdatum: 19.12.2025 // Antwort: Die Annahme wird bestätigt. Kabelkanäle sind ausschließlich in extra eingefriedeten Bereichen der elektrischen Anlagen gemäß Abschnitt 4.12 der Leistungsbeschreibung Errichtung zulässig.</t>
  </si>
  <si>
    <t xml:space="preserve">ANF-537</t>
  </si>
  <si>
    <t xml:space="preserve">Nr. 491 / S. 47</t>
  </si>
  <si>
    <t xml:space="preserve">Klarstellung: Ihre Annahme kann bestätigt werden, eine Rückspeisung von Energie aus Batteriespeichern in das Netz des jeweiligen VNB ist nicht vorgesehen.</t>
  </si>
  <si>
    <t xml:space="preserve">Gemäß § 24 Abs. 4 BV dürfen ggf. zu installierende Batteriespeicher auch anderweitig genutzt werden, sofern sie dem tatsächlichen Bedarf an vorzuhaltender Ladeleistung nicht entgegenstehen. Gehen wir recht in der Annahme, dass trotzdem wie in Vertragsanlage 4 beschrieben, eine Rückspeisungsmöglichkeit in das Netz des jeweiligen VNB bisher nicht beantragt wurde und auch für die Zukunft seitens des Anschlussnehmers nicht beantragt wird?</t>
  </si>
  <si>
    <t xml:space="preserve">Bezug lt. Katalog: § 24 Abs. 4 Betreibervertrag i.V.m. Vertragsanlage 4, Ziffer 4.12.5 (vorletzter Absatz)
Katalogdatum: 19.12.2025
Zuordnung prüfen (Komponente/Partner nicht eindeutig) // Antwort: Ihre Annahme kann bestätigt werden, eine Rückspeisung von Energie aus Batteriespeichern in das Netz des jeweiligen VNB ist nicht vorgesehen. Es ist zum jetzigen Zeitpunkt ebenfalls nicht vorgesehen eine Einspeisung zu beantragen</t>
  </si>
  <si>
    <t xml:space="preserve">ANF-538</t>
  </si>
  <si>
    <t xml:space="preserve">Nr. 492 / S. 47</t>
  </si>
  <si>
    <t xml:space="preserve">Klarstellung: Die Annahme zu den 3 Kostenangeboten kann insofern bestätigt werden, dass der AN dem AG gegenüber Komplettangebote übermitteln muss.</t>
  </si>
  <si>
    <t xml:space="preserve">Gehen wir recht in der Annahme, dass es sich bei den drei Kostenangeboten um Komplettangebote (Planung, Hardware, ggf. Trafo, Errichtung, weitere physische Barrieren etc.) handelt, die an den AG zu übermitteln sind? Gehen wir weiter recht in der Annahme, dass – für den Fall, dass der AG z.B. Hardware eines anderen Herstellers auswählt - der AN trotzdem für mögliche Ausfälle der Hardware haften und ggf. Pönalen entrichten muss?</t>
  </si>
  <si>
    <t xml:space="preserve">Bezug lt. Katalog: § 39 Abs. 2 BV
Katalogdatum: 19.12.2025 // Antwort: Die Annahme zu den 3 Kostenangeboten kann insofern bestätigt werden, dass der AN dem AG gegenüber Komplettangebote übermitteln muss. Der AN ist jedoch nicht verpflichtet Komplettangebote von möglichen Nachunternehmen einzuholen, sondern kann auch eine aus mehreren Teilangeboten bestehendes Angebot einreichen. Ihre zweite Annahme kann bestätigt werden. Der AN steht nach der Errichtung der weiteren Hardware für deren Verfügbarkeit ein.</t>
  </si>
  <si>
    <t xml:space="preserve">ANF-539</t>
  </si>
  <si>
    <t xml:space="preserve">Nr. 493 / S. 47</t>
  </si>
  <si>
    <t xml:space="preserve">Verneint: diese Annahme ist unzutreffend, vgl. § 45 Abs. 2 und 3.</t>
  </si>
  <si>
    <t xml:space="preserve">Gehen wir recht in der Annahme, dass die Errichtung zusätzlicher Ladepunkte nicht mit einer Erhöhung des Betreiberentgeltes verbunden ist? Falls nein, bitten wir um Hinweis auf die einschlägige Vertragspassage.</t>
  </si>
  <si>
    <t xml:space="preserve">Bezug lt. Katalog: § 45 BV i.V.m.§ 47 BV
Katalogdatum: 19.12.2025
Zuordnung prüfen (Komponente/Partner nicht eindeutig) // Antwort: Nein, diese Annahme ist unzutreffend, vgl. § 45 Abs. 2 und 3. Das Betreiberentgelt erhöht sich entsprechend bei der Inbetriebnahme weiterer Ladepunkte.</t>
  </si>
  <si>
    <t xml:space="preserve">ANF-540</t>
  </si>
  <si>
    <t xml:space="preserve">Nr. 494 / S. 47</t>
  </si>
  <si>
    <t xml:space="preserve">Verneint: dieses Verständnis ist nicht vollständig zutreffend. § 20 und auch § 19 beziehen sich auf die (vorübergehende) Stilllegung, die sich aus Maßnahmen auf der Rastanlage selbst oder der Strecke ergeben können.</t>
  </si>
  <si>
    <t xml:space="preserve">Gehen wir recht in der Annahme, dass sich § 20 nicht auf Ausbau- und Erhaltungsmaßnahmen an der Strecke, sondern nur auf Maßnahmen auf der Rastanlage selbst bezieht und mithin Baumaßnahmen an der Strecke grundsätzlich nicht zu einer (vorübergehenden) Stilllegung der Rastanlage führen?</t>
  </si>
  <si>
    <t xml:space="preserve">Bezug lt. Katalog: § 20 BV
Katalogdatum: 19.12.2025 // Antwort: Nein, dieses Verständnis ist nicht vollständig zutreffend. § 20 und auch § 19 beziehen sich auf die (vorübergehende) Stilllegung, die sich aus Maßnahmen auf der Rastanlage selbst oder der Strecke ergeben können. Nicht jede Maßnahme an der Strecke führt jedoch zu Einschränkungen der Nutzbarkeit der Rastanlage. Eine Übersicht über die derzeit bekannten Maßnahmen findet sich in Vertrags-anlage 3: Angaben und Informationen zu den einzelnen Standorten</t>
  </si>
  <si>
    <t xml:space="preserve">ANF-541</t>
  </si>
  <si>
    <t xml:space="preserve">Nr. 495 / S. 47</t>
  </si>
  <si>
    <t xml:space="preserve">Verneint: die Annahme ist nicht richtig. Im Zuge der Erweiterung der einzelnen Standorte sind auch weitere Übernachtladepunkte möglich.</t>
  </si>
  <si>
    <t xml:space="preserve">Gehen wir recht in der Annahme, dass im Zuge des Ausbaus keine weiteren Übernachtladepunkte geplant sind? Falls doch bitten wir um Hinweise, wie dafür die vom AG gewünschte Vorbereitung ohne Angabe einer Ladepunktzahl erfolgen soll, da dies ja nicht aus der Vertragsanlage Details zum Netzanschluss ablesbar ist?</t>
  </si>
  <si>
    <t xml:space="preserve">Bezug lt. Katalog: Übernachtladen
Katalogdatum: 19.12.2025 // Antwort: Nein die Annahme ist nicht richtig. Im Zuge der Erweiterung der einzelnen Standorte sind auch weitere Übernachtladepunkte möglich. Hierfür sind Vorkehrungen gemäß Vertragsanlage 4, Kapitel 4.12. zu treffen und bereits in der Initialphase mit zu bedenken.</t>
  </si>
  <si>
    <t xml:space="preserve">ANF-542</t>
  </si>
  <si>
    <t xml:space="preserve">Nr. 496 / S. 47</t>
  </si>
  <si>
    <t xml:space="preserve">Bestätigt: die Annahme ist korrekt. Die genannten Normen gelten bundesweit, daher sind standortübergreifende Ökobilanzen zulässig.</t>
  </si>
  <si>
    <t xml:space="preserve">In der Antwort zu Bieterfrage 218 wird auf DIN EN ISO 14040 bzw. 14044 verwiesen. Diese beschreiben die allgemeine Methodik von Ökobilanzen, legen den genauen Rahmen aber nicht fest. Gehen wir recht in der Annahme, dass standortübergreifende und somit auf Deutschland verallgemeinerte Ökobilanzen für die eingesetzten Baustoffe zulässig sind?</t>
  </si>
  <si>
    <t xml:space="preserve">Bezug lt. Katalog: Antwort zu Bieterfrage 218
Katalogdatum: 19.12.2025 // Antwort: Ja, die Annahme ist korrekt. Die genannten Normen gelten bundesweit, daher sind standortübergreifende Ökobilanzen zulässig.</t>
  </si>
  <si>
    <t xml:space="preserve">ANF-543</t>
  </si>
  <si>
    <t xml:space="preserve">Nr. 497 / S. 47</t>
  </si>
  <si>
    <t xml:space="preserve">Klarstellung: Das Kapitel 3.6.1 existiert nicht. Mit Bezug zu 3.6 ist der AN für eine standsichere Ausführung verantwortlich.</t>
  </si>
  <si>
    <t xml:space="preserve">Inwieweit dürfen für die in Kap. 3.6.1. der Leistungsbeschreibung Errichtung dargestellten Gewerke etc. Prüfstatiken der Hersteller herangezogen werden oder ist für jedes Gewerk die Einbindung eines unabhängigen Prüfingenieurs erforderlich?</t>
  </si>
  <si>
    <t xml:space="preserve">Bezug lt. Katalog: Vertragsanlage 4, Ziff. 3.6.1
Katalogdatum: 19.12.2025 // Antwort: Das Kapitel 3.6.1 existiert nicht. Mit Bezug zu 3.6 ist der AN für eine standsichere Ausführung verantwortlich. Soweit Baugrundverhältnisse und technische Rahmenbedingungen dies zulassen, können vom Hersteller bereitgestellte Typen bzw. Prüfstatiken verwendet werden. Sind die Gegebenheiten vor Ort jedoch nicht durch eine Typenstatik abgedeckt oder ergeben sich aus den technischen Anforderungen abweichende Last oder Randbedingungen, ist eine objektbezogene statische Prüfung durch einen hierfür qualifizierten Prüfingenieur erforderlich.</t>
  </si>
  <si>
    <t xml:space="preserve">ANF-544</t>
  </si>
  <si>
    <t xml:space="preserve">Nr. 498 / S. 47</t>
  </si>
  <si>
    <t xml:space="preserve">Klarstellung: Es ist Aufgabe des AN die konkrete technische und planerische Ausgestaltung zu ermitteln und herzustellen.</t>
  </si>
  <si>
    <t xml:space="preserve">An einigen Standorten führt das sich aus der beantragten Netzanschlusskapazität mindestens ergebende Ausbauszenario (ohne Berücksichtigung möglicher zusätzlicher Übernachtladepunkte) dazu, dass die in Anlage 6 vorgegebenen maximal zulässigen Entfernungen zwischen Leistungseinheiten und Dispensern deutlich überschritten würden. Gehen wir recht in der Annahme, dass die für ein Ausbauszenario vorzubereitenden Maßnahmen so zu kalkulieren sind, dass im Zweifelsfall eine alternative Platzierung der Leistungseinheiten vorzusehen ist, um die Vorgaben einzuhalten? (Bsp. Streitau in Los 3)</t>
  </si>
  <si>
    <t xml:space="preserve">Bezug lt. Katalog: Unverbindliche Verortung
Katalogdatum: 19.12.2025 // Antwort: Es ist Aufgabe des AN die konkrete technische und planerische Ausgestaltung zu ermitteln und herzustellen. Die vom AG bereitgestellte unverbindliche Voruntersuchung dient zur Information und stellt ausdrücklich einen unverbindlichen Planungsbeitrag dar. Im Falle einer möglichen späteren Skalierung des Standortes können die für diese erforderlichen Komponenten in Abstimmung mit der zuständigen Niederlassung auf anderen geeigneten Flächen platziert werden, sofern dies erforderlich ist, um die Vorgaben der Vertragsunterlagen einzuhalten. Für die Auslegung der elektrischen Anlage gelten die Anforderungen der Vertragsanlage 4, Abschnitt 4.12.</t>
  </si>
  <si>
    <t xml:space="preserve">ANF-545</t>
  </si>
  <si>
    <t xml:space="preserve">Nr. 499 / S. 47</t>
  </si>
  <si>
    <t xml:space="preserve">Klarstellung: Die Annahme kann bestätigt werden. Ein vorzeitiges Ausfahren vor der eigenen Abfahrtszeit ist durch den AN nicht sicherzustellen.</t>
  </si>
  <si>
    <t xml:space="preserve">Das Musterlayout sieht telematisches Parken mit drei hintereinander liegenden Ladepunkten auch für MCS vor. Gehen wir richtig in der Annahme, dass in diesem Fall ein vorzeitiges Ausfahren vor Ende des reservierten Zeitraums nicht garantiert werden muss? Zum Beispiel, wenn ein Fahrer, der an zweiter Stelle steht, seine Pause trotz bestehender Reservierung spontan in zwei kürzere Zeitfenster (z. B. 30 Minuten und 15 Minuten) aufteilen möchte.</t>
  </si>
  <si>
    <t xml:space="preserve">Bezug lt. Katalog: Telematisches Parken
Katalogdatum: 19.12.2025 // Antwort: Die Annahme kann bestätigt werden. Ein vorzeitiges Ausfahren vor der eigenen Abfahrtszeit ist durch den AN nicht sicherzustellen.</t>
  </si>
  <si>
    <t xml:space="preserve">ANF-546</t>
  </si>
  <si>
    <t xml:space="preserve">Nr. 500 / S. 47</t>
  </si>
  <si>
    <t xml:space="preserve">Klarstellung: Grundsätzlich ist eine abweichende Auslegung der Schrankenlogik zulässig, sofern diese den funktionalen Anforderungen entspricht und nachweislich dazu beiträgt, Fehlbelegungen zuverlässig zu vermeiden.</t>
  </si>
  <si>
    <t xml:space="preserve">Vor dem Hintergrund der beschriebenen Schrankenlogik und der Ausgestaltung langer Ladebuchten (z. B. ca. 25 m) besteht bei einer geöffneten Einfahrtsschranke die Gefahr, dass sich weitere Fahrzeuge hinter einer ladenden Zugmaschine aufstellen und die Ladebucht blockieren oder dass Fahrzeuge im Sensorbereich der Einfahrtsschranke zum Stehen kommen und ein Schließen verhindern, wodurch im Zweifel auch ein Rückwärtsausfahren möglich wäre. Ist es zulässig bzw. gewünscht, die Schrankenlogik so auszulegen, dass sich die Einfahrtsschranke unmittelbar nach dem Einfahren eines Fahrzeugs wieder schließt (z. B. auf Basis der Fahrzeugdetektion), um Mehrfachbelegungen, Blockadeszenarien und Fehlstellungen zuverlässig zu verhindern?</t>
  </si>
  <si>
    <t xml:space="preserve">Bezug lt. Katalog: Vertragsanlage 6, Einfahrts- und Ausfahrtsschranken pro Ladeplatz
Katalogdatum: 19.12.2025 // Antwort: Grundsätzlich ist eine abweichende Auslegung der Schrankenlogik zulässig, sofern diese den funktionalen Anforderungen entspricht und nachweislich dazu beiträgt, Fehlbelegungen zuverlässig zu vermeiden. Die gewählte Umsetzung muss insbesondere die sichere Nutzung der Ladebucht gewährleisten und den in der Vertragsanlage 4 "Leistungsbeschreibung Errichtung" definierten Mindestanforderungen entsprechen.</t>
  </si>
  <si>
    <t xml:space="preserve">ANF-547</t>
  </si>
  <si>
    <t xml:space="preserve">Nr. 501 / S. 48</t>
  </si>
  <si>
    <t xml:space="preserve">Klarstellung: Die Ermittlung der Anprallenergien (Belastbarkeit) für versenkbare Anfahrschutzsysteme in der Funktion als physische Barriere zum Verhindern von Fehlbelegungen obliegt dem AN.</t>
  </si>
  <si>
    <t xml:space="preserve">Nach Rücksprache mit den Herstellern der versenkbaren Anfahrschutzsysteme hat sich gezeigt, dass präzisere Angaben zur Belastbarkeit der Poller erforderlich sind. Diese Werte beeinflussen je nach Ausführung maßgeblich die Dimensionierung der Fundamente sowie die Gesamtkosten.</t>
  </si>
  <si>
    <t xml:space="preserve">Bezug lt. Katalog: Vertragsanlage 4, Ziff. 3.13.2
Katalogdatum: 19.12.2025 // Antwort: Die Ermittlung der Anprallenergien (Belastbarkeit) für versenkbare Anfahrschutzsysteme in der Funktion als physische Barriere zum Verhindern von Fehlbelegungen obliegt dem AN. Maßgeblich sind die zu erwartenden Beanspruchungen, z. B. aus Rangier-, Einpark- und Abstellvorgängen. Das System ist so auszulegen, dass es den für diesen Einsatzfall zu erwartenden Beanspruchungen standhält und im Falle eines Anfahrens betriebsfähig bleibt. Lässt sich durch standortspezifische Besonderheiten, für einzelne Poller eine erhöhte Exponiertheit ggü. höheren Aufprallenergien ableiten, ist dies bei der Auslegung entsprechend zu berücksichtigen. Bitte beachten Sie auch die Antwort auf die Bieterfrage 478.</t>
  </si>
  <si>
    <t xml:space="preserve">ANF-548</t>
  </si>
  <si>
    <t xml:space="preserve">Nr. 502 / S. 48</t>
  </si>
  <si>
    <t xml:space="preserve">Klarstellung: Sofern sich eine solche, nicht vom Auftragnehmer zu vertretende, Verzögerung ergibt, wären daraus resultierende Ausfälle nicht mit Pönalen belegt.</t>
  </si>
  <si>
    <t xml:space="preserve">Sollte ein Poller aufgrund eines Anfahrschadens ausgetauscht werden müssen, ist mit erheblichen Ausfallzeiten zu rechnen, unter anderem durch notwendige Bauanträge, da der Ladeplatz bis zur Wiederherstellung nicht nutzbar ist. In diesem Zusammenhang stellt sich die Frage: Wie wird hier mit möglichen Pönalen umgegangen?</t>
  </si>
  <si>
    <t xml:space="preserve">Bezug lt. Katalog: Vertragsanlage 4, Ziff. 3.13.2
Katalogdatum: 19.12.2025 // Antwort: Sofern sich eine solche, nicht vom Auftragnehmer zu vertretende, Verzögerung ergibt, wären daraus resultierende Ausfälle nicht mit Pönalen belegt. Die entsprechenden Umstände wären vom AN darzulegen und ggf. nachzuweisen.</t>
  </si>
  <si>
    <t xml:space="preserve">Schrankenanlage / Pönalisierungssystem</t>
  </si>
  <si>
    <t xml:space="preserve">ANF-549</t>
  </si>
  <si>
    <t xml:space="preserve">Nr. 503 / S. 48</t>
  </si>
  <si>
    <t xml:space="preserve">Klarstellung: Ihre Annahme ist nicht korrekt. Auch bei Ladepunkten ohne Reservierungsoptionen müssen physische Barrieren errichtet werden, um Fehlbelegung zu verhindern.</t>
  </si>
  <si>
    <t xml:space="preserve">Gemäß §25 Abs. 4 BV ist es möglich Ladepunkte von der Reservierung auszunehmen. Gehen wir recht in der Annahme, dass in diesen Fällen auch keine physische Barriere installiert werden muss?</t>
  </si>
  <si>
    <t xml:space="preserve">Bezug lt. Katalog: § 25 Abs. 4 BV
Katalogdatum: 19.12.2025 // Antwort: Ihre Annahme ist nicht korrekt. Auch bei Ladepunkten ohne Reservierungsoptionen müssen physische Barrieren errichtet werden, um Fehlbelegung zu verhindern.</t>
  </si>
  <si>
    <t xml:space="preserve">ANF-550</t>
  </si>
  <si>
    <t xml:space="preserve">Nr. 504 / S. 48</t>
  </si>
  <si>
    <t xml:space="preserve">Klarstellung: Die Annahme ist unzutreffend. Zwar können einzelne Ladepunkte von der Reservierungsmöglichkeit ausgenommen werden, allerdings wird nach § 25 Abs.</t>
  </si>
  <si>
    <t xml:space="preserve">Gemäß § 25 Abs. 4 Betreibervertrag ist es möglich Ladepunkte von der Reservierung auszunehmen. Gehen wir Recht in der Annahme, dass es keine Mindestmenge an reservierbaren Ladepunkten eines Typs (z.B. CCS Zwischenladen) gibt?</t>
  </si>
  <si>
    <t xml:space="preserve">Bezug lt. Katalog: § 25 Abs. 4 BV
Katalogdatum: 19.12.2025 // Antwort: Die Annahme ist unzutreffend. Zwar können einzelne Ladepunkte von der Reservierungsmöglichkeit ausgenommen werden, allerdings wird nach § 25 Abs. 6 des Betreibervertrags eine Vertragsstrafe fällig, wenn nicht mindestens 40 % der Ladepunkte an einem Standort nicht reserviert werden können. Hierbei erfolgt keine Unterscheidung zwischen MCS- und CCS-Ladepunkten.</t>
  </si>
  <si>
    <t xml:space="preserve">ANF-551</t>
  </si>
  <si>
    <t xml:space="preserve">Nr. 505 / S. 48</t>
  </si>
  <si>
    <t xml:space="preserve">Klarstellung: Der AG prüft, ob eine Anpassung sinnvoll und erforderlich ist.</t>
  </si>
  <si>
    <t xml:space="preserve">Wird es noch eine aktualisierte Form der Zuschlagskriterien geben. In der alten Version sind noch Punkte wie „Trailerladen“ enthalten, was herausgenommen wurde.</t>
  </si>
  <si>
    <t xml:space="preserve">Bezug lt. Katalog: Anlage 03 zum Verfahrensbrief_Zuschlagskriteri en
Katalogdatum: 19.12.2025 // Antwort: Der AG prüft, ob eine Anpassung sinnvoll und erforderlich ist.</t>
  </si>
  <si>
    <t xml:space="preserve">ANF-552</t>
  </si>
  <si>
    <t xml:space="preserve">Nr. 506 / S. 48</t>
  </si>
  <si>
    <t xml:space="preserve">Zusage / Ankündigung: Für die derzeit in der Vertragsanlage 5 diesbezüglich genannten acht Standorte sind von den Bietern - wie bislang vorgesehen - in den dafür vorgesehenen Angebotsunterlagen Preise anzugeben.</t>
  </si>
  <si>
    <t xml:space="preserve">Laut Vertrag hat der Rahmenterminplan die Betriebsfreigabe des letzten Standortes im Regelfall bis zum 31.12.2030 (Ausnahme § 19 Abs 2 a) und § 17 Abs. 5) vorzusehen. Gem. LB-Errichtung ist nach aktuellem Stand für 4 der 5 Lose eine Betriebsfreigabe einzelner Standorte nach dem 31.12.2030 vorzusehen. Die Übersicht zu den Netzanschlüssen beinhaltet für verschiedene Standorte die Angabe 2030 ff. Angaben zu Netzanschlüssen liegen teilweise noch nicht vor bzw. sind unklar. Der Bieter muss daher in seinem Angebot in erheblichem und zudem ungewissem Umfang Errichtungsleistungen nach dem 31.12.2030 berücksichtigen. Auf dieser Basis ist aus unserer Sicht die Erstellung eines Rahmenterminplans und eines belastbaren Angebotspreises kaum möglich. Zur Gewährleistung einer angemessenen und wirtschaftlichen Risikoverteilung wäre es daher aus unserer Sicht sachgerecht, dass sämtliche Errichtungsleistungen ab dem 01.01.2031 grundsätzlich wie eine „zusätzliche Leistung“ gemäß § 40 BV behandelt werden. Wir bitten um entsprechende Anpassung/Klarstellung im Bertreibervertrag.</t>
  </si>
  <si>
    <t xml:space="preserve">Bezug lt. Katalog: § 11.5, 15.2, 17.5, 19.2 BV Errichtungsfristen
Katalogdatum: 19.12.2025 // Antwort: Für die derzeit in der Vertragsanlage 5 diesbezüglich genannten acht Standorte sind von den Bietern - wie bislang vorgesehen - in den dafür vorgesehenen Angebotsunterlagen Preise anzugeben. Aufgrund des im Verhältnis geringen Umfangs, ist eine solche Preisangaben für die Bieter möglich und zumutbar. Allerdings wird der AG eine Regelung im Vertrag vorsehen, nach der die Preise für diese acht Standorte nach einer Indexierung fortgeschrieben werden. Eine angepasste Vertragsversion wird den Bietern zeitnah zur Verfügung gestellt. Bei der Erstellung des Rahmenterminplans sind diese acht Standorte naturgemäß nicht mit konkreten Ausführungszeiten darzustellen.</t>
  </si>
  <si>
    <t xml:space="preserve">ANF-553</t>
  </si>
  <si>
    <t xml:space="preserve">Nr. 507 / S. 48</t>
  </si>
  <si>
    <t xml:space="preserve">Klarstellung: Die Annahme ist zutreffend, wenn und soweit die Voraussetzungen des § 12 vorliegen, wobei insbesondere auf § 12 Abs.</t>
  </si>
  <si>
    <t xml:space="preserve">Die fristgerechte Lieferung der erforderlichen Transformatoren ist u.E. mit einem hohen und durch den AN kaum kontrollierbaren Risiko behaftet. Ist unser Verständnis korrekt, dass auch im Falle von Verzögerungen bei der Lieferung der Trafos ein Anspruch auf Anpassung des Rahmenterminplanes sowie der verbindlichen Vertragstermine besteht?</t>
  </si>
  <si>
    <t xml:space="preserve">Bezug lt. Katalog: § 12 BV, Anpassung des Terminplans bei Verzögerung der Trafo-Lieferung
Katalogdatum: 19.12.2025 // Antwort: Die Annahme ist zutreffend, wenn und soweit die Voraussetzungen des § 12 vorliegen, wobei insbesondere auf § 12 Abs. 2 lit. d hingewiesen wird. Im Übrigen wird in diesem Zusammenhang auf § 44 Abs. 6 hingewiesen, der ein etwaiges finanzielles Risiko andressiert.</t>
  </si>
  <si>
    <t xml:space="preserve">ANF-554</t>
  </si>
  <si>
    <t xml:space="preserve">Nr. 508 / S. 48</t>
  </si>
  <si>
    <t xml:space="preserve">Verneint: diese Annahme ist nicht zutreffend. Das Errichtungsentgelt reduziert sich im Fall einer Standortverkleinerung.</t>
  </si>
  <si>
    <t xml:space="preserve">Ist unser Verständnis richtig, dass das Errichtungsentgelt gemäß § 44 im Fall der Standortverkleinerung gemäß § 16 des Betreibervertrages unverändert und unberührt bleibt?</t>
  </si>
  <si>
    <t xml:space="preserve">Bezug lt. Katalog: § 16.1 BV Standortverkleinerung
Katalogdatum: 19.12.2025 // Antwort: Nein, diese Annahme ist nicht zutreffend. Das Errichtungsentgelt reduziert sich im Fall einer Standortverkleinerung. Der Mechanismus wird in der Antwort auf die Frage 448 dargestellt. Die Einzelheiten werden zukünftig in § 16 Abs. 3 geregelt.</t>
  </si>
  <si>
    <t xml:space="preserve">ANF-555</t>
  </si>
  <si>
    <t xml:space="preserve">Nr. 509 / S. 48</t>
  </si>
  <si>
    <t xml:space="preserve">Klarstellung: Der Auftraggeber hat die Regelung zur Reduzierung des Errichtungsentgelts bei Standortverkleinerung (§ 16 Abs.</t>
  </si>
  <si>
    <t xml:space="preserve">Die vorgeschlagene Regelung in § 18.4 für die teilweise Errichtung eines Standortes ist aus unserer Sicht nicht hinreichend transparent. Vor allem ist für den Bieter nicht nachvollziehbar, wie die Zahlungen vor dem Hintergrund der neuen Vorgaben für Zahlungen für das Errichtungsentgelt nach § 44 erfolgen sollen. Wir bitten daher um Erläuterung unter Vorlage einer nachvollziehbaren Beispielsrechnung.</t>
  </si>
  <si>
    <t xml:space="preserve">Bezug lt. Katalog: § 18.4 BV
Katalogdatum: 19.12.2025
Zuordnung prüfen (Komponente/Partner nicht eindeutig) // Antwort: Der Auftraggeber hat die Regelung zur Reduzierung des Errichtungsentgelts bei Standortverkleinerung (§ 16 Abs. 3 neu) und bei teilweiser Errichtung (vgl. § 18 Abs. 4 neu) noch einmal angepasst und eine Formel zur Ermittlung des reduzierten Errichtungsentgelts hinterlegt. Die Regelung trägt bei einer teilweisen Errichtung eines Standortes bzw. bei einer Standortverkleinerung dem Umstand Rechnung, dass der Auftragnehmer bei einer Errichtung unabhängig von der Anzahl der LP einen Grundaufwand hat. Gleichzeitig soll der Tatsache, dass nicht alle in das angebotene Errichtungsentgelt eingepreisten Ladepunkte errichtet werden, durch eine pauschale und danach für beide Parteien einfach handhabbaren Regelung Rechnung getragen werden. Die aktuelle Regelung sieht vor, dass für den Zeitraum der teilweisen Errichtung das Errichtungsentgelt (100%) neu definiert wird. Dieses Errichtungsentgelt (neu) setzt sich zusammen aus - 30% des Errichtungsentgeltes (alt) und - einem weiteren – gekürzten - Anteil der verbleibenden 70% des Errichtungsentgeltes (alt). Die Höhe dieses Teils wird pauschal im Rahmen eines Dreisatzes ermittelt, wobei die 70% des Errichtungsentgeltes (alt) nach dem Verhältnis der bereits errichteten Ladepunkte zu den an dem Standort insgesamt zu errichtenden Ladepunkte, reduziert wird, wobei MCS-Ladepunkte doppelt zählen. Die Zahlung dieses Errichtungsentgeltes (neu) erfolgt nach Maßgabe von § 44, d.h. zu 70% nach den drei Phasen des Abs. 3 lit a- c und zu 30% (Einbehalt) quartalsweise ratierlich nach Abs. 3 am Ende. Kommt es später zu einer vollständigen Errichtung des Standortes erhält der AN die Differenz zwischen Errichtungsentgelt neu und Errichtungsentgelt (alt) entsprechend § 44 Abs. 3 ausgezahlt. Nach vollständiger Errichtung des Standortes erhält er damit 70 % der Differenz des Errichtungsentgeltes alt und neu zzgl. der gesamten Umsatzsteuer auf die Differenz. Der Einbehalt ist unter Berücksichtigung bereits aufgelöster Teile neu zu berechnen.</t>
  </si>
  <si>
    <t xml:space="preserve">ANF-556</t>
  </si>
  <si>
    <t xml:space="preserve">Nr. 510 / S. 48</t>
  </si>
  <si>
    <t xml:space="preserve">Klarstellung: Ihre Annahme, dass das Errichtungsentgelt von Ausbau und Erhaltungsmaßnahmen und daraus resultierenden Abbauverpflichtungen bzw.</t>
  </si>
  <si>
    <t xml:space="preserve">Unter Bezugnahme auf die neuen Regelungen zu § 19.4 bitten wir um Bestätigung bzw. vertragliche Klarstellung, dass das anteilige Errichtungsentgelt, das nach Betriebsfreigabe bereits gezahlt worden ist bzw. wird, nicht während der Zeit des Abbaus bis zum Wiederaufbau aufgrund von Ausbau- und Erhaltungsmaßnahmen der AG ausgesetzt wird.</t>
  </si>
  <si>
    <t xml:space="preserve">Bezug lt. Katalog: § 19.4 sowie 7 BV
Katalogdatum: 19.12.2025 // Antwort: Ihre Annahme, dass das Errichtungsentgelt von Ausbau und Erhaltungsmaßnahmen und daraus resultierenden Abbauverpflichtungen bzw. Standortsperrungen nach Betriebsfreigabe unberührt bleibt, ist zutreffend.</t>
  </si>
  <si>
    <t xml:space="preserve">ANF-557</t>
  </si>
  <si>
    <t xml:space="preserve">Nr. 511 / S. 48</t>
  </si>
  <si>
    <t xml:space="preserve">Verneint: dieses Verständnis ist nach der aktuellen Vertragslage nicht zutreffend. § 20 Abs.</t>
  </si>
  <si>
    <t xml:space="preserve">Ist unser Verständnis korrekt, dass die Parteien im Rahmen ihrer Verständigung gemäß § 20.2 auch berücksichtigen werden, dass die Umsätze in der Anlaufphase eines Standortes (Ramp-Up Phase) typischerweise wesentlich niedriger sind als in der Folgezeit bzw. wird die Kompensation für entgangenen Gewinn entsprechend angepasst, wenn der AN diesen Effekt nachvollziehbar darlegt?</t>
  </si>
  <si>
    <t xml:space="preserve">Bezug lt. Katalog: § 20.2 BV Stillgelegte Standorte, Heranziehung von Vergleichsstandorten zur Gewinnermittlung
Katalogdatum: 19.12.2025 // Antwort: Nein dieses Verständnis ist nach der aktuellen Vertragslage nicht zutreffend. § 20 Abs. 2 knüpft an einen Zeitraum von drei Monaten vor der Stilllegung an. Bei kürzeren Außerbetriebnahmen dürften die Verzerrungen mit Blick auf einen Hochlauf daher gering sein. Der AG wird den vertrag dahingehend anpassen, dass ab einem Stilllegungszeitraum, von 12 Monaten, ein dynamischer Bezug zum Gewinn eines vergleichbaren Standortes hergestellt wird.</t>
  </si>
  <si>
    <t xml:space="preserve">ANF-558</t>
  </si>
  <si>
    <t xml:space="preserve">Nr. 512 / S. 48</t>
  </si>
  <si>
    <t xml:space="preserve">Klarstellung: Ihr Verständnis wird geteilt es müsste „auf Kosten des Auftraggebers 2“ heißen.</t>
  </si>
  <si>
    <t xml:space="preserve">Unter § 20.1. Satz 2 müsste es nach dem Verständnis des Bieters richtigerweise heißen „auf Kosten des Auftraggebers 2“ statt „auf Kosten des ANs.“ Wir bitten um Bestätigung und Korrektur von § 20.1.</t>
  </si>
  <si>
    <t xml:space="preserve">Bezug lt. Katalog: § 20.1 BV Kosten des Rückbaus
Katalogdatum: 19.12.2025 // Antwort: Ihr Verständnis wird geteilt es müsste „auf Kosten des Auftraggebers 2“ heißen.</t>
  </si>
  <si>
    <t xml:space="preserve">ANF-559</t>
  </si>
  <si>
    <t xml:space="preserve">Nr. 513 / S. 49</t>
  </si>
  <si>
    <t xml:space="preserve">Bestätigt: dieses Verständnis ist zutreffend. Ein vertragsstrafebewährter Verstoß setzt ein Verschulden voraus.</t>
  </si>
  <si>
    <t xml:space="preserve">Wir bitten um Klarstellung, dass ein Pflichtverstoß des AN ein Vertreten-Müssen voraussetzt und dies entsprechend klargestellt wird. (Hinweis: Siehe dazu auch entsprechende Exkulpationsmöglichkeit in § 27.4.)</t>
  </si>
  <si>
    <t xml:space="preserve">Bezug lt. Katalog: § 25.6 BV Vertragsstrafe bei fehlender Reservierungsoption
Katalogdatum: 19.12.2025 // Antwort: Ja, dieses Verständnis ist zutreffend. Ein vertragsstrafebewährter Verstoß setzt ein Verschulden voraus.</t>
  </si>
  <si>
    <t xml:space="preserve">ANF-560</t>
  </si>
  <si>
    <t xml:space="preserve">Nr. 514 / S. 49</t>
  </si>
  <si>
    <t xml:space="preserve">Bestätigt: es ist zutreffend, dass die fehlende Durchsetzbarkeit eines Anspruches nach § 29 Abs.</t>
  </si>
  <si>
    <t xml:space="preserve">In der Regelung unter § 29 Abs. 3 im vorletzten Satz (beginnend mit „Wenn und soweit..“) ist aus Sicht des Bieters klarstellend zu ergänzen (Änderung hervorgehoben): „…ausgeschlossen oder nach Maßgabe von Absatz 7 nicht durchsetzbar ist“. Wir bitten um Bestätigung.</t>
  </si>
  <si>
    <t xml:space="preserve">Bezug lt. Katalog: § 29.3 BV Wiederherstellung bei Beschädigung durch Dritten
Katalogdatum: 19.12.2025 // Antwort: Ja, es ist zutreffend, dass die fehlende Durchsetzbarkeit eines Anspruches nach § 29 Abs. 7 – u.a. als lex specialis zu Abs. 3 lit c. – eine Wiederherstellungspflicht zusätzlich ausschließt.</t>
  </si>
  <si>
    <t xml:space="preserve">ANF-561</t>
  </si>
  <si>
    <t xml:space="preserve">Nr. 515 / S. 49</t>
  </si>
  <si>
    <t xml:space="preserve">Bestätigt: dieses Verständnis ist zutreffend. Der AN hat allerdings die in Abs.</t>
  </si>
  <si>
    <t xml:space="preserve">Ist unser Verständnis richtig, dass die Wiederherstellungspflicht auf Kosten des Auftragnehmers gemäß § 29.3 lit. c. nicht besteht, wenn die Ansprüche trotz eines rechtskräftigen Urteils oder einer Kostentragungszusage aufgrund der wirtschaftlichen Leistungsfähigkeit des Schuldners nicht durchsetzbar sind?</t>
  </si>
  <si>
    <t xml:space="preserve">Bezug lt. Katalog: § 29.3 Wiederherstellung bei Beschädigung durch Dritten
Katalogdatum: 19.12.2025 // Antwort: Ja dieses Verständnis ist zutreffend. Der AN hat allerdings die in Abs. 7 näher spezifizierte Pflicht, alle ihm zur Verfügung stehenden Rechtsmittel und Zwangsvollstreckungsmaßnahmen zur Durchsetzung etwaiger Ansprüche gegen Dritte auf eigene Kosten auszuschöpfen, soweit bei wirtschaftlich angemessenen Bemühungen hinreichende Aussicht auf Erfolg besteht.</t>
  </si>
  <si>
    <t xml:space="preserve">ANF-562</t>
  </si>
  <si>
    <t xml:space="preserve">Nr. 516 / S. 49</t>
  </si>
  <si>
    <t xml:space="preserve">Bestätigt: es geht um Schadensersatzansprüche gegen Dritte, nicht um Gewährleistungsansprüche.</t>
  </si>
  <si>
    <t xml:space="preserve">Ist unser Verständnis richtig, dass es in dieser Regelung um die Durchsetzung von Schadensersatz ansprüchen gegen Dritte im Sinne von § 29 Abs.3 lit c. allgemein geht und nicht nur um Gewährleistungsansprüche?</t>
  </si>
  <si>
    <t xml:space="preserve">Bezug lt. Katalog: § 29.7 BV Durchsetzung von Ansprüchen gegen Dritte
Katalogdatum: 19.12.2025 // Antwort: Ja, es geht um Schadensersatzansprüche gegen Dritte, nicht um Gewährleistungsansprüche.</t>
  </si>
  <si>
    <t xml:space="preserve">ANF-563</t>
  </si>
  <si>
    <t xml:space="preserve">Nr. 517 / S. 49</t>
  </si>
  <si>
    <t xml:space="preserve">Bestätigt: durch den Bezug zum in § 34 des BV geregelten sog. Durchleitungsmodells in § 33 Abs.</t>
  </si>
  <si>
    <t xml:space="preserve">In § 33 Abs. 3 lit. a sollte die Formulierung „nicht ermöglicht“ klarstellend dahingehend abgeändert werden, dass die „Nichterfüllung der Verpflichtung zur Gewährung des Zugangs gemäß § 34“ ausschlaggebend ist. Wir bitten insoweit um Klarstellung und Anpassung des Betreibervertrages.</t>
  </si>
  <si>
    <t xml:space="preserve">Bezug lt. Katalog: § 33.3 BV DLM, Vertragsstrafe
Katalogdatum: 19.12.2025 // Antwort: Ja, durch den Bezug zum in § 34 des BV geregelten sog. Durchleitungsmodells in § 33 Abs. 3 ist dieser Zusammenhang bereits klargestellt.</t>
  </si>
  <si>
    <t xml:space="preserve">ANF-564</t>
  </si>
  <si>
    <t xml:space="preserve">Nr. 518 / S. 49</t>
  </si>
  <si>
    <t xml:space="preserve">Klarstellung: Danke für den Hinweis. Richtig muss § 39 Abs.</t>
  </si>
  <si>
    <t xml:space="preserve">In § 39 Abs. 2 erscheint Satz 3 unvollständig. Wir bitten um Prüfung und Klarstellung bzw. Ergänzung.</t>
  </si>
  <si>
    <t xml:space="preserve">Bezug lt. Katalog: § 39.2 BV
Katalogdatum: 19.12.2025 // Antwort: Danke für den Hinweis. Richtig muss § 39 Abs. 2 Satz 3 lauten: „Der entsprechende Wettbewerb muss offen, klar, transparent und diskriminierungsfrei erfolgen sowie auf objektiven Kriterien beruhen, die und Minimierung des das Risikos strategischer Angebote minimierenfestgelegt wurden.“</t>
  </si>
  <si>
    <t xml:space="preserve">ANF-565</t>
  </si>
  <si>
    <t xml:space="preserve">Nr. 519 / S. 49</t>
  </si>
  <si>
    <t xml:space="preserve">Klarstellung: Zu 1.: Ausgangspunkt der Regelung in § 44 Abs. 6 sind die Preise, die der Kalkulation zugrunde lagen.</t>
  </si>
  <si>
    <t xml:space="preserve">Wir bitten um Bestätigung der folgenden Annahmen: 1. Als „vom Auftragnehmer vor Abgabe des endgültigen Angebots wettbewerblich ermittelte Preise“ von Ladeeinrichtungen im Sinne von § 44 Abs. 6 sind solche Preise anzusehen, die gemäß Angebot des Lieferanten/Nachunternehmers eine Gültigkeit von ca. 12 – 24 Monaten haben, d.h. die so ermittelten Nominalpreise sind die Grundlage für die Anwendung der Regelungen gemäß Buchstaben a. – c. während der Laufzeit des Betreibervertrages. 2. Im Falle von Transformatoren ist es für die Anwendung der Regelung des § 44 Abs. 6 nicht zwingend erforderlich, verbindliche bzw. belastbare Angebote einzuholen, da dies aufgrund der derzeit unbekannten und unterschiedlichen Anforderungen der Netzbetreiber u.E. nicht möglich sein wird, sondern es ist ausreichend ist, wenn der Auftragnehmer die seinem Angebot zugrunde gelegten Preise anhand von indikativen Angeboten plausibel darlegt. 3. § 44 Abs. 6 BV gilt auch für Speicher, die der Auftragnehmer gemäß § 49 Abs. 3 BV einzukalkulieren hat. 4. Im Falle einer Preissteigerung von mehr als 80% gemäß § 44 Abs. 6 Buchstabe c. finden für den Korridor zwischen 0% und 80% gleichzeitig Buchstaben a. und b. Anwendung, d.h. die Beteiligung des Auftragnehmers an der Preissteigerung bleibt auf 55% beschränkt.</t>
  </si>
  <si>
    <t xml:space="preserve">Bezug lt. Katalog: § 44.6 BV Beteiligung AG an Preissteigerungen
Katalogdatum: 19.12.2025 // Antwort: Zu 1.: Ausgangspunkt der Regelung in § 44 Abs. 6 sind die Preise, die der Kalkulation zugrunde lagen. Da die Errichtungszeitpunkte deutlich nach der Angebotsabgabe liegen ist bei der Kalkulation ein Zeitversatz zu berücksichtigen. Eine Gültigkeit der Angebote von 12-24 Monaten erscheint vor dem Hintergrund einer planmäßigen Errichtung bis Ende 2030 sachgerecht. Zu 2.: Ja, verbindliche Angebote sind vor diesem Hintergrund nicht erforderlich, soweit der AN nachweist, dass die Einholung von verbindlichen Angeboten nicht möglich war. Allerdings sind indikative Angebote stets notwendig. Zu 3.: Nein, die Regelung gilt nicht für Speicher. Speicher sind nur in sehr vereinzelten Einzelfällen im Angebot einzupreisen und werden ansonsten nach Aufwand vergütet. Zu 4.: Ja das ist zutreffend, die Beteiligung des Auftragnehmers erhöht sich nicht.</t>
  </si>
  <si>
    <t xml:space="preserve">ANF-566</t>
  </si>
  <si>
    <t xml:space="preserve">Nr. 520 / S. 49</t>
  </si>
  <si>
    <t xml:space="preserve">Da die Angebotsabgabe nunmehr in 2026 erfolgt, bitten wir um Klarstellung, dass sich E0 auf das Jahr 2026 bezieht. Aktuell lautet es noch auf 2025.</t>
  </si>
  <si>
    <t xml:space="preserve">Bezug lt. Katalog: § 45 BV
Katalogdatum: 19.12.2025 // Antwort: Ja, die Annahme ist zutreffend.</t>
  </si>
  <si>
    <t xml:space="preserve">ANF-567</t>
  </si>
  <si>
    <t xml:space="preserve">Nr. 521 / S. 49</t>
  </si>
  <si>
    <t xml:space="preserve">Klarstellung: 1. Es gibt zwar im Grundsatz eine Loslimitierung (auf ein Los).</t>
  </si>
  <si>
    <t xml:space="preserve">Gem. der Aufforderung zur Abgabe eines verbindlichen Angebotes sowie dem 5. Verfahrensbrief ist für jedes Los ein eigenes Angebot zu erstellen und es ist eine Absichtserklärung einer Bank mit der Bestätigung beizufügen, im Falle der Zuschlagserteilung eine Vertragserfüllungsbürgschaft gemäß den vertraglichen Vorgaben zu stellen. Hierzu haben wir folgende Fragen: 1. Sofern ein Bieter beabsichtigt für mehrere Lose ein verbindliches Angebot abzugeben und unter Berücksichtigung der Zuschlagslimitierung: Reicht es aus, wenn für mehrere Lose nur ein Schreiben einer Bank über den Betrag der geforderten Vertragserfüllungsbürgschaft für das mit dem insgesamt höchsten Errichtungsentgelt angebotene Los vorgelegt wird, weil aufgrund der Zuschlagslimitierung ein Bieter grundsätzlich nur den Zuschlag für ein Los erhalten kann? 2. Laut § 53 Abs. 7 Betreibervertrag können 50% des zu sichernden Betrages durch ein gleichwertiges Sicherungsinstrument ersetzt werden. Ist unser Verständnis richtig, dass es hierfür ausreichend ist, wenn bei mehreren Gesellschaftern des Betreibers ein Gesellschafter, der die entsprechenden Anforderungen erfüllt, dieses gleichwertige Sicherungsinstrument in Höhe von 50% des zu sichernden Betrages stellt und dann nur noch bezüglich der verbleibenden 50% des zu sichernden Betrages der Vertragserfüllungsbürgschaft durch eine Bank gestellt werden muss? 3. Kann dieses gleichwertige Sicherungsinstrument bei der im Rahmen der Abgabe des verbindlichen Angebotes erforderten Absichtserklärung der Bank berücksichtigt werden, d.h. die Absichtserklärung würde dann nur über 50% der geforderten Vertragserfüllungsbürgschaft lauten (2,5% der Gesamtsumme des Netto-Errichtungsentgelt)?</t>
  </si>
  <si>
    <t xml:space="preserve">Bezug lt. Katalog: Verfahrensbrief Ziffer 4.2 i.V.m. § 53.7 BV Geforderte Absichtserklärung einer Bank i.V.m. § 53.7
Katalogdatum: 19.12.2025 // Antwort: 1. Es gibt zwar im Grundsatz eine Loslimitierung (auf ein Los). Allerdings hat sich der AG für den Fall, dass in einem Los kein Bieter für einen Zuschlag vorgesehen werden kann, weil alle für den Zuschlag in Betracht kommenden Bieter bereits in einem anderen Los den Zuschlag erhalten haben, den Zuschlag auf das wirtschaftlichste Angebot ohne Geltung der Zuschlagslimitierung zu erteilen. Sollte dieses Vorgehen in mehr als einem Los erforderlich sein, gelten die vorstehenden Ausführungen für jedes dieser Lose eigenständig (vgl. Informationsmemorandum zum Teilnahmewettbewerb, Ziffer 3.7). Vor diesem Hintergrund gilt das Erfordernis der Vorlage einer Absichtserklärung einer Bank zur Stellung einer Vertragserfüllungsbürgschaft im Falle der Zuschlagserteilung grds. für alle Lose gleichermaßen. Es ist jedoch zulässig – und vor vorstehendem Hintergrund ggf. sinnvoll -, dass Bieter/Bietergemeinschaften in ihrem Angebot eine Höchstzahl von Angeboten benennen, für die sie den Zuschlag erhalten wollen. Im Falle einer solchen Begrenzung, kann die Bankerklärung losübergreifend bezogen auf dieses Maximum abgegeben werden, wobei jeweils der oder die höchsten Angebotspreise für die erforderliche Bankzusage maßgeblich sind. 2. Ja, dieses Verständnis ist zutreffend. 3. Ja, eine Berücksichtigung ist möglich, wenn das gleichwertige Sicherungs-instrument beschrieben wird und eine entsprechende Absichtserklärung des Sicherungsgebers abgegeben wird.</t>
  </si>
  <si>
    <t xml:space="preserve">ANF-568</t>
  </si>
  <si>
    <t xml:space="preserve">Nr. 522 / S. 49</t>
  </si>
  <si>
    <t xml:space="preserve">Klarstellung: Die Reservierungsplattform ist durch Definition der entsprechenden Anforderungen in § 25 definiert.</t>
  </si>
  <si>
    <t xml:space="preserve">Im Vertrag (Anlage 1) ist in den Begriffsbestimmungen "Reservierungssystem" definiert. Allerdings taucht außer in den Begriffsbestimmungen "Reservierungssystem" nicht weiter auf. Der Begriff "Reservierungsplattform" wird maßgeblich in §25 erwähnt. Allerdings ist es nicht eindeutig, was unter der "Reservierungsplattform" zu verstehen ist und bei welcher Rolle (AN, Mobilitätsdienstleister, Zentrale Hubs, etc.) diese zuzuordnen ist. Wir bitten um eine Klarstellung von "Reservierungsplattform" in den Begriffsbestimmungen.</t>
  </si>
  <si>
    <t xml:space="preserve">Bezug lt. Katalog: Betreibervertrag (Anlage 1) §25
Katalogdatum: 07.01.2026 // Antwort: Die Reservierungsplattform ist durch Definition der entsprechenden Anforderungen in § 25 definiert. Eine Reservierungsplattform in diesem Sinne bietet nach der Vertragslogik ein Reservierungssystem.</t>
  </si>
  <si>
    <t xml:space="preserve">ANF-569</t>
  </si>
  <si>
    <t xml:space="preserve">Nr. 523 / S. 50</t>
  </si>
  <si>
    <t xml:space="preserve">Klarstellung: Die Vertragsanlage 4, Kapitel 3.13.4, legt fest, welche Informationen auf der dynamischen Anzeige darzustellen sind und erlaubt eine Flexibilität, in welcher Form diese Darstellung erfolgt.</t>
  </si>
  <si>
    <t xml:space="preserve">In der Leistungsbeschreibung Errichtung wird darauf verwiesen, dass die dynamische Anzeige mit folgenden Informationen ausfüllen ist „(Typ des Ladeplatzes (MCS, CCS-Zwischenladen, CCS- Übernachtladen); Leistung der Ladesäule; Status (verfügbar, reserviert ab XX:XX Uhr, belegt, außer Betrieb); optional: Kennzeichen/Reservierungsnummer).“ Aus dieser Anforderung ergibt sich die Folge, dass die angezeigte Schriftgröße sehr klein werden würde. Zudem sollen z.B. für die internationale NutzerInnen auch andere Sprachen angezeigt erden. Hierbei wären Piktogramme und kürzere Texte schneller für die anfahrenden LKW erfassbar. Wir gehen davon aus, dass die Informationen aus der Vertragsanlage 4, Kapitel 3.13.4 nicht identisch übernommen werden sollen und Piktogramme zur Darstellung der Informationen genutzt werden können. Können die Infos auf der dynamischen Anzeige abwechselnd angezeigt werden, oder müssen alle Infos durchgängig gleichzeitig angezeigt werden?</t>
  </si>
  <si>
    <t xml:space="preserve">Bezug lt. Katalog: Vertragsanlage 04 – LB Errichtung Ziff. 3.13.4
Katalogdatum: 08.01.2026 // Antwort: Die Vertragsanlage 4, Kapitel 3.13.4, legt fest, welche Informationen auf der dynamischen Anzeige darzustellen sind und erlaubt eine Flexibilität, in welcher Form diese Darstellung erfolgt. Eine Umsetzung mittels Piktogrammen und kürzeren Texten ist daher zulässig. Der AN ist dafür verantwortlich, dass die Informationen vollständig, verständlich und verkehrssicher vermittelt werden. Eine abwechselnde Anzeige der Informationen ist nicht zulässig.</t>
  </si>
  <si>
    <t xml:space="preserve">ANF-570</t>
  </si>
  <si>
    <t xml:space="preserve">Nr. 524 / S. 50</t>
  </si>
  <si>
    <t xml:space="preserve">Klarstellung: Für den einzubauenden Anprallschutz sind ausschließlich solche Montagearten zulässig, die Bestandteil der durch die BASt geprüften und freigegebenen Systemausführung sind und den entsprechenden Vorgaben des Einbaudatenblatts bzw. …</t>
  </si>
  <si>
    <t xml:space="preserve">Laut Vertragsanlage 04 - Kap. 3.13.2 wird gefordert, dass die lediglich Randsteine konventionell mit Unterbeton einzubauen sind. Wir gehen daher davon aus, dass der zu verbauende Anprallschutz (bspw. Betonfertigteil) auf der OK Fahrbahn geklebt werden kann. Wir bitten um Bestätigung dieses Sachverhaltes.</t>
  </si>
  <si>
    <t xml:space="preserve">Bezug lt. Katalog: Vertragsanlage 04 - Kap. 3.13.2
Katalogdatum: 09.01.2026 // Antwort: Für den einzubauenden Anprallschutz sind ausschließlich solche Montagearten zulässig, die Bestandteil der durch die BASt geprüften und freigegebenen Systemausführung sind und den entsprechenden Vorgaben des Einbaudatenblatts bzw. der Zulassungsunterlagen entsprechen. Abweichende oder nicht geprüfte Montagearten sind nicht zulässig.</t>
  </si>
  <si>
    <t xml:space="preserve">ANF-571</t>
  </si>
  <si>
    <t xml:space="preserve">Nr. 525 / S. 50</t>
  </si>
  <si>
    <t xml:space="preserve">Bestätigt durch den Auftraggeber.</t>
  </si>
  <si>
    <t xml:space="preserve">Akzeptiert der Auftraggeber je Los die Stellung von zwei Vertragserfüllungsbürgschaften, die jeweils standortbezogen ausgestaltet sind und in ihrer Gesamtheit sämtliche Standorte des jeweiligen Loses abdecken?</t>
  </si>
  <si>
    <t xml:space="preserve">Bezug lt. Katalog: Zu § 53 Ziff. 1 i. v. m. Vertragsanlage 15 des Betreibervertrages - Sicherheiten, Vertragserfüllungsbürgschaft
Katalogdatum: 10.01.2026 // Antwort: Ja.</t>
  </si>
  <si>
    <t xml:space="preserve">ANF-572</t>
  </si>
  <si>
    <t xml:space="preserve">Nr. 526 / S. 50</t>
  </si>
  <si>
    <t xml:space="preserve">Klarstellung: zu (i) bis (iii): Die Ermittelung der Anprallenergien (Lastannahmen) für Poller in der Funktion als physische Barriere zum Verhindern von Fehlbelegungen obliegt dem AN.</t>
  </si>
  <si>
    <t xml:space="preserve">Laut Abschnitt 3.13.2.2 Leistungsbeschreibung Errichtung müssen Poller widerstandfähig gegen Anprall sein. (i) Gehen wir recht in der Annahme, dass darunter auch der Aufprall eines Sattelzuges mit geringer Geschwindigkeit von z.B. 6 km/h fällt? (ii) Wenn ja, bis zu welcher Geschwindigkeit bzw welcher Krafteinwirkung müssen die Poller einem solchen Aufprall standhalten und (iii) ab welcher Krafteinwirkung ist eine Sollbruchstelle gestattet, um im Falle eines solchen Ereignisses einen Neubau des Fundamentes bzw. des unterirdichen Teils der Anlage zu vermeiden? (iv) Gehen wir recht in der Annahme, dass die an der Mehrzahl der Standorte vorgesehenen Schranken nur durch ihre Anwesenheit ein Blockieren verhindern? (v) Falls nein, welchen Kräften/Ereignisssen soll eine Schranke standhalten können?</t>
  </si>
  <si>
    <t xml:space="preserve">Bezug lt. Katalog: Zur Vertragsanlage 4 Leistungsbeschreibung Errichtung, S.36, 3.13.2 - Poller
Katalogdatum: 10.01.2026 // Antwort: zu (i) bis (iii): Die Ermittelung der Anprallenergien (Lastannahmen) für Poller in der Funktion als physische Barriere zum Verhindern von Fehlbelegungen obliegt dem AN. Bitte Beachten Sie auch die Antwort zu Frage 501. zu (iv) und (v): Es sind handelsübliche, im öffentlichen Verkehrsraum eingesetzte und für den vorgesehenen Zweck geeignete Schrankensysteme zu verwenden.</t>
  </si>
  <si>
    <t xml:space="preserve">ANF-573</t>
  </si>
  <si>
    <t xml:space="preserve">Nr. 527 / S. 50</t>
  </si>
  <si>
    <t xml:space="preserve">Klarstellung: Ihre Frage ist in der vorliegenden Form nicht nachvollziehbar. Eine Unterdimensionierung eines Transformators ist nicht zulässig.</t>
  </si>
  <si>
    <t xml:space="preserve">Laut Vertragsanlage V04 Leistungsbeschreibung Errichtung 4.12.1 sind Transformatoren entsprechend dem Leistungsbedarf des Erstaufbaus auszuwählen. Die Dauerlast ist grundsätzlich auf etwa 80 % der Nennleistung auszulegen. Bisher sollte die (Erst-) Trafoleistung auf den LIS 2030 ausgelegt werden. Soll die Trafoleistung jetzt auf 80% der Nennleistung LIS 2030 ausgelegt werden? Beispiel: Standort Kiebitzberg in Los 1: LIS-Bedarf 2030: 2000KW. Sind nun eine à Trafoleistung von 0,8 x 2000kW = 1600kVA oder Trafoleistung 1,2 x 2000kW= 2400kVA gefordert?</t>
  </si>
  <si>
    <t xml:space="preserve">Bezug lt. Katalog: Zur Vertragsanlage 4 Leistungsbeschreibung Errichtung, S.55, 4.12.1 - Trafodimensierung
Katalogdatum: 10.01.2026 // Antwort: Ihre Frage ist in der vorliegenden Form nicht nachvollziehbar. Eine Unterdimensionierung eines Transformators ist nicht zulässig. EIne entsprechenden Leistungsreserve der Transformatoren soll thermische Überlastungen vermeiden und eine ausreichende Lebensdauer sicherstellen. Zudem können Leistungsangaben in kW nicht unmittelbar mit Scheinleistungen in kVA gleichgesetzt werden. Maßgeblich für die Dimensionierung ist die in Vertragsanlag 5 angegebene Leistung (LIS-Bedarf 2030). Die minimale erforderliche Trafoscheinleistung ergibt sich aus der Division der Netzanschlussleistung durch die zulässige Dauerlast (0,8) und den vom Auftragnehmer zu ermittelnden cos phi. Beispielhaft, bei 2.000 kW LIS-Bedarf und einem cos phi von 0,9, ergibt sich: Minimale Trafoscheinleistung = 2.000 kW / 0,8 / 0,9 = 2.778 kVA.</t>
  </si>
  <si>
    <t xml:space="preserve">ANF-574</t>
  </si>
  <si>
    <t xml:space="preserve">Nr. 528 / S. 50</t>
  </si>
  <si>
    <t xml:space="preserve">Klarstellung: Eine diesbezügliche Anpassung des Vertrages ist derzeit nicht vorgesehen. Ein möglicher Anspruch des AN auf Anpassung des Rahmenterminplans und der im Rahmenterminplan enthaltenen verbindlichen Vertragstermine ergibt sich in den …</t>
  </si>
  <si>
    <t xml:space="preserve">Gemäß Vertragsanlage 04 ist nach Zuschlagserteilung die Betriebsfreigabe des 1. Standortes innerhalb von 12 Monaten vorgesehen. Nach Prüfung des aktuellen Rahmenterminplans sehen wir hierfür wesentliche terminliche Risiken, insbesondere: - Vergabe sowie Abschluss von Rahmenverträgen mit Nachunternehmern, - Es sind alleine Ihrerseits für Prüf- und Freigabezeiten insgesamt 120 Tage angesetzt. - Bestellung, Werksherstellung und Lieferung der Netzstation (Erfahrungswert: ca. 230 Tage), - technische Prüfungen sowie der mittelspannungsseitige Anschluss durch den zuständigen Netzbetreiber, auf dessen Terminierung wir nur begrenzten Einfluss haben Vor diesem Hintergrund bitten wir um Klärung, ob die Frist zur Betriebsfreigabe des 1. Standortes um 3,5 Monate verlängert werden kann.</t>
  </si>
  <si>
    <t xml:space="preserve">Bezug lt. Katalog: Betriebsfreigabe 1. Standort
Katalogdatum: 13.01.2026 // Antwort: Eine diesbezügliche Anpassung des Vertrages ist derzeit nicht vorgesehen. Ein möglicher Anspruch des AN auf Anpassung des Rahmenterminplans und der im Rahmenterminplan enthaltenen verbindlichen Vertragstermine ergibt sich in den genannten Fällen aus § 12 Abs. 2, soweit die entsprechende Vorraussetzungen vorliegen. Dieser Anspruch wird als ausreichend angesehen.</t>
  </si>
  <si>
    <t xml:space="preserve">ANF-575</t>
  </si>
  <si>
    <t xml:space="preserve">Nr. 529 / S. 51</t>
  </si>
  <si>
    <t xml:space="preserve">Klarstellung: Die Annahme kann nicht bestätigt werden. Der Aufbau eines User-Terminal-Insel" ist keine zwingend Vorgabe des AG.</t>
  </si>
  <si>
    <t xml:space="preserve">Gemäß Vertragsanlage 4, Ziffer 4.14 ist eine technische Einrichtung zur Authentifizierung zur Freigabe der physischen Zufahrtsbeschränkung vorzusehen; bei Standorten mit Längsaufstellung erfolgt diese Zufahrtsbeschränkung über Poller. Darüber hinaus ist der Authentifizierungsvorgang gemäß Vertragsanlage 6, Ziffer 8 innerhalb von 45 Sekunden abzuschließen und so zu gestalten, dass der Verkehrsfluss möglichst wenig beeinträchtigt wird. Gehen wir recht in der Annahme, dass die Kombination dieser Anforderungen bei Längsaufstellung zwingend die Errichtung von Authentifizierungseinrichtungen (z. B. User-Terminal-Insel) vor den Ladeplätzen erforderlich macht? Wir bitten um Bestätigung, dass der hierfür erforderliche zusätzliche Flächenbedarf als durch die Vorgaben des Auftraggebers bedingt und somit als vertragskonforme Auslegung der Anforderungen anzusehen ist.</t>
  </si>
  <si>
    <t xml:space="preserve">Bezug lt. Katalog: Authentifizierung Längsaufstellung
Katalogdatum: 15.01.2026 // Antwort: Die Annahme kann nicht bestätigt werden. Der Aufbau eines User-Terminal-Insel" ist keine zwingend Vorgabe des AG. Unabhängig von der baulichen Ausgestaltung ist durch geeignete Maßnahmen sicherzustellen, dass die Freischaltung des Ladeplatzes sowohl bei Reservierungen als auch beim Ad-hoc-Laden jederzeit möglich ist und der Authentifizierungsvorgang innerhalb der vorgegebenen Zeit erfolgt. Die Wahl des Systems bzw. der konkreten Ausgestaltung obliegt dabei dem AN.</t>
  </si>
  <si>
    <t xml:space="preserve">eRound / tbd</t>
  </si>
  <si>
    <t xml:space="preserve">Schrankenanlage / Authentifizierungskomponente / OCPI Buchungskalender</t>
  </si>
  <si>
    <t xml:space="preserve">ANF-576</t>
  </si>
  <si>
    <t xml:space="preserve">Nr. 530 / S. 51</t>
  </si>
  <si>
    <t xml:space="preserve">Klarstellung: zu a) Die Annahme kann grundsätzlich bestätigt werden. Eine Anpassungen der Ausrichtung des Schrankenbaums sowie der Abmessungen der Schrankeninsel sind grundsätzlich möglich, sofern diese technisch erforderlich sind, um eine …</t>
  </si>
  <si>
    <t xml:space="preserve">Gemäß Vertragsanlage 4, Ziffer 3.13.2.1 ist der Schrankenbaum im Einfahrbereich parallel zur Fahrgasse auszurichten und so zu bemessen, dass der Ladeplatz vollständig gegen unbefugtes Einfahren gesperrt wird. Zudem sind gemäß Vertragsanlage 4, Ziffer 4.14 sowie Vertragsanlage 6, Ziffer 8 Authentifizierungseinrichtungen vorzusehen, deren Bedienung innerhalb von 45 Sekunden erfolgen und den Verkehrsfluss möglichst wenig beeinträchtigen muss. a) Wir bitten um Bestätigung, dass der Auftragnehmer die Ausrichtung des Schrankenbaums anpassen kann, sofern dies für die Bedienbarkeit einer Authentifizierungseinrichtung auf der Schrankeninsel erforderlich ist und eine ausreichende Schrankenbaumlänge zur Verhinderung unbefugten Einfahrens gewährleistet wird? Wir bitten um Bestätigung, dass die in Vertragsanlage 4, Ziffer 3.13.2.1 genannten Abmessungen der Schrankeninsel (max. 1,00 m × 2,50 m) angepasst bzw. verlängert werden dürfen, sofern dies erforderlich ist, um eine vertragskonforme Authentifizierung zu ermöglichen.</t>
  </si>
  <si>
    <t xml:space="preserve">Bezug lt. Katalog: Authentifizierung Schrankeninseln bei Schrägaufstellung
Katalogdatum: 15.01.2026 // Antwort: zu a) Die Annahme kann grundsätzlich bestätigt werden. Eine Anpassungen der Ausrichtung des Schrankenbaums sowie der Abmessungen der Schrankeninsel sind grundsätzlich möglich, sofern diese technisch erforderlich sind, um eine vertragskonforme, sichere und zügige Authentifizierung zu gewährleisten und gleichzeitig alle in der Vertragsanlage 4 definierten Anforderungen sowie die Anforderungen an die Verkehrssicherheit eingehalten werden. Abweichungen sind auf das erforderliche Maß zu beschränken, da ein einheitliches Erscheinungsbild anzustreben ist. zu b) Eine Anpassung der Schrankeninsel ist bei technischer oder planerischer Notwendigkeit möglich. Die Schrankeninsel darf nicht breiter als die Ladeinsel ausgeführt werden. Änderungen erfolgen ausschließlich in Abstimmung mit der zuständigen Niederlassung des AG. Der Nachweis der Funktionsfähigkeit (z. B. Schleppkurven) ist vom AN zu erbringen.</t>
  </si>
  <si>
    <t xml:space="preserve">Schrankenanlage / Authentifizierungskomponente</t>
  </si>
  <si>
    <t xml:space="preserve">ANF-577</t>
  </si>
  <si>
    <t xml:space="preserve">Nr. 531 / S. 51</t>
  </si>
  <si>
    <t xml:space="preserve">Klarstellung: Die Annahme ist nicht korrekt. Es ist sicherzustellen, dass der Status des Ladeplatzes auch bei einem Ausfall der dynamischen Anzeige eindeutig erkennbar bleibt.</t>
  </si>
  <si>
    <t xml:space="preserve">Gemäß Vertragsanlage 4 ist je Ladeplatz eine dynamische Anzeige vorzusehen; der Ladeplatzstatus ist zusätzlich über eine farbcodierte Statuskennzeichnung darzustellen. Gehen wir recht in der Annahme, dass diese Anforderung durch eine kombinierte Anzeigeeinheit je Ladeplatz erfüllt werden kann und keine Verpflichtung besteht, die genannten Informationen an zwei räumlich getrennten Stellen je Ladeplatz darzustellen?</t>
  </si>
  <si>
    <t xml:space="preserve">Bezug lt. Katalog: Kennzeichnung und Anzeigen an Ladeplätzen
Katalogdatum: 15.01.2026 // Antwort: Die Annahme ist nicht korrekt. Es ist sicherzustellen, dass der Status des Ladeplatzes auch bei einem Ausfall der dynamischen Anzeige eindeutig erkennbar bleibt. Daher ist eine unabhängige Statuskennzeichnung vorzusehen. Die konkrete Ausgestaltung obliegt dem AN.</t>
  </si>
  <si>
    <t xml:space="preserve">ANF-578</t>
  </si>
  <si>
    <t xml:space="preserve">Nr. 532 / S. 51</t>
  </si>
  <si>
    <t xml:space="preserve">Klarstellung: Die Annahme ist korrekt. Zur Einordnung weisen wir ergänzend darauf hin, dass gemäß Vertragsanlage 4, Abschnitt 3.13.2.2 bei vorhandener Bordanlage im Randbereich keine zusätzliche Ladeinsel erforderlich ist.</t>
  </si>
  <si>
    <t xml:space="preserve">Für Parkstände in Längsaufstellung ist gemäß Vertragsanlage 4 vorgesehen, dass die Kennzeichnung und Anzeigen „gut sichtbar, dem jeweiligen Ladeplatz zugehörig im Bereich der Ladeinsel bzw. der Ladesäule“ zu platzieren sind. Gehen wir recht in der Annahme, dass hierbei die gute Sichtbarkeit und eindeutige Zuordnung zum jeweiligen Ladeplatz maßgeblich ist und die Platzierung daher nicht zwingend im Bereich der Ladeinsel erfolgen muss?</t>
  </si>
  <si>
    <t xml:space="preserve">Bezug lt. Katalog: Platzierung der Anzeigen bei Längsaufstellung
Katalogdatum: 15.01.2026 // Antwort: Die Annahme ist korrekt. Zur Einordnung weisen wir ergänzend darauf hin, dass gemäß Vertragsanlage 4, Abschnitt 3.13.2.2 bei vorhandener Bordanlage im Randbereich keine zusätzliche Ladeinsel erforderlich ist. Eine Ladeinsel ist nur dann vorzusehen, wenn weder eine bestehende Bordanlage noch eine vergleichbare bauliche Absicherung vorhanden ist.</t>
  </si>
  <si>
    <t xml:space="preserve">ANF-579</t>
  </si>
  <si>
    <t xml:space="preserve">Nr. 533 / S. 51</t>
  </si>
  <si>
    <t xml:space="preserve">Klarstellung: Die Information, ob ein Standort in einem Wasserschutzgebiet liegt und welcher Schutzzone er zugeordnet ist, ist durch den AN eigenständig aus öffentlich zugänglichen Quellen zu ermitteln.</t>
  </si>
  <si>
    <t xml:space="preserve">Kann der AG eine Übersicht zur Verfügung stellen, welche Standorte sich in Wasserschutzgebieten befinden (inkl. Angabe Wasserschutzzone 1, 2 oder 3)? Ist die Verwendung von flüssigkeitsgekühlten Ladekabeln und -steckern in den Wasserschutzzonen aus Sicht des AG grundsätzlich möglich bzw. darf der Bieter davon ausgehen, dass die Verwendung von flüssigkeitsgekühlten Kabeln an allen Standorten gestattet ist?</t>
  </si>
  <si>
    <t xml:space="preserve">Bezug lt. Katalog: Zur Vertragsanlage 3 - Übersicht Standorte in Wasserschutzgebieten
Katalogdatum: 17.01.2026 // Antwort: Die Information, ob ein Standort in einem Wasserschutzgebiet liegt und welcher Schutzzone er zugeordnet ist, ist durch den AN eigenständig aus öffentlich zugänglichen Quellen zu ermitteln. Eine Übersicht wird vom AG nicht bereitgestellt. Die Verwendung von flüssigkeitsgekühlten Ladekabeln ist durch den AN standortspezifisch zu prüfen. Es sind die einschlägigen wasserrechtlichen Vorgaben einzuhalten. Ggf. erforderliche bauliche oder technische Maßnahmen zur Rückhaltung oder zur Vermeidung schädlicher Verunreinigungen sind durch den AN zu berücksichtigen.</t>
  </si>
  <si>
    <t xml:space="preserve">ANF-580</t>
  </si>
  <si>
    <t xml:space="preserve">Nr. 534 / S. 51</t>
  </si>
  <si>
    <t xml:space="preserve">Klarstellung: Die für die Ladeinfrastruktur in § 28 Abs. 3 geregelten Reaktionszeiten gelten auch für sonstige bauliche Elemente wie Schranken und Poller.</t>
  </si>
  <si>
    <t xml:space="preserve">Gelten für die Behebung von Schäden und Störungen an versenkbaren Poller bzw. der Schrankenanlage an den Ladeplätzen die hier für Ladeinfrastruktur angegebenen Reaktions- und Entstörungszeiten analog? Bzw. welche abweichenden Reaktions- und Entstörungszeiten und ggf. Pönalen gelten für die Behebung von Schäden und Störungen an Pollern und Schrankenanlage?</t>
  </si>
  <si>
    <t xml:space="preserve">Bezug lt. Katalog: Zu §28 Ziff. 3 des Betreibervertrags - Service Level Entstörung
Katalogdatum: 17.01.2026 // Antwort: Die für die Ladeinfrastruktur in § 28 Abs. 3 geregelten Reaktionszeiten gelten auch für sonstige bauliche Elemente wie Schranken und Poller. Kann eine Vor-Ort- Entstörung an den baulichen Elementen nicht durch den Auftragnehmer durchgeführt werden, ist die Behebung von Störungen oder Schäden durch den Auftragnehmer zu beauftragen. Der AG wird eine entsprechende Regelung in § 28 Abs. 1 bis 3 ergänzen.</t>
  </si>
  <si>
    <t xml:space="preserve">Schrankenanlage / Schrankensteuerung / Pönalisierungssystem</t>
  </si>
  <si>
    <t xml:space="preserve">ANF-581</t>
  </si>
  <si>
    <t xml:space="preserve">Nr. 535 / S. 51</t>
  </si>
  <si>
    <t xml:space="preserve">Klarstellung: Ein Laden gemäß ISO 15118-20 ist gemäß Vertragsanlage 6, Abschnitt 5, stets zu gewährleisten.</t>
  </si>
  <si>
    <t xml:space="preserve">Gehen wir recht in der Annahme, dass im Falle eines spontanen Ladevorgangs (d.h. ohne vorherige Reservierung) ein Laden mittels ISO 15118 nicht ermöglicht werden muss, da ja für die Autorisierung der Zugangssteuerung bereits ein anderes Autorisierungsverfahren benötigt wird?</t>
  </si>
  <si>
    <t xml:space="preserve">Bezug lt. Katalog: Zur Vertragsanlage 06 Anforderungen an die Ladeinfrastruktur, Abschnitt 8 - Autorisierung
Katalogdatum: 17.01.2026 // Antwort: Ein Laden gemäß ISO 15118-20 ist gemäß Vertragsanlage 6, Abschnitt 5, stets zu gewährleisten. Wenn Plug &amp; Charge gemeint ist, ist eine Freischaltung der physischen Barrieren damit selbstverständlich nicht möglich. Eine Authentifizierung mit Plug &amp; Charge ist nur direkt am Ladepunkt möglich.</t>
  </si>
  <si>
    <t xml:space="preserve">ANF-582</t>
  </si>
  <si>
    <t xml:space="preserve">Nr. 536 / S. 51</t>
  </si>
  <si>
    <t xml:space="preserve">Klarstellung: Bitte beachten Sie die Antwort auf Frage 527.</t>
  </si>
  <si>
    <t xml:space="preserve">Worauf bezieht sich die Nennleistung? Soll die Dauerleistung des Trafos auf 80% der Leistung LIS-Bedarf 2030 ausgelegt werden?</t>
  </si>
  <si>
    <t xml:space="preserve">Bezug lt. Katalog: Zur Vertragsanlage 04 - Definition Nennleistung
Katalogdatum: 17.01.2026 // Antwort: Bitte beachten Sie die Antwort auf Frage 527.</t>
  </si>
  <si>
    <t xml:space="preserve">ANF-583</t>
  </si>
  <si>
    <t xml:space="preserve">Nr. 537 / S. 51</t>
  </si>
  <si>
    <t xml:space="preserve">Klarstellung: (i) ja (ii) wenn der Nutzer ausschließlich eine EMP-App statt beispielsweise eine RFID-Karte oder Kreditkarte beim Ad-hoc Zahlen zum authentifizieren verwenden möchte, muss ihm dies ermöglicht werden.</t>
  </si>
  <si>
    <t xml:space="preserve">Gehen wir recht in der Annahme, dass, wie in Vertragsanlage 6 beschrieben, (i) zur Durchführung eines spontanen Ladevorgangs (d.h. ohne vorherige Reservierung) ein Zugang via EMP-App möglich sein muss? Falls ja, gehen wir recht in der Annahme, dass (ii) der Nutzer nur per App sowohl die Zugangsbarriere öffnen als auch den Ladevorgang starten können soll? Falls ja, gehen wir recht in der Annahme, dass (iii) im Falle einer z.B. in 32 min beginnenden Reservierung, dem Nutzer trotzdem ein Ladevorgang nicht verwehrt werden darf, auch wenn damit das Risiko besteht, dass der Nutzer den Ladeplatz nicht wieder rechtzeitig räumt? Falls nein, (iv) auf welchem Wege soll der Nutzer in seiner EMP- App einen Abschluss seines Ladevorgangs im Rahmen des verbleibenden Zeitraums (im Beispiel 32 min) vertraglich bindend bestätigen?</t>
  </si>
  <si>
    <t xml:space="preserve">Bezug lt. Katalog: Zur Vertragsanlage 04 Leistungsbeschreibung Errichtung und Vertragsanlage 06 Anforderungen an die Ladeinfrastruktur - V04, Abschnitt 3.13.2. (S. 36 oben) und V06 Abschnitt 8 – Autorisierung
Katalogdatum: 17.01.2026 // Antwort: (i) ja (ii) wenn der Nutzer ausschließlich eine EMP-App statt beispielsweise eine RFID-Karte oder Kreditkarte beim Ad-hoc Zahlen zum authentifizieren verwenden möchte, muss ihm dies ermöglicht werden. (iii) Der Ladevorgang ist zu gewährleisten. Gemäß § 38 Abs. 2 kann der Auftragnehmer dem Endnutzer bzw. Mobilitätsdienstleister auch ausdrücklich eine kürzere maximale Nutzungszeit einräumen, wenn wegen nachfolgender Reservierung die maximale Nutzungszeit von einer Stunde beim Zwischenladen (§ 38 Abs. 1 lit. a) nicht eingeräumt werden kann. (iv) Der AN ist dafür verantwortlich, die in § 38 dargelegten start- und zeitabhängige Entgelte sowie die Nutzungsdauer für alle Zugangsmodelle anzuwenden und die Nutzenden gemäß § 38 Abs. 9 zu informieren.</t>
  </si>
  <si>
    <t xml:space="preserve">ANF-584</t>
  </si>
  <si>
    <t xml:space="preserve">Nr. 538 / S. 52</t>
  </si>
  <si>
    <t xml:space="preserve">Bestätigt: Es wird keine aktualisierte Fassung der Zuschlagskriterien zur Verfügung gestellt.</t>
  </si>
  <si>
    <t xml:space="preserve">Hat der AG inzwischen geprüft, wie mit den Zuschlagskriterien (siehe Frage 505) umgegangen wird?</t>
  </si>
  <si>
    <t xml:space="preserve">Bezug lt. Katalog: Antwort zu Bieterfrage 505
Katalogdatum: 20.01.2026 // Antwort: Ja. Es wird keine aktualisierte Fassung der Zuschlagskriterien zur Verfügung gestellt. Die Zuschlagskriterien bleiben unverändert. Der AG nimmt allerdings die folgende Klarstellung vor: Soweit der AG zur Errichtung und zum Betrieb eine Konkretisierung aufgenommen hat, ist beim finalen Angebot zu berücksichtigen, dass die Vergabeunterlagen im Rahmen des Verhandlungsverfahrens fortgeschrieben worden sind. Die finalen Angebote sind auf Basis der fortgeschriebenen Vergabeunterlagen zu erstellen. Regelungsbereiche, die im Rahmen dieser Fortschreibung gestrichen oder für alle Bieter einheitlich geregelt worden sind, können nicht mehr Gegenstand der Bieterkonzepte zur Errichtung und zum Betrieb sein. In diesem Sinne sind insbesondere das genannte Trailerladen als Leistungsgegenstand gestrichen und der ebenfalls genannte Umgang mit dem „rechts-/links-Laden“ für alle Bieter einheitlich geregelt worden. Deswegen können diese Punkte nicht mehr Gegenstand der einzureichenden Konzepte zur Errichtung und zum Betrieb sein.</t>
  </si>
  <si>
    <t xml:space="preserve">ANF-585</t>
  </si>
  <si>
    <t xml:space="preserve">Nr. 539 / S. 52</t>
  </si>
  <si>
    <t xml:space="preserve">Klarstellung: a) Ja, der Auftragnehmer kann den Antrag auf Baufreigabe nach den vertraglichen Vorgaben grundsätzlich bereits vor Realisierung des Netzanschlusses an dem Standort stellen.</t>
  </si>
  <si>
    <t xml:space="preserve">Wir bitten um Klärung der Vertragsauslegung in Bezug auf den Netzanschluss: a. Darf der Auftragnehmer einen Antrag auf Baufreigabe stellen, unabhängig davon, welcher Zeitpunkt für die Realisierung des Netzanschlusses zwischen dem Auftraggeber und dem Netzbetreiber vereinbart wurde, sodass möglicherweise zwischen Baufreigabe und Bereitstellung des Netzanschlusses 2-3 Jahre liegen können? b. Ist der Auftragnehmer verpflichtet, zwecks Einhaltung der Terminpläne gemäß § 11 PV einen Antrag auf Baufreigabe zu stellen und mit der Errichtung eines Standortes zu beginnen, wenn noch keine Bestätigung des Auftraggebers vorliegt, dass der Netzanschluss zum vorgesehenen Termin der Inbetriebnahme vorhanden sein wird? c. Was passiert, wenn nach Erteilung der Baufreigabe der Netzanschluss deutlich später als in der Vertragsanlage 5 avisiert realisiert wird? Hat der Auftragnehmer einen Anspruch auf Erstattung der Mehrkosten, falls die Baustelle aufgrund einer solchen Verspätung geräumt und gesichert werden muss oder sogar Ladeinfrastruktur abgebaut werden muss, z.B. um Schäden durch Feuchtigkeit zu vermeiden?</t>
  </si>
  <si>
    <t xml:space="preserve">Bezug lt. Katalog: § 11 ff PV
Katalogdatum: 20.01.2026 // Antwort: a) Ja, der Auftragnehmer kann den Antrag auf Baufreigabe nach den vertraglichen Vorgaben grundsätzlich bereits vor Realisierung des Netzanschlusses an dem Standort stellen. Die Baufreigabe wird seitens des Auftraggebers jedoch erst erteilt, wenn die Herstellung des Netzanschlusses durch den Netzbetreiber absehbar ist. b) Ja. Der Auftragnehmer hat jedoch sicherzustellen, dass die geplante Inbetriebnahme und die Realisierung des Netzanschlusses zeitlich aufeinander abgestimmt sind. Hierbei hat der Auftragnehmer auch die seitens des Auftraggebers im Rahmen der Baufreigabe mitgeteilten aktualisierten Informationen zum Netzanschluss zu berücksichtigen. Zudem weist der Auftraggeber darauf hin, dass nach Kapitel 2.2.1 der Vertragsanlage 4 bei der Erstellung der Rahmenterminpläne die Netzanschlusssituation an dem Standort zu berücksichtigen ist. Standorte, an denen der Netzanschluss voraussichtlich früher realisiert wird, sind mithin vorrangig zu errichten. c) In diesem Fall greifen die vertraglichen Regelungen zum Umgang mit Verzögerungen beim Netzanschluss (vgl. §§12 Abs. 2 und 15 bis 18 des Betreibervertrags).</t>
  </si>
  <si>
    <t xml:space="preserve">ANF-586</t>
  </si>
  <si>
    <t xml:space="preserve">Nr. 540 / S. 52</t>
  </si>
  <si>
    <t xml:space="preserve">Anpassung der Unterlagen: Ihr Verständnis ist nicht zutreffend. Der AG hat den betreffenden Paragraphen konkretisiert.</t>
  </si>
  <si>
    <t xml:space="preserve">Ist unser Verständnis zutreffend, dass im Falle einer durch den AG nach der Baufreigabe angeordneten Reduzierung der Anzahl der zu errichtenden Ladepunkte gemäß § 16 Abs. 1 PV das Errichtungsentgelt gleichwohl im ursprünglich vorgesehenen Umfang ausgezahlt wird, zumal es zu diesem Zeitpunkt für den Auftragnehmer kaum noch möglich sein wird, die Errichtungskosten zu reduzieren? Wir möchten in diesem Zusammenhang auch darauf hinweisen, dass z.B. Transformatoren nicht ohne Weiteres an einem anderen Standort eingesetzt werden können, da jeweils die spezifischen Anforderungen des Netzbetreibers für den Standort berücksichtigt werden müssen.</t>
  </si>
  <si>
    <t xml:space="preserve">Bezug lt. Katalog: § 16 PV
Katalogdatum: 20.01.2026 // Antwort: Ihr Verständnis ist nicht zutreffend. Der AG hat den betreffenden Paragraphen konkretisiert. Der Betreibervertrag wird angepasst und den Bietern in einer aktualisierten Fassung bereitgestellt.</t>
  </si>
  <si>
    <t xml:space="preserve">ANF-587</t>
  </si>
  <si>
    <t xml:space="preserve">Nr. 541 / S. 52</t>
  </si>
  <si>
    <t xml:space="preserve">Bestätigt: die Bindefrist der Angebote verschiebt sich um 4 Wochen und endet somit am 28.08.2026 und auch die Frist der Bieterfragen endet dementsprechend 4 Wochen später am 27.02.2026.</t>
  </si>
  <si>
    <t xml:space="preserve">Wir bitten um Bestätigung, dass aufgrund der Verschiebung der Frist für die Abgabe der verbindlichen Angebote auch die Fristen für das Stellen von Fragen sowie die Bindefrist der Angebote um 4 Wochen verschoben werden.</t>
  </si>
  <si>
    <t xml:space="preserve">Bezug lt. Katalog: Fristen
Katalogdatum: 20.01.2026 // Antwort: Ja, die Bindefrist der Angebote verschiebt sich um 4 Wochen und endet somit am 28.08.2026 und auch die Frist der Bieterfragen endet dementsprechend 4 Wochen später am 27.02.2026. Das fiktive Zuschlagsdatum wird auf den 04.05.2026 geschoben.</t>
  </si>
  <si>
    <t xml:space="preserve">ANF-588</t>
  </si>
  <si>
    <t xml:space="preserve">Nr. 542 / S. 52</t>
  </si>
  <si>
    <t xml:space="preserve">Klarstellung: Die Eirneichung der Unterlage in Phase 02 ist aus Sicht des AG erorderlich. Es bleibt daher bei der bisherigen Regelung.</t>
  </si>
  <si>
    <t xml:space="preserve">Gemäß Anhang 7 zur Vertragsanlage 4 sind die Ergebnisse der geotechnischen Untersuchungen bereits in Phase 02 „Standortanalyse &amp; Vorplanung“ zur Prüfung und Genehmigung einzureichen. Da die geotechnischen Untersuchungen jedoch erst durchgeführt werden können, wenn die Ergebnisse der Kampfmittelvorerkundung und der Bestandsvermessung inkl. Leitungsaufnahme vorliegen und die Standortauswahl aller Komponenten der Ladeinfrastruktur im Rahmen der Vorplanung erfolgt und freigegeben ist, bitten wir um Klarstellung, ob die Übergabe der Ergebnisse der geotechnischen Untersuchungen in Phase03 „Entwurfsplanung“ verschoben werden kann. Sollte die Einreichung der Unterlage weiterhin in Phase 02 gefordert werden, weisen wir darauf hin, dass aufgrund noch nicht abschließend geklärter Planungsinhalte Wiederholungsleistungen sowie zusätzliche Leistungen erforderlich werden können, die im Rahmen einer vollständig durchgeführten Vorplanung vermieden werden könnten.</t>
  </si>
  <si>
    <t xml:space="preserve">Bezug lt. Katalog: Anhang 7 zur Vertragsanlage 4_Unterlagenliste Planungsprozess
Katalogdatum: 21.01.2026 // Antwort: Die Eirneichung der Unterlage in Phase 02 ist aus Sicht des AG erorderlich. Es bleibt daher bei der bisherigen Regelung.</t>
  </si>
  <si>
    <t xml:space="preserve">ANF-589</t>
  </si>
  <si>
    <t xml:space="preserve">Nr. 543 / S. 52</t>
  </si>
  <si>
    <t xml:space="preserve">Klarstellung: Der Betreibervertrag wird dahingehend angepasst, dass eine Überprüfung der Versicherungssumme der Haftpflichtversicherungen nur alle drei Jahre und eine Anpassung der Versicherungssumme nur bei Überschreitung eines …</t>
  </si>
  <si>
    <t xml:space="preserve">Die jährliche Anpassung der Versicherungssumme in der Haftpflichtversicherung stellt einen hohen Aufwand dar, ist praxisfern und ist meistens nicht erforderlich. Die Haftpflichtversicherung für die Bauphase ist nach Abschluss des Vertrages nicht mehr veränderbar. Der Vertrag wird im Gegensatz zur Betriebshaftpflicht nicht jährlich verlängert, sondern die Dauer des Vertrags wird analog der Bauzeit festgelegt. Ist es möglich, die Verpflichtung zur Indexierung/Anpassung der Versicherungssumme der Bauhaftpflichtversicherung von diesem Passus auszuschließen? Ist es darüber hinaus möglich, die Prüfung und gegebenenfalls erforderliche Anpassung der Versicherungssumme für die Betriebshaftpflichtversicherung in größeren Zeitintervallen (z. B. alle 3 oder 5 Jahre) vorzusehen, alternativ gekoppelt an das Überschreiten eines kumulierten Schwellenwerts seit Vertragsbeginn, um den administrativen Aufwand zu reduzieren, ohne den Versicherungsschutz zu beeinträchtigen?</t>
  </si>
  <si>
    <t xml:space="preserve">Bezug lt. Katalog: §54.4a Betreibervertrag
Katalogdatum: 21.01.2026 // Antwort: Der Betreibervertrag wird dahingehend angepasst, dass eine Überprüfung der Versicherungssumme der Haftpflichtversicherungen nur alle drei Jahre und eine Anpassung der Versicherungssumme nur bei Überschreitung eines Schwellenwertes von 10% seit Vertragsschluss bzw. letzter Anpassung erfolgt. Darüber hinaus wurde die Bauhaftpflichtversicherung von dieser Überprüfungsregelung ausgenommen.</t>
  </si>
  <si>
    <t xml:space="preserve">ANF-590</t>
  </si>
  <si>
    <t xml:space="preserve">Nr. 544 / S. 52</t>
  </si>
  <si>
    <t xml:space="preserve">Anpassung der Unterlagen: Der Vertrag wird entsprechend angepasst.</t>
  </si>
  <si>
    <t xml:space="preserve">Um eine bessere Wettbewerbsfähigkeit gewährleisten zu können, wäre eine größerer Spielraum bei der Gestaltung der Selbstbeteiligung hilfreich. Ist es möglich, dass die Höhe des Selbstbehaltes etwas großzügiger gestaltet wird und - wie für die anderen Versicherungen- auf 20.000€ erhöht wird?</t>
  </si>
  <si>
    <t xml:space="preserve">Bezug lt. Katalog: §54.3a Betreibervertrag - Selbstbeteiligungen
Katalogdatum: 21.01.2026 // Antwort: Der Vertrag wird entsprechend angepasst.</t>
  </si>
  <si>
    <t xml:space="preserve">ANF-591</t>
  </si>
  <si>
    <t xml:space="preserve">Nr. 545 / S. 53</t>
  </si>
  <si>
    <t xml:space="preserve">Klarstellung: Eine Anpassung ist möglich, wir werden dies im Vertrag entsprechend anpassen.</t>
  </si>
  <si>
    <t xml:space="preserve">Es handelt sich hierbei um eine eng formulierte Anforderung. Gegeben falls ist gar nicht vorgesehen, dass fremde Inhalte bereitgehalten oder entsprechende Providing-Leistungen erbracht werden. Kann die Anforderung dahingehend präzisiert bzw. umformuliert werden, dass eine entsprechende Deckung nur insoweit erforderlich ist, als tatsächlich Leistungen im Bereich des Bereithaltens fremder Inhalte (Providing) erbracht werden?</t>
  </si>
  <si>
    <t xml:space="preserve">Bezug lt. Katalog: § 54.2g. aa) - Deckungserweiterungen zu Betriebs- und Produkthaftpflichtversicherung: Vermögensschäden Dritter aus dem Bereithalten fremder Inhalte/Providing
Katalogdatum: 21.01.2026 // Antwort: Eine Anpassung ist möglich, wir werden dies im Vertrag entsprechend anpassen.</t>
  </si>
  <si>
    <t xml:space="preserve">ANF-592</t>
  </si>
  <si>
    <t xml:space="preserve">Nr. 546 / S. 53</t>
  </si>
  <si>
    <t xml:space="preserve">Klarstellung: Die Bieterfragen Fragen 466 und 467 wurden bereits beantwortet.</t>
  </si>
  <si>
    <t xml:space="preserve">Wir weisen nochmals auf die ausstehende Beantwortung der Bieterfrage 466 und 467 hin. Die Ergänzung der Baustoffe „Beton“ und „Asphalt“ in die Stoffpreisgleitklausel ermöglicht in der Regel erhebliche Kosteneinsparungen und folglich die Abgabe wirtschaftlicherer Angebote. Wir bitten daher darum, dass hierzu eine entsprechende kurzfristige Beantwortung der Frage durch den AG erfolgt, sodass die Kalkulation dahingehend abgeschlossen werden kann.</t>
  </si>
  <si>
    <t xml:space="preserve">Bezug lt. Katalog: Bieterfrage 466 und 467
Katalogdatum: 27.01.2026 // Antwort: Die Bieterfragen Fragen 466 und 467 wurden bereits beantwortet.</t>
  </si>
  <si>
    <t xml:space="preserve">ANF-593</t>
  </si>
  <si>
    <t xml:space="preserve">Nr. 547 / S. 53</t>
  </si>
  <si>
    <t xml:space="preserve">Klarstellung: Der AG hat die Fragestellung zum Leistungsumfang der vorwegweisenden Beschilderung geprüft und weist darauf hin, dass dieser für die Bieter grundsätzlich kalkulierbar sein sollte. zu a) Nein, es ist nicht davon auszugehen, dass …</t>
  </si>
  <si>
    <t xml:space="preserve">In der Vertragsanlage 4 unter Ziffer3.14.2 sowie in den jeweiligen Vertragsanlagen 3 der einzelnen Lose werden spezifische Anforderungen an die vorwegweisende Beschilderung definiert. Nach Anlage 4, Ziffer3.14.2 umfasst der Leistungsumfang des Auftragnehmers sämtliche hierfür erforderlichen Leistungen, einschließlich Demontage der vorhandenen Beschilderung, Erneuerung bzw. Anpassung der Aufstellkonstruktionen und Fundamente sowie die Erstellung der statischen Nachweise. Dies betrifft sowohl Standorte, an denen gemäß Anlage3 lediglich Aufsetzer oder Aufstecker zu erneuern sind, als auch solche, an denen eine vollständige Erneuerung der vorwegweisenden Beschilderung vorgesehen ist. Vor diesem Hintergrund bitten wir um Prüfung und Bestätigung der folgenden Annahmen zum Leistungsumfang des Auftragnehmers: a.) Wir gehen davon aus, dass den Bietern, spätestens unmittelbar nach Zuschlagserteilung, vollständige und belastbare Informationen zur vorhandenen Beschilderung, zu den bestehenden Aufstellkonstruktionen, zu verbauten Fundamenten sowie zu vorhandenen statischen Nachweisen bereitgestellt werden, um eine statische Nachrechnung der neuen Beschilderung sachgerecht durchführen zu können.</t>
  </si>
  <si>
    <t xml:space="preserve">Bezug lt. Katalog: Vertragsanlage 4 „LB Errichtung“ 3.14.2 Verkehrszeichen und Verkehrseinrichtungen / Vertragsanlage 3: Angaben und Informationen zu den einzelnen Standorten
Katalogdatum: 27.01.2026 // Antwort: Der AG hat die Fragestellung zum Leistungsumfang der vorwegweisenden Beschilderung geprüft und weist darauf hin, dass dieser für die Bieter grundsätzlich kalkulierbar sein sollte. zu a) Nein, es ist nicht davon auszugehen, dass belastbare Informationen zu verbauten Fundeamenten sowie zu vorhandenen statischen Nachweisen bereitgestellt werden können.</t>
  </si>
  <si>
    <t xml:space="preserve">ANF-594</t>
  </si>
  <si>
    <t xml:space="preserve">Nr. 548 / S. 53</t>
  </si>
  <si>
    <t xml:space="preserve">Klarstellung: Bei den Schildern, bei denen gemäß Vertragsanlage 3 eine grundhafte Erneuerung durchzuführen ist, sind auch die erforderlichen Leistungen (wie z.B.</t>
  </si>
  <si>
    <t xml:space="preserve">b.) Sollten entsprechende Unterlagen nicht vollumfänglich vorliegen, gehen wir davon aus, dass die Grundlagenbeschaffung einschließlich gegebenenfalls erforderlicher Baugrunderkundungen separat vergütet wird, da diese Leistungen ohne belastbare Bestandsinformationen nicht wirtschaftlich kalkulierbar sind. Andernfalls wäre seitens der Bieter für sämtliche Standorte mit statisch wirksamen Änderungen ein pauschaler Risikoaufschlag vorzusehen, was aus unserer Sicht zu einer unwirtschaftlichen Angebotslage führen würde.</t>
  </si>
  <si>
    <t xml:space="preserve">Bezug lt. Katalog: siehe 547
Katalogdatum: 27.01.2026 // Antwort: Bei den Schildern, bei denen gemäß Vertragsanlage 3 eine grundhafte Erneuerung durchzuführen ist, sind auch die erforderlichen Leistungen (wie z.B. Fundamente, Aufstellvorrichtung, Wegweiser, Erstellung der statischen Nachweise) zu erbringen. Bei den Schildern, bei denen gemäß Vertragsanlage 3 keine grundhafte Erneuerung durchzuführen ist, sind keine Fundamente und Aufstellvorrichtungen umzusetzen, sondern lediglich Aufsetzer bzw. Abdecker am Wegweiser zu beschaffen und anzubringen. Ein statischer Nachweis ist bei Abdeckern und Aufsetzern nicht erforderlich.</t>
  </si>
  <si>
    <t xml:space="preserve">ANF-595</t>
  </si>
  <si>
    <t xml:space="preserve">Nr. 549 / S. 53</t>
  </si>
  <si>
    <t xml:space="preserve">Klarstellung: Im Leistungssoll der Auftragnehmer ist - auch im Rahmen der Beschilderung - keine Grunderneuerung von Ingenieurbauwerken enthalten.</t>
  </si>
  <si>
    <t xml:space="preserve">c.) Gemäß den Anlagen 3 sind auch Überkopfwegweiseranlagen betroffen, die als Ingenieurbauwerke gelten und deren Erneuerung regelmäßig Kosten im sechsstelligen Bereich verursacht. Wir bitten daher um Prüfung und Klarstellung, ob diese Anlagen von der pauschalen Leistungspflicht des Auftragnehmers ausgenommen werden können. Ohne gesicherte Bestandsunterlagen, statische Vorgaben und eindeutige planerische Grundlagen ist eine wirtschaftliche und belastbare Kalkulation für derartige Bauwerke nicht möglich.</t>
  </si>
  <si>
    <t xml:space="preserve">Bezug lt. Katalog: siehe 547
Katalogdatum: 27.01.2026 // Antwort: Im Leistungssoll der Auftragnehmer ist - auch im Rahmen der Beschilderung - keine Grunderneuerung von Ingenieurbauwerken enthalten. Der AG stellt klar, dass aktuell lediglich zwei Standorte von Überkopfwegweiseranlagen, die als Ingenieurbauwerke gelten betroffen sind. Bei diesen Standorten ist keine Grunderneuerung vorzunehmen, sondern wie folgt vorzugehen: - EIn Wegweiser zur Vellern Nord (DE-NW-000071) an der 2 ist an einem Kragarm montiert. Das entsprechende Piktogramm ist durch einen Abdecker anzubringen. - Ein Wegweiser zur Linsenbühl (DE-BW-006005) an der A 6 ist an einem Kragarm montiert. Das entsprechende Piktogramm ist durch einen Aufsetzer anzubringen.</t>
  </si>
  <si>
    <t xml:space="preserve">ANF-596</t>
  </si>
  <si>
    <t xml:space="preserve">Nr. 550 / S. 53</t>
  </si>
  <si>
    <t xml:space="preserve">Verweis des Auftraggebers auf die Antwort zu Bieterfrage 506.</t>
  </si>
  <si>
    <t xml:space="preserve">Gemäß Betreibervertrag §11 Abs. 5 „hat der Rahmenterminplan die Betriebsfreigabe des letzten Standortes im Regelfall bis zum 31.12.2030 vorzusehen (mit Ausnahme der Regelung in § 19 Abs. 2 lit. a) und der Regelung in § 17 Abs. 5), soweit dies unter Berücksichtigung der Errichtung des Netzanschlusses an den Standorten möglich ist“. In der am 04.12.2025 veröffentlichten Vertragsanlage 4 (Absatz 2.2.1 Rahmenterminplan) sowie in der am 16.01.2026 veröffentlichten Vertragsanlage 5 wird jedoch deutlich, dass es mittlerweile mehrere Standorte gibt, bei denen aufgrund fehlender Netzanschlüsse die Betriebsfreigabe erst nach dem 31.12.2030 möglich wird. Die Vergabestelle macht hierzu leider keine konkreten Aussagen. Somit sehen wir uns nicht in der Lage, diese Standorte entsprechend im Rahmenterminplan im Rahmen des Angebots vorzusehen. Wir bitten um eine Erklärung, wie hier vorzugehen ist bzw. ob diese Standorte im Rahmen des Angebots im Rahmenterminplan mit dem fiktiven Inbetriebnahmedatum 31.12.2030 darzustellen sind. Darüber hinaus möchten wir darauf hinweisen, dass wir es aufgrund der hohen Anforderungen des Auftraggebers bezüglich der personellen Ausstattung des Realisierungsteams als äußerst schwierig ansehen, den Errichtungsverpflichtungen gemäß §17 Abs. 5 nach dem 31.12.2030 uneingeschränkt nachzukommen. Es ist wirtschaftlich nicht darstellbar, das gesamte „Bauteam“ über die kompletten 8 Jahre vorzuhalten. Wir regen daher dringend an, § 17 Abs. 5 PV dahingehend zu ändern, dass der letzte Satz („Die Einzelheiten der Errichtung und des Betriebs des Standortes vereinbaren die Parteien in den Fällen des Satzes 2 mittels gesonderter Nachtragsvereinbarung zu diesem Vertrag.“) für alle Standorte anzuwenden ist, bei denen kein Netzanschluss bis zum 31.12.2030 bereitgestellt wird.</t>
  </si>
  <si>
    <t xml:space="preserve">Bezug lt. Katalog: Betreibervertrag §11 Abs. 5
Katalogdatum: 27.01.2026 // Antwort: Siehe Antwort auf Bieterfrage 506.</t>
  </si>
  <si>
    <t xml:space="preserve">Automatisch ausgewertet: Die Antwort des Auftraggebers verweist ausschließlich auf Bieterfrage 506. Keine eigenständige Anforderung – der Inhalt ist unter der dort erfassten Zeile nachzuhalten.</t>
  </si>
  <si>
    <t xml:space="preserve">ANF-597</t>
  </si>
  <si>
    <t xml:space="preserve">Nr. 551 / S. 54</t>
  </si>
  <si>
    <t xml:space="preserve">Klarstellung: Der AN ist verantwortlich, Erforderlichkeit, Art und Umfang der durchzuführenden Prüfmaßnahmen festzulegen.</t>
  </si>
  <si>
    <t xml:space="preserve">Laut Leistungsbeschreibung Betrieb, §6.1 heißt es: „Der AN ist dafür verantwortlich, dass die E-Lkw- Schnellladeinfrastruktur den jeweils geltenden gesetzlichen und untergesetzlichen Vorgaben sowie den anerkannten Regeln der Technik enstpricht.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 Welche Tätigkeiten müssen hier genau durch eine Prüforganisation durchgeführt werden? Ist eine Prüfung der Unterlagen und eine Begehung des Standortes ausreichend?</t>
  </si>
  <si>
    <t xml:space="preserve">Bezug lt. Katalog: Leistungsbeschreibung Betrieb, §6.1
Katalogdatum: 27.01.2026 // Antwort: Der AN ist verantwortlich, Erforderlichkeit, Art und Umfang der durchzuführenden Prüfmaßnahmen festzulegen. Erforderlichkeit, Art und Umfang müssen sich nach den zum Zeitpunkt geltenden gesetzlichen und untergesetzlichen Vorgaben und technischen Regeln richten. Hierzu zählen beispielsweise die Anforderungen aus DIN EN 61851 1, DIN EN ISO 15118 1, DIN EN 50110 1, DIN VDE 0105 100 sowie den für DC Ladeeinrichtungen geltenden VDE Anwendungsregeln. Darüber hinaus sind alle weitergehenden Prüfmaßnahmen umzusetzen, die sich aus Hersteller und Errichtervorgaben oder den Standards der beauftragten Prüforganisation ergeben.</t>
  </si>
  <si>
    <t xml:space="preserve">ANF-598</t>
  </si>
  <si>
    <t xml:space="preserve">Nr. 552 / S. 54</t>
  </si>
  <si>
    <t xml:space="preserve">Klarstellung: Es wird auf die Antwort zur Bieterfrage 466 verwiesen. Die Aufnahme einer Stoffpreisgleitklausel für Beton kann nicht erfolgen.</t>
  </si>
  <si>
    <t xml:space="preserve">Sie haben Bieterfrage 466 mit dem Hinweis beantwortet, dass die erforderliche Preisvolatilität nicht vorliegt. Dies erstaunt uns, da bei dem wesentlichen Baustoff Zement als relevante Baukomponente von Beton die Preissteigerung in Summe 59% von Januar 2021 bis Dezember 2025 beträgt (Trotz leichter Preisberuhigung bei einzelnen Produkten seit -Bauindustrie). Zudem ist Zement enorm von den Energiekosten abhängig und wird in den künftigen Jahren ebenfalls eine wesentliche Kostensteigerung durch die erhöhte CO2-Besteuerung erhalten. 1.) Wir bitten Sie daher nochmal zu prüfen, ob die Preisvolatilität im Fall des relevanten Baustoffs Zement nicht doch zutrifft. Grundsätzlich sind ja nach den einschlägigen Erlassen zur Stoffpreisgleitung „Zementprodukte“ vorgesehen.</t>
  </si>
  <si>
    <t xml:space="preserve">Bezug lt. Katalog: Vertragsanlagen 14.2 und 14.3; Bieterfrage 466
Katalogdatum: 29.01.2026 // Antwort: Es wird auf die Antwort zur Bieterfrage 466 verwiesen. Die Aufnahme einer Stoffpreisgleitklausel für Beton kann nicht erfolgen.</t>
  </si>
  <si>
    <t xml:space="preserve">ANF-599</t>
  </si>
  <si>
    <t xml:space="preserve">Nr. 553 / S. 54</t>
  </si>
  <si>
    <t xml:space="preserve">Klarstellung: 1) Ihre Annahme ist zutreffend 2) Der Status PLANNED ist für Ladepunkte vorgesehen, die sich noch nicht in Betrieb befinden.</t>
  </si>
  <si>
    <t xml:space="preserve">Zitat (Geplante Ausfallminuten bleiben in dem im Wartungs- und Instandhaltungskonzept vorgesehenen Umfang außer Betracht, wobei die Vorgaben an das Wartungs- und Instandhaltungskonzept nach Anlage Ziff. (6) einzuhalten sind. Zeiten der Begutachtung durch Prüforganisationen gemäß Ziff. 6 bleiben ebenfalls außer Betracht. Diese Zeiten sind mit dem Status INOPERATIVE gemäß Zeile „status“ der Tabelle unter Ziff. 4 „Ladepunktdaten“ zu kennzeichnen.) 1. Bezieht sich der Status INOPERATIVE auf beide Zeiten (Wartung/Instandhaltung UND Begutachtung durch Prüforganisationen)? 2. Es handelt sich dabei meist um geplante Einsätze. Warum ist nicht wie nach OCPI vorgesehen "PLANNED" zu verwenden?</t>
  </si>
  <si>
    <t xml:space="preserve">Bezug lt. Katalog: §5 Kapitel 7 Verfügbarkeit, Vetragsanlage 10 Leistungsbeschreibung Betrieb, Absatz 5
Katalogdatum: 30.01.2025 // Antwort: 1) Ihre Annahme ist zutreffend 2) Der Status PLANNED ist für Ladepunkte vorgesehen, die sich noch nicht in Betrieb befinden. Für geplante Ausfallzeiten bereits in Betrieb befindlicher Ladepunkte ist der Status INOPERATIVE vorgesehen.</t>
  </si>
  <si>
    <t xml:space="preserve">ANF-600</t>
  </si>
  <si>
    <t xml:space="preserve">Nr. 554 / S. 54</t>
  </si>
  <si>
    <t xml:space="preserve">Klarstellung: 1) Ihre Annahme ist zutreffend 2) Ihre Annahme ist zutreffend</t>
  </si>
  <si>
    <t xml:space="preserve">Ist es richtig, dass die längeren und kürzeren Störungen separat betrachtet werden? Wenn zum Beispiel längere Störungen von insgesamt 10 Minuten und kürzere Störungen von ebenfalls 10 Minuten an einem Tag vorliegen, dann fallen keine Pönale an, da keine der beiden Störungskategorien die Grenze von 15 Minuten pro Tag überschreitet, obwohl beide Störungskategorien zusammengenommen die Grenze überschreiten würden. Ist dies korrekt? (1) Generell würde das bedeuten, dass die Pönalberechnung für beide Störungskategorien unabhängig erfolgt. Sollten die längeren Störungen die Grenze von 15 Minuten pro Tag überschreiten, dann werden diese mit einem Pönal belegt, kürzere Störungen unter 15 min an dem gleichen Tag jedoch nicht. Ist das korrekt? (2)</t>
  </si>
  <si>
    <t xml:space="preserve">Bezug lt. Katalog: §5 Kapitel 7 Verfügbarkeit, Vertragsanlage 10 Leistungsbeschreibung Betrieb, Absatz 3 und 4
Katalogdatum: 30.01.2025 // Antwort: 1) Ihre Annahme ist zutreffend 2) Ihre Annahme ist zutreffend</t>
  </si>
  <si>
    <t xml:space="preserve">ANF-601</t>
  </si>
  <si>
    <t xml:space="preserve">Nr. 555 / S. 54</t>
  </si>
  <si>
    <t xml:space="preserve">Klarstellung: Die Länge einer Störung definiert sich über die Dauer am jeweiligen Tag. In dem erläuterten Szenario, bei dem eine Störung um 23:56 Uhr auftritt und bis 12 Uhr am nächsten Tag andauert, läge am ersten Tag eine kürzere und am …</t>
  </si>
  <si>
    <t xml:space="preserve">Wie genau ist definiert, ob es sich um eine "längere" oder "kürzere" Störung handelt? Bezieht sich das auf die Gesamtlänge der Störung oder nur auf den Teil, der im betrachteten Tag liegt? Es geht um den Sonderfall, dass die Störung über 2 oder mehr Tage geht. Wenn diese z.B. um 23:56 anfängt und bis 12 Uhr am nächsten Tag dauert, wäre die Störung an beiden Tagen als "längere" Störung zu betrachten oder nur an dem zweiten Tag?</t>
  </si>
  <si>
    <t xml:space="preserve">Bezug lt. Katalog: §5 Kapitel 7 Verfügbarkeit, Vertragsanlage 10 Leistungsbeschreibung Betrieb, Absatz 3 und 4
Katalogdatum: 30.01.2025
Zuordnung prüfen (Komponente/Partner nicht eindeutig) // Antwort: Die Länge einer Störung definiert sich über die Dauer am jeweiligen Tag. In dem erläuterten Szenario, bei dem eine Störung um 23:56 Uhr auftritt und bis 12 Uhr am nächsten Tag andauert, läge am ersten Tag eine kürzere und am zweiten Tag eine längere Störung vor.</t>
  </si>
  <si>
    <t xml:space="preserve">ANF-602</t>
  </si>
  <si>
    <t xml:space="preserve">Nr. 556 / S. 54</t>
  </si>
  <si>
    <t xml:space="preserve">Klarstellung: Der Abschnitt der Vertragsanlage 4 wurde entsprechend konkretisiert.</t>
  </si>
  <si>
    <t xml:space="preserve">Bei der Durchsicht der Unterlagen fällt auf, dass der angesetzte „Standardbetriebslichtpegel“ von 20 Lux auf einer Einordnung des Ladeplatzes als Parkplatz bzw. Verkehrsfläche nach DIN EN 13201 basiert. Gleichzeitig orientiert sich die DIN EN 12464 2 auf der Bewertung von Sehaufgaben und Tätigkeiten (Kap. 6.3) und ordnet Beleuchtungsstärken nach der tatsächlichen visuellen Anforderung zu. Bei CCS- /MCS Ladevorgängen ergeben sich manuelle Tätigkeiten mit erhöhtem Präzisions und Sicherheitsbedarf (Führen und Ankuppeln schwerer Steckverbinder, Erkennen von Stolperstellen), für die in der Norm vergleichbare Tätigkeiten bereits 50–100 Lux erfordern. Tankstellen, die vergleichbare Tätigkeiten erfordern, werden als eigener Tätigkeitsbereich in der DIN EN 12464 2 behandelt, was als Orientierung dienen kann. Vor diesem Hintergrund bitten wir um Bestätigung, dass der Wert von 20 Lux trotz der erkennbaren höheren Anforderungen der DIN EN 12464-2 verbindlich umzusetzen ist, oder ob eine Anpassung auf einen höheren Beleuchtungswert vorgesehen ist. Weiterhin bitten wir um Bestätigung, dass die geforderten 10 % Dimmung sich auf 10 % der Beleuchtungsstärke (Lux) beziehen (bei 20 Lux „Standardbetriebslichtpegel“ also ca. 2 Lux gedimmt).</t>
  </si>
  <si>
    <t xml:space="preserve">Bezug lt. Katalog: Kapitel 3.14.1 der Vertragsanlage 4
Katalogdatum: 30.01.2025
Zuordnung prüfen (Komponente/Partner nicht eindeutig) // Antwort: Der Abschnitt der Vertragsanlage 4 wurde entsprechend konkretisiert.</t>
  </si>
  <si>
    <t xml:space="preserve">ANF-603</t>
  </si>
  <si>
    <t xml:space="preserve">Nr. 557 / S. 55</t>
  </si>
  <si>
    <t xml:space="preserve">Klarstellung: Zur Ermittlung der Ausgleichszahlung ist der auf SMARD veröffentlichte Wert in ct / kWh relevant.</t>
  </si>
  <si>
    <t xml:space="preserve">In § 37 Abs. 2 wird die Ausgleichszahlung für Energieverluste beschrieben als „…veröffentlichter Preisindex für Industriestrom ohne Vergünstigungen … geteilt durch 100 multipliziert mit 7,5“. Auf SMARD wird dieser Wert als Index (Basis 2021 = 100, einheitenlos) veröffentlicht; daneben wird teils auch ein Wert als Preis in ct/kWh ausgewiesen. In der Bieterfrage Aus Bietersicht ist unklar, auf welchen der beiden SMARD-Werte der Vertrag abstellt, weil sich je nach Ansatz sehr unterschiedliche Ergebnisse ergeben: - A. Ansatz A (Indexwert): Beispiel Index ≈ 95 → 95/100×7,5=7,195 / 100 × 7,5 = 7,195/100×7,5=7,1 Dieser Ansatz wurde in der Frage 472 und der dazugehörigen Antwort verwendet. Folgt man dieser Interpretation ist jedoch nicht eindeutig welche Einheit das Ergebnis hat, da die Berechnung auf einem Index ohne Einheit basiert. Dies ist auch in §37 nicht eindeutig geklärt. In Bieterfrage 472 wurde unterstellt, dass das Ergebnis als Euro pro MWh zu verstehen ist, was eine Kompensation von 7 EUR pro MWh, bzw. 7 ct je kWh bedeuten würde. B. Ansatz B (Preis in ct/kWh): Beispiel Preis ≈ 16 ct/kWh → 16/100×7,5=1,2 ct/kWh Das entspräche einer Kompensation von ca. 1,2 ct/kWh je abgegebener kWh, also 7,5% des Industriestrompreises. Wir bitten um Klarstellung: 1. Ist bei der Berechnung nach § 37 Abs. 2 auf den Indexwert oder auf den Preis in ct/kWh (SMARD/BNetzA, jeweils „ohne Vergünstigungen“) abzustellen? 2. Ist die sich daraus ergebende Größenordnung der Ausgleichszahlung (je nach Auslegung ca. ~7 ct/kWh vs. ~1,2 ct/kWh) jeweils so beabsichtigt bzw. plausibel? 3. Bitte bestätigen Sie die korrekte Berechnung anhand eines kurzen Beispiels (z. B. abgegebene Energie 400 kWh; relevanter Quartalswert nach Ihrer Auslegung). Titel: Höhe des anzunehmenden Infrastrukturentgelts Der Bieter bittet um Klarstellung welche Höhe ist für das Infrastrukturentgelt in cent je kWh für das Angebot anzunehmen ist.</t>
  </si>
  <si>
    <t xml:space="preserve">Bezug lt. Katalog: § 37 Abs. 2 – Ausgleichszahlung für Energieverluste im Durchleitungsmodell / Antwort auf Bieterfrage 472
Katalogdatum: 04.02.2026 // Antwort: Zur Ermittlung der Ausgleichszahlung ist der auf SMARD veröffentlichte Wert in ct / kWh relevant. Dies wird in §37 des Betreibervertrags klargestellt. Somit entspricht dies dem von Ihnen beschriebenen Ansatz B. Nach Prüfung der Antwort auf Bieterfrage Nr. 472 ist aufgefallen, dass in der Antwort die errechneten Werte versehentlich auf den indexierten Angaben ohne Einheiten basierten. Zur Klarstellung folgendes Rechenbeispiel: Ladevorgang am 15. Juli 2025 (Q3 2025), verladene Energiemenge: 400 kWh Relevanter Betrachtungszeitraum: Q1 2025 Jan 2025: 17,47 ct / kWh Feb 2025: 17,77 ct / kWh März 2025: 16,26 ct / kWh Mittelwert Jan - März 2025: 17,166 ct / kWh Entschädigung je verladener kWh: 17,166 / 100 * 7,5 = 1,2875 ct Ausgleichszahlung: 1,2875 ct * 400 = 515 ct = 5,15 €.</t>
  </si>
  <si>
    <t xml:space="preserve">ANF-604</t>
  </si>
  <si>
    <t xml:space="preserve">Nr. 558 / S. 55</t>
  </si>
  <si>
    <t xml:space="preserve">Klarstellung: Die Regelung in § 34 Abs. 4 geht von einer bilanziellen Betrachtung aus, wie sie im Strommarkt üblich ist.</t>
  </si>
  <si>
    <t xml:space="preserve">§ 34 Abs. 4 verlangt, dass im Durchleitungsmodell geladene Strommengen ohne Zwischenspeicherung und vorrangig aus dem öffentlichen Netz bezogen werden, auch wenn am Standort ein Speicher gemäß § 49 eingesetzt wird. Da in hybriden Systemen (Speicher + Trafo) physikalisch nicht verhindert werden kann, dass Speicherstrom anteilig in Ladevorgänge einfließt, bitten wir um Klarstellung: Wie soll die technische Umsetzung der geforderten Vorrangnutzung des Netzes erfolgen? Wie soll bilanziell verfahren werden, wenn Speicherstrom unvermeidbar in Durchleitungsmengen einfließt? Wie ist die Vorrangregelung mit der geforderten diskriminierungsfreien Kapazitätsverteilung vereinbar? Gibt es alternative bilanzielle oder vertragliche Modelle, die der Auftraggeber vorsieht? Wir bitten um eine kurze Erläuterung, wie § 34 Abs. 4 praktisch eingehalten werden kann.</t>
  </si>
  <si>
    <t xml:space="preserve">Bezug lt. Katalog: § 34 Abs. 4
Katalogdatum: 06.02.2026 // Antwort: Die Regelung in § 34 Abs. 4 geht von einer bilanziellen Betrachtung aus, wie sie im Strommarkt üblich ist. Sofern mehrere Ladevorgänge erfolgen, sollen - ungeachtet der Physik – Ladevorgänge im sog. „Durchleitungsmodus“ bilanziell über eine Zuordnung der Entnahmen zu Bilanzkreisen abgewickelt werden. Dies führt dazu, dass Strom, der dem Speicher entnommen wird, den “normalen“ Ladevorgängen außerhalb des Durchleitungsmodells zugeordnet wird. Nur wenn mehr Strom im Durchleitungsmodell abgegeben wird, als in dieser Viertelstunde dem Netz entnommen wird, wäre eine erweiterte Regelung nötig. Diesen – aus heutiger Sicht unwahrscheinlichen - Fall greift die Klausel am Ende Von § 34 Abs. 4 des Betreibervertrages auf. Die Regelungen zum Speicher setzen gedanklich voraus, dass der Speicher erst dann zum Einsatz kommt, wenn die Netzanschlusskapazität erreicht ist (§ 49 Abs. 1 des Betreibervertrags). Die Fahrweise des Speichers entspricht dann einer temporären Netzanschlusserweiterung. Der Einsatz eines Speichers steht der diskriminierungsfreien Kapazitätsverteilung nicht entgegen. Vorhandene Netzanschlusskapazität und im Speicher zwischengespeicherter Strom sind – ungeachtet der bilanziellen Abwicklung und der Regelung in § 34 Abs. 4 – diskriminierungsfrei für alle Zugangsformen zu verwenden.</t>
  </si>
  <si>
    <t xml:space="preserve">ANF-605</t>
  </si>
  <si>
    <t xml:space="preserve">Nr. 559 / S. 55</t>
  </si>
  <si>
    <t xml:space="preserve">Bestätigt: der AG kann diese zur Verfügung stellen.</t>
  </si>
  <si>
    <t xml:space="preserve">Können die DWG-Dateien für Standorte bereitgestellt werden, an denen ein Speicher vorzusehen ist (DE- HE-500012, DE-RP-000155, DE-TH-009042) um die Position des Speichers, wie in der Leistungsbeschreibung gefordert, einzeichnen zu können?</t>
  </si>
  <si>
    <t xml:space="preserve">Bezug lt. Katalog: Bereitstellung von DWG Dateien
Katalogdatum: 06.02.2026 // Antwort: Ja der AG kann diese zur Verfügung stellen.</t>
  </si>
  <si>
    <t xml:space="preserve">ANF-606</t>
  </si>
  <si>
    <t xml:space="preserve">Nr. 560 / S. 55</t>
  </si>
  <si>
    <t xml:space="preserve">Klarstellung: Derzeit liegen die Informationen, an welchen Standorten telematisches Parken umgesetzt wird nicht abschließend vor.</t>
  </si>
  <si>
    <t xml:space="preserve">In den angepassten Ausschreibungsunterlagen wird die Einführung von telematischem Parken angesprochen und eine Referenzplanung beigefügt. Können Sie bitte spezifizieren, an wievielen der Standorte und an welchen genau das telematische Parken zum Einsatz kommt? Die Informationen sind für unsere Kalkulationen relevant. Gerne würden wir weiterhin entsprechende Vorkehrungen treffen, um ein Abbauen der Ladestationen während des Aufbaus des telematischen Parkens zu verhindern (wenn möglich).</t>
  </si>
  <si>
    <t xml:space="preserve">Bezug lt. Katalog: Telematisches Parken
Katalogdatum: 06.02.2026
Zuordnung prüfen (Komponente/Partner nicht eindeutig) // Antwort: Derzeit liegen die Informationen, an welchen Standorten telematisches Parken umgesetzt wird nicht abschließend vor. Sobald dem AG hierzu belastbare Informationen vorliegen, werden diese dem AN nach Zuschlagserteilung unverzüglich zur Verfügung gestellt. Etwaiger Mehraufwand im Zusammenhang mit Maßnahmen der Umsetzung des telematischen Parkens wird nach §40 des Betriebervertrags vergütet.</t>
  </si>
  <si>
    <t xml:space="preserve">ANF-607</t>
  </si>
  <si>
    <t xml:space="preserve">Nr. 561 / S. 55</t>
  </si>
  <si>
    <t xml:space="preserve">Klarstellung: Die dargestellten Lastprofile bilden die zu erwartenden Lastspitzen während der Vertragslaufzeit ab.</t>
  </si>
  <si>
    <t xml:space="preserve">Können Sie bitte konkretisieren, auf welcher Grundlage die bereitgestellten Lastprofile für die Speicherstandorte erstellt wurden? Wir gehen davon aus, dass es sich bei dem angegebenen Zeitraum um eine beispielhafte Woche handelt, in der die höchsten zu erwarteten Lastspitzen während der Vertragslaufzeit dargestellt werden.</t>
  </si>
  <si>
    <t xml:space="preserve">Bezug lt. Katalog: Lastprofile
Katalogdatum: 06.02.2026 // Antwort: Die dargestellten Lastprofile bilden die zu erwartenden Lastspitzen während der Vertragslaufzeit ab. Dabei wurde ein repräsentatives Wochenprofil erstellt, das die zu erwartenden höchsten Lastspitzen während der Vertragslaufzeit abbildet. Der AG weist jedoch ausdrücklich darauf hin, dass es sich um Prognosen handelt, aus denen sich keine Anhaltspunkte für eine tatsächliche Auslastung ableiten lassen. Die möglichen Spitzenlasten sind durch die Anzahl und Leistung der installierten Ladepunkte technisch begrenzt.</t>
  </si>
  <si>
    <t xml:space="preserve">ANF-608</t>
  </si>
  <si>
    <t xml:space="preserve">Nr. 562 / S. 55</t>
  </si>
  <si>
    <t xml:space="preserve">Klarstellung: Der Batteriespeicher ist so zu dimensionieren, dass die Summe aus Netzanschlussleistung und maximaler Entladeleistung des Speichers mindestens 97,5 % aller im Lastprofil abgebildeten Lastgangwerte vollständig abdeckt.</t>
  </si>
  <si>
    <t xml:space="preserve">Müssen Batteriespeicher für die Standorte DE-HE-500012, DE-RP-000155, DE-TH-009042 zwingend alle Lastspitzen in den von Ihnen zur Verfügung gestellten Lastprofilen vollständig abdecken, oder ist es zulässig, für wenige Stunden des im Lastprofil angegebenen Zeitraums die Ladeleistung zu begrenzen? Hintergrund der Frage ist, dass dadurch die Speicherkapazität sowie CAPEX erheblich reduziert werden könnten.</t>
  </si>
  <si>
    <t xml:space="preserve">Bezug lt. Katalog: Battereispeicher und Lastspitzen
Katalogdatum: 06.02.2026 // Antwort: Der Batteriespeicher ist so zu dimensionieren, dass die Summe aus Netzanschlussleistung und maximaler Entladeleistung des Speichers mindestens 97,5 % aller im Lastprofil abgebildeten Lastgangwerte vollständig abdeckt. Davon abweichende, über dem 97,5-Perzents-Quantil liegende Lastspitzen dürfen auf Grundlage eines dokumentierten Lastmanagements zeitweise zur Leistungsbegrenzung führen. Der Nachweis der Dimensionierung erfolgt wie in Vertragsanlage 4 Abschnitt 4.12.5 unter anderem durch eine grafische Darstellung von Lastgang, SoC-Verlauf in viertelstündlicher Auflösung.</t>
  </si>
  <si>
    <t xml:space="preserve">ANF-609</t>
  </si>
  <si>
    <t xml:space="preserve">Nr. 563 / S. 55</t>
  </si>
  <si>
    <t xml:space="preserve">Klarstellung: Grundsätzlich ist das Anbringen zusätzlicher Schutzmaßnahmen gegen Diebstahl oder Vandalismus an den Ladesäulen nicht ausgeschlossen, sofern sämtliche Anforderungen der Leistungsbeschreibung Errichtung weiterhin vollständig …</t>
  </si>
  <si>
    <t xml:space="preserve">Ist es erlaubt, an den Ladesäulen einen Schutz gegen Diebstahl bzw. Vandalismus anzubringen, auch wenn dies nicht in den Ausschreibungsdokumenten erfordert wird?</t>
  </si>
  <si>
    <t xml:space="preserve">Bezug lt. Katalog: Diebstahl- &amp; Vandalismusschutz
Katalogdatum: 06.02.2026 // Antwort: Grundsätzlich ist das Anbringen zusätzlicher Schutzmaßnahmen gegen Diebstahl oder Vandalismus an den Ladesäulen nicht ausgeschlossen, sofern sämtliche Anforderungen der Leistungsbeschreibung Errichtung weiterhin vollständig eingehalten werden. Bitte teilen Sie uns Ihre konkreten Vorstellungen oder geplanten Maßnahmen mit, damit wir diese im Detail prüfen können.</t>
  </si>
  <si>
    <t xml:space="preserve">ANF-610</t>
  </si>
  <si>
    <t xml:space="preserve">Nr. 564 / S. 56</t>
  </si>
  <si>
    <t xml:space="preserve">Klarstellung: Die in Vertragsanlage 4 Abschnitt 4.12.5 geforderten Informationen zu Batteriespeichern können als Anhänge eingereicht werden.</t>
  </si>
  <si>
    <t xml:space="preserve">Wir verstehen aus dem Dokument Vertragsanlage 4 - Leistungsbeschreibung Errichtung aus Kapitel 4.12.5. "Batteriespeicher", dass mit der Angebotsabgabe zum einen technische und wirtschaftliche Angaben zum geplanten Speicher gemacht werden müssen sowie ein Nachweis der vorgesehenen Betriebsweise des Speichers einzureichen ist. Müssen diese Angaben innerhalb des Errichtungs- bzw. Betriebskonzept-Dokuments gemacht werden oder können sie auch als Anhang zum Konzept eingereicht werden?</t>
  </si>
  <si>
    <t xml:space="preserve">Bezug lt. Katalog: Vertragsanlage 4 - Leistungsbeschreibung Errichtung aus Kapitel 4.12.5. "Batteriespeicher"
Katalogdatum: 06.02.2026 // Antwort: Die in Vertragsanlage 4 Abschnitt 4.12.5 geforderten Informationen zu Batteriespeichern können als Anhänge eingereicht werden.</t>
  </si>
  <si>
    <t xml:space="preserve">ANF-611</t>
  </si>
  <si>
    <t xml:space="preserve">Nr. 565 / S. 56</t>
  </si>
  <si>
    <t xml:space="preserve">Klarstellung: Der Rückbau hat in dem vom Auftraggeber 2 im Rahmen der Anordnung vorgesehenem Umfang zu erfolgen, dies wird der Auftraggeber im Betreibervertrag noch einmal klarstellen.</t>
  </si>
  <si>
    <t xml:space="preserve">Wir bitten um Konkretisierung der Leistungen, die der "Rückbau der Ladeinfrastruktur" umfasst. Sind als Teil des Rückbaus auch alle verlegten Strom-/Datenkabel, ggf. Leerrohre, Poller/Schranksystem, Ladeinseln zurückzubauen?</t>
  </si>
  <si>
    <t xml:space="preserve">Bezug lt. Katalog: §§ 20, 39, 58, 59, 63 BV Umfang Rückbauleistungen
Katalogdatum: 06.02.2026 // Antwort: Der Rückbau hat in dem vom Auftraggeber 2 im Rahmen der Anordnung vorgesehenem Umfang zu erfolgen, dies wird der Auftraggeber im Betreibervertrag noch einmal klarstellen. Die Anordnung des Rückbaus kann den Rückbau der genannten Teile mitumfassen. Die Vergütung für den Rückbau richtet sich nach den vertraglichen Regelungen.</t>
  </si>
  <si>
    <t xml:space="preserve">ANF-612</t>
  </si>
  <si>
    <t xml:space="preserve">Nr. 566 / S. 56</t>
  </si>
  <si>
    <t xml:space="preserve">Klarstellung: Die Herstellung des Anschlusses liegt grundsätzlich beim Auftragnehmer. Die erforderlichen Berechnungen und Untersuchungen gemäß Vertragsanlage 4 Abschnitt 3.13.6 sind durch den Auftragnehmer durchzuführen.</t>
  </si>
  <si>
    <t xml:space="preserve">Gehen wir recht in der Annahme, dass, falls aufgrund inzwischen geänderter Bemessungsgrundlagen für Starkregenereignisse, eine Unterdimensionierung des Kanalnetzes an einem Standort vorliegt, der Bieter nur den ihm durch die Ladeplätze und ggf. weitere neu versiegelte Flächen proportional zurechenbaren Teil der Kosten für eine Erneuerung des Kanalnetzes tragen muss? Beispiel: Eine Rastanlage hat eine versiegelte Fläche von 2.000 m². Die Kanalisation ist nach den heutigen Berechnungsgrundlagen um 20 % nicht mehr ausreichend dimensioniert. Im Rahmen der Errichtung von Ladeinfrastruktur soll das Niederschlagswasser von 50 m² zusätzlich versiegelter Fläche dem Kanalnetz zugeführt werden. Demnach tragen die 50 m² nur zu 50/450 =11% zum Ausbauaufwand bei, der jenseits des eigentlichen Baufeldes anfällt.</t>
  </si>
  <si>
    <t xml:space="preserve">Bezug lt. Katalog: Vertragsanlage 04, Ziff. 3.13.6
Katalogdatum: 06.02.2026 // Antwort: Die Herstellung des Anschlusses liegt grundsätzlich beim Auftragnehmer. Die erforderlichen Berechnungen und Untersuchungen gemäß Vertragsanlage 4 Abschnitt 3.13.6 sind durch den Auftragnehmer durchzuführen. Wird dabei eine Unterdimensionierung der bestehenden Entwässerungsanlage festgestellt, erfolgt die Vergütung der hierfür notwendigen zusätzlichen Maßnahmen als zusätzliche Leistung nach § 40 des Betreibervertrags. Eine proportionale Kostenbeteiligung nach versiegelter Fläche ist nicht vorgesehen.</t>
  </si>
  <si>
    <t xml:space="preserve">ANF-613</t>
  </si>
  <si>
    <t xml:space="preserve">Nr. 567 / S. 56</t>
  </si>
  <si>
    <t xml:space="preserve">Klarstellung: Das Blockadeentgelt wird im Durchleitungsfall vom Auftragnehmer gegenüber dem EMP+ abgerechnet.</t>
  </si>
  <si>
    <t xml:space="preserve">Gehen wir recht in der Annahme, dass ggf. anfallende Blockiergebühren nicht Bestandteil der anderen Kostenpositionen gemäß § 37 Abs. 1 BV sind, die der CPO dem durchleitenden EMP in Rechnung stellt, sondern separat abgerechnet werden sollen?</t>
  </si>
  <si>
    <t xml:space="preserve">Bezug lt. Katalog: § 37 Abs. 1 BV
Katalogdatum: 06.02.2026 // Antwort: Das Blockadeentgelt wird im Durchleitungsfall vom Auftragnehmer gegenüber dem EMP+ abgerechnet. Dies folgt bereits jetzt aus § 8 der Vertragsanlage 13 Bilanzierung Durchleitungsmodell und wird in § 37 des Betreibervertrags klargestellt. Die Abrechnung gegenüber dem EMP+ kann entweder gemeinsam mit den Zugangsentgelten oder separat erfolgen.</t>
  </si>
  <si>
    <t xml:space="preserve">ANF-614</t>
  </si>
  <si>
    <t xml:space="preserve">Nr. 568 / S. 56</t>
  </si>
  <si>
    <t xml:space="preserve">Klarstellung: Die Barrierefreiheit nach DIN 18040-3 bezieht sich gemäß Vertragsanlage 4 auf Wiederherstellung von Bestandsanlagen (z.</t>
  </si>
  <si>
    <t xml:space="preserve">Nach unserem Verständnis widersprechen sich u.a. die vertragliche Forderunge nach einer Ladeinsel mit Hochbord mit der vertraglichen Forderung einer barrierefreien Gestaltung des Ladestandorts nach DIN 18040-3. Wir bitten hier um Klarstellung.</t>
  </si>
  <si>
    <t xml:space="preserve">Bezug lt. Katalog: Vertragsanlage 4 Ziffern 3.13.1 ff. iVm Anhang 1a: Referenzplanung Längs- und Schrägparken
Katalogdatum: 06.02.2026 // Antwort: Die Barrierefreiheit nach DIN 18040-3 bezieht sich gemäß Vertragsanlage 4 auf Wiederherstellung von Bestandsanlagen (z. B. Gehwegen, Querungshilfen, Zu- und Abgänge zu den Stellflächen). Dies steht demnach nicht im Wiederspruch.</t>
  </si>
  <si>
    <t xml:space="preserve">ANF-615</t>
  </si>
  <si>
    <t xml:space="preserve">Nr. 569 / S. 56</t>
  </si>
  <si>
    <t xml:space="preserve">Klarstellung: Die Annahme zu (i) ist teilweise zutreffend. Die Kommunikation sowie die Abrechnung der Netzentgelte zwischen CPO und EMP+ richtet sich insbesondere nach der Anlage 6 zum Beschluss BK6-20-160 der BNetzA vom 21.12.2020 sowie der …</t>
  </si>
  <si>
    <t xml:space="preserve">Gehen wir recht in der Annahme, dass (i) die vom durchleitenden EMP (EMP+) zu tragenden Netzentgelte (Arbeitspreis, Umlagen) vom CPO bzw. dessen Dienstleister in der Rolle des virtuellen VNB unter Nutzung der von der Bundesnetzagentur für die Kommunikation zwischen VNB und Lieferanten festgelegten Datenformate (Edifact) an die Lieferanten des EMP+ erfolgen, (ii) die Netzentgelte (Arbeit) standortscharf weiterverrechnet werden müssen und (iii) das Infrastrukturentgelt und der Zuschlag für Umwandlungsverluste auf diesem Wege zwischen CPO und EMP+ abgerechnet werden sollen?</t>
  </si>
  <si>
    <t xml:space="preserve">Bezug lt. Katalog: § 37 Abs. 1 BV
Katalogdatum: 06.02.2026 // Antwort: Die Annahme zu (i) ist teilweise zutreffend. Die Kommunikation sowie die Abrechnung der Netzentgelte zwischen CPO und EMP+ richtet sich insbesondere nach der Anlage 6 zum Beschluss BK6-20-160 der BNetzA vom 21.12.2020 sowie der BDEW Anwendungshilfe zum Modell 2 ladevorgangsscharfe bilanzielle Energiemengenzuordnung. Danach nimmt der CPO in den Marktkommunikationsprozessen beim Durchleitungsmodell die Rolle des Netzbetreibers ein. Für die Kommunikation zwischen dem CPO und dem EMP+ gelten die jeweils geltenden Marktkommunikationsprozesse, die für die Kommunikation zwischen Lieferanten und Netzbetreibern gelten. Die Annahme zu (ii) ist zutreffend, der Auftragnehmer muss die Netzentgelte sowie die netzseitigen Abgaben und Umlagen in der jeweils geltenden Höhe, mithin standortscharf, weiterberechnen (vgl. Vertragsanlage 13 Bilanzierung Durchleitungsmodell, § 7). Die Annahme zu (iii) ist zutreffend.</t>
  </si>
  <si>
    <t xml:space="preserve">ANF-616</t>
  </si>
  <si>
    <t xml:space="preserve">Nr. 570 / S. 56</t>
  </si>
  <si>
    <t xml:space="preserve">Klarstellung: Die Bewertung der Angebote anhand der Zuschlagskriterien ist in der Anlage 3 zum Verfahrensbrief "Zuschlagskriterien" beschrieben.</t>
  </si>
  <si>
    <t xml:space="preserve">Gehen wir recht in der Annahme, dass bei der Bewertung des Errichtungskonzeptes, insbesondere des eingereichten Rahmenterminplans das Inbetriebnahmejahr kein Bewertungskriterium ist, sofern die in der Vertragsanlage 04 „Leitungsbeschreibung Errichtung“ aufgeführten Mindestmengen an Standorten eingehalten werden? (Unbeschadet der möglichen Auswirkungen auf die Wirtschaftlichkeit eines Standortes.)</t>
  </si>
  <si>
    <t xml:space="preserve">Bezug lt. Katalog: Anlage 3 zum Verfahrensbrief Zuschlagskritieren i.V.m. Vertragsanlage 4, Ziff. 2.2.1
Katalogdatum: 06.02.2026 // Antwort: Die Bewertung der Angebote anhand der Zuschlagskriterien ist in der Anlage 3 zum Verfahrensbrief "Zuschlagskriterien" beschrieben.</t>
  </si>
  <si>
    <t xml:space="preserve">ANF-617</t>
  </si>
  <si>
    <t xml:space="preserve">Nr. 571 / S. 57</t>
  </si>
  <si>
    <t xml:space="preserve">Klarstellung: Zu a.) Die Dauerlast beschreibt hier die gemäß Vertragsanlage 5 geforderte „Netzanschlussleistung LIS-Bedarf 2030“.</t>
  </si>
  <si>
    <t xml:space="preserve">Kapitel 4.12.1 der Vertragsanlage 04 legt fest, dass: „Transformatoren sind entsprechend dem Leistungsbedarf des Erstaufbaus auszuwählen. Die Dauerlast ist grundsätzlich auf etwa 80 % der Nennleistung auszulegen.“ Zur Sicherstellung eines einheitlichen technischen Verständnisses der Anforderungen durch die Bieter bitten wir um Klarstellung der Definitionen der Begriffe „Dauerlast“ und „Nennleistung“ in diesem Kontext. a) Bezieht sich die Nennleistung auf die Nennscheinleistung des Transformators (kVA, Typenschild) oder bezieht sich die Nennleistung auf die zu installierende Ladeleistung (Leistungseinheiten der Ladestationen) im Erstaufbau? b) Ist unter Dauerlast eine dauerhaft zulässige Belastung ohne thermische Einschränkungen, Schutzabschaltungen oder Derating Eingriffe zu verstehen? Weiter bitten wir um Klarstellung, ob die Vorgabe der Auslegung „auf etwa 80% der Nennleistung“ der thermischen Auslegung und der Sicherstellung der Lebensdauer der elektrischen Komponenten dient oder ob hiermit eine dauerhaft anliegende Last in dieser Höhe unterstellt wird. Ergänzend weisen wir darauf hin, dass aus unserer Sicht aufgrund des Nutzungsverhaltens von Ladeinfrastruktur keine kontinuierliche Last (Dauerlast) wie im klassischen Netzbetrieb zu erwarten ist. Eine Auslegung der Transformatorenleistung größer als die installierte Ladeinfrastruktur ist aus technischer Sicht mit einer höheren Dimensionierung (z.B. größere Umspannstationen) und erhöhten Kosten im Betrieb (z.B. Leerlauf- und Kurzschlussverluste) verbunden. - Durch die dynamische Auslastung wird der Ladepark und damit die Transformatoren den überwiegenden Teil der Zeit in Teillast betrieben. Überlastungen sind durch den Einsatz eines Lastmanagements ausgeschlossen. - Die Auslegung der Trafos auf die Nennlast der Ladestationen bedeutet damit automatisch einen Teillastbetrieb, sodass eine dauerhafte Last an der Leistungsgrenze und damit Einschränkungen der Lebensdauer nicht zu erwarten sind.</t>
  </si>
  <si>
    <t xml:space="preserve">Bezug lt. Katalog: Vertragsanlage 04 – Leistungsbeschreibung Errichtung, Kapitel 4.12.1
Katalogdatum: 06.02.2026 // Antwort: Zu a.) Die Dauerlast beschreibt hier die gemäß Vertragsanlage 5 geforderte „Netzanschlussleistung LIS-Bedarf 2030“. Als Nennleistung der Transformatoren ist die Wirkleistung der Transformatoren gemeint, aus der sich über den cos phi (vom Bieter zu ermitteln) die geforderte Mindest-Trafoscheinleistung in kVA ergibt. Zu b.) Die Dauerlast beschreibt hier die gemäß Vertragsanlage 5 geforderte „Netzanschlussleistung LIS-Bedarf 2030“. Die Vorgabe dient der Sicherstellung der Lebensdauer elektrischer Komponenten.</t>
  </si>
  <si>
    <t xml:space="preserve">ANF-618</t>
  </si>
  <si>
    <t xml:space="preserve">Nr. 572 / S. 57</t>
  </si>
  <si>
    <t xml:space="preserve">Klarstellung: Grundsätzlich ist dem AG nicht klar inwieweit diese Informationen kalkulationsrelevant sind.</t>
  </si>
  <si>
    <t xml:space="preserve">Vor dem Hintergrund der der Antwort auf Bieterfrage 527, wonach „maßgeblich für die Dimensionierung die in Vertragsanlage 05 angegebene Leistung (LIS-Bedarf 2030)“ ist, bitten wir um verbindliche Klarstellung, a) wie setzt sich die in Vertragsanlage 05 ausgewiesene Netzanschlussleistung rechnerisch aus den einzelnen Ladepunkten (MCS, CCS Zwischenladen, CCS Übernachtladen) zusammen b) welche Leistungsansätze (kW) je Ladepunkttyp zur Berechnung der Netzanschlussleistung zugrunde zu legen sind c) ob bzw. in welcher Form Gleichzeitigkeitsannahmen oder Lastmanagement bei dieser Ermittlung berücksichtigt werden dürfen Wir bitten um eine beispielhafte Berechnung, um eine einheitliche Anwendung durch alle Bieter sicherzustellen.</t>
  </si>
  <si>
    <t xml:space="preserve">Bezug lt. Katalog: Vertragsanlage 04 – Leistungsbeschreibung Errichtung, Kapitel 4.12.1
Katalogdatum: 06.02.2026 // Antwort: Grundsätzlich ist dem AG nicht klar inwieweit diese Informationen kalkulationsrelevant sind. Trotzdem möchten wir nachstehende Informationen geben: Zu a) &amp; b) Die Netzanschlussleistung wird im Wesentlichen als der höhere Wert aus Zwischenladen- und Übernachtladebedarf ermittelt. Dabei werden für Tag- und Nachtnutzung jeweils definierte Leistungsansätze je Ladepunktkategorie berücksichtigt. Nachts ist sicherzustellen, dass mindestens ein MCS-Ladepunkt mit voller Leistung betrieben werden kann, während weitere Ladepunkte mit reduzierter Leistung angesetzt werden. Zu c) Es gelten die in der Vertragsanlage 6 festgelegten Gleichzeitigkeitsfaktoren.</t>
  </si>
  <si>
    <t xml:space="preserve">ANF-619</t>
  </si>
  <si>
    <t xml:space="preserve">Nr. 573 / S. 57</t>
  </si>
  <si>
    <t xml:space="preserve">Klarstellung: Wir verweisen an dieser Stelle erneut auf das Beispiel in der Antwort auf die Bieterfrage 527.</t>
  </si>
  <si>
    <t xml:space="preserve">Vor dem Hintergrund der Antwort auf Bieterfrage #527, wonach die minimale erforderliche Trafoscheinleistung aus der in Vertragsanlage 05 angegebenen Netzanschlussleistung unter Berücksichtigung der zulässigen Dauerlast (0,8) sowie des cos φ zu ermitteln ist, bitten wir um Klarstellung zur zulässigen Auslegung im Erstaufbau: Darf ein Standort, bei dem im Erstaufbau 2 × MCS-Ladepunkte und 1 × CCS-Ladepunkt zum Zwischenladen vorgesehen sind, mit einem Transformator mit 2.000 kVA geplant werden, sofern sich rechnerisch eine erforderliche Scheinleistung von ca. 2.020 kVA ergibt? Beispielrechung – MCS: 800 kW je Ladepunkt, – CCS INT: 400 kW, – cos φ = 0,99 Wir bitten um Mitteilung, ob der Auftraggeber beispielhafte Referenzfälle realer Standorte benennen kann, aus denen hervorgeht, wie die Transformatorauslegung beim Erstaufbau gemäß den Anforderungen aus Vertragsanlage 04, Kapitel 4.12.1, konkret erfolgen soll. Dies würde zu einem einheitlichen Verständnis der Anforderungen beitragen und die Erstellung vergleichbarer technischer Konzepte ermöglichen.</t>
  </si>
  <si>
    <t xml:space="preserve">Bezug lt. Katalog: Bieterfrage 527
Katalogdatum: 06.02.2026 // Antwort: Wir verweisen an dieser Stelle erneut auf das Beispiel in der Antwort auf die Bieterfrage 527. Maßgeblich für die Auslegung des Transformators ist die in Vertragsanlage 5 angegebene Leistung in der Spalte "LIS-Bedarf 2030". Der cos φ ist durch den AN zu bestimmen. Am Beispiel des Standortes Speckmoor Süd ergibt sich unter der Annahme der in Vertragsanlage 5 angegebenen Leistung in der Spalte "LIS-Bedarf 2030" von 2000 kW und des in der Frage angegebenen Wertes für cos φ von 0,99 folgende Berechnung für die minimale Trafoscheinleistung: 2000 kW / 0,99 / 0.8 = 2525,25 kVA</t>
  </si>
  <si>
    <t xml:space="preserve">ANF-620</t>
  </si>
  <si>
    <t xml:space="preserve">Nr. 574 / S. 58</t>
  </si>
  <si>
    <t xml:space="preserve">Klarstellung: Bitte beachten Sie die Bieterkommunikation vom 11.02.2026. Die Frist zur Angebotsbagabe wurde auskömmlich bemessen und endet am 09.04.2026.</t>
  </si>
  <si>
    <t xml:space="preserve">In verschiedenen Ihrer neuesten Antworten an die Bieter haben Sie nunmehr weitere Anpassungen des Projektvertrages angekündigt, ohne dass in diesem Kontext bislang eine Anpassung der aktuell festgesetzten Fristen, insbesondere der Angebotsfrist zum BAFO zum 13.03.2026, in Aussicht gestellt wurde. Dazu Folgendes: Grundsätzlich begrüßen wir es natürlich, wenn der Projektvertrag weitere Verbesserungen erfährt und die unter anderem auch von uns mehrfach angemerkten – durch die grundlegende Überarbeitung des Entwurfs des Projektvertrages im Dezember 2025 aufgeworfenen - weiteren Verhandlungsbedarfe nunmehr offenbar nochmals von Seiten des AG aufgegriffen werden. Allerdings ist zu beachten, dass wesentliche Anpassungen, die erheblichen Einfluss auf die Risikoverteilung haben, einer weiteren Prüfung im Rahmen des Due Diligence – Prozesses der Banken zwingend erfordern bzw., soweit die Anforderungen an die Projektrealisierung geändert werden, auch Neukalkulationen oder das Einholen angepasster Nachunternehmer-Angebote sowie eine Überarbeitung der Terminpläne und schließlich eine Wiederholung der internen Gremienprozesse erforderlich machen können. Sollten die Anpassungen des Projektvertrages eines der vorgenannten Kriterien erfüllen, ist somit auch eine angemessene Anpassung der Fristen, insbesondere der o.g. BAFO-Frist geboten und erforderlich (vgl. § 27 Abs. 4 KonzVgV i.V.m. §§17, 20 VgV). In diesem Zusammenhang bitten wir daher zu berücksichtigen, dass wir mindestens 8 Wochen Zeit benötigen zwischen der Bekanntgabe der Vertragsanpassungen und dem BAFO -Abgabetermin. Dies ist zur Wahrung der Chancengleichheit auch geboten (vgl. KG Berlin – Verg 11/22-). Wir bedanken uns vorab für Berücksichtigung der vorstehenden Anmerkungen und sehen der (zeitnahen) Übermittlung des angekündigten (angepassten) Projektvertrages mit großem Interesse entgegen.</t>
  </si>
  <si>
    <t xml:space="preserve">Bezug lt. Katalog: weitere Anpassung des Projektvertrages
Katalogdatum: 09.02.2026 // Antwort: Bitte beachten Sie die Bieterkommunikation vom 11.02.2026. Die Frist zur Angebotsbagabe wurde auskömmlich bemessen und endet am 09.04.2026.</t>
  </si>
  <si>
    <t xml:space="preserve">ANF-621</t>
  </si>
  <si>
    <t xml:space="preserve">Nr. 575 / S. 58</t>
  </si>
  <si>
    <t xml:space="preserve">Bestätigt: bitte reichen Sie die Unterlagen auch in diesem Fall nochmals vollständig ein.</t>
  </si>
  <si>
    <t xml:space="preserve">Wenn bereits im Rahmen des Teilnahmeantrags die Einbindung von Unterauftragnehmern angezeigt und mit den vorgesehenen Formblättern nachgewiesen wurde, sind dann im Rahmen des finalen Angebots für dieselben Unterauftragnehmer wiederholt die Formblätter A2, A3, A4, ggf. A5 sowie Handelsregisterauszug einzureichen?</t>
  </si>
  <si>
    <t xml:space="preserve">Bezug lt. Katalog: Fünfter Verfahrensbrief, Kapitel 3.3
Katalogdatum: 10.02.2026 // Antwort: Ja, bitte reichen Sie die Unterlagen auch in diesem Fall nochmals vollständig ein.</t>
  </si>
  <si>
    <t xml:space="preserve">ANF-622</t>
  </si>
  <si>
    <t xml:space="preserve">Nr. 576 / S. 58</t>
  </si>
  <si>
    <t xml:space="preserve">Klarstellung: Das Verständnis ist teilweise zutreffend. Sind eichrechtskonforme MCS-Ladepunkte im Sinne von § 8 Abs.</t>
  </si>
  <si>
    <t xml:space="preserve">Ist unser Verständnis zutreffend, dass Standorte vor einer technischen Verfügbarkeit von MCS- Ladepunkten (im Sinne von § 8 Abs. 3 Vertrag) ohne die eigentlich vorgesehenen MCS-Ladepunkte zu errichten und in Betrieb zu nehmen sind und für diese Standorte (i) das vollständige Errichtungs- und Betreiberentgelt und (ii) keine Vertragsstrafen wegen Nichtverfügbarkeit von MCS-Ladepunkten anfallen?</t>
  </si>
  <si>
    <t xml:space="preserve">Bezug lt. Katalog: § 8 Abs. 3 Vertrag
Katalogdatum: 10.02.2026 // Antwort: Das Verständnis ist teilweise zutreffend. Sind eichrechtskonforme MCS-Ladepunkte im Sinne von § 8 Abs. 3 nicht verfügbar, sind die Standorte dennoch zu errichten. Der Auftragnehmer erhält das volle Errichtungsentgelt. Maßgeblich für die Ermittlung der Höhe des Betreiberentgelts ist die Anzahl der tatsächlich errichteten Ladepunkte an dem Standort (vgl. § 45 Abs. 2 des Betreibervertrags), das Betreiberentgelt reduziert sich mithin zunächst (bis zur vollständigen Errichtung der vorgesehenen Ladepunkte) entsprechend der Anzahl der noch nicht errichteten MCS-Ladepunkte. (i). Eine Vertragsstrafe wegen Nichtverfügbarkeit der MCS-Ladepunkte fällt nicht an, dies stellt der Auftraggeber in § 27 Abs. 1 des Betreibervertrags noch einmal klar (ii).</t>
  </si>
  <si>
    <t xml:space="preserve">ANF-623</t>
  </si>
  <si>
    <t xml:space="preserve">Nr. 577 / S. 58</t>
  </si>
  <si>
    <t xml:space="preserve">Klarstellung: Inwieweit der Auftragnehmer den Standort bereits für MCS-Ladepunkte vorbereitet, obliegt dem Auftragnehmer.</t>
  </si>
  <si>
    <t xml:space="preserve">Ist unser Verständnis zutreffend, dass der Auftragnehmer das Recht hat, Standorte, die vor einer technischen Verfügbarkeit von MCS-Ladepunkten im Sinne von § 8 Abs. 3 Vertrag errichtet werden, dennoch „MCS-ready“ zu errichten und ggf. später MCS-Ladepunkten nachzurüsten, hierzu aber vertraglich nicht verpflichtet ist</t>
  </si>
  <si>
    <t xml:space="preserve">Bezug lt. Katalog: § 8 Abs. 3 Vertrag
Katalogdatum: 10.02.2026
Zuordnung prüfen (Komponente/Partner nicht eindeutig) // Antwort: Inwieweit der Auftragnehmer den Standort bereits für MCS-Ladepunkte vorbereitet, obliegt dem Auftragnehmer. Unabhängig hiervon ist der Auftragnehmer verpflichtet, MCS-Ladepunkte nach den vertraglichen Vorgaben zu errichten. In diesem Zusammenhang weist der Auftraggeber insbesondere auch auf die Regelung in § 8 Abs. 3 Satz 2 hin.</t>
  </si>
  <si>
    <t xml:space="preserve">ANF-624</t>
  </si>
  <si>
    <t xml:space="preserve">Hinweis zu 506 / S. 58</t>
  </si>
  <si>
    <t xml:space="preserve">Klarstellung: Nach nochmaliger vertiefter Prüfung teilt der AG mit, dass keine Preisfortschreibung anhand einer Indexierung erfolgen wird.</t>
  </si>
  <si>
    <t xml:space="preserve">Bezug lt. Katalog: Hinweis Auftraggeber zu Bieterfrage 506
Katalogdatum: 16.02.2026 // Antwort: Nach nochmaliger vertiefter Prüfung teilt der AG mit, dass keine Preisfortschreibung anhand einer Indexierung erfolgen wird. Für die Angebotserstellung können die Bieter hinsichtlich dieser Standorte zugrundelegen, dass eine Errichtung bis spätestens 31.12.2035 erfolgt.</t>
  </si>
  <si>
    <t xml:space="preserve">ANF-625</t>
  </si>
  <si>
    <t xml:space="preserve">Nr. 578 / S. 58</t>
  </si>
  <si>
    <t xml:space="preserve">Klarstellung: Für Speicher gelten die in § 28 genannten Fristen, dies hat der Auftraggeber in § 28 durch die Ergänzung „sonstiger bauliche Elemente“ (vgl.</t>
  </si>
  <si>
    <t xml:space="preserve">Im Betreibervertrag sind die Anforderungen an Batteriespeicher in § 49 beschrieben. Konkrete Entstör- oder Wiederherstellungsfristen sind dort jedoch nicht genannt. Die allgemeinen Fristen nach § 28 beziehen sich auf Störungen der Ladeinfrastruktur, erwähnen Speicher aber nicht ausdrücklich. Gleichzeitig existiert für Transformatoren eine gesonderte Regelung (Einleitung der Behebung innerhalb von 24 Stunden). Damit wir unsere technischen und organisatorischen Prozesse korrekt ausrichten können, bitten wir um Klärung: 1.Sollen die allgemeinen Entstörfristen aus § 28 (inkl. 24 h Frist bei Totalausfall) auch für Batteriespeicher gelten? 2.Falls nein: Welche Reaktions- und Wiederherstellungszeiten sind für Batteriespeicher vorgesehen?</t>
  </si>
  <si>
    <t xml:space="preserve">Bezug lt. Katalog: §49, Anforderungen an Batteriespeicher
Katalogdatum: 16.02.2026 // Antwort: Für Speicher gelten die in § 28 genannten Fristen, dies hat der Auftraggeber in § 28 durch die Ergänzung „sonstiger bauliche Elemente“ (vgl. Vertragsfassung vom 18.02.2026) klargestellt. Die 24-Stunden Frist gilt nur, wenn aufgrund des Schadens oder der Störung alle Ladepunkte an einem Standort betroffen sind. Hiervon ist bei einer Beschädigung des Speichers grundsätzlich nicht auszugehen, da die zum Betrieb einzelner Ladepunkte erforderliche Energie auch bei Ausfall des Speichers aus dem Netz bezogen werden kann. Ergänzend weist der Auftraggeber daraufhin, dass mit der letzten Vertragsfassung (Stand 18.02.2026) in § 28 Abs. 1 in Bezug auf die Fristen folgender Satz ergänzt wurde: „Dies gilt nicht, wenn der Auftragnehmer darlegt und beweist, dass die Behebung der Störung oder des Schadens innerhalb der in Satz 1 genannten Fristen nicht möglich oder unzumutbar i. S. d. § 275 Abs. 2 BGB ist.“</t>
  </si>
  <si>
    <t xml:space="preserve">ANF-626</t>
  </si>
  <si>
    <t xml:space="preserve">Nr. 579 / S. 59</t>
  </si>
  <si>
    <t xml:space="preserve">Klarstellung: Zu (i) Diese Annahme ist zutreffend. Die Leistungseinheiten der Ladeeinrichtungen sind mit umfasst, auch wenn es sich um abgesetzte Leistungseinheiten handelt.</t>
  </si>
  <si>
    <t xml:space="preserve">Hinsichtlich der Regelung zu Preissteigerungen bei Ladeeinrichtungen und Transformatoren gemäß §44.6 Betreibervertrag, bitten wir um Klarstellung zu folgenden Punkten: - Gehen wir recht in der Annahme, dass der Begriff „Ladeeinrichtung“ im Sinne der Preisgleitregelung auch die Leistungseinheiten umfasst? - Gehen wir recht in der Annahme, dass der Begriff „Transformator“ im Sinne der Preisgleitregelung die zugehörigen Umspannstationen und damit je nach Standort Übergabestationen &amp; Unterstationen als funktionale Einheit umfasst, da Transformatoren marktüblich nicht isoliert, sondern zusammen mit der zugehörigen Stationsausrüstung beschafft werden. Wir bitten um Klarstellung, wie Preissteigerungen in Höhe der Schwellenwerte (30 % bzw. 80 %) vertraglich einzuordnen sind, insbesondere vor dem Hintergrund der verwendeten Formulierungen „mehr als“ und „weniger als“.</t>
  </si>
  <si>
    <t xml:space="preserve">Bezug lt. Katalog: §44.6 Betreibervertrag
Katalogdatum: 17.02.2026 // Antwort: Zu (i) Diese Annahme ist zutreffend. Die Leistungseinheiten der Ladeeinrichtungen sind mit umfasst, auch wenn es sich um abgesetzte Leistungseinheiten handelt. Zu (ii) Die Annahme kann nicht bestätigt werden. Der Begriff „Transformator“ im Sinne der Regelung bezieht sich ausschließlich auf den Leistungstransformator als elektrotechnisches Bauteil und nicht auf darüberhinausgehende funktionale Einheiten. Zu (iii) Liegt eine Preissteigerung von bis einschließlich 30 % vor, gilt § 44 Abs. 6 lit. a) des Betreibervertrags, bei Preissteigerungen &gt; 30 % und &lt;= 80% gilt § 44 Abs. 6 lit. b) und bei Preissteigerungen &gt; 80% gilt § 44 Abs. 6 lit. c).</t>
  </si>
  <si>
    <t xml:space="preserve">ANF-627</t>
  </si>
  <si>
    <t xml:space="preserve">Nr. 580 / S. 59</t>
  </si>
  <si>
    <t xml:space="preserve">Anpassung der Unterlagen: Die Vertragsanlage wurde entsprechend aktualisiert.</t>
  </si>
  <si>
    <t xml:space="preserve">Kann der Auftraggeber in Bezug auf Bieterfragen 78, 153 und die Positionen 6.1, 6.2 der Aufschlüsselung Errichtungsentgelt bestätigen, dass es keine weiteren Aktualisierungen der Anlage 06 zum Verfahrensbrief geben wird und dass Bieter die entsprechenden Positionen für die Abgabe finaler Angebote freilassen sollen?</t>
  </si>
  <si>
    <t xml:space="preserve">Bezug lt. Katalog: Aufschlüsselung Errichtungsentgelt
Katalogdatum: 17.02.2026 // Antwort: Die Vertragsanlage wurde entsprechend aktualisiert.</t>
  </si>
  <si>
    <t xml:space="preserve">ANF-628</t>
  </si>
  <si>
    <t xml:space="preserve">Nr. 581 / S. 59</t>
  </si>
  <si>
    <t xml:space="preserve">Klarstellung: Es ist zutreffend, dass die Vergütung nach den Regelungen für zusätzliche und geänderte Leistungen erfolgt.</t>
  </si>
  <si>
    <t xml:space="preserve">Gehen wir recht in der Annahme, dass die Vergütung gemäß § 49 Abs. 4 i.V.m. § 40 Abs. 2 PV für nachträglich verlangte Speicher an Standorten, die derzeit nicht als Speicherstandorte vorgesehen sind, als einmalige Zahlung erfolgt und nicht Bestandteil des vertraglichen Errichtungsentgelts bzw. dessen Zahlungsmechanismus (insbesondere einer gestaffelten Auszahlung nach Betriebsfreigabe) ist? Dieses Verständnis ist wichtig für die Finanzierbarkeit des Projekts, da eine solche Anordnung nicht vorab einkalkuliert werden kann.</t>
  </si>
  <si>
    <t xml:space="preserve">Bezug lt. Katalog: Speicher
Katalogdatum: 17.02.2026 // Antwort: Es ist zutreffend, dass die Vergütung nach den Regelungen für zusätzliche und geänderte Leistungen erfolgt. Die Auszahlung erfolgt nicht gestaffelt wie beim Errichtungsentgelt.</t>
  </si>
  <si>
    <t xml:space="preserve">ANF-629</t>
  </si>
  <si>
    <t xml:space="preserve">Nr. 582 / S. 59</t>
  </si>
  <si>
    <t xml:space="preserve">Klarstellung: Siehe dazu den Hinweis vom 16.02.26 zur Antwort auf Bieterfrage 506.</t>
  </si>
  <si>
    <t xml:space="preserve">In der Antwort auf Bieterfrage 506 wird ausgeführt, dass 8 Standorte gemäß Vertragsanlage 5 erst nach dem 31.12.2030 die Betriebsfreigabe erreichen können. Demgegenüber werden in Vertragsanlage 04, Kapitel 2.2.1, sowie in Vertragsanlage 5 insgesamt 9 entsprechende Standorte ausgewiesen. Wir bitten den Auftraggeber um Klarstellung und Korrektur der Angabe in der Antwort auf Bieterfrage 506.</t>
  </si>
  <si>
    <t xml:space="preserve">Bezug lt. Katalog: Betriebsfreigabe nach 2030
Katalogdatum: 17.02.2026 // Antwort: Siehe dazu den Hinweis vom 16.02.26 zur Antwort auf Bieterfrage 506.</t>
  </si>
  <si>
    <t xml:space="preserve">ANF-630</t>
  </si>
  <si>
    <t xml:space="preserve">Nr. 583 / S. 59</t>
  </si>
  <si>
    <t xml:space="preserve">Vorgaben bleiben unverändert: Es bleibt beim Vertragsbeginn mit Zuschlagserteilung. Die Stellung der Bürgschaft, 30 Tage nach Vertragsbeginn steht dem nicht entgegen.</t>
  </si>
  <si>
    <t xml:space="preserve">Vor dem Hintergrund, dass gemäß § 56 Abs. 1 der Vertragsbeginn mit Zuschlagserteilung eintritt, während nach § 53 Abs. 1 die Stellung der Bürgschaft spätestens 30 Tage nach Vertragsschluss zu erfolgen hat, schlagen wir vor, den Wirksamkeitsbeginn (Effective Date) des Vertrags auf einen festen Zeitpunkt nach Zuschlagserteilung (z. B. einen Monat nach Zuschlag) festzulegen. Dies trägt zugleich zu einem geordneten und verlässlichen Projektstart im Sinne des Auftraggebers bei, insbesondere durch die fristgerechte Bereitstellung der vertraglich geforderten Bürgschaften sowie die Sicherstellung rechtzeitiger Trafobestellungen zur Einhaltung des Betriebsfreigabetermins für den ersten Standort.</t>
  </si>
  <si>
    <t xml:space="preserve">Bezug lt. Katalog: Effective Date
Katalogdatum: 17.02.2026 // Antwort: Es bleibt beim Vertragsbeginn mit Zuschlagserteilung. Die Stellung der Bürgschaft, 30 Tage nach Vertragsbeginn steht dem nicht entgegen. Hinsichtlich der Planung im vom Bieter mit Angebotsabgabe einzureichenden Rahmenterminplan ist auf das Datum der fiktiven Zuschlagserteilung abzustellen.</t>
  </si>
  <si>
    <t xml:space="preserve">ANF-631</t>
  </si>
  <si>
    <t xml:space="preserve">Nr. 584 / S. 59</t>
  </si>
  <si>
    <t xml:space="preserve">Klarstellung: Die Annahme wird bestätigt. Die Abrechnug einer etwaigen sich aus einer Stoffpreisgleitung ergebenden Differenz erfolgt mit Abrechnung gemäß § 44 Absatz 3 sofern die erforderlichen Nachweise vorliegen.</t>
  </si>
  <si>
    <t xml:space="preserve">Wir bitten um Bestätigung, dass Preisänderungen gemäß Stoffpreisgleitklauseln zum Abrechnungszeitpunkt prüffähig abgerechnet und anschließend gemäß § 51.6 zahlungswirksam werden.</t>
  </si>
  <si>
    <t xml:space="preserve">Bezug lt. Katalog: Stoffpreisgleitung
Katalogdatum: 17.02.2026 // Antwort: Die Annahme wird bestätigt. Die Abrechnug einer etwaigen sich aus einer Stoffpreisgleitung ergebenden Differenz erfolgt mit Abrechnung gemäß § 44 Absatz 3 sofern die erforderlichen Nachweise vorliegen.</t>
  </si>
  <si>
    <t xml:space="preserve">ANF-632</t>
  </si>
  <si>
    <t xml:space="preserve">Nr. 585 / S. 59</t>
  </si>
  <si>
    <t xml:space="preserve">Verneint: eine Verlängerung der Höchstfrist von sechs Monaten ist in den Fällen des § 2 Abs.</t>
  </si>
  <si>
    <t xml:space="preserve">Gemäß § 2 Abs. 5 der Vertragsanlage 13 ist der Ladepunktbetreiber von der Verpflichtung zur Gewährung des Durchleitungsmodells für einen Zeitraum von längstens sechs Monaten befreit. Kann dieser Zeitraum verlängert werden, vor dem Hintergrund, dass derzeit nur eine begrenzte Anzahl geeigneter Dienstleister am Markt verfügbar ist? Denn sollte der Ladepunktbetreiber die Umsetzung mangels verfügbarer Dienstleister selbst vornehmen müssen, ist aufgrund der hierfür erforderlichen technischen, organisatorischen und regulatorischen Maßnahmen mit einem erhöhten Zeitaufwand zu rechnen.</t>
  </si>
  <si>
    <t xml:space="preserve">Bezug lt. Katalog: § 2 Abs. 5 Vertragsanlage 13
Katalogdatum: 20.02.2026 // Antwort: Nein, eine Verlängerung der Höchstfrist von sechs Monaten ist in den Fällen des § 2 Abs. 5 der Vertragsanlage 13 bzw. § 35 Abs. 5 des Betreibervertrages nicht möglich.</t>
  </si>
  <si>
    <t xml:space="preserve">ANF-633</t>
  </si>
  <si>
    <t xml:space="preserve">Nr. 586 / S. 59</t>
  </si>
  <si>
    <t xml:space="preserve">Klarstellung: Diese Annahme ist unzutreffend. Die Vertragsstrafe nach § 33 Abs.</t>
  </si>
  <si>
    <t xml:space="preserve">Gehen wir richtig der Annahme, dass die Vertragsstrafe nach § 33 Abs. 3 lit. a BV für alle Standorte gilt, da das Durchleitungsmodell als technisches Modell grundsätzlich standortübergreifend den Zugang zur Ladeinfrastruktur sicherstellt? Oder gilt die Pönale pro Standort?</t>
  </si>
  <si>
    <t xml:space="preserve">Bezug lt. Katalog: § 33 Abs. 3. lit. a) Betreibervertrag
Katalogdatum: 20.02.2026 // Antwort: Diese Annahme ist unzutreffend. Die Vertragsstrafe nach § 33 Abs. 3 fällt für jeden in § 33 Abs. 1 und Absatz 2 des Betreibervertrages geregelten Pflichtverstoß an. Ein Pflichtverstoß liegt nach § 33 Abs. 2 des Betreibervertrages vor, wenn der Auftragnehmer das Durchleitungsmodell an einem Standort generell nicht ermöglicht, etwa weil er die hierfür erforderlichen technischen/organisatorischen Vorkehrungen nicht schafft (vgl. auch § § 33 Abs. 3 lit. a.). Daneben enthält § 33 Abs. 1 des Betreibervertrages die Pflicht des Auftragnehmers den Kunden von Mobilitätsdienstleistern Zugang zu gewähren. Diese Pflicht besteht gegenüber jedem Mobilitätsdienstleister, der Zugang zur Ladeinfrastruktur begehrt. Wird der Zugang gegenüber einzelnen Mobilitätsdienstleistern verweigert, so stellt jede Verweigerung einen vertragsstrafenbewährten Pflichtverstoß dar (vgl. § 33 Abs. 3 lit. b.). Ergänzend weist der Auftraggeber daraufhin, dass die in § 33 Abs. 3 des Betreibervertrages geregelte kalenderjährliche Begrenzung auf € 40.000,00 für jede Vertragsstrafe (also für jeden Pflichtverstoß) gesondert gilt.</t>
  </si>
  <si>
    <t xml:space="preserve">ANF-634</t>
  </si>
  <si>
    <t xml:space="preserve">Nr. 587 / S. 59</t>
  </si>
  <si>
    <t xml:space="preserve">Klarstellung: Wenn ausschließlich Plug &amp; Charge nach ISO 15118 verwendet wird und Kunden keine anderen Authentifizierungsmittel wie eine RFID- oder Kreditkarte mit sich führen, muss ihnen die Möglichkeit gegeben werden, die physische Barriere …</t>
  </si>
  <si>
    <t xml:space="preserve">ISO 15118 (Plug &amp; Charge) zielt darauf ab, den Ladeprozess durch eine automatische Authentifizierung über einen im Fahrzeug hinterlegten Vertrag zu vereinfachen und zusätzliche Interaktionen wie RFID- oder Kreditkarten zu vermeiden. Bei zufahrtsbeschränkten Ladebuchten mit Schranken oder Pollern muss der Fahrer jedoch unabhängig von ISO 15118 stets vorgelagerte Schritte zur Zufahrtsfreigabe (z. B. Reservierung, RFID oder Kreditkarte) durchführen, da eine Verbindung zur Ladestation erst nach Öffnung der Schranke möglich ist. Vor diesem Hintergrund bitten wir um Klarstellung, wie Fahrer und Kunden den Ladepunkt physisch erreichen sollen, wenn sie ausschließlich ISO 15118 nutzen und kein weiteres Authentifizierungsmittel (z. B. RFID oder Kreditkarte) mitführen.</t>
  </si>
  <si>
    <t xml:space="preserve">Bezug lt. Katalog: Schrankenlogik und ISO15118
Katalogdatum: 20.02.2026 // Antwort: Wenn ausschließlich Plug &amp; Charge nach ISO 15118 verwendet wird und Kunden keine anderen Authentifizierungsmittel wie eine RFID- oder Kreditkarte mit sich führen, muss ihnen die Möglichkeit gegeben werden, die physische Barriere entweder mithilfe der App eines vertraglich angebundenen Mobilitätsdienstleisters oder, wenn eine vorherige Reservierung des Ladeplatzes erfolgte, mithilfe einer daraus resultierenden Authentifizierungsmethode (z.B. automatische Kennzeichenerkennung oder Reservierungscode) freizuschalten.</t>
  </si>
  <si>
    <t xml:space="preserve">Kennzeichenerfassung / Schrankenanlage / Schrankensteuerung / Authentifizierungskomponente / OCPI Buchungskalender</t>
  </si>
  <si>
    <t xml:space="preserve">ANF-635</t>
  </si>
  <si>
    <t xml:space="preserve">Nr. 588 / S. 59</t>
  </si>
  <si>
    <t xml:space="preserve">Klarstellung: Der Status BLOCKED wird bei der Ermittlung der Ausfallminuten nach der Vertragsanlage 10: Leistungsbeschreibung Betrieb berücksichtigt.</t>
  </si>
  <si>
    <t xml:space="preserve">In Kapitel 7(1) zur Verfügbarkeit wird der Status 'BLOCKED' als Ausfallzeit gewertet. Dieser Status wird jedoch standardmäßig verwendet, wenn ein Fahrzeug den Ladeplatz blockiert, ohne zu laden (z.B. durch Park Sensorik erkannt, wie es auch bei uns implementiert ist). Wäre es möglich, den Status 'BLOCKED' von der Definition der Ausfallzeit auszunehmen?</t>
  </si>
  <si>
    <t xml:space="preserve">Bezug lt. Katalog: Ziff. 7 (1), Vertragsanlage 10
Katalogdatum: 20.02.2026
Zuordnung prüfen (Komponente/Partner nicht eindeutig) // Antwort: Der Status BLOCKED wird bei der Ermittlung der Ausfallminuten nach der Vertragsanlage 10: Leistungsbeschreibung Betrieb berücksichtigt. Eine Vertragsstrafe wegen Nichtverfügbarkeit fällt nach § 27 Abs. 4 des Betreibervertrags jedoch nur an, wenn und soweit der Auftragnehmer die Ausfallminute zu vertreten hat. Fehlverhalten von Fahrzeugführenden hat der Auftragnehmer grundsätzlich nicht zu vertreten.</t>
  </si>
  <si>
    <t xml:space="preserve">ANF-636</t>
  </si>
  <si>
    <t xml:space="preserve">Nr. 589 / S. 60</t>
  </si>
  <si>
    <t xml:space="preserve">Klarstellung: Der AG interpretiert die Frage so, dass der AN mehrere Personen pro Standort für eine Funktion einsetzen möchte.</t>
  </si>
  <si>
    <t xml:space="preserve">Gehen wir richtig in der Annahme, dass es im Ermessen der Bewerber liegt, wie viele Personen mit den Positionen gemäß Ziff. 2.4.1 bis 2.4.7 der Vertragsanlage 04 im Rahmen der Projektorganisation betraut werden, sofern für jedes Los mindestens eine Person sowie ein Vertreter je Rolle benannt werden? D. h., eine standortbezogene Aufteilung auf zwei qualifizierte Personen mit jeweils einem Vertreter pro Rolle hätte keine nachteilige Auswirkung auf die Wertung?</t>
  </si>
  <si>
    <t xml:space="preserve">Bezug lt. Katalog: Ziff. 2.4.1. ff., Vertragsanlage 04
Katalogdatum: 20.02.2026 // Antwort: Der AG interpretiert die Frage so, dass der AN mehrere Personen pro Standort für eine Funktion einsetzen möchte. In diesem Fall ist die Annahme des AN nicht zutreffend. Pro Standort kann eine dafür qualifizierte Person mehrere der in Ziff. 2.4.1 bis 2.4.7 genannten Funktionen übernehmen. Nicht zulässig ist jedoch, dass mehrere Personen dieselbe Funktion für einen Standort parallel ausüben. Es gelten die Vorgaben in: 2.4.1 "...einen im Straßen-, Ingenieur- oder technischen Anlagenbau erfahrenen Ingenieur sowie einen ständigen Vertreter einzusetzen, der die vertrags-, fach- und termingerechte Ausführung sämtlicher Planungsleistungen des AN sicherstellt.", 2.4.2 "...für die Koordination der Errichtung und Ausführung einen in der Projekt- und Bauleitung im Straßen-, Ingenieur- und technischen Anlagenbau erfahrenen Ingenieur als Bauleiter sowie einen ständigen Vertreter einzusetzen, der die vertrags-, fach-, kosten- und termingerechte Ausführung sämtlicher Bauleistungen des AN sicherstellt.", 2.4.3 " ...bereits für die Planung einen mit der Errichtung und dem Betrieb und der kommunikationstechnischen Ausstattung von Ladeinfrastruktur erfahrenen Ingenieur als Koordinator sowie einen ständigen Vertreter einzusetzen, der die vertrags-, sach- und termingerechte Ausführung sämtlicher Leistungen des AN in Zusammenhang mit der Inbetriebnahme der Ladeinfrastruktur sicherstellt.", 2.4.4 "...für diese Leistungen einen Sicherheits- und Gesundheitsschutzkoordinator zu stellen, der auch bereits in der Planungsphase die erforderlichen Aufgaben erfüllt.", 2.4.6 "stellt eine erfahrene und qualifizierte Person für die Qualitätssicherung.", wonach je Standort und je Funktion eine verantwortliche, qualifizierte Person und eine ständige Vertretung vorzusehen ist.</t>
  </si>
  <si>
    <t xml:space="preserve">ANF-637</t>
  </si>
  <si>
    <t xml:space="preserve">Nr. 590 / S. 60</t>
  </si>
  <si>
    <t xml:space="preserve">Klarstellung: Die Vorgabe eines Standardbetriebslichtpegels von 20 lx stellt keine Abweichung von den anerkannten Regeln der Technik dar.</t>
  </si>
  <si>
    <t xml:space="preserve">Bezugnehmend auf Bieterfrage 556 möchten wir erneut darauf hinweisen, dass die spezifizierte Beleuchtungsstärke von 20 lx nach unserer fachlichen Einschätzung nicht den einschlägigen Anforderungen der DIN EN 12464 2 und damit den arbeitssicherheitsrelevanten Vorgaben für das sichere Handling von Ladekabeln und Steckvorrichtungen entspricht. Da eine Unterschreitung der normativen Vorgaben eine erhöhte Unfallgefahr und ein Haftungsrisiko für den Betreiber birgt, bitten wir um ausdrückliche Bestätigung, 1) dass die Abweichung von den anerkannten Regeln der Technik durch den AG geprüft und bewusst vorgegeben wurde, 2) dass der AG die Verantwortung für diese Festlegung und etwaige Haftungsansprüche Dritter übernimmt und 3) dass die Leistung durch den AN auf Grundlage dieser Vorgabe kalkuliert und ausgeführt wird. Diese Klarstellung ist für uns zur technischen und wirtschaftlichen Planung erforderlich.</t>
  </si>
  <si>
    <t xml:space="preserve">Bezug lt. Katalog: Bezugnehmend auf Bieterfrage 556
Katalogdatum: 20.02.2026 // Antwort: Die Vorgabe eines Standardbetriebslichtpegels von 20 lx stellt keine Abweichung von den anerkannten Regeln der Technik dar. Maßgeblich für die Bemessung der Beleuchtung von Verkehrsanlagen auf Rastanlagen gilt gemäß ERS (Empfehlungen für Rastanlagen an Straßen, Ausgabe 2011), Kap. 9.4 die DIN EN 13201. Demnach sind die Güteanforderungen zur Beleuchtung von Verkehrsanlagen für Pkw/Busse die Beleuchtungsklasse CE 4 (10 lx) und für Lkw-Bereiche die Beleuchtungsklasse CE 5 (7,5 lx) zu berücksichtigen (ERS, Tab. 5). Die Anforderungen für Parkflächen liegen in der Regel bei 5-10 lx (DIN EN 13201-2, Kap. 6, Tab. 3), maximal beträgt die Beleuchtungsstärke für die Beleuchtungsklasse P1 15 lx. Die aktuelle Festlegung der Vertragsanlage 4 Abschnitt 3.14.1 von 20 lx überschreitet damit den einschlägigen technischen Standard deutlich. Unabhängig davon bestätigt auch die von Ihnen angeführte DIN EN 12464-2 für „Ladestationen für E-Fahrzeuge in beleuchteten Bereichen“ ausdrücklich einen erforderlichen Wert von 20 lx (Tabelle 8, Ref.-Nr. 8.3). Die dort genannten 50 lx betreffen ausschließlich die vertikale Beleuchtung beim Ablesen nicht selbstleuchtender Anzeigen und sind hier nicht einschlägig. Zu 1): Die Vorgabe wurde geprüft und entspricht dem Stand der Technik; eine Abweichung liegt nicht vor. Zu 2): Die Verantwortung für die Festlegung übernimmt der AG. Der AG übernimmt keine Verantwortung für etwaige Haftungsansprüche Dritter, da eine Abweichung von den anerkannten Regeln der Technik nicht vorliegt. Zu 3): Die Leistung ist auf Grundlage der vorgegebenen Beleuchtungswerte (20 lx Standardbetrieb, 2 lx gedimmt gemäß ERS 2011) zu kalkulieren und auszuführen. Es gelten die Anforderungen der Vertragsanlage 4 Leistungsbeschreibung Errichtung Abschnitt 3.14.1.</t>
  </si>
  <si>
    <t xml:space="preserve">ANF-638</t>
  </si>
  <si>
    <t xml:space="preserve">Nr. 591 / S. 60</t>
  </si>
  <si>
    <t xml:space="preserve">Anpassung der Unterlagen: Vielen Dank für den Hinweis. Die Datei wurde aktualisiert und Ihnen zur Verfügung gestellt.</t>
  </si>
  <si>
    <t xml:space="preserve">in den am 19.02.2026 verschickten aktualisieren Vergabeunterlagen handelt es sich in den Dateien: 20260218_Vertragsanlage 03_Angaben und Informationen (Los 1) 20260218_Vertragsanlage 03_Angaben und Informationen (Los 4) um jeweils die selbe Datei. Wahrscheinlich ist Ihnen ein Fehler unterlaufen. Wir bitten um Aktualisierung.</t>
  </si>
  <si>
    <t xml:space="preserve">Bezug lt. Katalog: Aktualisierte Vergabeunterlagen 19.02.2026, zwei gleiche Dokumente
Katalogdatum: 26.02.2026 // Antwort: Vielen Dank für den Hinweis. Die Datei wurde aktualisiert und Ihnen zur Verfügung gestellt.</t>
  </si>
  <si>
    <t xml:space="preserve">ANF-639</t>
  </si>
  <si>
    <t xml:space="preserve">Nr. 592 / S. 60</t>
  </si>
  <si>
    <t xml:space="preserve">Klarstellung: Den Vorgaben in den Vergabeunterlagen liegt die Bewertung zugrunde, dass eine anlassbezogene Kennzeichenerfassung nach Rücksprache mit der Bundesbeauftragten für Datenschutz und Informationsfreiheit grundsätzlich möglich (vgl.</t>
  </si>
  <si>
    <t xml:space="preserve">In Kap. 4.14 der Vertragsanlage 04 wird eine anlassbezogene Erfassung des amtlichen Kennzeichens als zulässig beschrieben. Zugleich wird klargestellt, dass eine dauerhafte Videoüberwachung unzulässig ist. Ist es zutreffend, dass damit auch eine durchgängige Erfassung von Kennzeichen nicht zulässig ist, selbst wenn diese nach dem Abgleich in der Regel unmittelbar wieder gelöscht werden? Falls ja: Ist es zutreffend, dass im Falle von Ladeplätzen in Längsaufstellung davon ausgegangen wird, dass stets ein Vorwärtseinparken erfolgt, auch wenn beispielsweise ein Fahrzeug auf dem vorhergehenden Ladeplatz leicht vor dem Dispenser geparkt hat, sodass ein Vorwärtseinparken auf den folgenden Ladeplatz aufgrund der Schleppkurve nicht mehr möglich ist? Falls nein: Wird erwartet, dass bei einer Reservierung von Standorten mit Ladeplätzen in Längsaufstellung auch die – von den Zugmaschinen abweichenden – Kennzeichen der Auflieger angegeben werden müssen?</t>
  </si>
  <si>
    <t xml:space="preserve">Bezug lt. Katalog: Vertragsanlage 04, Ziff. 4.14
Katalogdatum: 02.03.2026 // Antwort: Den Vorgaben in den Vergabeunterlagen liegt die Bewertung zugrunde, dass eine anlassbezogene Kennzeichenerfassung nach Rücksprache mit der Bundesbeauftragten für Datenschutz und Informationsfreiheit grundsätzlich möglich (vgl. Fünfter Verfahrensbrief, S. 6, sowie Vertragsanlage 4, Ziffer 4.14). Die Kennzeichenerfassung kann sich danach auf (1) die Einfahrt zur Abwicklung des Zugangs zu den Ladestellplätzen (2) die widerrechtliche Nutzung des Ladestellplatzes und (3) die Beschädigung der Ladeinfrastruktur beziehen. Die Zulässigkeit einer darüberhinausgehenden Kennzeichenerfassung kann der AG nicht bestätigen. Die konkrete Ausgestaltung der grundsätzlich zulässigen Kennzeichenerfassung ist eine Aufgabe des Betreibers. Er muss dabei insbesondere die datenschutzrechtlichen Vorgaben sowie alle Regelungen in den Vergabeunterlagen einhalten (etwa zur Planung und Errichtung des Standorts in Vertragsanlage 4). Der AG geht davon aus, dass jeder Betreiber bei der Standortplanung das Vorwärtseinparken bei einer Längsaufstellung an der Ladeeinrichtung als Regelfall berücksichtigt. Der AG kann aber nicht ausschließen, dass es nach der Errichtung des Standorts im Einzelfall zu Abweichungen vom Vorwärtseinparken kommt.</t>
  </si>
  <si>
    <t xml:space="preserve">Kennzeichenerfassung / OCPI Buchungskalender / Ladeeinrichtung</t>
  </si>
  <si>
    <t xml:space="preserve">ANF-640</t>
  </si>
  <si>
    <t xml:space="preserve">Nr. 593 / S. 61</t>
  </si>
  <si>
    <t xml:space="preserve">Klarstellung: Der genaue Hintergrund der Fragestellung erschließt sich dem AG nicht. Anhang 01a - Referenzplanung Läng- und Schrägparken ist gemäß der aktuell gültigen Regelwerke (u. a.</t>
  </si>
  <si>
    <t xml:space="preserve">In der Referenzplanung stehen der rechte Sattelzug bzw. Lastzug parallel zur Fahrspur der Rastanlage. Dies ist jedoch nur durch Rangieren oder durch sehr großzügig bemessene, freie Zufahrtsbereiche realisierbar. Die mittleren Fahrzeuge sind nicht mehr parallel zur Fahrspur der Rastanlage eingezeichnet. Gehen wir recht in der Annahme, dass im Regelbetrieb eine solche "unaufgeräumte" Positionierung der Fahrzeuge erwartet wird? Falls ja: Kann bestätigt werden, dass der Auftragnehmer nicht für Verkehrsbehinderungen verantwortlich ist, die durch in die Fahrspur hineinragende Fahrzeuge entstehen? Falls nein: Wird erwartet, dass der Auftragnehmer in einem solchen Fall die Ladeeinrichtung so steuert, dass ein Laden nicht möglich ist? Ist in diesem Zusammenhang erforderlich, dass ein solcher Zustand ohne Nutzung einer Videoüberwachung festgestellt werden muss, da diese gemäß Kap. 4.14 der Leistungsbeschreibung „Errichtung“ nicht zulässig ist?</t>
  </si>
  <si>
    <t xml:space="preserve">Bezug lt. Katalog: Anhang 01a zur Vertragsanlage 04
Katalogdatum: 02.03.2026 // Antwort: Der genaue Hintergrund der Fragestellung erschließt sich dem AG nicht. Anhang 01a - Referenzplanung Läng- und Schrägparken ist gemäß der aktuell gültigen Regelwerke (u. a. ERS) erstellt. Der enthaltene Schleppkurvenachweis ist auf Basis der Richtlinie für Bemessungsfahrzeuge und Schleppkurven zur Überprüfbarkeit der Befahrbarkeit von Verkehrsflächen (RBSV) erfolgt.</t>
  </si>
  <si>
    <t xml:space="preserve">ANF-641</t>
  </si>
  <si>
    <t xml:space="preserve">Nr. 594 / S. 61</t>
  </si>
  <si>
    <t xml:space="preserve">Klarstellung: Es ist eine synchrone Steuerung der Poller vorzusehen.</t>
  </si>
  <si>
    <t xml:space="preserve">Gehen wir recht in der Annahme, dass bei Ladeplätzen in Längsaufstellung im Falle der Nutzung durch kürzere Nutzfahrzeuge (z. B. Zugmaschinen ohne Auflieger) der dadurch freibleibende Bereich durch das Hochfahren des nicht überdeckten Pollers gesichert werden soll? Wir weisen darauf hin, dass in diesem Fall keine synchrone Steuerung der drei Poller mehr gegeben wäre und hierfür eine entsprechende spezifische Softwareentwicklung erforderlich würde, gegebenenfalls auch nur für einen einzelnen Standort innerhalb eines Loses.</t>
  </si>
  <si>
    <t xml:space="preserve">Bezug lt. Katalog: Anhang 01a zur Vertragsanlage 04
Katalogdatum: 02.03.2026 // Antwort: Es ist eine synchrone Steuerung der Poller vorzusehen.</t>
  </si>
  <si>
    <t xml:space="preserve">ANF-642</t>
  </si>
  <si>
    <t xml:space="preserve">Nr. 595 / S. 61</t>
  </si>
  <si>
    <t xml:space="preserve">Klarstellung: Die in Vertragsanlage 4 Abschnitt 4.12.5 geforderten Informationen zu Batteriespeichern sind nur für diejenigen Lose einzureichen, in denen nach aktuellem Stand tatsächlich ein Batteriespeicher geplant und errichtet werden muss.</t>
  </si>
  <si>
    <t xml:space="preserve">Ergänzende Frage zu Bieterfrage 564: Sind für alle Lose (also auch für Los 1, 2 und 5, in denen Stand heute noch keine Batteriespeicher verbindlich eingeplant sind) in den Errichtungs- und Betriebskonzepten technische und wirtschaftliche Angaben zu Batteriespeichern sowie Nachweise der vorgesehenen Betriebsweise der Batteriespeicher zu machen (ggf. auf einer generischen Basis)? Oder sind diese Angaben nur in den Konzepten für Los 3 und 4 erforderlich, in denen Stand heute bereits Batteriespeicher verbindlich eingeplant sind?</t>
  </si>
  <si>
    <t xml:space="preserve">Bezug lt. Katalog: Vertragsanlage 04, Ziff. 4.12.5
Katalogdatum: 02.03.2026 // Antwort: Die in Vertragsanlage 4 Abschnitt 4.12.5 geforderten Informationen zu Batteriespeichern sind nur für diejenigen Lose einzureichen, in denen nach aktuellem Stand tatsächlich ein Batteriespeicher geplant und errichtet werden muss.</t>
  </si>
  <si>
    <t xml:space="preserve">ANF-643</t>
  </si>
  <si>
    <t xml:space="preserve">Nr. 596 / S. 61</t>
  </si>
  <si>
    <t xml:space="preserve">Klarstellung: Wird die Vor-Ort-Entstörung durch einen Dritten durchgeführt, gelten die in § 28 Abs. 3 Satz 1 genannten (und nicht vertragsstrafenbewehrten) Fristen ab Beauftragung.</t>
  </si>
  <si>
    <t xml:space="preserve">Bieterfrage 470 entnehmen wir, dass dem Betreiber eingeräumte Vor-Ort Entstörungszeit nicht pönalisiert wird. In §28 Absatz 3 des Betreibervertrags (Stand 19.02.2026) steht, dass ab Beauftragung innerhalb der in Satz 1 genannten Fristen eine Entstörung durchgeführt werden muss. Bedeutet dies, dass die nicht-pönalisierte Vor-Ort Entstörungszeit ebenfalls ab Beauftragung startet? Wird der Zeitraum von Kenntniserlangung bis Beauftragung pönalisiert oder nicht?</t>
  </si>
  <si>
    <t xml:space="preserve">Bezug lt. Katalog: Bieterfrage 470 &amp; §28 Abs. 3 BV
Katalogdatum: 05.03.2026 // Antwort: Wird die Vor-Ort-Entstörung durch einen Dritten durchgeführt, gelten die in § 28 Abs. 3 Satz 1 genannten (und nicht vertragsstrafenbewehrten) Fristen ab Beauftragung. Der Zeitraum zwischen Kenntniserlangung und Beauftragung wird nicht pönalisiert, wenn die Beauftragung unverzüglich, also ohne schuldhaftes Zögern (vgl. § 121 BGB), erfolgt.</t>
  </si>
  <si>
    <t xml:space="preserve">ANF-644</t>
  </si>
  <si>
    <t xml:space="preserve">Nr. 597 / S. 61</t>
  </si>
  <si>
    <t xml:space="preserve">Klarstellung: Dieses Verständnis ist zutreffend, allerdings wäre die Unzumutbarkeit/Unmöglichkeit der Behebung der Störung oder des Schadens auch nach Ablauf der in § 28 Abs.</t>
  </si>
  <si>
    <t xml:space="preserve">In §28 Abstatz 3 des Betreibervertrags wurde (Stand 19.02.2026) der Satz eingefügt, dass die in Satz 1 genannten Fristen nicht gelten, soweit eine Behebung nach §275 Abs.2 BGB unzumutbar oder nicht möglich ist. Für diesen Fall wird dann auch für den beliebig langen Zeitraum bis zur Enstörung (sobald diese möglich/zumutbar ist) kein Pönal anfallen. Ist dieses Verständnis korrekt?</t>
  </si>
  <si>
    <t xml:space="preserve">Bezug lt. Katalog: §28 Abs. 3 BV
Katalogdatum: 05.03.2026 // Antwort: Dieses Verständnis ist zutreffend, allerdings wäre die Unzumutbarkeit/Unmöglichkeit der Behebung der Störung oder des Schadens auch nach Ablauf der in § 28 Abs. 3 Satz 1 genannten Fristen vom Auftragnehmer fortlaufend darzulegen und zu beweisen.</t>
  </si>
  <si>
    <t xml:space="preserve">ANF-645</t>
  </si>
  <si>
    <t xml:space="preserve">Nr. 598 / S. 61</t>
  </si>
  <si>
    <t xml:space="preserve">Klarstellung: Kurze und lange Störungen werden separat erfasst und jeweils für sich summiert. Insgesamt ergibt sich daraus eine nicht pönalisierte Gesamtausfallzeit pro Tag von 30 Minuten, bestehend aus 15 Minuten durch kurze Störungen und 15 …</t>
  </si>
  <si>
    <t xml:space="preserve">Für die Berechnung von Pönalen wird in der Vertragsanlage 10: Leistungsbeschreibung Betrieb eine Grenze von 15 min summierter kurzer bzw. längerer Ausfallzeiten pro Tag genannt. Sind für diese Grenze auch nicht-pönalisierte Ausfallzeiten (die z.B. unter die Regelung aus Bieterfrage 470 fallen) zu berücksichtigen?</t>
  </si>
  <si>
    <t xml:space="preserve">Bezug lt. Katalog: Vertragsanlage 10 LB Betrieb &amp; Bieterfrage 470
Katalogdatum: 05.03.2026 // Antwort: Kurze und lange Störungen werden separat erfasst und jeweils für sich summiert. Insgesamt ergibt sich daraus eine nicht pönalisierte Gesamtausfallzeit pro Tag von 30 Minuten, bestehend aus 15 Minuten durch kurze Störungen und 15 Minuten durch lange Störungen. Geplante und vom AN rechtzeitig angekündigte Ausfallzeiten (z. B. für Wartungsarbeiten) werden gemäß Vertragsanlage 10, Abschnitt 7 Nr. (5) ebenfalls nicht pönalisiert. Ausfallzeiten, die weder geplante Ausfallzeiten noch die zulässigen kurzen oder langen Störungen darstellen, werden pönalisiert. Dazu zählen auch die Ausfallzeiten, die im Zusammenhang mit der Behebung von Störungen entstehen, soweit sie über die nicht pönalisierten Zeitkontingente hinausgehen.</t>
  </si>
  <si>
    <t xml:space="preserve">ANF-646</t>
  </si>
  <si>
    <t xml:space="preserve">Nr. 599 / S. 61</t>
  </si>
  <si>
    <t xml:space="preserve">Klarstellung: Ob eine eine Anforderung durch eine Prüforganisation oder durch einen Servicedienstleister ausgeführt werden muss, ergibt sich aus den jeweils relevanten gesetzlichen und normativen Vorgaben und liegt in der Verantwortung des AN.</t>
  </si>
  <si>
    <t xml:space="preserve">Im Bezug auf Bieterfrage 551 gehen wir richtig der Annahme, dass alle von Ihnen exemplarisch aufgelisteten Nominellen Anforderungen durch eine Prüforganisation ausgeführt werden muss und nicht durch den Hersteller der verschiedenen Hardware (Ladeeinrichtungen / Reservierungssystem / Beleuchtung / Trafostationen etc) oder durch einen Service Dienstleister unserer Wahl? Dies würde vor allem die Wartungen der elektrischen Anlage gem. DGUV V3 (DIN VDE 0105 100) erschweren, daher wäre eine Klarstellung sehr wichtig, welche Aufgabe die Prüforganisation in der Kette der Tätigkeiten hat.</t>
  </si>
  <si>
    <t xml:space="preserve">Bezug lt. Katalog: Bieterfrage 551 Aufgaben der Prüforganisationen
Katalogdatum: 05.03.2026 // Antwort: Ob eine eine Anforderung durch eine Prüforganisation oder durch einen Servicedienstleister ausgeführt werden muss, ergibt sich aus den jeweils relevanten gesetzlichen und normativen Vorgaben und liegt in der Verantwortung des AN.</t>
  </si>
  <si>
    <t xml:space="preserve">Alpitronic / eRound / Reservierungsplattform</t>
  </si>
  <si>
    <t xml:space="preserve">OCPI Buchungskalender / Reservierungsplattform / Ladeeinrichtung</t>
  </si>
  <si>
    <t xml:space="preserve">ANF-647</t>
  </si>
  <si>
    <t xml:space="preserve">Nr. 600 / S. 61</t>
  </si>
  <si>
    <t xml:space="preserve">Klarstellung: Der AG hat mit dem Fünften Verfahrensbrief (nach Rücksprache mit der Bundesbeauftragen für Datenschutz und die Informationsfreiheit) klargestellt, dass es im Rahmen dieser Ausschreibung auf unbewirtschafteten Rastanlagen …</t>
  </si>
  <si>
    <t xml:space="preserve">In Ihrem Schreiben: „Fünfter Verfahrensbrief Verhandlungsverfahren“ wird in dem Spiegelstrich „Kennzeichenerfassung“ die Legitimation der Kennzeichenüberwachung zur Überwachung der Standorte eingeräumt. Wir halten es für nicht sinnvoll eine Kamera zur Kennzeichenüberwachung so anzubringen, dass diese die Ladeeinrichtung filmt um wie in Ihrem Schreiben beschreiben „2) bei widerrechtlicher Nutzung des Ladestellplatzes, 3) bei Beschädigung der Ladeinfrastruktur.“ zu ermöglichen. Wie stellen sie sich also diese Kameraüberwachung genau vor? In Ihrem Schreiben „Fünfter Verfahrensbrief Verhandlungsverfahren“ steht außerdem unter dem Spiegelstrich „Kennzeichenerfassung“ „Die Vertragsanlage 4: Leistungsbeschreibung Errichtung wurde entsprechend ergänzt.“. Wir konnten keine Passagen in der Vertragsanlage 4 finden die dieser Anpassung entsprechen würden, können sie hier noch einmal genau aufzeigen, was genau Sie meinen.</t>
  </si>
  <si>
    <t xml:space="preserve">Bezug lt. Katalog: Kameraüberwachung
Katalogdatum: 05.03.2026 // Antwort: Der AG hat mit dem Fünften Verfahrensbrief (nach Rücksprache mit der Bundesbeauftragen für Datenschutz und die Informationsfreiheit) klargestellt, dass es im Rahmen dieser Ausschreibung auf unbewirtschafteten Rastanlagen datenschutzrechtlich grundsätzlich zulässig ist, Kennzeichen per Kamera zu erfassen. Dies gilt auch für den Fall einer widerrechtlichen Nutzung des Ladestellplatzes. Auf diese Weise erhält jeder Betreiber eine zusätzliche Möglichkeit, eine vertragskonforme Nutzung der Ladeinfrastruktur zu gewährleisten. Inwieweit ein Bieter/Betreiber von dieser Möglichkeit Gebrauch macht, wird durch den AG nicht festgelegt. Die konkrete Ausgestaltung einer etwaigen Kennzeichenerfassung per Kamera ist eine Aufgabe des jeweiligen Bieters/Betreibers. Er muss dabei gewährleisten, dass die konkrete Ausgestaltung datenschutzkonform ist. Weitere Vorgaben ergeben sich in den Vergabeunterlagen nur aus Vertragsanlage 4, Ziffer 4.14 (Einrichtung zur Authentifizierung und Freigabe der physischen Zufahrtsbeschränkung).</t>
  </si>
  <si>
    <t xml:space="preserve">Kennzeichenerfassung / Schrankenanlage / Authentifizierungskomponente / Ladeeinrichtung</t>
  </si>
  <si>
    <t xml:space="preserve">ANF-648</t>
  </si>
  <si>
    <t xml:space="preserve">Nr. 601 / S. 62</t>
  </si>
  <si>
    <t xml:space="preserve">Klarstellung: zu (i): Die Annahme ist insoweit zutreffend, als das die DIN 18040-3 für die 1,5 m breiten Zwischenräume keine Anwendung findet.</t>
  </si>
  <si>
    <t xml:space="preserve">Gehen wir recht in der Annahme, dass es (i) sich bei den 1,5 m breiten Zwischenräumen inkl. der Inseln für Ladestationen und Schranken zwischen zwei Ladeplätzen in Diagonalaufstellung nicht um Gehwege handelt und die DIN 18040-3 dort keine Anwendung findet und (ii) sich aus § 23 Abs. 1 Betreibervertrag nichts anderes ergibt? Falls doch, bitten wir um Klarstellung, wie die aus Vertragsanlage 04, Ziffer 3.13.2.1 i.V.m. Anhang 1a: Referenzplanung Längs- und Schrägparken resultierende Verpflichtung zur Errichtung von Hochborden praktisch mit den Anforderungen aus DIN 18040-3 hinsichtlich Bewegungsflächen und Durchgangsbreiten umgesetzt werden soll.</t>
  </si>
  <si>
    <t xml:space="preserve">Bezug lt. Katalog: Vertragsanlage 04, Ziffer 4.11.3 barrierefreie Wiederherstellung der Pflasterdecke von Gehwegen
Katalogdatum: 06.03.2026 // Antwort: zu (i): Die Annahme ist insoweit zutreffend, als das die DIN 18040-3 für die 1,5 m breiten Zwischenräume keine Anwendung findet. Bitte beachten Sie auch die Antwort auf Bieterfrage 568. zu (ii): Etwas anderes ergibt sich auch nicht aus § 23 Abs. 1 des Betreibervertrags.</t>
  </si>
  <si>
    <t xml:space="preserve">ANF-649</t>
  </si>
  <si>
    <t xml:space="preserve">Nr. 602 / S. 62</t>
  </si>
  <si>
    <t xml:space="preserve">Klarstellung: Wie in Antwort auf Frage 81 erläutert, wird das Infrastrukturentgelt (unter anderem) auf Basis der finalen Angebotspreise bestimmt.</t>
  </si>
  <si>
    <t xml:space="preserve">Gemäß Antwort auf Frage 81 sollte für die Kalkulation des indikativen Angebotes als Höhe für das Infrastrukturentgelt 20 Ct. / kWh zzgl. UmSt unterstellt werden. Wir bitten um Angabe, welcher Wert für Kalkulation des verbindlichen Angebotes als Höhe für das Infrastrukturentgelt unterstellt werden soll.</t>
  </si>
  <si>
    <t xml:space="preserve">Bezug lt. Katalog: Höhe des Infrastrukturentgeltes für die Kalkulation des verbindlichen Angebotes zu Frage 81
Katalogdatum: 10.03.2026 // Antwort: Wie in Antwort auf Frage 81 erläutert, wird das Infrastrukturentgelt (unter anderem) auf Basis der finalen Angebotspreise bestimmt. Eine vorherige Nennung des Infrastrukturentgelts ist daher nicht möglich, da es maßgeblich von den finalen Angebotspreisen abhängig ist. Den Bietern wurde ein indikatives Infrastrukturentgelt vor der ersten Angebotsabgabe und das auf Basis der Erstangebote ermittelte Infrastrukturentgelt kommuniziert, diese Informationen galten lediglich zur Orientierung und bildeten bzw. bilden keine verbindliche Kalkulationsgrundlage für die Erstellung der indikativen und oder finalen Angebote. Im Rahmen des zweiten Verfahrensbriefs wurde den Bietern mitgeteilt, wie das Infrastrukturentgelt berechnet wird. Diese Vorgehensweise wurde in den anschließenden Bietergesprächen vertieft vorgestellt. Um die Transparenz für die Bieter weiterhin zu erhöhen, können zum jetzigen Stand folgende Rahmenparameter für die Berechnung des Infrastrukturentgelts (über den festgelegten Betrachtungszeitraums von 15 Jahren) mitgeteilt werden: Netzanschlusskosten (inkl. der prognostizierten Kosten für die Leistungspreise der Netznutzung): 200 Mio. € Erwartete verladene Energiemenge: 4095 GWh Formel: Infrastrukturentgelt (€/kWh) = (200 Mio. € + Errichtungsentgelte + Betreiberentgelte) / 4.095 GWh Wir möchten an dieser Stelle anmerken, dass die beiden Kennzahlen (insb. der Kostenblock zu den Netzanschlusskosten) sich seit der Ermittlung des kalkulatorischen Infrastrukturentgelts nach der Abgabe der indikativen Angebote verändert haben und keine Rückschlüsse auf die eingegangenen Erstangebote ermöglichen. Es wird zudem darauf hingewiesen, dass die vorgenannten Berechnungsgrundlagen für das Infrastrukturentgelt keine Zusage/Prognose/Anspruchsgrundlage der Bieter begründet. Die Mitteilung der vorgenannten Berechnungsgrundlagen dient ausschließlich der Transparenz im Vergabeverfahren.</t>
  </si>
  <si>
    <t xml:space="preserve">ANF-650</t>
  </si>
  <si>
    <t xml:space="preserve">Nr. 603 / S. 62</t>
  </si>
  <si>
    <t xml:space="preserve">Klarstellung: Die Annahme zu a) und zu b) ist zutreffend.</t>
  </si>
  <si>
    <t xml:space="preserve">Gem. § 53 Betreibervertrag hat der Auftragnehmer eine Vertragserfüllungsbürgschaft durch ein europäisches Kreditinstitut zu stellen, welches ein Rating im „BBB“-Bereich von S&amp;P oder ein gleichwertiges Rating einer anderen international anerkannten Rating-Agentur aufweist. Ist unser Verständnis richtig, dass (a) ein Kreditinstitut mit einem „BBB-“ die Rating-Anforderung („BBB“-Bereich) erfüllt und (b) ein „BBB-“ Rating eines Gesellschafters des Betreibers bzw. der Muttergesellschaft eines Gesellschafters, mit der der Gesellschafter über eine Kette von Ergebnisabführungsverträgen verbunden ist, die Rating Anforderungen gem. § 53 Abs. 7 für die Stellung eines gleichwertigen Sicherungsinstruments erfüllt?</t>
  </si>
  <si>
    <t xml:space="preserve">Bezug lt. Katalog: § 53 Abs. 2 sowie 7 Betreibervertrag: Vertragserfüllungsbürgschaft, Ratinganforderung
Katalogdatum: 10.03.2026 // Antwort: Die Annahme zu a) und zu b) ist zutreffend.</t>
  </si>
  <si>
    <t xml:space="preserve">ANF-651</t>
  </si>
  <si>
    <t xml:space="preserve">Nr. 604 / S. 62</t>
  </si>
  <si>
    <t xml:space="preserve">Klarstellung: Der Netzanschluss am Standort Bütteler Holz West &amp; Ost ist beauftragt. Der AN kann davon ausgehen, dass der entsprechende Netzanschluss nach Zuschlagserteilung und nach entsprechender Kontaktaufnahme mit dem VNB durch den AN im …</t>
  </si>
  <si>
    <t xml:space="preserve">In Vertragsanlage 05 (Stand 16.01.2026) liegt die voraussichtliche Inbetriebnahme der Standorte Bütteler Holz West und Ost in Q4 2025. Im neuen Stand vom 18.02.2026 steht für die voraussichtliche Inbetriebnahme ,,Nach Abstimmung mit dem VNB''. Kann davon ausgegangen werden, dass die beiden Standorte im Jahr 2027 in Betrieb genommen werden können? Ist die Aussagen über die Abstimmung mit dem VNB generell ein Indiz dafür, dass die Netzanschlusskapazität am Standort gegeben ist?</t>
  </si>
  <si>
    <t xml:space="preserve">Bezug lt. Katalog: Vertragsanlage 05_Details zum Netzanschluss – Voraussichtlicher Zeitpunkt der IBN
Katalogdatum: 10.03.2026 // Antwort: Der Netzanschluss am Standort Bütteler Holz West &amp; Ost ist beauftragt. Der AN kann davon ausgehen, dass der entsprechende Netzanschluss nach Zuschlagserteilung und nach entsprechender Kontaktaufnahme mit dem VNB durch den AN im Jahr 2027 zur Verfügung steht. Es kann davon ausgegangen werden, dass bei Standorten mit dem Hinweis "Nach Abstimmung mit dem VNB'' oder " Kurzfristig in Abstimmung mit dem VNB" der Netzanschluss nach Zuschlagserteilung und nach entsprechender Kontaktaufnahme mit dem VNB durch den AN innerhalb von 6 Monaten zur Verfügung steht. Die bei Inbetriebnahme verfügbare Leistung ist in Vertragsanlage 5 Spalte "Verfügbare Leistung bei Inbetriebnahme in kW" angegeben.</t>
  </si>
  <si>
    <t xml:space="preserve">ANF-652</t>
  </si>
  <si>
    <t xml:space="preserve">Nr. 605 / S. 62</t>
  </si>
  <si>
    <t xml:space="preserve">Klarstellung: Die Einrichtung einer automatisierten Erstsupportlösung ist zulässig, erfüllt allein jedoch nicht die Anforderungen nach § 26 des Betreibervertrags.</t>
  </si>
  <si>
    <t xml:space="preserve">Gemäß §27 des Betreibervertrags wird gefordert, dass der Auftragnehmer eine für Endnutzer kostenlose Hotline gewährleistet, die täglich 24 Stunden durch technisch kompetentes Personal besetzt ist. Wir bitten um Klarstellung, dass auch automatisierte Erstsupportlösungen zulässig sind, wobei die 24/7 Erreichbarkeit gewährleistet wird und bei Bedarf eine Eskalation an qualifiziertes Personal erfolgt? Dies würde den Einsatz moderner, KI-gestützter Supportlösungen ermöglichen und eine sachge- rechte Unterstützung der Endnutzer sicherstellen.</t>
  </si>
  <si>
    <t xml:space="preserve">Bezug lt. Katalog: § 27 Betreibervertrag
Katalogdatum: 12.03.2026 // Antwort: Die Einrichtung einer automatisierten Erstsupportlösung ist zulässig, erfüllt allein jedoch nicht die Anforderungen nach § 26 des Betreibervertrags. Es ist mithin (zusätzlich zu der automatisierten Erstsupportlösung) sicherzustellen, dass zu jederzeit eine Abgabe von Anfragen an technisch kompetentes Personal erfolgen kann, wenn und soweit die Erstsupportlösung keine Abhilfe schaffen kann.</t>
  </si>
  <si>
    <t xml:space="preserve">ANF-653</t>
  </si>
  <si>
    <t xml:space="preserve">Nr. 606 / S. 63</t>
  </si>
  <si>
    <t xml:space="preserve">Vertragslaufzeit und Verlängerungsoption Der dritte Satz sieht alternativ zur Verlängerung nach Satz 2 eine zweimalige Verlängerung der Vertragslaufzeit vor, wobei die erste Verlängerung „bis zum Ablauf des zehnten Kalenderjahres ab dem Tag der Bekanntgabe des Beschlusses der beihilferechtlichen Genehmigung der Europäi- schen Kommission“ erfolgen soll. Vor dem Hintergrund, dass die beihilfenrechtliche Genehmigung im Dezember 2025 bekanntge- geben wurde und der Zuschlag voraussichtlich im Juni 2026 erfolgt, würde sich aus unserer Sicht folgende Konstellation ergeben: - reguläres Vertragsende: Juni 2034 (8 Jahre ab Zuschlag) - Ende nach erster Verlängerung gemäß Satz 3: Dezember 2035 (10 Jahre nach EU-Geneh- migung) Die erste Verlängerung würde somit etwa 1,5 Jahre betragen. Wir bitten um Klarstellung, ob diese Auslegung zutreffend ist.</t>
  </si>
  <si>
    <t xml:space="preserve">Bezug lt. Katalog: §56.1 Betreibervertrag
Katalogdatum: 12.03.2026 // Antwort: Diese Annahme ist zutreffend.</t>
  </si>
  <si>
    <t xml:space="preserve">ANF-654</t>
  </si>
  <si>
    <t xml:space="preserve">Nr. 607 / S. 63</t>
  </si>
  <si>
    <t xml:space="preserve">Anpassung der Unterlagen: Die Anlage 1 zum Verfahrensbrief "Betreibervertrag" wurde entsprechend angepasst, vgl. insb. § 11 Abs.</t>
  </si>
  <si>
    <t xml:space="preserve">Für 30% der 124 Standorte enthält die Vertragsanlage 05 kein erwartetes Inbetriebnahmedatum des Netzanschlusses. Für die Erstellung des Rahmenterminplans bitten wir um Klarstellung, um eine einheitliche Vorgehensweise und Vergleichbarkeit der Angebote sicherzustellen: Welche Annahmen sollen Bieter für Standorte ohne erwartetes Inbetriebnahmedatum zugrunde legen, insb. ob diese Netzanschlüsse nach eigenem Ermessen (z.B. möglichst spät innerhalb der Errichtungsphase) einzuplanen sind.</t>
  </si>
  <si>
    <t xml:space="preserve">Bezug lt. Katalog: Vertragsanlage 05
Katalogdatum: 12.03.2026 // Antwort: Die Anlage 1 zum Verfahrensbrief "Betreibervertrag" wurde entsprechend angepasst, vgl. insb. § 11 Abs. 5. Danach sind die Standorte möglichst spät innerhalb der Errichtungsphase (im Kalenderjahr 2030 mit der in der Spalte „Startleistung 2026“ genannten Leistung ) einzuplanen.</t>
  </si>
  <si>
    <t xml:space="preserve">ANF-655</t>
  </si>
  <si>
    <t xml:space="preserve">Nr. 608 / S. 63</t>
  </si>
  <si>
    <t xml:space="preserve">Klarstellung: Zu a) Für die Rastanlagen entlang der Bundesautobahnen bestehen derzeit keine allgemein gültigen, übergeordneten oder projektbezogenen Genehmigungen für drohnenbasierte Vermessungsflüge.</t>
  </si>
  <si>
    <t xml:space="preserve">Im Zusammenhang mit den gemäß Vertragsanlage 4 vorgesehenen Vermessungsleistungen kann zur Erstellung der Bestandsdaten (insb. für BIM-Modelle) der Einsatz drohnenbasierter Vermes- sungsmethoden erforderlich sein. Für solche Flüge können je nach Standort Genehmigungen der zuständigen Luftfahrtbehörden bzw. der Deutschen Flugsicherung erforderlich sein, deren Bear- beitungsdauer mehrere Wochen betragen kann. a) Bestehen für die Rastanlagen entlang der Bundesautobahnen bereits übergeordnete oder pro- jektbezogene Genehmigungen für drohnenbasierte Vermessungen, oder sind diese standortspe- zifisch durch den Auftragnehmer einzuholen? b) Sofern solche Genehmigungen nicht bestehen oder nicht rechtzeitig erteilt werden können: Ist eine ausschließlich terrestrische Vermessung (Begehung) als gleichwertige Methode im Sinne der Leistungsbeschreibung zulässig und soll der hieraus resultierende erhöhte Vermessungsaufwand durch die Bieter im Angebot berücksichtigt werden?</t>
  </si>
  <si>
    <t xml:space="preserve">Bezug lt. Katalog: Vermessung, Be- standsdaten
Katalogdatum: 12.03.2026 // Antwort: Zu a) Für die Rastanlagen entlang der Bundesautobahnen bestehen derzeit keine allgemein gültigen, übergeordneten oder projektbezogenen Genehmigungen für drohnenbasierte Vermessungsflüge. Erforderliche Genehmigungen sind standort- und aufgabenspezifisch durch den Auftragnehmer in eigener Verantwortung einzuholen. Zu b) Grundsätzlich wird die terrestrische Vermessung als Standardverfahren angesehen. Sofern drohnenbasierte Vermessungen verwendet werden sollen und diese die geforderte Datenqualität, Vollständigkeit und Genauigkeit erreichen, können sie ebenfalls eingesetzt werden. Unabhängig vom Verfahren ist grundsätzlich der Vermessungsaufwand durch die Bieter im Angebot zu berücksichtigen.</t>
  </si>
  <si>
    <t xml:space="preserve">ANF-656</t>
  </si>
  <si>
    <t xml:space="preserve">Nr. 609 / S. 63</t>
  </si>
  <si>
    <t xml:space="preserve">Klarstellung: Zu a) Durch temporäre Hindernisse (z. B. parkende Lkw oder Pkw) verursachte Abschattungen bzw.</t>
  </si>
  <si>
    <t xml:space="preserve">Bei der Erstellung von Punktwolken im Rahmen der Bestandsvermessung kann es aufgrund par- kender Lkw bzw. Pkw zu Abschattungen bzw. fehlenden Messpunkten kommen. a) Wir bitten um Klarstellung, wie in solchen Fällen mit durch parkende Fahrzeuge verursachten Lücken umzugehen ist. b) Zudem bitten wir um Klarstellung, ob diese Bereiche auf Basis vorhandener Bestandsinformati- onen bzw. durch Ableitung aus 2D-Plänen ergänzt werden dürfen.</t>
  </si>
  <si>
    <t xml:space="preserve">Bezug lt. Katalog: Vermessung, Be- standsdaten
Katalogdatum: 12.03.2026 // Antwort: Zu a) Durch temporäre Hindernisse (z. B. parkende Lkw oder Pkw) verursachte Abschattungen bzw. Messlücken sind grundsätzlich zu dokumentieren. Der Auftragnehmer hat geeignete und verhältnismäßige Maßnahmen zu ergreifen, um die geforderte Datenqualität sicherzustellen. Dazu gehören insbesondere: 1) ergänzende Aufnahmen zu einem späteren Zeitpunkt oder aus alternativen Standpunkten, 2) sowie, sofern messtechnisch vertretbar, eine fachgerechte Interpolation der Punktwolke zur Schließung kleinerer Lücken bzw. logische Schließung von Flächenlücken durch Erweiterungen von angrenzenden Flächen. Zu b) Sofern Messlücken nicht vollständig messtechnisch geschlossen werden können, ist eine Ergänzung auf Basis vorhandener Bestandsinformationen zulässig, sofern diese fachlich nachvollziehbar ist, entsprechend gekennzeichnet wird und den Anforderungen an die Bestandsdokumentation genügt.</t>
  </si>
  <si>
    <t xml:space="preserve">ANF-657</t>
  </si>
  <si>
    <t xml:space="preserve">Nr. 610 / S. 63</t>
  </si>
  <si>
    <t xml:space="preserve">Klarstellung: zu a) Eine spezielle Ansprache der Vegetation ist nicht erforderlich. Es ist ausreichend die Flächen mit Vegetation zu benennen und zwischen Strauch- und Baumbewuchs zu differenzieren.</t>
  </si>
  <si>
    <t xml:space="preserve">Im Rahmen der Bestandsaufnahme sind gemäß Leistungsbeschreibung u. a. Bäume sowie deren Eigenschaften (z. B. Baumart) zu erfassen. a) Wir bitten um Klarstellung, welcher Detaillierungsgrad bei der Erfassung von Vegetation, insbe- sondere der Bestimmung von Baumarten sowie ggf. Flora und Fauna, erwartet wird. b) Zudem bitten wir um Klarstellung, ob hierfür die Beauftragung fachkundiger externer Berater vorzusehen ist oder ob eine übliche vermessungstechnische bzw. visuelle Aufnahme der Vegeta- tion ausreichend ist.</t>
  </si>
  <si>
    <t xml:space="preserve">Bezug lt. Katalog: Vermessung, Be- standsdaten
Katalogdatum: 12.03.2026 // Antwort: zu a) Eine spezielle Ansprache der Vegetation ist nicht erforderlich. Es ist ausreichend die Flächen mit Vegetation zu benennen und zwischen Strauch- und Baumbewuchs zu differenzieren. Bäume sind mit Gattung und Artname zu bezeichnen (z.B Stieleiche – Quercus robur) sowie Stamm- und Kronendurchmesser anzugeben. Zu b) Die Entscheidung, ob ein die Beauftragung fachkundiger externer Berater notwendig ist, obliegt dem AN.</t>
  </si>
  <si>
    <t xml:space="preserve">ANF-658</t>
  </si>
  <si>
    <t xml:space="preserve">Nr. 611 / S. 63</t>
  </si>
  <si>
    <t xml:space="preserve">Klarstellung: zu a) und b) Gemäß Vertragsanlage 4 Leisungsbeschreibung Errichtung gilt: "Zu den Vermessungsleistungen des AN gehören alle Leistungen der Leistungsbilder, planungsbegleitende Vermessung und Bauvermessung gemäß HOAI 2021 – Anlage …</t>
  </si>
  <si>
    <t xml:space="preserve">Gemäß Abschnitt 3.4.2 der Leistungsbeschreibung sind im Rahmen der Bestandsaufnahme unterirdische Infrastrukturen wie Entwässerungsanlagen sowie Ver- und Entsorgungsleitungen zu erfassen. a) Kanäle / Entwässerungsanlagen Die Vermessung bzw. Inspektion von Kanälen setzt in der Regel die Befahrbarkeit der Leitungen für Kamerasysteme (z. B. Rover) voraus. Wir bitten um Klarstellung, wie zu verfahren ist, wenn Kanäle aufgrund baulicher Gegebenheiten oder Verunreinigungen nicht befahrbar sind. b) Ver- und Entsorgungsleitungen Die Ortung unterirdischer Leitungen erfolgt üblicherweise mittels Georadar (GPR). Je nach Untergrundbeschaffenheit oder vorhandenen Störsignalen kann eine vollständige Detektion jedoch nicht gewährleistet werden. Wir bitten um Klarstellung, wie zu verfahren ist, wenn Leitungen nicht eindeutig detektiert werden können, insbesondere ob in solchen Fällen eine Ableitung aus vorhandenen Bestandsunterlagen ausreichend ist oder ob der Auftraggeber zusätzliche Maßnahmen (z. B. Suchschachtungen) erwartet.</t>
  </si>
  <si>
    <t xml:space="preserve">Bezug lt. Katalog: Vermessung Ka- näle / Entwässe- rungsanlagen, Ver- und Entsor- gungsleitungen
Katalogdatum: 12.03.2026 // Antwort: zu a) und b) Gemäß Vertragsanlage 4 Leisungsbeschreibung Errichtung gilt: "Zu den Vermessungsleistungen des AN gehören alle Leistungen der Leistungsbilder, planungsbegleitende Vermessung und Bauvermessung gemäß HOAI 2021 – Anlage 1, Kap 1.4.4 – Grundleistungen und besondere Leistungen, dazu gehört ausdrücklich das „Orten und Aufmessen des unterirdischen Bestandes“ an Medien und Leitungen." Der AN wählt die geeigneten Verfahren zur Erfüllung dieser Leistungen selbst.</t>
  </si>
  <si>
    <t xml:space="preserve">Kennzeichenerfassung</t>
  </si>
  <si>
    <t xml:space="preserve">ANF-659</t>
  </si>
  <si>
    <t xml:space="preserve">Nr. 612 / S. 64</t>
  </si>
  <si>
    <t xml:space="preserve">Bestätigt: zur Sicherstellung der Verkehrsführung können in Einzelfällen Anpassungen an der Ladeinsel erfolgen.</t>
  </si>
  <si>
    <t xml:space="preserve">In Vertragsanlage 4 Kapitel 3.4 wird vorgesehen, dass zur Sicherstellung der Verkehrsführung in bestimmten Fällen geometrische Anpassungen der Ladeinsel erforderlich sein können (z. B. im Be- reich der Ausfahrt bei linksseitigem Einbiegen in Schrägparkstände). Vor diesem Hintergrund bitten wir um Bestätigung, ob in vereinzelten Fällen auch Anpassungen der Abmessungen der Ladeinsel, insbesondere eine Verlängerung, zulässig sind, sofern dies zur funktionsgerechten Anordnung von Komponenten der Ladeinfrastruktur erforderlich ist und die verkehrstechnischen Anforderungen weiterhin eingehalten werden.</t>
  </si>
  <si>
    <t xml:space="preserve">Bezug lt. Katalog: Ladeinsel
Katalogdatum: 12.03.2026 // Antwort: Ja, zur Sicherstellung der Verkehrsführung können in Einzelfällen Anpassungen an der Ladeinsel erfolgen. Die Anpassungen müssen so erfolgen, dass die funktionalen Anforderungen der Vertragsanlage 4 stets erfüllt sind.</t>
  </si>
  <si>
    <t xml:space="preserve">ANF-660</t>
  </si>
  <si>
    <t xml:space="preserve">Nr. 613 / S. 64</t>
  </si>
  <si>
    <t xml:space="preserve">Klarstellung: a) Die Charging Periods sind in dieser Schnittstelle als "meter values" des abgeschlossenen Ladevorgangs anzusehen.</t>
  </si>
  <si>
    <t xml:space="preserve">Gemäß Vertragsanlage 10, Kapitel 5 d) sind im Rahmen der Übermittlung von Ladevorgangsdaten sogenannte charging_periods zu übermitteln. a) Wir bitten um Klarstellung, ob die Struktur der charging_periods vollständig gemäß OCPI- Standard umzusetzen bzw. zu berichten sind. b) Wie gliedern sich die Ladeabschnitte bzw. grenzen sich diese ab, wenn pro Ladevorgang nur ein Tarif gültig ist, d.h. kein Tarifwechsel während des Ladevorgangs stattfindet? Führt dies automatisch dazu, dass Ladevorgänge ohne Tarifwechsel immer genau einen Ladeabschnitt haben? c) Muss eine zeitliche Abgrenzung (z.B. über ein period_start_timestamp) innerhalb der Liste berichtet werden? d) Ist lediglich der Dimension Type “Energy” relevant oder werden noch weitere hinzu-kom- men? e) Wie sollen Gebühren (z.B. Blockiergebühren) in diesem Zusammenhang berichtet werden, als ein anderer/zusätzlicher Tarif? Wir bitte um die Bereitstellung von Beispielen.</t>
  </si>
  <si>
    <t xml:space="preserve">Bezug lt. Katalog: Vertragsanlage 10, Kapitel 5
Katalogdatum: 12.03.2026 // Antwort: a) Die Charging Periods sind in dieser Schnittstelle als "meter values" des abgeschlossenen Ladevorgangs anzusehen. Diese sind analog zum OCPI-Standard umgesetzt. b) Das heißt, sie stellen mittels eines "start_date_time" den Zählerwert der Dimension [ CURRENT, ENERGY, ENERGY_EXPORT, ENERGY_IMPORT, MAX_CURRENT, MIN_CURRENT, MAX_POWER, MIN_POWER, PARKING_TIME, POWER, RESERVATION_TIME, STATE_OF_CHARGE, TIME ] zu diesem Zeitpunkt während des Ladevorgangs dar. Die Charging Periods sollen mind. im 5-Minuten-Abstand innerhalb des Ladevorgangs enthalten sein. Kleinere Abstände sind möglich. Auch wenn es keinen Tarifwechsel gibt, sollen die Charging Periods in dem genannten Rhythmus in der Charging Session enthalten sein. c) Ja, es muss eine zeitliche Abgrenzung innerhalb der Charging Periods enthalten sein, der start_date_time. d) Alle Dimensionen sind von Bedeutung und müssen übermittelt werden (= Pflichtfeld). Der Fokus liegt jedoch auf ENERGY. e) Der Gesamtpreis des Ladevorgangs soll im Datenfeld ab_total_cost_net übermittelt werden. Zusätzlich gibt es das Datenfeld ab_total_parking_cost. Eine gesonderte Ausweisung der Blockiergebühr am Ladevorgang kann/soll hier übermittelt werden. Die Blockiergebühr muss zusätzlich als Preisbestandteil im Monatsbericht NDA Report unter zusätzliche Kosten übermittelt werden. Beispiel aus der Schnittstellendokumentation: { "sessions": [ { "ab_location_id": "DE-BW-123456", "ab_evse_id": "DE*BEC*E041503001", "ab_connector_id": "5459fd2c-b75e-4a93-8fcb-2dde5d2fc611", "meter_id": "string", "start_date_time": "2023-06-01T06:30:00.0000000+00:00", "end_date_time": "2023-06-01T06:35:00.0000000+00:00", "ab_ema_id": "DE-ABC-hashedPart", "ab_tariff_type": "PROFILE_GREEN", "charging_periods": [ { "start_date_time": "2023-06-01T06:30:00.0000000+00:00", "dimensions": [ { "type": "ENERGY", "volume": "12.50" },</t>
  </si>
  <si>
    <t xml:space="preserve">ANF-661</t>
  </si>
  <si>
    <t xml:space="preserve">Nr. 614 / S. 64</t>
  </si>
  <si>
    <t xml:space="preserve">Klarstellung: D i e S a c {hsubstanzversicherung ist ab Fertigstellung der Errichtungsleistung (mithin vor Inbetriebnahme) vorzuhalten.</t>
  </si>
  <si>
    <t xml:space="preserve">§ 55.1.a aa) Der Bieter bittet um Bestätigung, dass die Sauchsubstanzversicherung erst mit Fertigstellung und Inbetriebnahme, bzw. mit Beendigung der Montageversicherung, bis zum Vertragsablauf gem. § 55.1 vorzuhalten ist.</t>
  </si>
  <si>
    <t xml:space="preserve">Bezug lt. Katalog: Betreibervertrag §55 Versicherungen.
Katalogdatum: 12.03.2026 // Antwort: D i e S a c {hsubstanzversicherung ist ab Fertigstellung der Errichtungsleistung (mithin vor Inbetriebnahme) vorzuhalten.</t>
  </si>
  <si>
    <t xml:space="preserve">ANF-662</t>
  </si>
  <si>
    <t xml:space="preserve">Nr. 615 / S. 64</t>
  </si>
  <si>
    <t xml:space="preserve">Klarstellung: Dieses Verständnis ist teilweise zutreffend, die Montageversicherung muss einen Zeitraum von sechs Monaten nach Abschluss der Bau- und Montagephase abdecken.</t>
  </si>
  <si>
    <t xml:space="preserve">§ 55.1.b aa) Ist das Verständnis der Bieter zutreffend, dass die Baumaßnahmen durch eine Montageversicherung und die fertiggestellten Ladeplätze in der anschließenden Betriebsphase durch eine Sachsubstanzversicherung abzusichern sind?</t>
  </si>
  <si>
    <t xml:space="preserve">Bezug lt. Katalog: Betreibervertrag §55 Versicherungen.
Katalogdatum: 12.03.2026 // Antwort: Dieses Verständnis ist teilweise zutreffend, die Montageversicherung muss einen Zeitraum von sechs Monaten nach Abschluss der Bau- und Montagephase abdecken. Insoweit überschneiden sich die Sachsubstanzversicherung und die Montageversicherung.</t>
  </si>
  <si>
    <t xml:space="preserve">ANF-663</t>
  </si>
  <si>
    <t xml:space="preserve">Nr. 616 / S. 64</t>
  </si>
  <si>
    <t xml:space="preserve">Klarstellung: Der Auftraggeber bestätigt dies.</t>
  </si>
  <si>
    <t xml:space="preserve">§ 55.1.b bb): Der Bieter bittet um Bestätigung, dass es dem Bieter nachgelassen ist die Risiken Innere Unruhen, Streik, Aussperrung mit "marktüblichen" Klauseln zu versichern. Andernfalls bittet der Bieter um Bekanntgabe der explizit gewünschten Klausel.</t>
  </si>
  <si>
    <t xml:space="preserve">Bezug lt. Katalog: Betreibervertrag §55 Versicherungen.
Katalogdatum: 12.03.2026 // Antwort: Der Auftraggeber bestätigt dies.</t>
  </si>
  <si>
    <t xml:space="preserve">ANF-664</t>
  </si>
  <si>
    <t xml:space="preserve">Nr. 617 / S. 64</t>
  </si>
  <si>
    <t xml:space="preserve">§ 55.2.f aa): Der Bieter bittet um Bestätigung, dass die geforderte Umwelthaftpflichtversicherung und die Umweltschadensversicherung in separaten Versicherungsverträgen dargestellt werden dürfen.</t>
  </si>
  <si>
    <t xml:space="preserve">ANF-665</t>
  </si>
  <si>
    <t xml:space="preserve">Nr. 618 / S. 64</t>
  </si>
  <si>
    <t xml:space="preserve">Klarstellung: Die in § 55 Abs. 2 a) Satz 5 des Betreibervertrags genannten Versicherungen können innerhalb eines einheitlichen Versicherungsvertrags erfolgen.</t>
  </si>
  <si>
    <t xml:space="preserve">§ 55.2.f aa): Der Bieter bittet um Bestätigung, dass ggf. auch alle geforderten Haftpflichtversicherungen in einer kombinierten Versicherungspolice dargestellt werden dürfen.</t>
  </si>
  <si>
    <t xml:space="preserve">Bezug lt. Katalog: Betreibervertrag §55 Versicherungen.
Katalogdatum: 12.03.2026 // Antwort: Die in § 55 Abs. 2 a) Satz 5 des Betreibervertrags genannten Versicherungen können innerhalb eines einheitlichen Versicherungsvertrags erfolgen.</t>
  </si>
  <si>
    <t xml:space="preserve">ANF-666</t>
  </si>
  <si>
    <t xml:space="preserve">Nr. 619 / S. 64</t>
  </si>
  <si>
    <t xml:space="preserve">Klarstellung: Der Auftraggeber bestätigt dies, weist jedoch darauf hin, dass eine Prüfung und Anpassung der Versicherungssumme nach § 55 Abs.</t>
  </si>
  <si>
    <t xml:space="preserve">§ 55.4.a: Der Bieter bittet um Bestätigung, dass eine Indexierung entfallen kann, wenn zusätzlich zur vertraglich geforderten Haftpflichtversicherung eine Anschlussversicherung abgeschlossen wurde und die in Gänze zur Verfügung stehende Versicherungssumme nicht geringer ist als die ursprünglich geforderte und nachfolgend erhöhte Versicherungssumme.</t>
  </si>
  <si>
    <t xml:space="preserve">Bezug lt. Katalog: Betreibervertrag §55 Versicherungen.
Katalogdatum: 12.03.2026 // Antwort: Der Auftraggeber bestätigt dies, weist jedoch darauf hin, dass eine Prüfung und Anpassung der Versicherungssumme nach § 55 Abs. 4 a. des Betreibervertrags alle drei Kalenderjahre erfolgt. Vor diesem Hintergrund müsste entweder die Anschlussversicherung eine Indexierungsklausel enthalten oder der Auftragnehmer schließt mehrere Anschlussversicherungen ab.</t>
  </si>
  <si>
    <t xml:space="preserve">ANF-667</t>
  </si>
  <si>
    <t xml:space="preserve">Nr. 620 / S. 64</t>
  </si>
  <si>
    <t xml:space="preserve">Klarstellung: Der Auftraggeber bittet um Prüfung, ob sich die Frage tatsächlich auf § 55 Abs. 4 d. des Betreibervertrages bezieht.</t>
  </si>
  <si>
    <t xml:space="preserve">§ 55.4.d : Der Bieter bittet um Bestätigung, dass die Regelung nur auf Versicherer mit einem Rating von S&amp;P A- oder besser Anwendung findet. Versicherer mit geringerem Rating sind nicht in die Betrachtung einzubeziehen.</t>
  </si>
  <si>
    <t xml:space="preserve">Bezug lt. Katalog: Betreibervertrag §55 Versicherungen.
Katalogdatum: 12.03.2026 // Antwort: Der Auftraggeber bittet um Prüfung, ob sich die Frage tatsächlich auf § 55 Abs. 4 d. des Betreibervertrages bezieht. Im Übrigen wird auf die Beantwortung von Bieterfrage 603 hingewiesen.</t>
  </si>
  <si>
    <t xml:space="preserve">ANF-668</t>
  </si>
  <si>
    <t xml:space="preserve">Nr. 621 / S. 64</t>
  </si>
  <si>
    <t xml:space="preserve">Klarstellung: § 55 Abs. 4 d. des Betreibervertrags bezieht sich dem Wortlaut nach nur auf tatsächlich nicht mehr angebotene Versicherungen.</t>
  </si>
  <si>
    <t xml:space="preserve">§ 55.4.d : Weiterhin bittet der Bieter um Bestätigung, dass eine grundsätzlich verfügbare Versicherung, deren Konditionen, wie bspw. Selbstbehalte und Prämien, die ökonomische Relevanz der Versicherung in Frage stellen, ebenfalls nicht zu betrachten ist. Die Versicherung muss zu wirtschaftlich sinnvollen Konditionen und Bedingungen verfügbar sein.</t>
  </si>
  <si>
    <t xml:space="preserve">Bezug lt. Katalog: Betreibervertrag §55 Versicherungen.
Katalogdatum: 12.03.2026 // Antwort: § 55 Abs. 4 d. des Betreibervertrags bezieht sich dem Wortlaut nach nur auf tatsächlich nicht mehr angebotene Versicherungen. Nach Sinn und Zweck greift die Regelung aber auch, wenn eine vertraglich geforderte Versicherung nur zu unwirtschaftlichen Konditionen und Bedingungen angeboten wird. Dies ist zu bejahen, wenn der Auftragnehmer nachweist, dass die Kosten des Abschlusses um mehr als 300 % über der bei Angebotsabgabe auf Basis eines Angebotes einer Versicherung liegenden Kalkulation liegen.</t>
  </si>
  <si>
    <t xml:space="preserve">ANF-669</t>
  </si>
  <si>
    <t xml:space="preserve">Nr. 622 / S. 65</t>
  </si>
  <si>
    <t xml:space="preserve">Klarstellung: Entsprechende Regelungen sind nach unserem Kenntnisstand am Versicherungsmarkt nicht unüblich.</t>
  </si>
  <si>
    <t xml:space="preserve">55.2.d. : Der Bieter bittet um Streichung des folgenden Passus: "Der Auftragnehmer verpflichtet den Versicherer unwiderruflich zur Mitteilung direkt gegenüber dem Auftraggeber 2, wenn der Versicherungsschutz nicht oder nicht mehr gegeben ist, insbesondere wenn die geschuldete Prämie nicht geleistet wurde." Vorsorglich bittet der Bieter um Streichung aller gleichlautenden Anforderungen in §55. Nach Erfahrung des Bieters wird diese Anforderung durch den Versicherungsmarkt abgelehnt. Der Bieter weist darauf hin, dass das Bestehen des geforderten Versicherungsschutzes zudem bereits durch den Bieter nachzuweisen ist und geht davon aus, dass dies den AG ausreichend Sicherheit geben wird.</t>
  </si>
  <si>
    <t xml:space="preserve">Bezug lt. Katalog: Betreibervertrag §55 Versicherungen.
Katalogdatum: 12.03.2026 // Antwort: Entsprechende Regelungen sind nach unserem Kenntnisstand am Versicherungsmarkt nicht unüblich. Eine Streichung der Regelung erfolgt aus diesem Grund nicht. Soweit dies tatsächlich nicht möglich sein sollte und dies der AN dem AG nachweist, kann der Passus entsprechend ergänzt werden.</t>
  </si>
  <si>
    <t xml:space="preserve">ANF-670</t>
  </si>
  <si>
    <t xml:space="preserve">Nr. 623 / S. 65</t>
  </si>
  <si>
    <t xml:space="preserve">Klarstellung: Der Auftraggeber bittet um Klarstellung, auf welche Passage im Betreibervertrag sich die Frage bezieht.</t>
  </si>
  <si>
    <t xml:space="preserve">§55.1. c/ §55.2.d : Der Bieter bittet um Klarstellung, dass der geforderte Nachweiszeitpunkt "unmittelbar auf den Jahreswechsel" als "unverzüglich nach dem Jahreswechsel" zu verstehen ist. Dies auch vor dem Hintergrund der Informationspflichten gem. § 55.2. d, welche den AG eine gewisse Sicherheit bezüglich des vertragsgemäßen Bestehens der Versicherung gibt.</t>
  </si>
  <si>
    <t xml:space="preserve">Bezug lt. Katalog: Betreibervertrag §55 Versicherungen.
Katalogdatum: 12.03.2026 // Antwort: Der Auftraggeber bittet um Klarstellung, auf welche Passage im Betreibervertrag sich die Frage bezieht. Zur Klarstellung weist der Auftraggeber daraufhin, dass nach § 55 Abs. 1 c. und § 55 Abs. 2 d. des Betreibervertrags der Nachweis jeweils zum ersten Werktag des Kalendermonats Januar zu erbringen ist.</t>
  </si>
  <si>
    <t xml:space="preserve">ANF-671</t>
  </si>
  <si>
    <t xml:space="preserve">Nr. 624 / S. 65</t>
  </si>
  <si>
    <t xml:space="preserve">Klarstellung: Eingesetzte Erfüllungsgehilfen sind vom Auftragnehmer im Umfang der gesetzlichen Haftpflicht mitzuversichern, zusätzlich müssen Erfüllungsgehilfen eine eigene ausreichende Haftpflichtversicherung abschließen.</t>
  </si>
  <si>
    <t xml:space="preserve">Der Bieter bittet um Klarstellung zu folgendem Passus in § 55.2.a "Die persönliche gesetzliche Haftpflicht beauftragter Nachunternehmer ist mitzuversichern." in Verbindung mit folgendem Passus in § 55.2.b " 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nachzuweisen.". Ist eine Mitversicherung der Nachunternehmer, bzw. Erfüllungsgehilfen, in der Haftpflichtversicherung der ARGE gefordert oder genügt es, wenn die Nachunternehmer eine für Ihre Tätigkeiten adäquate Haftpflichtversicherung vorhalten?</t>
  </si>
  <si>
    <t xml:space="preserve">Bezug lt. Katalog: Betreibervertrag §55 Versicherungen.
Katalogdatum: 12.03.2026 // Antwort: Eingesetzte Erfüllungsgehilfen sind vom Auftragnehmer im Umfang der gesetzlichen Haftpflicht mitzuversichern, zusätzlich müssen Erfüllungsgehilfen eine eigene ausreichende Haftpflichtversicherung abschließen.</t>
  </si>
  <si>
    <t xml:space="preserve">ANF-672</t>
  </si>
  <si>
    <t xml:space="preserve">Nr. 625 / S. 65</t>
  </si>
  <si>
    <t xml:space="preserve">Klarstellung: Diese Annahme ist unzutreffend.</t>
  </si>
  <si>
    <t xml:space="preserve">Der Bieter bittet um Klarstellung, dass in Analogie zu § 55.1. b. bb) der § 55.1.a.bb) so zu verstehen ist, dass die Elektronikversicherung auf Basis der ABE 2011 oder der ABE 2020 abgeschlossen werden darf.</t>
  </si>
  <si>
    <t xml:space="preserve">Bezug lt. Katalog: Betreibervertrag §55 Versicherungen.
Katalogdatum: 12.03.2026 // Antwort: Diese Annahme ist unzutreffend.</t>
  </si>
  <si>
    <t xml:space="preserve">ANF-673</t>
  </si>
  <si>
    <t xml:space="preserve">Nr. 626 / S. 65</t>
  </si>
  <si>
    <t xml:space="preserve">Klarstellung: a) Die Standortüberschneidungen mit dem Deutschlandnetzes-Autobahnlose Pkw mit in diesen Vergabeverfahren geplanten Lkw-Schnelladeinfrastruktur ist in Vertragsanlage 03 "Angaben und Informationen zu den einzelnen Standorten …</t>
  </si>
  <si>
    <t xml:space="preserve">Wir bitten um die Klärung des folgenden Sachverhalts: Besichtigungen einzelner Raststätten, die Gegenstand dieser Ausschreibung sind, haben ergeben, dass dort zum Teil bereits Ladesäulen für PKW inklusive Transformatoren errichtet sind, ohne dass dies aus den Vergabeunterlagen ersichtlich ist. Beispiele sind: - 106 DE-NI-281501 5 Bornhorster Wiesen West - 107 DE-NI-281502 5 Bornhorster Wiesen Ost (NI 153 O) - 108 DE-NI-290901 5 Olle Rheen Ost - 109 DE-NI-290902 5 Olle Rheen West Alle diese Standorte sind (nach unserem Verständnis) in Rahmen der Ausschreibung "Deutschlandnetz Autobahnlose" errichtet worden. Daher müsste der AG für diese Standorte umfangreiche Pläne besitzen, die den Bietern nicht zur Verfügung gestellt worden sind. a)Wir bitten um eine vollständige Liste aller Standorte, die zukünftig eine solche "Doppelbelegung" mit Ladeinfrastruktur aufweisen werden. b)Gehen wir richtig in der Annahme, dass für daraus resultierende Leitungskollisionen bzw. die Nicht- Realisierbarkeit der Vorplanung ein Anspruch auf Mehrkostenerstattung gemäß Vertragsanlage 4, Punkt 4.7 in Verbindung mit §40 des Betreibervertrages besteht? c)Gehen wir richtig in der Annahme, dass für solche Standorte die in Vertragsanlage 4 geforderte vollumfängliche Bestandsaufnahme der PWC Anlage entfällt (da schon vorher im Rahmen der o.g. Ausschreibung erfolgt)?</t>
  </si>
  <si>
    <t xml:space="preserve">Bezug lt. Katalog: Liste aller Standorte mit Doppelbelegung, Vertragsanlage 4, § 40 Betreibervertrag
Katalogdatum: 13.03.2026 // Antwort: a) Die Standortüberschneidungen mit dem Deutschlandnetzes-Autobahnlose Pkw mit in diesen Vergabeverfahren geplanten Lkw-Schnelladeinfrastruktur ist in Vertragsanlage 03 "Angaben und Informationen zu den einzelnen Standorten (losspezifisch)" in Spalte "PKW SLI am Standort" angegeben. Zu b) Die durch den AG zur Verfügung gestellten Voruntersuchungen und Bestandsunterlagen dienen nur zur Information und stellen ausdrücklich einen unverbindlichen Planungsbeitrag des AG dar. Maßgeblich für die Schaffung der Planungsgrundlagen sind die Anforderungen der Vertragsanlage 4 „Leistungsbeschreibung Errichtung“ und liegen im Leistungsumfang des AN. zu c) Die Annhame ist nicht korrekt. Die Bestandsaufnahme muss vollumfänglich gemäß den Anforderungen der Vertragsanlage 4 - "Leistungsbeschreibung Errichtung" erfolgen.</t>
  </si>
  <si>
    <t xml:space="preserve">ANF-674</t>
  </si>
  <si>
    <t xml:space="preserve">Nr. 627 / S. 65</t>
  </si>
  <si>
    <t xml:space="preserve">Klarstellung: Diese Annahme ist grundsätzlich zutreffend. Allerdings fällt die Pönale wegen Nichtverfügbarkeit nach § 27 Abs.</t>
  </si>
  <si>
    <t xml:space="preserve">Gehen wir recht in der Annahmen, dass es beim Blockieren des Ladeplatzes durch einen Falschparker zur vollen Höhe der Pönale kommt? Beispiel: Wenn pro Nacht pro Ladepark ein Falschparker einen CCS-Ladeplatz für 9 Stunden blockiert, dann wären das pro Nacht eine Pönale von 540 EUR (9 Stunden x 60 Minuten x 1 EUR/Minute). Somit wären das bei einem Falschparker je Nacht von 9 Stunden auf ein Jahr hochgerechnet fast 200.000 EUR Pönale.</t>
  </si>
  <si>
    <t xml:space="preserve">Bezug lt. Katalog: Blockieren des Ladeplatzes durch Falschparker
Katalogdatum: 17.03.2026 // Antwort: Diese Annahme ist grundsätzlich zutreffend. Allerdings fällt die Pönale wegen Nichtverfügbarkeit nach § 27 Abs. 4 des Betreibervertrags nicht an, wenn und soweit der Auftragnehmer nachweist, dass eine Ausfallminute auf Umstände zurückzuführen ist, die nicht von ihm zu vertreten sind und außerhalb seines Verantwortungsbereichs liegen. Hierunter kann auch ein Endnutzerverhalten fallen.</t>
  </si>
  <si>
    <t xml:space="preserve">ANF-675</t>
  </si>
  <si>
    <t xml:space="preserve">Nr. 628 / S. 66</t>
  </si>
  <si>
    <t xml:space="preserve">Klarstellung: Zu 1: Nein. Bei der Angabe des Bieters im Preisblatt (Spalte: „Entgelt in Euro netto“) handelt es sich um eine Pauschale pro Quartal, die sich auf alle Standorte des Loses bezieht.</t>
  </si>
  <si>
    <t xml:space="preserve">In § 45 ist das Betreiberentgelt geregelt. In Absatz 2. Gibt es folgenden Verweis auf das Preisblatt: „Das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Ladepunkte des betreffenden Standortes entfällt.“ In der Kalkulation des Betreiberentgelts ergeben sich Kosten, die unabhängig vom eigentlichen Betriebsbeginn sind wie z.B. Programmierung der Datenschnittstelle, Aufsetzen Back-End, Schulung Betriebspersonal etc. Diese Fixkosten fallen unabhängig von der Anzahl der Ladeparks und der Betriebsdauer der Ladeparks an und sind im Vergleich zu den Betriebskosten ab Betriebsfreigabe erheblich. Es stellen sich daher im Zusammenhang mit dem zu erwartenden Betreiberentgelt folgende Fragen: 1. Ist das im Preisblatt angegebene quartärliche Entgelt in Euro netto für alle Standorte des Loses mit der Anzahl der Quartale im Rahmen der Vertragslaufzeit zu multiplizieren und bildet somit eine Pauschale? 2. Oder versteht sich das im Preisblatt angegebene quartärliche Entgelt in Euro netto für alle Standorte des Loses als quartärliches Entgelt, das als quartärlicher Betrag ab Betriebsfreigabe eines Standortes gezahlt wird? 3. Falls 2.a) bestätigt wird: Es ist ja durchaus möglich, dass es eine Verzögerung des Netzanschlusses an zahlreichen Standorten geben wird. Wir haben verstanden, dass dies ein Risiko ist, das der Auftraggeber trägt. Wie findet vertraglich ein Ausgleich der o.g. Fixkosten statt in Fällen, bei denen es - Eine Verzögerung des Netzanschlusses gibt, - Standorte nicht realisiert werden, - Standorte kleiner realisiert werden, - Standorte stillgelegt oder außer Betrieb gesetzt werden?</t>
  </si>
  <si>
    <t xml:space="preserve">Bezug lt. Katalog: Betreibervertrag §45 Betreiberentgelt
Katalogdatum: 20.03.2026 // Antwort: Zu 1: Nein. Bei der Angabe des Bieters im Preisblatt (Spalte: „Entgelt in Euro netto“) handelt es sich um eine Pauschale pro Quartal, die sich auf alle Standorte des Loses bezieht. Für die Angebotswertung wird – automatisch – ein fiktiver Wertungspreis gebildet, der die Anzahl der Quartale abbildet (Mindestvertragslaufzeit abzgl. eines Jahres zzgl. die Hälfte des optionalen Verlängerungszeitraums). Zu 2: Ja. Die anteilige Berechnung für jeden Standort ergibt sich aus § 45 Abs. 2 des Vertrages. Zu 3: Die Rechtsfolgen für das Betreiberentgelt bei einer Verzögerung des Netzanschlusses sind im Betreibervertrag geregelt: -Kommt es zu Verzögerungen bei der Realisierung des Netzanschlusses oder können Standorte aufgrund der Nichtrealisierung des Netzanschlusses nicht errichtet werden richtet sich die Fortzahlung des Betreiberentgelts nach § 17 Abs. 3 i. V. m. § 16 Abs. 2 a des Betreibervertrags. -Werden an einem Standort vorgesehene Ladepunkte nicht realisiert, richtet sich die Fortzahlung des Betreiberentgelts nach § 16 Abs. 2 a des Betreibervertrags. Für dauerhaft stillgelegte oder vorübergehend außer Betrieb genommene Standorte erfolgt eine Fortzahlung des Betreiberentgelts nach § 20 Abs. 2 i. V. m. § 45 Abs. 7 des Betreibervertrags.</t>
  </si>
  <si>
    <t xml:space="preserve">ANF-676</t>
  </si>
  <si>
    <t xml:space="preserve">Nr. 629 / S. 66</t>
  </si>
  <si>
    <t xml:space="preserve">Klarstellung: Gemäß § 44 3. a-c) kann das anteilige Errichtungsentgelt (70 % des gesamten Netto-Errichtungsentgelts) in je drei Teilen von a) 30% , b) 30% und c) 40 % zzgl. der auf diese Teilbeträge anfallenden Umsatzsteuer nach Abschluss der …</t>
  </si>
  <si>
    <t xml:space="preserve">Mit Abschluss der Phase 6 Betriebsfreigabe werden nach § 44.3 70% des Errichtungsentgeltes an den Auftragnehmer (inkl. anteilige Umsatzsteuer) ausgezahlt. Laut Umsatzsteuergesetz ( § 13 Absatz 1 Nr. 1 a Satz 1 UStG) sind die Auftragnehmer jedoch mit Abschluss der Phase 6 (Betriebsfreigabe) aufgrund der Sollversteuerung verpflichtet , die Umsatzsteuer auf das gesamte (100%) Errichtungsentgelt im Folgemonat der Leistungserbringung an das Finanzamt abzuführen. Auf Grund der Länge der Laufzeit des Vertrages und der Regelung der Zahlung zu den restlichen 30% des Errichtungsentgeltes stellen wir folgende Fragen: A: Ist es möglich nach Bauphase 6 eine Rechnung über 100% des Entrichtungsentgeltes (brutto) zu stellen, bei welcher dann 100% der berechneten Umsatzsteuer und 70% des netto Errichtungsentgeltes ausgezahlt werden? Die restlichen 30% des netto Errichtungsentgeltes würden dann entsprechend in vierteljährlichen Teilbeträgen über die verbleibende Vertragslaufzeit gezahlt werden. B: Ist es möglich eine Rechnung mit 70% des netto Errichtungsentgeltes und der gesamten Umsatzsteuer über 100% des Entrichtungsentgeltes zustellen, welche dann vom Auftraggeber unmittelbar nach Abschluss der Phase 6 gezahlt wird? Die restlichen 30% des netto Errichtungsentgeltes würden dann entsprechend in vierteljährlichen Teilbeträgen über die verbleibende Vertragslaufzeit gezahlt werden.</t>
  </si>
  <si>
    <t xml:space="preserve">Bezug lt. Katalog: Bieterfrage: §44.3, Errichtungsentgelt, Umsatzsteuerliche Betrachtung
Katalogdatum: 23.03.2026 // Antwort: Gemäß § 44 3. a-c) kann das anteilige Errichtungsentgelt (70 % des gesamten Netto-Errichtungsentgelts) in je drei Teilen von a) 30% , b) 30% und c) 40 % zzgl. der auf diese Teilbeträge anfallenden Umsatzsteuer nach Abschluss der entsprechenden Phasen in Rechnung gestellt werden. Mit Abschluss der Phase 6 kann außerdem auch die restliche auf das gesamte Netto-Errichtungsentgelt anfallende Umsatzsteuer in Rechnung gestellt werden. Die restlichen 30% des netto Errichtungsentgeltes werden dann über die verbleibende Vertragslaufzeit ratierlich in vierteljährlichen Teilbeträgen über die verbleibende Vertragslaufzeit durch den AN in Rechnung gestellt. Beispielrechnung: Netto-Errichtungsentgelt gesamt: 100,0 € Umsatzsteuer (19 %): 19,00 € Abrechnungsfähiges anteiliges Errichtungsentgelts gemäß § 44 Abs. 3 (70 %): 70,00 € netto Abrechnung nach Phasen: Phase 4 bzw. a): 21,00 € netto + 3,99 € USt = 24,99 € brutto Phase 5 bzw. b): 21,00 € netto + 3,99 € USt = 24,99 € brutto Phase 6 bzw. c): 28,00 € netto + 5,32 € USt + 5,70 € restliche USt = 39,02 € brutto Insgesamt abrechenbar nach Phase 6 bzw. c) sind demnach 89,00 €. Die verbleibenden 30 € des Netto-Errichtungsentgelt (30 %) können nach Abschluss der Phase 6 ebenfalls bereits in Rechnung gestellt werden. Dieser wird jedoch nicht direkt vergütet, sondern entsprechend der vertraglichen Regelungen im Rahmen eines vierteljährlichen Zahlplans ausgezahlt.</t>
  </si>
  <si>
    <t xml:space="preserve">ANF-677</t>
  </si>
  <si>
    <t xml:space="preserve">Nr. 630 / S. 66</t>
  </si>
  <si>
    <t xml:space="preserve">Klarstellung: Ein Muster ist nicht vorgesehen. Es genügt ein formloses Schreiben der Bank, in dem diese erklärt, im Falle der Zuschlagserteilung eine Vertragserfüllungsbürgschaft gemäß Vertragsanlage 14 auszustellen.</t>
  </si>
  <si>
    <t xml:space="preserve">Unsere Bank benötigt Klarheit über die formalen und inhaltlichen Anforderungen der geforderten Absichtserklärung. Könnten Sie bitte ggf. ein entsprechendes Muster bzw. eine Vorlage für die „Absichtserklärung der Bank“ zur Verfügung stellen?</t>
  </si>
  <si>
    <t xml:space="preserve">Bezug lt. Katalog: Absichtserklärung der Bank
Katalogdatum: 23.03.2026 // Antwort: Ein Muster ist nicht vorgesehen. Es genügt ein formloses Schreiben der Bank, in dem diese erklärt, im Falle der Zuschlagserteilung eine Vertragserfüllungsbürgschaft gemäß Vertragsanlage 14 auszustellen.</t>
  </si>
  <si>
    <t xml:space="preserve">ANF-678</t>
  </si>
  <si>
    <t xml:space="preserve">Nr. 631 / S. 66</t>
  </si>
  <si>
    <t xml:space="preserve">Klarstellung: Der Auftragnehmer bittet um Präzisierung der Frage.</t>
  </si>
  <si>
    <t xml:space="preserve">Gehen wir recht in der Annahme, dass § 642 BGB anwendbar ist?</t>
  </si>
  <si>
    <t xml:space="preserve">Bezug lt. Katalog: Betreibervertrag
Katalogdatum: 24.03.2026 // Antwort: Der Auftragnehmer bittet um Präzisierung der Frage.</t>
  </si>
  <si>
    <t xml:space="preserve">ANF-679</t>
  </si>
  <si>
    <t xml:space="preserve">Nr. 632 / S. 67</t>
  </si>
  <si>
    <t xml:space="preserve">Klarstellung: Die Frage bezieht sich nach unserem Verständnis auf die Anwendbarkeit des § 8 Nr. 1 des Gewerbesteuergesetzes.</t>
  </si>
  <si>
    <t xml:space="preserve">Nach unserem Verständnis stellt das Infrastrukturentgelt wirtschaftlich ein Entgelt für die Nutzung von beweglichen Wirtschaftsgütern dar und ist damit vergleichbar einer Pacht-/Mietstruktur für Ladeinfrastruktur. Vor diesem Hintergrund gehen wir davon aus, dass das Infrastrukturentgelt anteilig dem Gewerbeertrag hinzuzurechnen ist und somit den Gewerbesteuermessbetrag erhöht. Wir bitten um Bestätigung, ob dieses Verständnis geteilt wird und dass dieser Effekt entsprechend bei der Kalkulation der Angebote zu berücksichtigen ist.</t>
  </si>
  <si>
    <t xml:space="preserve">Bezug lt. Katalog: Steuerliche Behandlung des Infrastrukturentgelts
Katalogdatum: 25.03.2026 // Antwort: Die Frage bezieht sich nach unserem Verständnis auf die Anwendbarkeit des § 8 Nr. 1 des Gewerbesteuergesetzes. Danach müssen Miet-/Pachtzinsen bei Überschreitung eines bestimmten Betrages anteilig dem Gewerbeertrag wieder hinzugerechnet werden. Diese Vorschrift erfasst solche Verträge, dessen Hauptpflichten den in § 535 BGB oder § 581 Abs. 1 BGB aufgeführten Hauptpflichten entsprechen. Enthält ein Vertrag jedoch wesentliche Elemente, die einem Miet-/Pachtvertrag i. S. des bürgerl. Rechts fremd sind, ist ein Vertrag anderer oder eigener Art anzunehmen. In diesem Fall ist zu prüfen, ob der Vertrag in seine verschiedenen Elemente zerlegt und teilweise als Miet-/Pachtvertrag beurteilt werden kann. Scheidet eine solche Zerlegung aus (Typenverschmelzung), ist das jeweilige Gepräge maßgeblich (Gleichlautender Erlass vom 02.07.2012; BStBl. I 2012, S. 630; Rz. 7). Das Infrastrukturentgelt soll sicherstellen, dass marktgerechte Endkundenpreise erhoben werden, um dritte Wettbewerber zu schützen. Dabei wird ein unsicherer, zudem sukzessive eintretender Markthochlauf unterstellt. Durch die Zahlung des Infrastrukturentgeltes je nach Auslastung trägt der Bund einen Teil des wirtschaftlichen Risikos, dass der Markthochlauf und damit die Auslastung nicht wie erwartet erfolgt. Schließlich wird das Infrastrukturentgelt angepasst, wenn es zur Herstellung marktgerechter Ladepreis erforderlich ist. Dieses Verlagern eines Teils des Vermarktungsrisikos auf den Eigentümer der Ladesäule ist ein dem Miet- /Pachtvertrag fremdes Element. Damit der Zweck des Infrastrukturentgelts erreicht wird, wird es auf der Grundlage der anteiligen Kosten für die Errichtung, den Betrieb, Wartung und Instandhaltung der Ladeinfrastruktur, des Leistungspreises für die Netznutzung, der Netzanschlusskosten sowie der Erträge aus der Vermarktung der THG-Quoten kalkuliert. Selbst wenn man die Kalkulationsgrundlage für das Infrastrukturentgelt als Zahlungsgrund für das Infrastrukturentgelt annimmt, entsteht der Aufwand des Bieters insoweit nicht (ausschließlich) für das Recht der Nutzung der Ladesäule. Vor diesem Hintergrund ließe es sich unseres Erachtens vertreten, dass das Infrastrukturentgelt nicht für eine Nutzungsüberlassung gezahlt wird und daher nicht in den Anwendungsbereich des § 8 Nr. 1 GewStG fällt. Bei der Kalkulation der Angebote könnte daher nur eine anteilige Hinzurechnungsverpflichtung nach § 8 Nr. 1 GewStG, soweit das Infrastrukturentgelt die Errichtungskosten einpreist, berücksichtigt werden. Die Beurteilung obliegt aber letztlich dem Bieter.</t>
  </si>
  <si>
    <t xml:space="preserve">ANF-680</t>
  </si>
  <si>
    <t xml:space="preserve">Nr. 633 / S. 67</t>
  </si>
  <si>
    <t xml:space="preserve">Klarstellung: Weitere Stoffpreisgleitungen als die aktuell enthaltenen sind nicht vorgesehen.</t>
  </si>
  <si>
    <t xml:space="preserve">Das Formblatt 145 erfasst derzeit Stahl, Asphalttragschicht, Asphaltbinderschicht und Gussasphalt. Für die funktional ausgeschriebene Leistung sind jedoch weitere Stoffgruppen preisprägend, insbesondere: 1. Diesel als Betriebsstoff (Erdarbeiten, Transporte, Maschineneinsatz). Das Formblatt 141 sieht in seiner Abrechnungsmechanik ausdrücklich Betriebsstoffe mit dem Abrechnungszeitpunkt „Verwendung“ vor. Wir bitten um Mitteilung, ob Diesel bewusst nicht aufgenommen wurde und ob das Preisrisiko vollständig bieterseitig zu kalkulieren ist. 2.PE-HD- und PVC-Kabelschutzrohre (petrochemisch basiert, für Kabeltrassen in erheblichen Mengen erforderlich). Die Kabellieferungen selbst sind über VA 14.3 abgedeckt – die zugehörigen Kabelschutzrohre jedoch nicht. Wir bitten um Klarstellung, ob diese Stoffgruppe bewusst ausgenommen ist.</t>
  </si>
  <si>
    <t xml:space="preserve">Bezug lt. Katalog: Stoffgruppen ausserhalb der aktuellen VA 14.2
Katalogdatum: 26.03.2026 // Antwort: Weitere Stoffpreisgleitungen als die aktuell enthaltenen sind nicht vorgesehen.</t>
  </si>
  <si>
    <t xml:space="preserve">ANF-681</t>
  </si>
  <si>
    <t xml:space="preserve">Nr. 634 / S. 67</t>
  </si>
  <si>
    <t xml:space="preserve">Klarstellung: Vielen Dank für den Hinweis. Folgende Werte wurden korrigiert: AC T (Tragschicht Asphaltbeton) | 50,00 €/t (anstatt 115,00) AC B (Binderschicht Asphaltbeton) | 70,00 €/t (anstatt 95,00) MA (Gussasphalt) | 145,00 €/t (anstatt …</t>
  </si>
  <si>
    <t xml:space="preserve">Die im Formblatt 145 angesetzten Basiswerte zeigen für Asphalttragschicht (115 €/t) einen höheren Wert als für Asphaltbinderschicht (95 €/t). In der Praxis liegt die Binderschicht wegen des höheren Bindemittelgehalts in der Regel über der Tragschicht. Wir bitten um Überprüfung, ob die angesetzten Werte den beabsichtigten Marktbezug korrekt wiedergeben, damit alle Bieter auf derselben Grundlage kalkulieren.</t>
  </si>
  <si>
    <t xml:space="preserve">Bezug lt. Katalog: Plausibilität der Basiswerte
Katalogdatum: 26.03.2026 // Antwort: Vielen Dank für den Hinweis. Folgende Werte wurden korrigiert: AC T (Tragschicht Asphaltbeton) | 50,00 €/t (anstatt 115,00) AC B (Binderschicht Asphaltbeton) | 70,00 €/t (anstatt 95,00) MA (Gussasphalt) | 145,00 €/t (anstatt 165,00) Den Bietern wird mit der Beantwortung dieser Bieterfrage ein angepasstes Formblatt 145 zur Verfügung gestellt.</t>
  </si>
  <si>
    <t xml:space="preserve">ANF-682</t>
  </si>
  <si>
    <t xml:space="preserve">Nr. 635 / S. 67</t>
  </si>
  <si>
    <t xml:space="preserve">Klarstellung: Es gelten die Anforderungen gemäß Formblatt 145: Die Abrechnung erfolgt nach tatsächlich erforderlichen Mengen und freigegebener Ausführungsplanung.</t>
  </si>
  <si>
    <t xml:space="preserve">Das Formblatt 141 setzt für die Abrechnung eine Zuordnung der Stoffe zu konkreten Teilleistungen (OZ) voraus. Bei einer funktionalen Ausschreibung ohne Leistungsverzeichnis mit Einzelpositionen stellt sich die Frage, wie diese Zuordnung erfolgen soll. Das Formblatt 145 verweist auf „tatsächlich erforderliche Mengen und freigegebene Ausführungsplanung“. Wir bitten um Klarstellung, ob die Mengenermittlung und Zuordnung erst mit der Ausführungsplanung standortbezogen vereinbart wird, oder ob bereits im Angebot eine bestimmte Zuordnungslogik erwartet wird. Wir wären für eine Klarstellung vor Ablauf der Angebotsfrist dankbar, damit wir die genannten Positionen belastbar kalkulieren können.</t>
  </si>
  <si>
    <t xml:space="preserve">Bezug lt. Katalog: Zuordnung zu funktionalen Leistungsbestandteilen
Katalogdatum: 26.03.2026 // Antwort: Es gelten die Anforderungen gemäß Formblatt 145: Die Abrechnung erfolgt nach tatsächlich erforderlichen Mengen und freigegebener Ausführungsplanung. Mit dem Angebot sind diesbezüglich keine Angaben erforderlich.</t>
  </si>
  <si>
    <t xml:space="preserve">ANF-683</t>
  </si>
  <si>
    <t xml:space="preserve">Nr. 636 / S. 67</t>
  </si>
  <si>
    <t xml:space="preserve">Klarstellung: Zu a) Diese Annahme ist zutreffend. Bei der Erstellung der Rahmenterminpläne ist davon auszugehen, dass eine Inbetriebnahme der Standorte zu den in der Vertragsanlage 05: Details zum Netzanschluss genannten Zeitpunkten erfolgt.</t>
  </si>
  <si>
    <t xml:space="preserve">a) Gehen wir richtig in der Annahme, dass mit dem eingefügten Satz („Soweit für einzelne Standorte…“) nur die Standorte gemeint sind, bei denen gar kein voraussichtliches Inbetriebnahme-Datum genannt ist, d.h. dass z.B. solche Standorte, bei denen das Datum in { } gesetzt ist, nicht zu diesen Standorten zählen? b) Wie ist in diesem Zusammenhang mit den Standorten umzugehen, bei de nen für den voraussichtliches Inbetriebnahme-Zeitpunkt auf eine „Abstimmung mit dem VNB“ abgestellt wird? c) Wie ist in diesem Zusammenhang mit den Standorten umzugehen, die als {2030ff} oder Q2 2032 markiert sind?</t>
  </si>
  <si>
    <t xml:space="preserve">Bezug lt. Katalog: § 11 Abs. 5 Betreibervertrag
Katalogdatum: 25.03.2026 // Antwort: Zu a) Diese Annahme ist zutreffend. Bei der Erstellung der Rahmenterminpläne ist davon auszugehen, dass eine Inbetriebnahme der Standorte zu den in der Vertragsanlage 05: Details zum Netzanschluss genannten Zeitpunkten erfolgt. Dies gilt unabhängig davon, ob das voraussichtliche Inbetriebnahmedatum in Klammern steht oder nicht. Lediglich, wenn kein voraussichtliches Inbetriebnahmedatum genannt wird, greift die Ergänzung in § 11 Abs. 5 des Betreibervertrags. Zu b) Da in diesem Fall kein voraussichtliches Inbetriebnahmedatum angegeben wird, greift auch hier die Ergänzung in § 11 Abs. 5 des Betreibervertrags. Zu c) Für diese Standorte hat der Rahmenterminplan eine Betriebsfreigabe nach 2030 vorzusehen. Vgl. insoweit § 11 Abs. 5 des Betreibervertrags: „[…]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t>
  </si>
  <si>
    <t xml:space="preserve">ANF-684</t>
  </si>
  <si>
    <t xml:space="preserve">Nr. 637 / S. 67</t>
  </si>
  <si>
    <t xml:space="preserve">Klarstellung: Zu a) Der Auftraggeber bestätigt, dass nachgewiesene Mehrkosten, die aus einer Standortänderung resultieren, im Rahmen der Mehrkostenerstattung nach § 17 Abs.</t>
  </si>
  <si>
    <t xml:space="preserve">a) Wir bitten um Bestätigung, dass der neu eingefügte Satz 4 (“Dieser Absatz 2 gilt nicht..“) nicht bedeutet, dass für diese Errichtungen die Mehrkosten, die durch die Standortänderung verursacht werden, nicht erstattet werden sollen, sondern vielmehr von Abs. 8 umfasst sind? (siehe auch Frage zu § 17 Abs. 8) b) Wie bitten weiter um Bestätigung, dass im Falle von Ersatzstandorten, bei denen der Abschluss der Errichtungsleistung erst nach dem 31.12.2030 möglich ist, trotz der Aussage, dass § 17 Abs. 2 für diese Standorte insgesamt nicht gilt, für diese Standorte dennoch das in §17 Abs. (2) Satz 2 behandelte Betreiberentgelt gezahlt wird. Ab wann wird das Betreiberentgelt in diesem Fall gezahlt?</t>
  </si>
  <si>
    <t xml:space="preserve">Bezug lt. Katalog: § 17 Abs. 2 Betreibervertrag
Katalogdatum: 25.03.2026 // Antwort: Zu a) Der Auftraggeber bestätigt, dass nachgewiesene Mehrkosten, die aus einer Standortänderung resultieren, im Rahmen der Mehrkostenerstattung nach § 17 Abs. 8 des Betreibervertrags erstattungsfähig sind. § 17 Abs. 2 gilt in den Fällen des § 17 Abs. 8 nicht. Zu b) Der Auftraggeber bestätigt, dass für Ersatzstandorte nach 2030 ein Betreiberentgelt gezahlt wird. § 17 Abs. 8 bezieht sich insoweit lediglich auf die Errichtung. Die Zahlung des Betreiberentgelts richtet sich in den Fällen des § 17 Abs. 8 nach § 45 Abs. 1 und wird – vorbehaltlich möglicher Sonderregelungen – ab Betriebsfreigabe gezahlt. In diesem Zuge weist der Auftraggeber darauf hin, dass nach § 17 Abs. 3 des Betreibervertrags eine vorherige anteilige Zahlung des Betreiberentgelts ab dem 31.12.20230 unter den dort genannten Voraussetzungen möglich ist.</t>
  </si>
  <si>
    <t xml:space="preserve">ANF-685</t>
  </si>
  <si>
    <t xml:space="preserve">Nr. 638 / S. 68</t>
  </si>
  <si>
    <t xml:space="preserve">Klarstellung: Der Auftraggeber stellt klar, dass die Regelung in § 17 Abs. 5 Satz 2 und Satz 3 des Betreibervertrags für alle Standorte gilt, deren Errichtung nach Ablauf der regulären Vertragslaufzeit nach § 56 Abs.</t>
  </si>
  <si>
    <t xml:space="preserve">Im vorletzten Satz müsste u.E. auf das Datum [8 Jahre nach Vertragsbeginn, d.h. nach derzeitigem Stand 15.06.2034] abgestellt werden, da zu diesem Zeitpunkt die reguläre Vertragslaufzeit endet und nur während dieser die Zahlung des Errich tungsentgeltes vorgesehen ist. Der aktuelle Vertrag lässt die Vergütung für Standorte, die nach der regulären 8-jährigen Vertragslaufzeit aber noch bis zum 31.12.2035 errichtet werden, offen, da in der Verlängerungsphase kein Errichtungsentgelt gezahlt wird.</t>
  </si>
  <si>
    <t xml:space="preserve">Bezug lt. Katalog: § 17 Abs. 5 Betreibervertrag
Katalogdatum: 25.03.2026 // Antwort: Der Auftraggeber stellt klar, dass die Regelung in § 17 Abs. 5 Satz 2 und Satz 3 des Betreibervertrags für alle Standorte gilt, deren Errichtung nach Ablauf der regulären Vertragslaufzeit nach § 56 Abs. 1 des Betreibervertrags vom Auftragnehmer verlangt wird.</t>
  </si>
  <si>
    <t xml:space="preserve">ANF-686</t>
  </si>
  <si>
    <t xml:space="preserve">Nr. 639 / S. 68</t>
  </si>
  <si>
    <t xml:space="preserve">Klarstellung: Zu a) Dieses Verständnis ist zutreffend, die nachgewiesenen Mehrkosten werden als Einmalzahlung gezahlt.</t>
  </si>
  <si>
    <t xml:space="preserve">a) Ist unser Verständnis richtig, dass für alle gemäß Abs. 8 nach 2030 zu errichtenden Standorte das Errichtungsentgelt gemäß Angebot i.V.m. § 44 Abs. 3 und zusätzlich die Mehrkosten gemäß § 17 Abs. 8 i.V.m. § 40 als Einmalzahlung geleistet werden? b) Ist unser Verständnis zutreffend, dass es für die „nachgewiesenen Bemühungen“ gemäß Satz 2 genügt, entweder anhand von entsprechenden Nachunternehmerangeboten oder plausibel dargelegten Steigerungen bei den eigenen Kosten diesen Nachweis zu erbringen? Wir bitten dabei zu berücksichtigen, dass insbesondere die in Satz 3 genannten Mehrkosten nicht aufgrund wettbewerblicher Angebote ermittelt werden können. c) Ist unser Verständnis zutreffend, dass bei einem Ersatzstandort, dessen Errichtung nach 2030 abgeschlossen wird und der daher nicht unter § 17 Abs. 2 fällt, zu den erstattungsfähigen Mehrkosten auch die durch die Standortänderung anfallenden Mehrkosten gehören? Wird in diesem Fall (i) die angebotene Vergütung für den entfallenen Standort nach Maßgabe des § 44 Abs 3 gezahlt und die Mehrkosten für Standortwechsel und Ver schiebung nach 2030 gemäß § 17 Abs. 8 i.V.m. § 40 als Einmalzahlung oder (2) ein solcher Ersatzstandort insgesamt nach Maßgabe des § 17 Abs. 8 i.V.m. § 40 im Rahmen einer Einmalzahlung vergütet? d) Da wir als Bieter eine Kalkulationsgrundlage benötigen: Ist unser Verständnis zutreffend, dass wir für alle Standorte, deren Errichtung nach 2030 abgeschlossen wird, im Preisblatt einen Abschluss der Errichtung am 31.12.2030 unterstellen sollen, und diese Annahme die Grundlage für die Berechnung der Mehrkosten sein wird? e) Der Auftraggeber behält sich im Betreibervertrag vor, die Errichtung von Standorten, für die derzeit eine Errichtung bis zum 31.12.2030 zu unter stellen ist, in die Phase nach 2030 zu verschieben. Kommt es zu dieser Verschiebung, fehlen dem AN die Kostendeckungsbeiträge für die Errich tung und den Betrieb dieser verschobenen Standorte in der Phase bis Ende 2030 und es entstehen entsprechende Verluste. Wie sollen diese kompensiert bzw. aufgefangen werden?</t>
  </si>
  <si>
    <t xml:space="preserve">Bezug lt. Katalog: § 17 Abs. 8 Betreibervertrag
Katalogdatum: 25.03.2026 // Antwort: Zu a) Dieses Verständnis ist zutreffend, die nachgewiesenen Mehrkosten werden als Einmalzahlung gezahlt. Zu b) Dieses Verständnis ist zutreffend. Zu c) Ist die Errichtung eines Ersatzstandortes erst nach dem 31.12.2030 möglich, so erhält der Auftragnehmer das Errichtungsentgelt für den ur- sprünglich zu errichtenden Standort (vgl. § 44) sowie die nachgewiesenen Mehrkosten für Standortwechsel und Verzögerung nach Maßgabe von § 17 Abs. 8. Zu d) Dieses Verständnis ist zutreffend. Zu e) Soweit die Errichtung eines Standortes erst nach dem 31.12.2030 möglich ist, erhält der Auftragnehmer Ausgleichszahlungen nach § 17 Abs. 3 i. V. m. § 16 Abs. 2 lit. a und b.</t>
  </si>
  <si>
    <t xml:space="preserve">ANF-687</t>
  </si>
  <si>
    <t xml:space="preserve">Nr. 640 / S. 68</t>
  </si>
  <si>
    <t xml:space="preserve">Keine Antwort des Auftraggebers im Katalog hinterlegt – Klärung offen.</t>
  </si>
  <si>
    <t xml:space="preserve">Laut § 25 Abs. 6 BV und der Antwort auf Bieterfrage 504 wird eine Vertragsstrafe fällig, wenn mindestens 40 % der Ladepunkte an einem Standort nicht reserviert werden können. Nach § 25 Abs. 4 können aber MCS- und CCS-Ladepunkte von der Reservierbarkeit ausgenommen werden. An Standorten mit drei oder vier Ladepunkten darf somit höchstens ein Ladepunkt von der Reservierung ausgenommen sein. Für Nutzer ohne Reservierung bedeutet das, dass ihnen nur eine begrenzte Auswahl an Ladepunkten zur Verfügung steht. Ist es zulässig, an diesem nicht reservierbaren Ladepunkt zusätzlich zum MCS-Outlet auch einen CCS- Stecker (oder umgekehrt) vorzusehen, um die Nutzungsmöglichkeiten in einem solchen Fall zu erweitern?</t>
  </si>
  <si>
    <t xml:space="preserve">Bezug lt. Katalog: § 25 Abs. 6 BV
Katalogdatum: 26.03.2026</t>
  </si>
  <si>
    <t xml:space="preserve">ANF-688</t>
  </si>
  <si>
    <t xml:space="preserve">Nr. 641 / S. 68</t>
  </si>
  <si>
    <t xml:space="preserve">Vorgaben bleiben unverändert: Grundsätzlich ist der EMP/EMP+ frei in seiner Preisgestaltung ggü. seinen Endkunden. Eine zeitvariable (z.B. viertelstundenbasierte) Tarifierung ist also grundsätzlich vorstellbar.</t>
  </si>
  <si>
    <t xml:space="preserve">Gem. Ziff. 1.1. der Vertragsanlage 06 hat der CPO sicherzustellen, dass Abrechnungen von Ladevorgängen im Falle von Durchleitung eichrechtskonform erfolgen. Nach den Ergebnissen der 5. Bonner Eichrechtstage am 5.3.26 in Braunschweig ist für die eichrechtskonforme Abrechnung von dynamischen Stromtarifen die Verwendung der „gesetzlichen Zeit“ in der Ladestation zwingend erforderlich. Diese Funktion wird zum derzeitigen Zeitpunkt aber noch von keinem gängigen Hersteller von Ladestation unterstützt. Gehen wir recht in der Annahme, dass - in Anbetracht keiner näheren Bestimmung in der Vertragsanlage 13 - der CPO alle denkbaren Tarifmodelle seitens des EMP+ ermöglichen muss, insb. auch dynamische Tarife oder ob es dem CPO erlaubt ist, Ladevorgänge eines EMP+ mit dynamischen Stromtarifen aufgrund der mangelnden technischen Umsetzung am Markt zur eichrechtskonformen Abrechnung dieser abzulehnen, ohne Vertragsstrafen gemäß § 33 BV zu erhalten?</t>
  </si>
  <si>
    <t xml:space="preserve">Bezug lt. Katalog: Ziff. 1.1. Vertragsanlage 06 iVm Vertragsanlage 14
Katalogdatum: 26.03.2026 // Antwort: Grundsätzlich ist der EMP/EMP+ frei in seiner Preisgestaltung ggü. seinen Endkunden. Eine zeitvariable (z.B. viertelstundenbasierte) Tarifierung ist also grundsätzlich vorstellbar. Der CPO hat sich aber daran zu halten, dass die Abrechnung eichrechtskonform und entsprechend den Vorgaben der PAngVO erfolgt. Sofern für die eichrechtskonforme viertelstundengenaue Preisbildung und Abrechnung ggü. dem Endkunden die Notwendigkeit eines eichrechtskonform erzeugten Zeitstempels erforderlich ist, setzt eine entsprechend dynamische Bepreisung voraus, dass eichrechtskonforme Messtechnik (inkl. gesetzlicher Zeit) am Markt verfügbar ist. Ist dies der Fall, muss der Betreiber diese einsetzen; dabei gilt § 8 Abs. 3 des Betreibervertrages entsprechend. Die Realisierung von Tarifierungswünschen eines EMPs, die rechtlich nicht möglich sind, liegen nicht in der Verantwortung des Betreibers. Aktuell sind Preismodelle des EMP oder EMP+ dahingehend limitiert, dass keine Änderung des Preises während eines Ladevorgangs stattfinden darf.</t>
  </si>
  <si>
    <t xml:space="preserve">ANF-689</t>
  </si>
  <si>
    <t xml:space="preserve">Nr. 642 / S. 69</t>
  </si>
  <si>
    <t xml:space="preserve">Klarstellung: zu a): Die Annahme ist richtig. Die Aufgabe des SiGeKo, kann durch einen externen Dienstleister mit entsprechender Qualifikation erbracht werden. zu b): Siehe a). zu c) Siehe a).</t>
  </si>
  <si>
    <t xml:space="preserve">a)Gehen wir Recht in der Annahme, dass für die Rollen wie z.B. hier den SiGeKo eine verantwortliche Person benannt werden kann, die (lediglich) die Koordination dieser Leistungen übernimmt und dabei sicherstellt, dass die operative Umsetzung dieser Aufgaben durch entsprechend qualifiziertes Fachpersonal erfolgt? Die koordinative Aufgabe könnte z.B. Organisation und Beauftragung eines SiGeKo bei einem externen Dienstleister sein. Hintergrund ist, dass insbesondere für die SiGeKo-Rolle spezielle Qualifikationen erforderlich sind, die üblicherweise durch externe Dienstleister erbracht werden. b)Sofern a) nicht zutrifft: Ist es in diesem Fall ausreichend, im Personalkonzept darzustellen, dass die entsprechenden Leistungen durch qualifizierte externe Dienstleister erbracht werden, da eine konkrete namentliche Benennung des externen Dienstleisters zum jetzigen Zeitpunkt nur schwer möglich ist, ohne dass hierdurch Nachteile in der Bewertung entstehen? c)Ist a) auch auf die Rolle des Verkehrskoordinator und die weiteren in 2.4.1 ff. genannten Koordinationsleistungen anwendbar? Falls nein, gilt dann b) entsprechend?</t>
  </si>
  <si>
    <t xml:space="preserve">Bezug lt. Katalog: Ziffer 2.4. Vertragsanlage 04
Katalogdatum: 26.03.2026 // Antwort: zu a): Die Annahme ist richtig. Die Aufgabe des SiGeKo, kann durch einen externen Dienstleister mit entsprechender Qualifikation erbracht werden. zu b): Siehe a). zu c) Siehe a). Es sind die entsprechenden Anforderungen der Vertragsanlage 4 - "Leisuntgsbeschreibung Errichtung".</t>
  </si>
  <si>
    <t xml:space="preserve">ANF-690</t>
  </si>
  <si>
    <t xml:space="preserve">Nr. 643 / S. 69</t>
  </si>
  <si>
    <t xml:space="preserve">Klarstellung: Standortsperrungen im Zuge von Ausbauvorhaben schließen eine Errichtung nicht zwingend aus, da sie sich primär auf den öffentlichen Verkehr beziehen.</t>
  </si>
  <si>
    <t xml:space="preserve">Nach unserem Verständnis können die beiden vorgenannten Regelungen in der Rahmenterminplanung für mehrere Standorten nicht gleichzeitig eingehalten werden. Dies betrifft insbesondere die Standorte DE-SN- 000012, DE-BW-004461 und DE-SN-000065 mit (Strecken)Ausbauplanung und Verkehrsfreigabe nach 2030. Diese Standorte sind im Jahr 2030 nach unserem Verständnis nicht zugänglich für Baumaßnahmen. Die Planung einer Inbetriebnahme dieser Standorte im Jahr 2030 (gemäß den Regelungen aus Betreibervertrag §11, Ziffer 5) erscheint daher nach unserem Verständnis nicht sinnvoll/möglich zu sein.</t>
  </si>
  <si>
    <t xml:space="preserve">Bezug lt. Katalog: § 11 Abs. 5 (textliche Ergänzung vom 23.03.2026) i.V.m § 19 Abs. 2 lit. b) Betreibervertrag
Katalogdatum: 26.03.2026 // Antwort: Standortsperrungen im Zuge von Ausbauvorhaben schließen eine Errichtung nicht zwingend aus, da sie sich primär auf den öffentlichen Verkehr beziehen. Ist eine Umsetzung tatsächlich erst nach 2030 möglich, greifen die vertraglichen Anpassungs- und Mehrkostenregelungen inkl. Anspruch auf Anpassung des Rahmenterminplans.</t>
  </si>
  <si>
    <t xml:space="preserve">ANF-691</t>
  </si>
  <si>
    <t xml:space="preserve">Nr. 644 / S. 69</t>
  </si>
  <si>
    <t xml:space="preserve">Klarstellung: Danke für den Hinweis. Eine angepasste Fassung des Formblatts wurde den Bietern zur Verfügung gestellt.</t>
  </si>
  <si>
    <t xml:space="preserve">wir möchten darauf hinweisen, dass im Formblatt A1 bei der Eingabe der Kontaktdaten, insbesondere bei Telefon und E-Mail, lediglich die Eingabe eines einzelnen Buchstabens bzw. einer einzelnen Zahl möglich ist. Wir bitten daher um eine Anpassung der Formatierung und eine rechtzeitige Zurverfügungstellung eines überarbeiteten Formblatts. Des Weiteren haben wir in den bisherigen Formblättern keine Möglichkeit gesehen, eine Begrenzung der annehmbaren Zuschläge gemäß Bieterfrage Nr. 521 anzugeben. Können wir davon ausgehen, dass wir diese Begrenzung ergänzend im Textfeld bei der „Angabe der Losnummer(n)“ im Formblatt A1 aufnehmen können?</t>
  </si>
  <si>
    <t xml:space="preserve">Bezug lt. Katalog: Formblatt A1
Katalogdatum: 31.03.2026 // Antwort: Danke für den Hinweis. Eine angepasste Fassung des Formblatts wurde den Bietern zur Verfügung gestellt. Ja, die Begrenzung der annehmbaren Zuschläge können Sie in das Formblatt A1 eintragen. Alternativ kann die Angabe der Begrenzung auch in einem formlosen Schreiben mitgeteilt werden.</t>
  </si>
  <si>
    <t xml:space="preserve">ANF-692</t>
  </si>
  <si>
    <t xml:space="preserve">Nr. 645 / S. 69</t>
  </si>
  <si>
    <t xml:space="preserve">Klarstellung: Ihnen wurde zuletzt die Version 9 der Vergabeunterlagen (Bafo) zur Verfügung gestellt. Nun sollte es Ihnen möglich sein, ein entsprechendes Angebot einzureichen.</t>
  </si>
  <si>
    <t xml:space="preserve">Wird es im AI-Bietercockpit einen zusätzlichen Reiter für die finalen Angebote geben, um diese dort hochzuladen. Im derzeigen Reiter "Angebotsunterlagen" ist bereits das Erstangebot erhalten.</t>
  </si>
  <si>
    <t xml:space="preserve">Bezug lt. Katalog: AI-Bietercockpit
Katalogdatum: 02.04.2025 // Antwort: Ihnen wurde zuletzt die Version 9 der Vergabeunterlagen (Bafo) zur Verfügung gestellt. Nun sollte es Ihnen möglich sein, ein entsprechendes Angebot einzureichen. Bei technischen Rückfragen wenden Sie sich bitte an den Vergabe Support der AI-Vergabeplattform.</t>
  </si>
  <si>
    <t xml:space="preserve">ANF-693</t>
  </si>
  <si>
    <t xml:space="preserve">Nr. 646 / S. 69</t>
  </si>
  <si>
    <t xml:space="preserve">Klarstellung: Dieses Verständnis ist zutreffend.</t>
  </si>
  <si>
    <t xml:space="preserve">Gehen wir recht in der Annahme, dass eine Bürgschaft durch die oberste Holding-Gesellschaft des Konzerns eines Mitglieds der Bietergemeinschaft ein „gleichwertiges Sicherungsinstrument“ gemäß § 53 Abs. 7 des Betreibervertrags darstellt, wenn ein außerhalb des Konzerns liegendes SPV (Finanzierungsvehikel) Gegenstand des geforderten Ratings ist und sich dieses Rating inhaltlich auf das Geschäft des Konzerns bezieht? Und gehen wir auch recht in der Annahme, dass es dabei keinen Unterschied macht, ob es sich um ein BBB-Rating von Fitch oder ein BBB-Rating von Standard &amp; Poor’s handelt?</t>
  </si>
  <si>
    <t xml:space="preserve">Bezug lt. Katalog: Bürgschaft
Katalogdatum: 02.04.2026 // Antwort: Dieses Verständnis ist zutreffend.</t>
  </si>
  <si>
    <t xml:space="preserve">ANF-694</t>
  </si>
  <si>
    <t xml:space="preserve">Nr. 647 / S. 69</t>
  </si>
  <si>
    <t xml:space="preserve">Klarstellung: Der AG bestätigt, dass sich die Preisgleitklausel gemäß § 44.6, wie in der Antwort zu Bieterfrage 579 klar-gestellt, ausschließlich auf den Leistungstransformator bezieht.</t>
  </si>
  <si>
    <t xml:space="preserve">Wir bitten um Klarstellung zum Umfang der Preisgleitklausel für Transformatoren. Gemäß § 44.6, stellt die Regelung allgemein auf Transformatoren ab. Erst aus der Antwort auf Bieterfrage 579 ergibt sich hingegen eine Einschränkung auf das Einzelbauteil „Leistungstransformator“. Dies steht unseres Erachtens nicht im Einklang mit der Regelungsintention, wesentliche, nicht beeinflussbare Preisänderungsrisiken über die mehrjährige Errichtungsphase nicht vollständig dem Auftragnehmer zuzuweisen. Insbesondere vor dem Hintergrund, dass der Auftragnehmer keinen Einfluss auf die Preisentwicklung der für die Errichtung erforderlichen Komponenten hat, führt eine Beschränkung auf den Leistungstransformator dazu, dass der überwiegende Teil der kostenrelevanten, preisvolatilen Komponenten der elektrischen Anlagen nicht von der Preisgleitung erfasst ist. Folglich sind durch Bieter erhebliche Risikopuffer im Angebotspreis zu berücksichtigen. Wir bitten um Bestätigung, dass diese Auslegung dem Verständnis des Auftraggebers entspricht und die daraus resultierende Risikozuweisung so beabsichtigt ist.</t>
  </si>
  <si>
    <t xml:space="preserve">Bezug lt. Katalog: §44.6 Preisgleitklausel, Transformatoren
Katalogdatum: 02.04.2026 // Antwort: Der AG bestätigt, dass sich die Preisgleitklausel gemäß § 44.6, wie in der Antwort zu Bieterfrage 579 klar-gestellt, ausschließlich auf den Leistungstransformator bezieht. Beim Leistungstransformator ist auf-grund des hohen Materialkostenanteils, insbesondere von Kupfer, eine ausgeprägte Sensitivität gegen-über Rohstoffpreisschwankungen gegeben. Andere Komponenten der Trafostation, einschließlich der NSHV, sind demgegenüber überwiegend durch Fertigungs- und Ausführungsaufwand geprägt und un-terliegen typischerweise keiner vergleichbaren Volatilität. Vor diesem Hintergrund ist eine Ausweitung der Preisgleitklausel auf weitere Komponenten nicht möglich. Die aktuelle Regelung gewährleistet nach Auffassung des AG eine angemessene und marktgerechte Kalkulierbarkeit für die Bieter.</t>
  </si>
  <si>
    <t xml:space="preserve">ANF-695</t>
  </si>
  <si>
    <t xml:space="preserve">Nr. 648 / S. 70</t>
  </si>
  <si>
    <t xml:space="preserve">Klarstellung: Der Auftraggeber wird den Auftragnehmer über eine Zurückstellung der Baufreigabe aufgrund einer Verzögerung des Netzanschlusses informieren und soweit möglich mitteilen, wann die Baufreigabe unter Berücksichtigung der Herstellung …</t>
  </si>
  <si>
    <t xml:space="preserve">Wir bitten um Klarstellung zum Umgang mit Verzögerungen des Netzanschlusses vor erteilter Baufreigabe. Die Antwort auf Bieterfrage 539 a) stellt klar, dass der Auftragnehmer den Antrag auf Baufreigabe bereits vor Realisierung des Netzanschlusses stellen kann, die Baufreigabe jedoch erst erteilt wird, wenn die Herstellung des Netzanschlusses durch den Netzbetreiber absehbar ist. Die vorgesehene Frist für die Prüfung bzw. Freigabe von Baufreigabeanträgen beträgt 6 Wochen (vgl. Vertragsanlage 04, Kap. 2.2.1) und bildet die Grundlage für die Erstellung der Terminpläne und Organisation der Bauressourcen der Bieter. Für den Fall, dass der Auftraggeber die Freigabe des Antrags auf Baufreigabe zurückstellt, solange keine Bestätigung des Netzbetreibers zum Netzanschluss vorliegt, bitten wir um Klarstellung, ob i) der Auftraggeber den Auftragnehmer hierüber sowie über die zugrundeliegenden Um- stände transparent und frühzeitig informiert. ii) dem Auftragnehmer – da dieses Risiko außerhalb seiner Sphäre liegt – daraus entste- hende zusätzliche Kosten (inkl. Finanzierungskosten) entsprechend erstattet werden. Die Klarstellung ist in der aktuellen Phase wesentlich und maßgeblich für die Finanzierbarkeit des Projekts sowie die Einbindung potenzieller Fremdkapitalgeber. Nach unserem Verständnis führt eine Verzögerung der Baufreigabe zu einer Anpassung des Ter- minplans gemäß § 12 Abs. 2 lit. b, die auf Seiten des Auftragnehmers unmittelbar Mehrkosten verursacht, beispielsweise für die Vorhaltung von Maschinen, Material und Personal, oder zusätz- liche Finanzierungskosten. Laut Betreibervertrag sind sowohl die Herstellung des Netzanschlusses (vgl. § 17 Abs. 8), als auch Verzögerungen der Baufreigabe ein Auftraggeber-Risiko.</t>
  </si>
  <si>
    <t xml:space="preserve">Bezug lt. Katalog: Bieterfrage 539 a) Verzögerungen Netzanschluss
Katalogdatum: 02.04.2026 // Antwort: Der Auftraggeber wird den Auftragnehmer über eine Zurückstellung der Baufreigabe aufgrund einer Verzögerung des Netzanschlusses informieren und soweit möglich mitteilen, wann die Baufreigabe unter Berücksichtigung der Herstellung des Netzanschlusses voraussichtlich erteilt werden kann. Eine Erstattung von Mehrkosten, die aufgrund einer Verzögerung zwischen der Antragsstellung und der Baufreigabe liegen, erfolgt nicht. Die Erstattung von Mehrkosten aufgrund einer Verzögerung des Netzanschlusses sind abschließend in § 17 Abs. 8 des Betreibervertrags geregelt und auf den Zeitpunkt nach dem 31.12.2030 beschränkt. Der Auftragnehmer weist ergänzend daraufhin, dass bei der Erstellung der Rahmenterminpläne nach der Vertragsanlage 04: Leistungsbeschreibung Errichtung die Netzanschlusssituation an den Standorten zu berücksichtigen ist. Es sind daher vorrangig die Standorte zu errichten, an denen der Netzanschluss früher hergestellt werden wird (vgl. Vertragsanlage 05: Details zum Netzanschluss). Eine Verzögerung der Baufreigabe durch den Auftraggeber aufgrund Verzögerungen beim Netzanschluss ist mithin grundsätzlich nicht zu erwarten.</t>
  </si>
  <si>
    <t xml:space="preserve">ANF-696</t>
  </si>
  <si>
    <t xml:space="preserve">Nr. 649 / S. 70</t>
  </si>
  <si>
    <t xml:space="preserve">Klarstellung: Verzögerungen beim Netzanschluss liegen in der Risikosphäre des Auftraggebers, allerdings ist die Regelung in § 13 Abs.</t>
  </si>
  <si>
    <t xml:space="preserve">Wir bitten um Klarstellung der vertraglichen Konsequenzen bei Verzögerungen des Netzanschlusses nach erteilter Baufreigabe. Nach unserem Verständnis liegt eine Verzögerung des Netzanschlusses in der Risikosphäre der Auftraggebers (vgl. § 12 Abs. 2 lit. a, § 13 Abs. 8, § 17 Abs. 8). Wir gehen daher davon aus, dass Verzögerungen nicht in die Sphäre des Auftragnehmers fallen (vgl. § 12 Abs. 2 lit. a) und somit § 13 Abs. 8 bei Verzögerungen des Netzanschlusses anwendbar ist. Der Auftragnehmer erhält nach unserem Verständnis daher zwei Monate nach dem geplanten Inbetriebnahme Datum die letzte Rate des anteiligen Errichtungsentgelts, sofern die Errichtungsleistungen im Übrigen abgeschlossen sind. Ab dem gleichen Zeitpunkt erhält der Auftragnehmer das Betreiberentgelt in der Höhe, wie es zur Deckung nicht vermeidbarer Kosten erforderlich ist. Könnten Sie dieses Verständnis bitte bestätigen? Sofern unser Verständnis nicht zutreffend ist und Mehrkosten aus Verzögerungen des Netzan- schlusses nach erfolgter Baufreigabe nicht erstattet werden, sowie der Auftragnehmer die letzte Rate des anteiligen Errichtungsentgelts nicht erhält, würden der Auftragnehmer und seine Finan- zierungsgeber das finanzielle Risiko von Verzögerungen des Netzanschlusses tragen. Dies entspräche nicht der vertraglichen Risikoverteilung, würde die Finanzierbarkeit des Projekts erheblich erschweren und die Abgabe eines optimierten Angebots beeinträchtigen.</t>
  </si>
  <si>
    <t xml:space="preserve">Bezug lt. Katalog: Bieterfrage 539 c) Verzögerungen Netzanschluss
Katalogdatum: 02.04.2026 // Antwort: Verzögerungen beim Netzanschluss liegen in der Risikosphäre des Auftraggebers, allerdings ist die Regelung in § 13 Abs. 8 des Betreibervertrags bei Verzögerungen des Netzanschlusses nicht anwendbar. Der Ersatzanspruch des Auftragnehmers richtet sich in diesen Fällen nach § 17 Abs. 3 des Betreibervertrags. Die Baufreigabe wird grundsätzlich erst dann erteilt, wenn der Netzanschluss in absehbarer Zeit realisiert werden kann. Eine starke Verzögerung nach Erteilung der Baufreigabe ist mithin nicht zu erwarten.</t>
  </si>
  <si>
    <t xml:space="preserve">ANF-697</t>
  </si>
  <si>
    <t xml:space="preserve">Nr. 650 / S. 70</t>
  </si>
  <si>
    <t xml:space="preserve">Klarstellung: Die „Anlage 06 zum Verfahrensbrief – Aufschlüsselung Preise Errichtung und Betrieb“ wurde Ihnen in einer korrigierten Version am 08.04.2026 zur Verfügung gestellt.</t>
  </si>
  <si>
    <t xml:space="preserve">in der Anlage 06 zum Verfahrensbrief - Aufschlüsselung Preise Errichtung und Betrieb Stand 18.02.2026, wird in Los 1 zweimal Dithmarscher Geest - Ost genannt. Die Westseite fehlt. Die ID ist aber unterschiedlich. Leider kann man das nicht selber ändern. Könnten Sie uns bitte eine korrigierte Version zukommen lassen?</t>
  </si>
  <si>
    <t xml:space="preserve">Bezug lt. Katalog: Anlage 06_zum Verfahrensbrief_Aufschlüssel_Prei se Errichtung und Betrieb
Katalogdatum: 08.04.2026 // Antwort: Die „Anlage 06 zum Verfahrensbrief – Aufschlüsselung Preise Errichtung und Betrieb“ wurde Ihnen in einer korrigierten Version am 08.04.2026 zur Verfügung gestellt.</t>
  </si>
  <si>
    <t xml:space="preserve">ANF-698</t>
  </si>
  <si>
    <t xml:space="preserve">Nr. 651 / S. 70</t>
  </si>
  <si>
    <t xml:space="preserve">Klarstellung: Aus technischen Gründen musste für die Einreichung der finalen Angebote eine neue Version der Vergabeunterlagen erstellt werden (Version 8).</t>
  </si>
  <si>
    <t xml:space="preserve">Eine weitere Frage: Sie haben gestern die neuen Unterlagen Version 8 hochgeladen. Jedoch handelt es sich um alle Unterlagen die wir in den letzten Monaten erhalten haben und damit auch um veraltete Versionen die bereits korrigiert wurden. Handelt es sich dabei um einen Fehler und wird noch eine Version 8 mit allen aktuellen Unterlagen hochgeladen?</t>
  </si>
  <si>
    <t xml:space="preserve">Bezug lt. Katalog: Version 8 der Vergabeunterlage
Katalogdatum: 09.04.2026 // Antwort: Aus technischen Gründen musste für die Einreichung der finalen Angebote eine neue Version der Vergabeunterlagen erstellt werden (Version 8). Diese wurde nochmals durch eine Version 9 ersetzt, welche etwas übersichtlicher gestaltet wurde und somit die aktuellsten Unterlagen schneller ersichtlich sind. Es wurden keine inhaltlichen Änderungen vorgenommen. Aktualisierungen oder Anpassungen der Unterlagen wurden Ihnen über den Vergabemanager mitgeteilt. Bitte verwenden Sie ausschließlich Version 9 für die Einreichung der finalen Angebote.</t>
  </si>
  <si>
    <t xml:space="preserve">ANF-699</t>
  </si>
  <si>
    <t xml:space="preserve">Nr. 652 / S. 70</t>
  </si>
  <si>
    <t xml:space="preserve">Klarstellung: Das in Anlage 06 zum Verfahrensbrief "Aufschlüsselung der Preise Errichtung und Betrieb" aufzuschlüsselnde Betreiberentgelt (je Standort) dient insbesondere der Prüfung und der Vergleichbarkeit des angebotenen Entgelts für den …</t>
  </si>
  <si>
    <t xml:space="preserve">Ist das Betreiberentgelt in Anlage 6 auch je Quartal anzugeben?</t>
  </si>
  <si>
    <t xml:space="preserve">Bezug lt. Katalog: 20260408_Anlage 06_zum Verfahrensbrief_Aufschlüssel_Prei se Errichtung und Betrieb
Katalogdatum: 13.04.2026 // Antwort: Das in Anlage 06 zum Verfahrensbrief "Aufschlüsselung der Preise Errichtung und Betrieb" aufzuschlüsselnde Betreiberentgelt (je Standort) dient insbesondere der Prüfung und der Vergleichbarkeit des angebotenen Entgelts für den Betrieb. Demnach ist das in Anlage 04 zum Verfahrensbrief "Preisblatt" angegebene Betreiberentgelt je Quartal (= Spalte B "Entgelt in Euro Netto" ) auf die Standorte in Anlage 06 zum Verfahrensbrief aufzuschlüsseln.</t>
  </si>
  <si>
    <t xml:space="preserve">ANF-700</t>
  </si>
  <si>
    <t xml:space="preserve">Nr. 653 / S. 70</t>
  </si>
  <si>
    <t xml:space="preserve">Anpassung der Unterlagen: Das Formblatt A2 "Verzeichnis Drittunternehmen" wurde entsprechend angepasst und wird den Bietern mit Beantwortung dieser Bieterfrage bereitgestellt.</t>
  </si>
  <si>
    <t xml:space="preserve">Könnten Sie bitte die Kästchen zur Benennung der Unterauftragnehmer erweiterbar machen oder ein Dokument mit mehreren Kästchen (10 Stück) hochladen?</t>
  </si>
  <si>
    <t xml:space="preserve">Bezug lt. Katalog: 20251204_Formblatt A2 - Verzeichnis Drittunternehmen
Katalogdatum: 13.04.2026 // Antwort: Das Formblatt A2 "Verzeichnis Drittunternehmen" wurde entsprechend angepasst und wird den Bietern mit Beantwortung dieser Bieterfrage bereitgestellt.</t>
  </si>
  <si>
    <t xml:space="preserve">ANF-701</t>
  </si>
  <si>
    <t xml:space="preserve">Nr. 654 / S. 70</t>
  </si>
  <si>
    <t xml:space="preserve">Klarstellung: Maßgeblich für die Abgabe der verbindlichen Angebote ist die mit den Vergabeunterlagen zur Verfügung gestellte Anlage 04 zum Verfahrensbrief "Preisblatt".</t>
  </si>
  <si>
    <t xml:space="preserve">Im Bietercockpit lässt sich dieses Preisblatt finden. Reicht es dies einmal auszufüllen oder muss pro Angebot für ein Los jeweils eins ausgefüllt werden?</t>
  </si>
  <si>
    <t xml:space="preserve">Bezug lt. Katalog: Preisblatt zum Angebotsschreiben (zur elektronischen Angebotsabgabe mittels AI Bietercockpit)
Katalogdatum: 13.04.2026 // Antwort: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</si>
  <si>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ANF-702</t>
  </si>
  <si>
    <t xml:space="preserve">Nr. 655 / S. 70</t>
  </si>
  <si>
    <t xml:space="preserve">Klarstellung: Dieses Verständnis ist zutreffend, soweit der Betreibervertrag bezüglich verbundener Unternehmen ausdrücklich auf § 15 AktG verweist (vgl. § 53 Abs.</t>
  </si>
  <si>
    <t xml:space="preserve">Die Regelung in § 36 Abs. 4 des Vertrags bezieht sich auf verbundene Unternehmen. Ist unser Verständnis zutreffend, dass verbundene Unternehmen nach dem Vertrag nur solche nach § 15 AktG sind?</t>
  </si>
  <si>
    <t xml:space="preserve">Bezug lt. Katalog: Verbundene Unternehmen
Katalogdatum: 13.04.2026 // Antwort: Dieses Verständnis ist zutreffend, soweit der Betreibervertrag bezüglich verbundener Unternehmen ausdrücklich auf § 15 AktG verweist (vgl. § 53 Abs. 7 des Betreibervertrags). Im Übrigen (und mithin auch im Rahmen des § 36 Abs. 4 des Betreibervertrags) ist ein verbundenes Unternehmen abweichend von § 15 AktG jedes Unternehmen, an dem der Auftragnehmer allein in Mehrheitsbesitz steht, oder – wenn der Auftragnehmer eine Bietergemeinschaft ist – mehrere Unternehmen der Bietergemeinschaft gemeinsam in Mehrheitsbesitz stehen.</t>
  </si>
  <si>
    <t xml:space="preserve">ANF-703</t>
  </si>
  <si>
    <t xml:space="preserve">Nr. 656 / S. 71</t>
  </si>
  <si>
    <t xml:space="preserve">Klarstellung: Der AG stellt klar, dass die Regelung des § 17 Abs. 5 des Betreibervertrages für alle Standorte gilt, deren Errichtung nach Ablauf der regulären Vertragslaufzeit vom Auftragnehmer erfolgt.</t>
  </si>
  <si>
    <t xml:space="preserve">Sie führen aus, dass die Regelung des § 17 Abs. 5 des Betreibervertrages für alle Standorte gilt, deren Errichtung nach Ablauf der regulären Vertragslaufzeit vom Auftragnehmer verlangt wird. Der Wortlaut des § 17 Abs. 5 stellt allerdings fix auf den 31.12.2035 ab, so dass bei einem Vertragsbeginn z.B. am 15.06.2026 ein Zeitraum zwischen Ende der regulären Vertragslaufzeit (im Beispiel 30.06.2034 - § 188 Abs. 2 BGB) und dem 31.12.2035 verbliebe. Ist das gewollt?</t>
  </si>
  <si>
    <t xml:space="preserve">Bezug lt. Katalog: § 17 Abs. 5 Betreibervertrag
Katalogdatum: 13.04.2026 // Antwort: Der AG stellt klar, dass die Regelung des § 17 Abs. 5 des Betreibervertrages für alle Standorte gilt, deren Errichtung nach Ablauf der regulären Vertragslaufzeit vom Auftragnehmer erfolgt.</t>
  </si>
  <si>
    <t xml:space="preserve">ANF-704</t>
  </si>
  <si>
    <t xml:space="preserve">Nr. 657 / S. 71</t>
  </si>
  <si>
    <t xml:space="preserve">Klarstellung: Der AG stellt klar, dass ab Erteilung der Baufreigabe die Regelung in § 13 Abs. 8 i. v. m. § 12 Abs.</t>
  </si>
  <si>
    <t xml:space="preserve">Wir kommen zurück auf die Antworten der Vergabestelle zu Bieterfrage #648 und #649. Wir weisen darauf hin, dass die Vergabeunterlagen vor dem Hintergrund dieser Antworten in sich widersprüchlich sind und den Bietern ein unverhältnismäßiges Risiko aufbürden und bitten, dem abzuhelfen. Bieter können die Beschränkung auf die Erstattung von Mehrkosten aufgrund einer Verzögerung des Netzanschlusses auf den Zeitpunkt nach dem 31.12.2030 nicht in ihrer Preisgestaltung einbeziehen. Die im Ansatz sachgerechte Ausführung unter Bieterfrage #649, dass Verzögerungen beim Netzanschluss in der Risikosphäre des Auftraggebers liegen, läuft unter Zugrundelegung der Auslegung des Vertrages nach Maßgabe der Antworten auf die Bieterfragen leer. Sobald die Baufreigabe erteilt ist, können die Bieter bei der Zahlung der (zweiten und dritten) Meilensteine für das Errichtungsentgelt kein Risiko für Verzögerungen, welche außerhalb der Kontrolle der Bieter liegen, mehr nehmen. Hierzu gehören auch potenzielle Verzögerungen beim Netzanschluss. Sinn und Zweck der Baufreigabe ist gerade, dass der Auftragnehmer mit dem Bau beginnen kann. Kommt es jedoch zu einer Verzögerung beim Netzanschluss, erhält der Auftragnehmer nicht die vertraglich vorgesehene und vertragsgemäß kalkulierte Vergütung sondern muss bis zum 31.12.2030 warten, um gemäß Kl.17.8 eine (begrenzte) Entschädigung zu erhalten. Dies ist widersprüchlich und stellt für die Bieter ein unverhältnismäßiges Risiko dar. Wir weisen ferner darauf hin, dass dieser Verstoß erst durch die Antworten auf die Bieterfragen #648 und #649 zu Tage getreten ist und bitten die Vergabestelle dem abzuhelfen.</t>
  </si>
  <si>
    <t xml:space="preserve">Bezug lt. Katalog: Bieterfragen 648 und 649
Katalogdatum: 15.04.2026 // Antwort: Der AG stellt klar, dass ab Erteilung der Baufreigabe die Regelung in § 13 Abs. 8 i. v. m. § 12 Abs. 2 a des Betreibervertrages greift. Die Verzögerung beim Netzanschluss stellt insoweit ein „Ereignis […], das nicht in den Risikobereich des Auftragnehmers fällt“ (vgl. § 12 Abs. a lit. a) dar. Unter den Voraussetzungen des § 13 Abs. 8 des Betreibervertrags erhält der Auftragnehmer ohne eine Inbetriebnahme zwei Monate nach dem geplanten Inbetriebnahmedatum die letzte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</si>
  <si>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ANF-705</t>
  </si>
  <si>
    <t xml:space="preserve">Nr. 658 / S. 71</t>
  </si>
  <si>
    <t xml:space="preserve">Klarstellung: Es ist ausreichend das systemseitig generierte Dokument "Preisblatt_im_Angebotsschreiben.pdf" einmal im System auszufüllen.</t>
  </si>
  <si>
    <t xml:space="preserve">Mit der Frage war nicht das Preisblatt Anlage 04 gemeint, sondern das im Bietercockpit zu findende Preisblatt "Preisblatt zum Angebotsschreiben"). Reicht es dies einmal im System auszufüllen für mehrere Angebote?</t>
  </si>
  <si>
    <t xml:space="preserve">Bezug lt. Katalog: Bieterfrage 654
Katalogdatum: 16.04.2026 // Antwort: Es ist ausreichend das systemseitig generierte Dokument "Preisblatt_im_Angebotsschreiben.pdf" einmal im System auszufüllen. Wir verweisen aber weiterhin auf die Antwort zur Bieterfrage 654: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</si>
  <si>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ANF-706</t>
  </si>
  <si>
    <t xml:space="preserve">Nr. 659 / S. 71</t>
  </si>
  <si>
    <t xml:space="preserve">Klarstellung: a) Der Zuschlag wird voraussichtlich bis Ende des zweiten Quartals 2026 erteilt. Entsprechende weitere Schritte werden im Anschluss kommuniziert. b) Die Rechtsmittelfrist zur Notifizierungsentscheidung der Europäischen Kommission …</t>
  </si>
  <si>
    <t xml:space="preserve">Um unsere Kapazitäten besser planen zu können - insbesondere vor dem Hintergrund der anstehenden Feiertage sowie der anschließenden Sommerferien - möchten wir Sie höflich bitten, uns mitzuteilen, a) wie der derzeit avisierte Terminplan der Vergabestelle für den weiteren Ablauf des Vergabeverfahrens aussieht und b) welchen aktuellen Stand die oben genannte Genehmigungsentscheidung der Europäischen Kommission hat.</t>
  </si>
  <si>
    <t xml:space="preserve">Bezug lt. Katalog: Zeitplan und Stand Genehmigungsentscheidung EU- Kom
Katalogdatum: 30.04.2026 // Antwort: a) Der Zuschlag wird voraussichtlich bis Ende des zweiten Quartals 2026 erteilt. Entsprechende weitere Schritte werden im Anschluss kommuniziert. b) Die Rechtsmittelfrist zur Notifizierungsentscheidung der Europäischen Kommission endete am 05.05.2026.</t>
  </si>
  <si>
    <t xml:space="preserve">ANF-707</t>
  </si>
  <si>
    <t xml:space="preserve">§ 1 (1)</t>
  </si>
  <si>
    <t xml:space="preserve">Dieser Vertrag hat die nachfolgenden Vertragsbestandteile, wobei Reihenfolge gleich Rangfolge für die Auslegung und Anwendung ist:</t>
  </si>
  <si>
    <t xml:space="preserve">Kapitel: Vertragsbestandteile, Geltungsreihenfolge, Auslegung
Fundstelle im PDF: Seite 6</t>
  </si>
  <si>
    <t xml:space="preserve">ANF-708</t>
  </si>
  <si>
    <t xml:space="preserve">§ 1 (1) a</t>
  </si>
  <si>
    <t xml:space="preserve">die Vereinbarungen dieses Vertragstextes einschließlich der dazugehörigen Vertragsanlagen,</t>
  </si>
  <si>
    <t xml:space="preserve">ANF-709</t>
  </si>
  <si>
    <t xml:space="preserve">§ 1 (1) b</t>
  </si>
  <si>
    <t xml:space="preserve">alle im Vertrag und seinen Vertragsanlagen, insbesondere in den Leistungsbeschreibungen Errichtung und Betrieb, genannten Richtlinien und technischen Regelwerke, und</t>
  </si>
  <si>
    <t xml:space="preserve">ANF-710</t>
  </si>
  <si>
    <t xml:space="preserve">§ 1 (1) c</t>
  </si>
  <si>
    <t xml:space="preserve">das Angebot des Auftragnehmers (beigefügt als Vertragsanlage 1: Angebot des Auftragnehmers vom [...]), soweit es über die Vorgaben der Leistungsbeschreibungen hinausgehende quantitative und …</t>
  </si>
  <si>
    <t xml:space="preserve">das Angebot des Auftragnehmers (beigefügt als Vertragsanlage 1: Angebot des Auftragnehmers vom [...]), soweit es über die Vorgaben der Leistungsbeschreibungen hinausgehende quantitative und qualitative Leistungsversprechen enthält.</t>
  </si>
  <si>
    <t xml:space="preserve">ANF-711</t>
  </si>
  <si>
    <t xml:space="preserve">§ 1 (2)</t>
  </si>
  <si>
    <t xml:space="preserve">Bei Widersprüchen zwischen textlicher Beschreibung und zeichnerischer Darstellung innerhalb einer Kategorie nach Absatz 1 a) und Absatz 1 b) gilt aufgrund allgemeiner Auslegungsmethoden zunächst das …</t>
  </si>
  <si>
    <t xml:space="preserve">Bei Widersprüchen zwischen textlicher Beschreibung und zeichnerischer Darstellung innerhalb einer Kategorie nach Absatz 1 a) und Absatz 1 b) gilt aufgrund allgemeiner Auslegungsmethoden zunächst das von den Parteien gemeinsam Gewollte. In verbleibenden Zweifelsfällen gehen zeichnerische Darstellungen dort, wo sie einen höheren Detaillierungsgrad als die entsprechenden textlichen Beschreibungen aufweisen, den textlichen Ausführungen vor, im Übrigen gelten für den gesamten Vertragsgegenstand vorrangig die textlichen Beschreibungen.</t>
  </si>
  <si>
    <t xml:space="preserve">ANF-712</t>
  </si>
  <si>
    <t xml:space="preserve">§ 2</t>
  </si>
  <si>
    <t xml:space="preserve">Der Auftraggeber 1 ist Eigentümer der Liegenschaften der Standorte.</t>
  </si>
  <si>
    <t xml:space="preserve">Der Auftraggeber 1 ist Eigentümer der Liegenschaften der Standorte. Der Auftraggeber 2 ist aufgrund des Gesetzes zur Errichtung einer Infrastrukturgesellschaft für Autobahnen und andere Bundesfernstraßen (Infrastrukturgesellschaftserrichtungsgesetz – InfrGG) sowie der auf dessen Grundlage erlassenen Verordnung über die Beleihung der Gesellschaft privaten Rechts im Sinne des Infrastrukturgesellschaftserrichtungsgesetzes (InfrGG-Beleihungsverordnung – InfrGGBV) umfassend mit Planung, Bau, Betrieb, Erhaltung, Finanzierung und vermögensmäßigen Verwaltung der Bundesautobahnen betraut. Die Vertragsdurchführung samt Vornahme von Zahlungen sowie Abgabe und Entgegennahme von Erklärungen und Unterlagen erfolgt durch den Auftraggeber 2, der insoweit als Vertreter des Auftraggebers 1 agiert, soweit er nicht aufgrund der vorgenannten Betrauung im eigenen Namen agiert.</t>
  </si>
  <si>
    <t xml:space="preserve">Kapitel: Mehrheit von Auftraggebern
Fundstelle im PDF: Seite 6</t>
  </si>
  <si>
    <t xml:space="preserve">ANF-713</t>
  </si>
  <si>
    <t xml:space="preserve">§ 3 (1)</t>
  </si>
  <si>
    <t xml:space="preserve">Gegenstand des Vertrags sind</t>
  </si>
  <si>
    <t xml:space="preserve">Kapitel: Vertragsgegenstand und Hauptleistungspflichten
Fundstelle im PDF: Seite 6</t>
  </si>
  <si>
    <t xml:space="preserve">ANF-714</t>
  </si>
  <si>
    <t xml:space="preserve">§ 3 (1) a</t>
  </si>
  <si>
    <t xml:space="preserve">die Verpflichtungen des Auftragnehmers zur Planung, Errichtung, zum Betrieb sowie zur Instandhaltung von öffentlich zugänglicher Ladeinfrastruktur für E-Lkw an den in Vertragsanlage 2: Standorte …</t>
  </si>
  <si>
    <t xml:space="preserve">die Verpflichtungen des Auftragnehmers zur Planung, Errichtung, zum Betrieb sowie zur Instandhaltung von öffentlich zugänglicher Ladeinfrastruktur für E-Lkw an den in Vertragsanlage 2: Standorte definierten Standorten,</t>
  </si>
  <si>
    <t xml:space="preserve">Kapitel: Vertragsgegenstand und Hauptleistungspflichten
Fundstelle im PDF: Seite 6
Zuordnung prüfen (Komponente/Partner nicht eindeutig)</t>
  </si>
  <si>
    <t xml:space="preserve">ANF-715</t>
  </si>
  <si>
    <t xml:space="preserve">§ 3 (1) b</t>
  </si>
  <si>
    <t xml:space="preserve">die Gewährung des diskriminierungsfreien Zugangs zu dieser Ladeinfrastruktur durch den Auftragnehmer aa) für Endnutzer im Rahmen des Ad-hoc-Ladens (punktuelles Laden i.</t>
  </si>
  <si>
    <t xml:space="preserve">die Gewährung des diskriminierungsfreien Zugangs zu dieser Ladeinfrastruktur durch den Auftragnehmer aa) für Endnutzer im Rahmen des Ad-hoc-Ladens (punktuelles Laden i. S. v. Art. 2 Nr. 47 der AFIR) nach § 31 sowie bb) für andere Mobilitätsdienstleister nach § 33,</t>
  </si>
  <si>
    <t xml:space="preserve">ANF-716</t>
  </si>
  <si>
    <t xml:space="preserve">§ 3 (1) c</t>
  </si>
  <si>
    <t xml:space="preserve">die Entrichtung eines Errichtungsentgelts und eines Betreiberentgelts durch den Auftraggeber 2 an den Auftragnehmer nach § 44 und § 45,</t>
  </si>
  <si>
    <t xml:space="preserve">ANF-717</t>
  </si>
  <si>
    <t xml:space="preserve">§ 3 (1) d</t>
  </si>
  <si>
    <t xml:space="preserve">die Zahlung eines Infrastrukturentgelts durch den Auftragnehmer an den Auftraggeber 2 nach § 46 sowie</t>
  </si>
  <si>
    <t xml:space="preserve">ANF-718</t>
  </si>
  <si>
    <t xml:space="preserve">§ 3 (1) e</t>
  </si>
  <si>
    <t xml:space="preserve">die Übertragung des Rechts zur Vermarktung der THG-Quoten durch den Auftragnehmer an den Auftraggeber 1 nach § 50.</t>
  </si>
  <si>
    <t xml:space="preserve">ANF-719</t>
  </si>
  <si>
    <t xml:space="preserve">§ 3 (2)</t>
  </si>
  <si>
    <t xml:space="preserve">Die konkreten Pflichten der Parteien ergeben sich aus den folgenden Regelungen.</t>
  </si>
  <si>
    <t xml:space="preserve">Die konkreten Pflichten der Parteien ergeben sich aus den folgenden Regelungen. Soweit sich aus dem Angebot des Auftragnehmers weitere Zusagen ergeben, sind diese ebenfalls geschuldet.</t>
  </si>
  <si>
    <t xml:space="preserve">ANF-720</t>
  </si>
  <si>
    <t xml:space="preserve">§ 4 (1)</t>
  </si>
  <si>
    <t xml:space="preserve">„Abnahme“: Die bauliche Abnahme der Ladeinfrastruktur nach Abschluss der Errichtung und technischer Inbetriebnahme der Ladeeinrichtungen nach Maßgabe von § 13.</t>
  </si>
  <si>
    <t xml:space="preserve">Kapitel: Begriffsbestimmungen
Fundstelle im PDF: Seite 7</t>
  </si>
  <si>
    <t xml:space="preserve">Aplitronic</t>
  </si>
  <si>
    <t xml:space="preserve">Automatisch ausgewertet: Begriffsbestimmung aus § 4 des Betreibervertrags. Definition ohne eigene Leistungspflicht des Auftragnehmers.</t>
  </si>
  <si>
    <t xml:space="preserve">ANF-721</t>
  </si>
  <si>
    <t xml:space="preserve">§ 4 (2)</t>
  </si>
  <si>
    <t xml:space="preserve">„Ad-hoc-Laden“: Ein Ladedienst i. S. d.</t>
  </si>
  <si>
    <t xml:space="preserve">„Ad-hoc-Laden“: Ein Ladedienst i. S. d. Art. 2 Nr. 47 AFIR, der von einem Endnutzer erworben wird, ohne dass dieser Endnutzer sich registrieren, eine schriftliche Vereinbarung schließen oder eine Geschäftsbeziehung mit dem Betreiber des Ladepunkts eingehen muss, die über den bloßen Erwerb des Aufladedienstes hinausgeht (auch “punktuelles Aufladen“).</t>
  </si>
  <si>
    <t xml:space="preserve">ANF-722</t>
  </si>
  <si>
    <t xml:space="preserve">§ 4 (3)</t>
  </si>
  <si>
    <t xml:space="preserve">„Ad-hoc-Preis“: Der Preis, den der Auftragnehmer als Betreiber eines Ladepunkts einem Endnutzer für das punktuelle Aufladen außerhalb eines Dauerschuldverhältnisses in Rechnung stellt.</t>
  </si>
  <si>
    <t xml:space="preserve">ANF-723</t>
  </si>
  <si>
    <t xml:space="preserve">§ 4 (4)</t>
  </si>
  <si>
    <t xml:space="preserve">„AFIR“: Die Verordnung (EU) 2023/1804 des Europäischen Parlaments und des Rates vom</t>
  </si>
  <si>
    <t xml:space="preserve">Kapitel: Begriffsbestimmungen
Fundstelle im PDF: Seite 7
Zuordnung prüfen (Komponente/Partner nicht eindeutig)</t>
  </si>
  <si>
    <t xml:space="preserve">ANF-724</t>
  </si>
  <si>
    <t xml:space="preserve">§ 4 (13)</t>
  </si>
  <si>
    <t xml:space="preserve">September 2023 über den Aufbau der Infrastruktur für alternative Kraftstoffe und zur Aufhebung der Richtlinie 2014/94/EU.</t>
  </si>
  <si>
    <t xml:space="preserve">ANF-725</t>
  </si>
  <si>
    <t xml:space="preserve">§ 4 (5)</t>
  </si>
  <si>
    <t xml:space="preserve">„Back-End“: Ein IT-System, das den Betrieb und die Verwaltung der Ladeeinrichtungen eines Auftragnehmers steuert und hierfür mittels eines Schnittstellenprotokolls mit den Ladeeinrichtungen …</t>
  </si>
  <si>
    <t xml:space="preserve">„Back-End“: Ein IT-System, das den Betrieb und die Verwaltung der Ladeeinrichtungen eines Auftragnehmers steuert und hierfür mittels eines Schnittstellenprotokolls mit den Ladeeinrichtungen kommuniziert.</t>
  </si>
  <si>
    <t xml:space="preserve">ANF-726</t>
  </si>
  <si>
    <t xml:space="preserve">§ 4 (6)</t>
  </si>
  <si>
    <t xml:space="preserve">„Batterieelektrofahrzeug“: Kraftfahrzeug, einschließlich E-Lkw, mit einem Antriebsstrang, der mindestens einen nichtperipheren elektrischen Motor als Energiewandler mit einem elektrisch aufladbaren …</t>
  </si>
  <si>
    <t xml:space="preserve">„Batterieelektrofahrzeug“: Kraftfahrzeug, einschließlich E-Lkw, mit einem Antriebsstrang, der mindestens einen nichtperipheren elektrischen Motor als Energiewandler mit einem elektrisch aufladbaren Energiespeichersystem, das extern aufgeladen werden kann, enthält.</t>
  </si>
  <si>
    <t xml:space="preserve">ANF-727</t>
  </si>
  <si>
    <t xml:space="preserve">§ 4 (7)</t>
  </si>
  <si>
    <t xml:space="preserve">„Baufreigabe“: Die öffentlich-rechtliche Freigabe der Errichtungstätigkeiten des Auftragnehmers durch den Auftraggeber 2 gemäß § 4 FStrG.</t>
  </si>
  <si>
    <t xml:space="preserve">ANF-728</t>
  </si>
  <si>
    <t xml:space="preserve">§ 4 (8)</t>
  </si>
  <si>
    <t xml:space="preserve">„BDEW“: Bundesverband der Energie- und Wasserwirtschaft e.</t>
  </si>
  <si>
    <t xml:space="preserve">„BDEW“: Bundesverband der Energie- und Wasserwirtschaft e. V.</t>
  </si>
  <si>
    <t xml:space="preserve">ANF-729</t>
  </si>
  <si>
    <t xml:space="preserve">§ 4 (9)</t>
  </si>
  <si>
    <t xml:space="preserve">„Betrieb“: Sämtliche Maßnahmen, die die Funktionsfähigkeit der Ladeeinrichtungen gewährleisten.</t>
  </si>
  <si>
    <t xml:space="preserve">ANF-730</t>
  </si>
  <si>
    <t xml:space="preserve">§ 4 (10)</t>
  </si>
  <si>
    <t xml:space="preserve">„Betriebsfreigabe“: Die öffentlich-rechtliche Freigabe der Ladeinfrastruktur durch den Auftraggeber 2 gemäß § 4 FStrG.</t>
  </si>
  <si>
    <t xml:space="preserve">ANF-731</t>
  </si>
  <si>
    <t xml:space="preserve">§ 4 (11)</t>
  </si>
  <si>
    <t xml:space="preserve">„Bidirektionales Laden“: Ein Ladevorgang, bei der die Richtung des Stromflusses umgekehrt werden kann, sodass Strom von der Batterie zu dem Ladepunkt fließen kann, an den sie angeschlossen ist.</t>
  </si>
  <si>
    <t xml:space="preserve">ANF-732</t>
  </si>
  <si>
    <t xml:space="preserve">§ 4 (12)</t>
  </si>
  <si>
    <t xml:space="preserve">„CCS“: „Combined Charging System“ („kombiniertes Ladesystem“), nach der Norm IEC 62196, ein Ladesystem, das sich sowohl zum Laden mit Gleichstrom als auch zum Laden mit Wechselstrom eignet.</t>
  </si>
  <si>
    <t xml:space="preserve">ANF-733</t>
  </si>
  <si>
    <t xml:space="preserve">„CCS-Ladepunkt“: Jede Anschlussmöglichkeit mit Fahrzeugkupplung des Typs CCS für einen E-Lkw an einer Ladeeinrichtung, mit einer Nennladeleistung von mindestens 150 kW (DC) zum Übernachtladen bzw. …</t>
  </si>
  <si>
    <t xml:space="preserve">„CCS-Ladepunkt“: Jede Anschlussmöglichkeit mit Fahrzeugkupplung des Typs CCS für einen E-Lkw an einer Ladeeinrichtung, mit einer Nennladeleistung von mindestens 150 kW (DC) zum Übernachtladen bzw. für das Zwischenladen mit mindestens 400 kW (DC). Soweit Leistungseinheiten durch mehrere CCS-Ladepunkte für das Übernachtladen gemeinsam genutzt werden, muss eine Ladeleistung von 100 kW (DC) dauerhaft zeitgleich an jedem CCS-Ladepunkt zum Übernachtladen bereitstehen. Soweit Leistungseinheiten durch mehrere CCS-Ladepunkte für das Zwischenladen gemeinsam genutzt werden, muss eine Ladeleistung von 400 kW (DC) an jedem CCS-Ladepunkt zum Zwischenladen bereitstehen.</t>
  </si>
  <si>
    <t xml:space="preserve">ANF-734</t>
  </si>
  <si>
    <t xml:space="preserve">§ 4 (14)</t>
  </si>
  <si>
    <t xml:space="preserve">„EEG“: Erneuerbare-Energien-Gesetz vom 21. Juli 2014 (BGBI.</t>
  </si>
  <si>
    <t xml:space="preserve">„EEG“: Erneuerbare-Energien-Gesetz vom 21. Juli 2014 (BGBI. I S. 1066), zuletzt geändert durch Art. 23 des Gesetzes vom 18. Dezember 2025 (BGBl. 2025 I Nr. 347).</t>
  </si>
  <si>
    <t xml:space="preserve">ANF-735</t>
  </si>
  <si>
    <t xml:space="preserve">§ 4 (15)</t>
  </si>
  <si>
    <t xml:space="preserve">„Endnutzer“: Jede natürliche oder juristische Person, die Strom als alternativen Kraftstoff i.</t>
  </si>
  <si>
    <t xml:space="preserve">„Endnutzer“: Jede natürliche oder juristische Person, die Strom als alternativen Kraftstoff i. S. d. Art. 2 Nr. 4 lit. a) AFIR zur unmittelbaren Verwendung in einem Fahrzeug erwirbt.</t>
  </si>
  <si>
    <t xml:space="preserve">ANF-736</t>
  </si>
  <si>
    <t xml:space="preserve">§ 4 (16)</t>
  </si>
  <si>
    <t xml:space="preserve">„Erneuerung“: Der vollständige oder teilweise Austausch der Ladeinfrastruktur durch gleichartige und vertragsgemäße Teile der Ladeinfrastruktur bzw. durch eine gleichartige und vertragsgemäße …</t>
  </si>
  <si>
    <t xml:space="preserve">„Erneuerung“: Der vollständige oder teilweise Austausch der Ladeinfrastruktur durch gleichartige und vertragsgemäße Teile der Ladeinfrastruktur bzw. durch eine gleichartige und vertragsgemäße Ladeinfrastruktur.</t>
  </si>
  <si>
    <t xml:space="preserve">ANF-737</t>
  </si>
  <si>
    <t xml:space="preserve">§ 4 (17)</t>
  </si>
  <si>
    <t xml:space="preserve">„Errichtung“: Sämtliche Maßnahmen im Zusammenhang mit dem Aufbau der Ladeinfrastruktur, die einzelne Ladeeinrichtung ist mit ihrer technischen Inbetriebnahme errichtet.</t>
  </si>
  <si>
    <t xml:space="preserve">ANF-738</t>
  </si>
  <si>
    <t xml:space="preserve">§ 4 (18)</t>
  </si>
  <si>
    <t xml:space="preserve">„ERS-Empfehlung“: Empfehlungen für Rastanlagen an Straßen, eingeführt mit dem Allgemeinen Rundschreiben Straßenbau Nr.</t>
  </si>
  <si>
    <t xml:space="preserve">„ERS-Empfehlung“: Empfehlungen für Rastanlagen an Straßen, eingeführt mit dem Allgemeinen Rundschreiben Straßenbau Nr. 2/2011 v. 2. März 2011, geändert und ergänzt durch die Allgemeine Rundschreiben Straßenbau (ARS) 07/2019 und 17/2021.</t>
  </si>
  <si>
    <t xml:space="preserve">ANF-739</t>
  </si>
  <si>
    <t xml:space="preserve">§ 4 (19)</t>
  </si>
  <si>
    <t xml:space="preserve">„E-Lkw“: Reine Batterieelektrofahrzeuge sowie von außen aufladbare Hybridelektrofahrzeuge der Klasse M2 gemäß Art.</t>
  </si>
  <si>
    <t xml:space="preserve">„E-Lkw“: Reine Batterieelektrofahrzeuge sowie von außen aufladbare Hybridelektrofahrzeuge der Klasse M2 gemäß Art. 4 Abs. 1 lit. a) Ziffer ii), der Klasse M3 gemäß Art. 4 Abs. 1 lit. a) Ziffer iii) und der Klassen N2 und N3 gemäß Art. 4 Abs. 1 lit. b) Ziffer ii) und Ziffer iii) sowie deren Kombinationen mit Anhängern der Klassen O3 und O4 gemäß Art. 4 Abs. 1 lit. c) Ziffer iii) und Ziffer iv) der Verordnung (EU) 2018/858.</t>
  </si>
  <si>
    <t xml:space="preserve">ANF-740</t>
  </si>
  <si>
    <t xml:space="preserve">§ 4 (20)</t>
  </si>
  <si>
    <t xml:space="preserve">„E-Roaming-Plattform“: Plattform, die Marktteilnehmer, insbesondere Mobilitätsdienstleister und Ladepunktbetreiber, miteinander verbindet, um zwischen ihnen die Erbringung von Diensten, …</t>
  </si>
  <si>
    <t xml:space="preserve">„E-Roaming-Plattform“: Plattform, die Marktteilnehmer, insbesondere Mobilitätsdienstleister und Ladepunktbetreiber, miteinander verbindet, um zwischen ihnen die Erbringung von Diensten, einschließlich E-Roaming, zu ermöglichen.</t>
  </si>
  <si>
    <t xml:space="preserve">ANF-741</t>
  </si>
  <si>
    <t xml:space="preserve">§ 4 (21)</t>
  </si>
  <si>
    <t xml:space="preserve">„Fördermittel“: Finanzielle Zuwendung des Staates oder staatlicher Stellen einschließlich der EU zur Förderung von Ladeinfrastruktur.</t>
  </si>
  <si>
    <t xml:space="preserve">ANF-742</t>
  </si>
  <si>
    <t xml:space="preserve">§ 4 (22)</t>
  </si>
  <si>
    <t xml:space="preserve">„FStrG“: Das Bundesfernstraßengesetz in der Fassung der Bekanntmachung vom 28.</t>
  </si>
  <si>
    <t xml:space="preserve">„FStrG“: Das Bundesfernstraßengesetz in der Fassung der Bekanntmachung vom 28. Juni 2007 (BGBl. I S. 1206), zuletzt geändert durch Art. 1 des Gesetzes vom 22. Dezember 2023 (BGBI. 2023 I Nr. 409).</t>
  </si>
  <si>
    <t xml:space="preserve">ANF-743</t>
  </si>
  <si>
    <t xml:space="preserve">§ 4 (23)</t>
  </si>
  <si>
    <t xml:space="preserve">„Instandhaltung“: Sämtliche Maßnahmen zur Erhaltung des funktionsfähigen Zustandes der Ladeinfrastruktur oder der Rückführung in diesen während des Vertragszeitraums, insbesondere die für einen …</t>
  </si>
  <si>
    <t xml:space="preserve">„Instandhaltung“: Sämtliche Maßnahmen zur Erhaltung des funktionsfähigen Zustandes der Ladeinfrastruktur oder der Rückführung in diesen während des Vertragszeitraums, insbesondere die für einen ordnungsgemäßen Betrieb erforderlichen Unterhaltungs-, Reinigungs-, Wartungs-, Inspektion- und Instandsetzungsmaßnahmen sowie der Austausch von Komponenten und Kleinteilen.</t>
  </si>
  <si>
    <t xml:space="preserve">ANF-744</t>
  </si>
  <si>
    <t xml:space="preserve">§ 4 (24)</t>
  </si>
  <si>
    <t xml:space="preserve">„Kunde“: Endnutzer, der in einer vertraglichen Beziehung zu einem Mobilitätsdienstleister betreffend die Nutzung der Ladeinfrastruktur steht.</t>
  </si>
  <si>
    <t xml:space="preserve">ANF-745</t>
  </si>
  <si>
    <t xml:space="preserve">§ 4 (25)</t>
  </si>
  <si>
    <t xml:space="preserve">„Ladeeinrichtung“: Anlage, die über einen oder mehrere Ladepunkte verfügt.</t>
  </si>
  <si>
    <t xml:space="preserve">„Ladeeinrichtung“: Anlage, die über einen oder mehrere Ladepunkte verfügt. Zur Ladeeinrichtung gehören auch die für den Betrieb der Ladeeinrichtung notwendige Software, die untrennbarer Bestandteil der Ladeeinrichtung ist, das Front-End sowie auch die Kommunikationseinrichtungen, die der Anbindung an ein Back-End dienen. Das Back-End selbst wie der Netzanschluss und die elektrische Anlage sind nicht Bestandteil der Ladeeinrichtung.</t>
  </si>
  <si>
    <t xml:space="preserve">ANF-746</t>
  </si>
  <si>
    <t xml:space="preserve">§ 4 (26)</t>
  </si>
  <si>
    <t xml:space="preserve">„Ladeinfrastruktur“: Die Ladeeinrichtungen sowie sämtliche für den Ladevorgang erforderliche Anlagenteile, insbesondere das Lade-/Steuerungsgerät und das angeschlagene Kabel sowie eine …</t>
  </si>
  <si>
    <t xml:space="preserve">„Ladeinfrastruktur“: Die Ladeeinrichtungen sowie sämtliche für den Ladevorgang erforderliche Anlagenteile, insbesondere das Lade-/Steuerungsgerät und das angeschlagene Kabel sowie eine Übergabestation samt einem Transformator, wie in Abschnitt 4.12.1 der Vertragsanlage 4: Leistungsbeschreibung Errichtung beschrieben. Nicht zur Ladeinfrastruktur gehören sonstige bauliche Elemente wie z. B. Pfosten oder Schutzbügel.</t>
  </si>
  <si>
    <t xml:space="preserve">ANF-747</t>
  </si>
  <si>
    <t xml:space="preserve">§ 4 (27)</t>
  </si>
  <si>
    <t xml:space="preserve">„Ladepunkt“: Schnittstelle für die Übertragung von Strom auf einen E-Lkw (Laden) mit einer Nennladeleistung von mindestens 150 kW (DC) (CCS-Ladepunkt) zum Übernachtladen bzw. für das Zwischenladen …</t>
  </si>
  <si>
    <t xml:space="preserve">„Ladepunkt“: Schnittstelle für die Übertragung von Strom auf einen E-Lkw (Laden) mit einer Nennladeleistung von mindestens 150 kW (DC) (CCS-Ladepunkt) zum Übernachtladen bzw. für das Zwischenladen mit mindestens 400 kW (DC) (CCS-Ladepunkt) bzw. 1.000 kW (DC) (MCS-Ladepunkt).</t>
  </si>
  <si>
    <t xml:space="preserve">ANF-748</t>
  </si>
  <si>
    <t xml:space="preserve">§ 4 (28)</t>
  </si>
  <si>
    <t xml:space="preserve">„Ladepunktbetreiber“: Die für die Verwaltung und den Betrieb eines Ladepunktes zuständige Stelle, die Endnutzern einen Aufladedienst erbringt, auch im Namen und Auftrag eines Mobilitätsdienstleisters …</t>
  </si>
  <si>
    <t xml:space="preserve">„Ladepunktbetreiber“: Die für die Verwaltung und den Betrieb eines Ladepunktes zuständige Stelle, die Endnutzern einen Aufladedienst erbringt, auch im Namen und Auftrag eines Mobilitätsdienstleisters („Charge-Point-Operator“).</t>
  </si>
  <si>
    <t xml:space="preserve">ANF-749</t>
  </si>
  <si>
    <t xml:space="preserve">§ 4 (29)</t>
  </si>
  <si>
    <t xml:space="preserve">„Lieferant“: Betreffend die Belieferung mit Strom jede (juristische) Person i.</t>
  </si>
  <si>
    <t xml:space="preserve">„Lieferant“: Betreffend die Belieferung mit Strom jede (juristische) Person i. S. v. § 2 Nr. 5 Strom-NZV; im Übrigen ein sonstiger Lieferant des Auftragnehmers.</t>
  </si>
  <si>
    <t xml:space="preserve">ANF-750</t>
  </si>
  <si>
    <t xml:space="preserve">§ 4 (30)</t>
  </si>
  <si>
    <t xml:space="preserve">„MaBiS“: Marktregeln für die Durchführung der Bilanzkreisabrechnung Strom, gültig ab 04.04.2025, in der Fassung gemäß Festlegung BK6-24-174 (Beschluss vom 24.10.2024) der Bundesnetzagentur.</t>
  </si>
  <si>
    <t xml:space="preserve">ANF-751</t>
  </si>
  <si>
    <t xml:space="preserve">§ 4 (31)</t>
  </si>
  <si>
    <t xml:space="preserve">„MCS“: „Megawatt Charging System“ (Megawatt-Ladesystem), Ladepunkte einer Ladeleistung von mindestens 1.000 kW (DC).</t>
  </si>
  <si>
    <t xml:space="preserve">ANF-752</t>
  </si>
  <si>
    <t xml:space="preserve">§ 4 (32)</t>
  </si>
  <si>
    <t xml:space="preserve">„MCS-Ladepunkt“: Jede Anschlussmöglichkeit mit Fahrzeugkupplung des Typs MCS für einen E-Lkw an einer Ladeeinrichtung, die dem Ladevorgang dient und zur Abgabe einer Nennladeleistung von 1.000 kW …</t>
  </si>
  <si>
    <t xml:space="preserve">„MCS-Ladepunkt“: Jede Anschlussmöglichkeit mit Fahrzeugkupplung des Typs MCS für einen E-Lkw an einer Ladeeinrichtung, die dem Ladevorgang dient und zur Abgabe einer Nennladeleistung von 1.000 kW (DC) geeignet ist. Bei gemeinsam genutzten Leistungseinheiten und mehreren zeitgleichen Ladevorgängen muss die verfügbare Ladeleistung dauerhaft mindestens 800 kW (DC) pro Ladepunkt betragen.</t>
  </si>
  <si>
    <t xml:space="preserve">ANF-753</t>
  </si>
  <si>
    <t xml:space="preserve">§ 4 (33)</t>
  </si>
  <si>
    <t xml:space="preserve">„Mobilitätsdienstleister“: Jede juristische Person, die einem Endnutzer gegen Entgelt Dienstleistungen erbringt, einschließlich des Verkaufs von Auflade- oder Betankungsdiensten (englisch: …</t>
  </si>
  <si>
    <t xml:space="preserve">„Mobilitätsdienstleister“: Jede juristische Person, die einem Endnutzer gegen Entgelt Dienstleistungen erbringt, einschließlich des Verkaufs von Auflade- oder Betankungsdiensten (englisch: „e-mobility provider“ bzw. e-mobility service provider). Der Mobilitätsdienstleister kann selbst Endnutzer sein.</t>
  </si>
  <si>
    <t xml:space="preserve">ANF-754</t>
  </si>
  <si>
    <t xml:space="preserve">§ 4 (34)</t>
  </si>
  <si>
    <t xml:space="preserve">„Nahfeldkommunikation“: Ein auf RFID-Technik basierender Übertragungsstandard zum kontaktlosen Austausch von Daten per elektromagnetischer Induktion mittels loser gekoppelter Spulen über kurze …</t>
  </si>
  <si>
    <t xml:space="preserve">„Nahfeldkommunikation“: Ein auf RFID-Technik basierender Übertragungsstandard zum kontaktlosen Austausch von Daten per elektromagnetischer Induktion mittels loser gekoppelter Spulen über kurze Strecken von wenigen Zentimetern und einer Datenübertragungsrate von maximal 424 kBit/s (englisch: „near field communication“, abgekürzt NFC).</t>
  </si>
  <si>
    <t xml:space="preserve">ANF-755</t>
  </si>
  <si>
    <t xml:space="preserve">§ 4 (35)</t>
  </si>
  <si>
    <t xml:space="preserve">„Netzanschluss“: Die Verbindung des Elektrizitätsversorgungsnetzes der allgemeinen Versorgung mit der vom Auftraggeber genutzten elektrischen Anlage der Ladeinfrastruktur am Standort.</t>
  </si>
  <si>
    <t xml:space="preserve">„Netzanschluss“: Die Verbindung des Elektrizitätsversorgungsnetzes der allgemeinen Versorgung mit der vom Auftraggeber genutzten elektrischen Anlage der Ladeinfrastruktur am Standort. Er beginnt an der Abzweigstelle des Netzes und endet mit der Anschlusssicherung, soweit nicht im Netzanschlussvertrag eine andere Eigentumsgrenze definiert wurde. Eine Abgrenzung der Bestandteile des Netzanschlusses von der Ladeinfrastruktur ist in Abschnitt 4.12.1 der Vertragsanlage 4: Leistungsbeschreibung Errichtung enthalten</t>
  </si>
  <si>
    <t xml:space="preserve">ANF-756</t>
  </si>
  <si>
    <t xml:space="preserve">§ 4 (36)</t>
  </si>
  <si>
    <t xml:space="preserve">„Netzbetreiber“: Betreiber des einer Ladeeinrichtung vorgelagerten Elektrizitätsversorgungsnetzes der allgemeinen Versorgung.</t>
  </si>
  <si>
    <t xml:space="preserve">ANF-757</t>
  </si>
  <si>
    <t xml:space="preserve">§ 4 (37)</t>
  </si>
  <si>
    <t xml:space="preserve">„Öffentlicher Raum“: Öffentliche Straßen im Sinne des Bundesfernstraßengesetzes sowie der Landesstraßengesetze.</t>
  </si>
  <si>
    <t xml:space="preserve">ANF-758</t>
  </si>
  <si>
    <t xml:space="preserve">§ 4 (38)</t>
  </si>
  <si>
    <t xml:space="preserve">„Planfreigabe“: Die Freigabe von Plänen des Auftragnehmers durch den Auftraggeber 2 gemäß Abschnitt 3.1 (Planungs- und Freigabeprozess) der Vertragsanlage 4: Leistungsbeschreibung Errichtung.</t>
  </si>
  <si>
    <t xml:space="preserve">ANF-759</t>
  </si>
  <si>
    <t xml:space="preserve">§ 4 (39)</t>
  </si>
  <si>
    <t xml:space="preserve">„Punktuelles Aufladen“: vgl. „Ad-hoc-Laden“.</t>
  </si>
  <si>
    <t xml:space="preserve">ANF-760</t>
  </si>
  <si>
    <t xml:space="preserve">§ 4 (40)</t>
  </si>
  <si>
    <t xml:space="preserve">„QR-Code“: Quick-Response-Code, bezeichnet eine ISO/IEC-18004:2015-konforme Kodierung und Visualisierung von Daten.</t>
  </si>
  <si>
    <t xml:space="preserve">ANF-761</t>
  </si>
  <si>
    <t xml:space="preserve">§ 4 (42)</t>
  </si>
  <si>
    <t xml:space="preserve">„RFID-Karte“: Karte zur Identifizierung von Endnutzern einer Ladeeinrichtung mit Hilfe elektromagnetischer Wellen (englisch: „radio frequency identification“, abgekürzt RFID).</t>
  </si>
  <si>
    <t xml:space="preserve">Aplitronic / eRound</t>
  </si>
  <si>
    <t xml:space="preserve">ANF-762</t>
  </si>
  <si>
    <t xml:space="preserve">§ 4 (43)</t>
  </si>
  <si>
    <t xml:space="preserve">„Schaden“: Jede Substanzbeeinträchtigung einer Ladeeinrichtung unabhängig davon, ob sie die Funktionstüchtigkeit einer Ladeeinrichtung beeinträchtigt.</t>
  </si>
  <si>
    <t xml:space="preserve">ANF-763</t>
  </si>
  <si>
    <t xml:space="preserve">§ 4 (44)</t>
  </si>
  <si>
    <t xml:space="preserve">„Standort“: Unbewirtschaftete Rastanlage gemäß Vertragsanlage 2: Standorte, auf dem die Ladeinfrastruktur nach diesem Vertrag errichtet wird.</t>
  </si>
  <si>
    <t xml:space="preserve">ANF-764</t>
  </si>
  <si>
    <t xml:space="preserve">§ 4 (45)</t>
  </si>
  <si>
    <t xml:space="preserve">„Störung“: Die zumindest eingeschränkte Funktionstüchtigkeit einer Ladeeinrichtung.</t>
  </si>
  <si>
    <t xml:space="preserve">„Störung“: Die zumindest eingeschränkte Funktionstüchtigkeit einer Ladeeinrichtung. Die Funktionstüchtigkeit ist eingeschränkt, wenn die Ladeeinrichtung den vertraglichen Vorgaben nicht mehr entspricht.</t>
  </si>
  <si>
    <t xml:space="preserve">ANF-765</t>
  </si>
  <si>
    <t xml:space="preserve">§ 4 (46)</t>
  </si>
  <si>
    <t xml:space="preserve">„Technische Inbetriebnahme“: Die technische Inbetriebnahme der Ladeeinrichtung durch den Auftragnehmer.</t>
  </si>
  <si>
    <t xml:space="preserve">ANF-766</t>
  </si>
  <si>
    <t xml:space="preserve">§ 4 (47)</t>
  </si>
  <si>
    <t xml:space="preserve">„Telematisches Parken": Eine intelligente Technologie zur Steuerung und Optimierung von Parkplätzen, die Echtzeitdaten nutzt, um freie Plätze zu ermitteln und Fahrer zu leiten.</t>
  </si>
  <si>
    <t xml:space="preserve">ANF-767</t>
  </si>
  <si>
    <t xml:space="preserve">§ 4 (48)</t>
  </si>
  <si>
    <t xml:space="preserve">„Terminplan“: Der Rahmenterminplan und die Bauzeitenpläne, die vom Auftragnehmer unter Beachtung der Vorgaben in Vertragsanlage 4: Leistungsbeschreibung Errichtung erstellt und fortgeschrieben wurden …</t>
  </si>
  <si>
    <t xml:space="preserve">„Terminplan“: Der Rahmenterminplan und die Bauzeitenpläne, die vom Auftragnehmer unter Beachtung der Vorgaben in Vertragsanlage 4: Leistungsbeschreibung Errichtung erstellt und fortgeschrieben wurden und die gegebenenfalls nach Maßgabe des § 12 angepasst werden.</t>
  </si>
  <si>
    <t xml:space="preserve">ANF-768</t>
  </si>
  <si>
    <t xml:space="preserve">§ 4 (49)</t>
  </si>
  <si>
    <t xml:space="preserve">„Übernachtladen“: Ladeszenario, welches sich auf die gesetzlich vorgeschriebene tägliche, meist nächtliche Ruhepause von regelmäßig 11 Stunden plus einen Puffer von einer Stunde bezieht und eine der …</t>
  </si>
  <si>
    <t xml:space="preserve">„Übernachtladen“: Ladeszenario, welches sich auf die gesetzlich vorgeschriebene tägliche, meist nächtliche Ruhepause von regelmäßig 11 Stunden plus einen Puffer von einer Stunde bezieht und eine der Dauer entsprechende Anforderung an die Ladeleistung berücksichtigt. Werden MCS- und CCS-Ladepunkte zum Zwischenladen nach Maßgabe dieses Vertrags zum Übernachtladen freigegeben, gelten diese für den freigegebenen Zeitraum als Ladepunkte zum Übernachtladen.</t>
  </si>
  <si>
    <t xml:space="preserve">ANF-769</t>
  </si>
  <si>
    <t xml:space="preserve">§ 4 (50)</t>
  </si>
  <si>
    <t xml:space="preserve">„Umbau“: Jede bauliche Veränderung der Ladeeinrichtung; auch deren Versetzen.</t>
  </si>
  <si>
    <t xml:space="preserve">ANF-770</t>
  </si>
  <si>
    <t xml:space="preserve">§ 4 (51)</t>
  </si>
  <si>
    <t xml:space="preserve">„Vertragsjahr“: Jeweils ein Zeitraum von zwölf vollen Monaten, wobei das erste Vertragsjahr mit dem Tage beginnt, der auf die Zuschlagserteilung folgt.</t>
  </si>
  <si>
    <t xml:space="preserve">ANF-771</t>
  </si>
  <si>
    <t xml:space="preserve">„Werktag“: Tage von Montag bis Samstag, sofern diese nicht auf einen bundeseinheitlichen gesetzlich geregelten Feiertag fallen.</t>
  </si>
  <si>
    <t xml:space="preserve">Kapitel: Begriffsbestimmungen
Fundstelle im PDF: Seite 7
Fundstelle im Bestand bereits belegt, Text weicht ab – bitte gegen die alte Zeile prüfen
Zuordnung prüfen (Komponente/Partner nicht eindeutig)</t>
  </si>
  <si>
    <t xml:space="preserve">ANF-772</t>
  </si>
  <si>
    <t xml:space="preserve">§ 4 (53)</t>
  </si>
  <si>
    <t xml:space="preserve">„Zwischenladen“: Ladeszenario, welches sich auf die gesetzlich vorgeschriebene Lenkpause von 45 Minuten plus einen Zeitpuffer von 15 Minuten nach 4,5 Stunden Lenkzeit bezieht und eine der Dauer …</t>
  </si>
  <si>
    <t xml:space="preserve">„Zwischenladen“: Ladeszenario, welches sich auf die gesetzlich vorgeschriebene Lenkpause von 45 Minuten plus einen Zeitpuffer von 15 Minuten nach 4,5 Stunden Lenkzeit bezieht und eine der Dauer entsprechende Anforderung an die Ladeleistung berücksichtigt.</t>
  </si>
  <si>
    <t xml:space="preserve">ANF-773</t>
  </si>
  <si>
    <t xml:space="preserve">§ 5</t>
  </si>
  <si>
    <t xml:space="preserve">Die Errichtung und der Betrieb der Ladeinfrastruktur nach diesem Vertrag erfolgen an den durch die Vertragsanlage 2: Standorte definierten Standorten und gegebenenfalls an vom Auftraggeber 2 nach § …</t>
  </si>
  <si>
    <t xml:space="preserve">Die Errichtung und der Betrieb der Ladeinfrastruktur nach diesem Vertrag erfolgen an den durch die Vertragsanlage 2: Standorte definierten Standorten und gegebenenfalls an vom Auftraggeber 2 nach § 17 Abs. 1 benannten Ersatzstandorten. ABSCHNITT 2 PLANUNG, ERRICHTUNG UND BETRIEBSFREIGABE</t>
  </si>
  <si>
    <t xml:space="preserve">Kapitel: Standorte
Fundstelle im PDF: Seite 10</t>
  </si>
  <si>
    <t xml:space="preserve">ANF-774</t>
  </si>
  <si>
    <t xml:space="preserve">§ 6 (1)</t>
  </si>
  <si>
    <t xml:space="preserve">Der Auftragnehmer ist verpflichtet, sämtliche für die Errichtung, den Betrieb und die Erhaltung der Ladeinfrastruktur notwendigen Planungsleistungen zu erbringen.</t>
  </si>
  <si>
    <t xml:space="preserve">Kapitel: Planungsleistungen, Planfreigabe, Baufreigabe
Fundstelle im PDF: Seite 10</t>
  </si>
  <si>
    <t xml:space="preserve">ANF-775</t>
  </si>
  <si>
    <t xml:space="preserve">§ 6 (2)</t>
  </si>
  <si>
    <t xml:space="preserve">Dem Auftragnehmer obliegt die Ermittlung der Planungsgrundlagen, wie in Vertragsanlage 4: Leistungsbeschreibung Errichtung dargelegt.</t>
  </si>
  <si>
    <t xml:space="preserve">Dem Auftragnehmer obliegt die Ermittlung der Planungsgrundlagen, wie in Vertragsanlage 4: Leistungsbeschreibung Errichtung dargelegt. Die vom Auftraggeber 2 im Rahmen des Vergabeverfahrens zur Verfügung gestellten Unterlagen stellen einen unverbindlichen Planungsbeitrag des Auftraggebers 2 dar. Der Auftraggeber 2 übernimmt für die Vollständigkeit und Richtigkeit dieser Unterlagen keine Gewähr.</t>
  </si>
  <si>
    <t xml:space="preserve">ANF-776</t>
  </si>
  <si>
    <t xml:space="preserve">§ 6 (3)</t>
  </si>
  <si>
    <t xml:space="preserve">Die vom Auftragnehmer zu erstellenden Pläne bedürfen der Freigabe durch den Auftraggeber 2.</t>
  </si>
  <si>
    <t xml:space="preserve">Die vom Auftragnehmer zu erstellenden Pläne bedürfen der Freigabe durch den Auftraggeber 2. Eine Darstellung des Planungsablaufes einschließlich Planabstimmung, Einbindung verschiedener Beteiligter, Planprüfung und Planfreigabe ist in Vertragsanlage 4: Leistungsbeschreibung Errichtung enthalten.</t>
  </si>
  <si>
    <t xml:space="preserve">ANF-777</t>
  </si>
  <si>
    <t xml:space="preserve">§ 6 (4)</t>
  </si>
  <si>
    <t xml:space="preserve">Der Auftragnehmer ist verpflichtet, das in seinem Angebot enthaltene Errichtungskonzept in Abstimmung mit dem Auftraggeber 2 zu konkretisieren und bei der Erbringung seiner Planungs- und …</t>
  </si>
  <si>
    <t xml:space="preserve">Der Auftragnehmer ist verpflichtet, das in seinem Angebot enthaltene Errichtungskonzept in Abstimmung mit dem Auftraggeber 2 zu konkretisieren und bei der Erbringung seiner Planungs- und Bauleistungen nach diesem Vertrag umzusetzen.</t>
  </si>
  <si>
    <t xml:space="preserve">ANF-778</t>
  </si>
  <si>
    <t xml:space="preserve">§ 6 (5)</t>
  </si>
  <si>
    <t xml:space="preserve">Auf der Grundlage der vom Auftragnehmer einzureichenden standortspezifischen Unterlagen für den Antrag auf Erteilung der Baufreigabe (Vertragsanlage 4: Leistungsbeschreibung Errichtung) erteilt die …</t>
  </si>
  <si>
    <t xml:space="preserve">Auf der Grundlage der vom Auftragnehmer einzureichenden standortspezifischen Unterlagen für den Antrag auf Erteilung der Baufreigabe (Vertragsanlage 4: Leistungsbeschreibung Errichtung) erteilt die zuständige Niederlassung des Auftraggebers 2 die Baufreigabe, falls alle Voraussetzungen erfüllt sind. Die Erteilung der Baufreigabe ist Voraussetzung dafür, dass der Auftragnehmer mit der Ausführung von Errichtungsleistungen beginnen kann.</t>
  </si>
  <si>
    <t xml:space="preserve">ANF-779</t>
  </si>
  <si>
    <t xml:space="preserve">§ 7 (1)</t>
  </si>
  <si>
    <t xml:space="preserve">Der Auftragnehmer ist verpflichtet, MCS- und CCS-Ladepunkte in der in Vertragsanlage 2: Standorte für den jeweiligen Standort genannten Zahl und mit den genannten Nennladeleistungen zu errichten.</t>
  </si>
  <si>
    <t xml:space="preserve">Kapitel: Errichtungsverpflichtungen; Risiken aus Bodenbelastungen
Fundstelle im PDF: Seite 11
Zuordnung prüfen (Komponente/Partner nicht eindeutig)</t>
  </si>
  <si>
    <t xml:space="preserve">ANF-780</t>
  </si>
  <si>
    <t xml:space="preserve">§ 7 (2)</t>
  </si>
  <si>
    <t xml:space="preserve">Der Auftragnehmer ist verpflichtet, alle Leistungen zu erbringen, die zur mangelfreien Herstellung der Ladeinfrastruktur erforderlich sind.</t>
  </si>
  <si>
    <t xml:space="preserve">Der Auftragnehmer ist verpflichtet, alle Leistungen zu erbringen, die zur mangelfreien Herstellung der Ladeinfrastruktur erforderlich sind. Dies umfasst diejenigen Anforderungen an die Ladeinfrastruktur nach § 8, an die Kennzeichnung nach § 9 und die Stellplätze nach § 10, die sich auf die Errichtung beziehen, sowie die Leistungen, die nach der Vertragsanlage 4: Leistungsbeschreibung Errichtung vom Auftragnehmer mit Blick auf die Verbindung der Ladeinfrastruktur mit dem öffentlichen Netz (definierte Schnittstelle zum Netzanschluss) oder die Einbindung eines die Netzanschlusskapazität ersetzenden Speichers zu erbringen sind.</t>
  </si>
  <si>
    <t xml:space="preserve">Kapitel: Errichtungsverpflichtungen; Risiken aus Bodenbelastungen
Fundstelle im PDF: Seite 11</t>
  </si>
  <si>
    <t xml:space="preserve">ANF-781</t>
  </si>
  <si>
    <t xml:space="preserve">§ 7 (3)</t>
  </si>
  <si>
    <t xml:space="preserve">Erfasst sind in diesem Vertrag und seinen Vertragsanlagen auch nicht ausdrücklich erwähnte Leistungen, sofern sie erforderlich sind, um eine technisch betriebsbereite Ladeinfrastruktur errichten und …</t>
  </si>
  <si>
    <t xml:space="preserve">Erfasst sind in diesem Vertrag und seinen Vertragsanlagen auch nicht ausdrücklich erwähnte Leistungen, sofern sie erforderlich sind, um eine technisch betriebsbereite Ladeinfrastruktur errichten und betreiben zu können. Diese sind so zu erbringen, dass sie sich für die gewöhnliche Verwendung eignen und eine Beschaffenheit aufweisen, die bei Werken der gleichen Art üblich ist und die die Auftraggeber nach Art und Umfang der Leistung erwarten kann.</t>
  </si>
  <si>
    <t xml:space="preserve">ANF-782</t>
  </si>
  <si>
    <t xml:space="preserve">§ 7 (4)</t>
  </si>
  <si>
    <t xml:space="preserve">An den Standorten ist eine Nutzung der errichteten Ladeinfrastruktur für andere Fahrzeuge als E-Lkw nicht gestattet.</t>
  </si>
  <si>
    <t xml:space="preserve">ANF-783</t>
  </si>
  <si>
    <t xml:space="preserve">§ 7 (5)</t>
  </si>
  <si>
    <t xml:space="preserve">Der Auftragnehmer hat als Teil des von der Vergütungsabrede umfassten Leistungsumfangs im Hinblick auf die Entwässerungs- und Abwassereinrichtungen die in Abschnitt 4.11.2 der Vertragsanlage 4: …</t>
  </si>
  <si>
    <t xml:space="preserve">Der Auftragnehmer hat als Teil des von der Vergütungsabrede umfassten Leistungsumfangs im Hinblick auf die Entwässerungs- und Abwassereinrichtungen die in Abschnitt 4.11.2 der Vertragsanlage 4: Leistungsbeschreibung Errichtung aufgeführten Leistungen zu erbringen. Weitergehende Leistungen kann der Auftraggeber 2 vom Auftragnehmer nach den Bestimmungen über geänderte oder zusätzliche Leistungen gemäß § 40 verlangen, für die Vergütung des Auftragnehmers gilt § 40 Abs. 2.</t>
  </si>
  <si>
    <t xml:space="preserve">ANF-784</t>
  </si>
  <si>
    <t xml:space="preserve">§ 7 (6)</t>
  </si>
  <si>
    <t xml:space="preserve">Hinsichtlich solcher Standorte, die gemäß entsprechender Kennzeichnung in Vertragsanlage 3: Angaben und Informationen zu den einzelnen Standorten bei Vertragsbeginn noch keinen oder keinen …</t>
  </si>
  <si>
    <t xml:space="preserve">Hinsichtlich solcher Standorte, die gemäß entsprechender Kennzeichnung in Vertragsanlage 3: Angaben und Informationen zu den einzelnen Standorten bei Vertragsbeginn noch keinen oder keinen ausreichenden Netzanschluss aufweisen, wird der Auftraggeber 2 alle erforderlichen Handlungen und Maßnahmen vornehmen oder veranlassen, damit die Ladeinfrastruktur am Standort in Übereinstimmung mit den öffentlich zugänglichen technischen Anschlussbedingungen des jeweiligen Netzbetreibers an das Netz angeschlossen werden kann (Schaffung der technischen Schnittstelle zum Netzbetreiber).</t>
  </si>
  <si>
    <t xml:space="preserve">ANF-785</t>
  </si>
  <si>
    <t xml:space="preserve">§ 7 (7)</t>
  </si>
  <si>
    <t xml:space="preserve">Vom Netzbetreiber nicht bereitgestellte Netzanschlusskapazität kann durch den Betrieb von Speichern ersetzt werden (vgl.</t>
  </si>
  <si>
    <t xml:space="preserve">Vom Netzbetreiber nicht bereitgestellte Netzanschlusskapazität kann durch den Betrieb von Speichern ersetzt werden (vgl. Vertragsanlage 5: Details zum Netzanschluss). Bei nicht ausreichender Netzanschlusskapazität sind die Vorgaben zur Bereitstellung geringerer Ladeleistung (vgl. § 15) und zur Reduzierung der Anzahl der Ladepunkte (vgl. § 16) zu beachten.</t>
  </si>
  <si>
    <t xml:space="preserve">ANF-786</t>
  </si>
  <si>
    <t xml:space="preserve">§ 7 (8)</t>
  </si>
  <si>
    <t xml:space="preserve">Die Beauftragung des Netzanschlusses sowie die Tragung der Errichtungs- und Bereitstellungskosten für die Netzanschlüsse erfolgt durch den Auftraggeber 2.</t>
  </si>
  <si>
    <t xml:space="preserve">Die Beauftragung des Netzanschlusses sowie die Tragung der Errichtungs- und Bereitstellungskosten für die Netzanschlüsse erfolgt durch den Auftraggeber 2. Der Auftraggeber 2 schließt die für den Netzanschluss erforderlichen Vereinbarungen mit den Netzbetreibern. Die Kostentragung für gegebenenfalls – vorübergehend – erforderliche Speicher erfolgt nach Maßgabe von § 49.</t>
  </si>
  <si>
    <t xml:space="preserve">ANF-787</t>
  </si>
  <si>
    <t xml:space="preserve">§ 7 (9)</t>
  </si>
  <si>
    <t xml:space="preserve">Die Errichtung der Ladeinfrastruktur hat so zu erfolgen, dass der Verkehr auf den Bundesautobahnen, an der die jeweilige unbewirtschaftete Rastanlage gelegen ist, sowie auf der Rastanlage selbst …</t>
  </si>
  <si>
    <t xml:space="preserve">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</si>
  <si>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ANF-788</t>
  </si>
  <si>
    <t xml:space="preserve">§ 7 (10)</t>
  </si>
  <si>
    <t xml:space="preserve">Dem Auftragnehmer obliegt die Wahl geeigneter Gründungen für die Errichtung der Ladeinfrastruktur.</t>
  </si>
  <si>
    <t xml:space="preserve">Dem Auftragnehmer obliegt die Wahl geeigneter Gründungen für die Errichtung der Ladeinfrastruktur. Mit Blick auf die Risikotragung hinsichtlich unbekannter Bodenverhältnisse gilt im Übrigen Folgendes: Die Auftraggeber tragen das Risiko des Vorhandenseins von Denkmälern oder Kampfmitteln. Das Risiko des Vorhandenseins von Schadstoffbelastungen des Bodens und von Ausbaustoffen trägt der Auftragnehmer in dem in Vertragsanlage 4: Leistungsbeschreibung Errichtung beschriebenen Umfang, im Übrigen die Auftraggeber. Demgemäß kann der Auftragnehmer, wenn Bodenmaterialien und Ausbaustoffe die Materialklasse 2 der ErsatzbaustoffV bzw. die LAGA Klassifizierung Z2 überschreiten oder dem gefährlichen Abfall zuzuordnen sind, diejenigen Kosten als tatsächlich erforderliche Kosten geltend machen, die über die Kosten einer ordnungsgemäßen Verwertung oder Entsorgung von Bodenmaterialien und Ausbaustoffen der Materialklasse 2 hinausgehen.</t>
  </si>
  <si>
    <t xml:space="preserve">ANF-789</t>
  </si>
  <si>
    <t xml:space="preserve">Der Auftragnehmer errichtet MCS- und CCS-Ladepunkte zum Zwischenladen mit einer Nennladeleistung von jeweils mindestens 400 kW für CCS-Ladepunkte und 1.000 kW für MCS-Ladepunkte entsprechend den …</t>
  </si>
  <si>
    <t xml:space="preserve">Der Auftragnehmer errichtet MCS- und CCS-Ladepunkte zum Zwischenladen mit einer Nennladeleistung von jeweils mindestens 400 kW für CCS-Ladepunkte und 1.000 kW für MCS-Ladepunkte entsprechend den Vorgaben der Vertragsanlage 6: Anforderungen an die Ladeinfrastruktur.</t>
  </si>
  <si>
    <t xml:space="preserve">Kapitel: Technische Anforderungen an die Ladeinfrastruktur
Fundstelle im PDF: Seite 12
Zuordnung prüfen (Komponente/Partner nicht eindeutig)</t>
  </si>
  <si>
    <t xml:space="preserve">ANF-790</t>
  </si>
  <si>
    <t xml:space="preserve">§ 8 (2)</t>
  </si>
  <si>
    <t xml:space="preserve">Der Auftragnehmer ist verpflichtet, die Ladeeinrichtungen gemäß den bei Errichtung geltenden gesetzlichen und untergesetzlichen Vorgaben sowie den anerkannten Regeln der Technik zu errichten.</t>
  </si>
  <si>
    <t xml:space="preserve">Der Auftragnehmer ist verpflichtet, die Ladeeinrichtungen gemäß den bei Errichtung geltenden gesetzlichen und untergesetzlichen Vorgaben sowie den anerkannten Regeln der Technik zu errichten. Dazu zählen neben den einschlägigen technischen Vorgaben insbesondere auch die der AFIR, die der mess- und eichrechtlichen Bestimmungen sowie der Preisangabenverordnung, jeweils in ihrer aktuell gültigen Fassung. Ändern sich die anerkannten Regeln der Technik bzw. anzuwendenden Vorgaben und Bestimmungen nach Vertragsschluss, so ist § 41 anzuwenden.</t>
  </si>
  <si>
    <t xml:space="preserve">Kapitel: Technische Anforderungen an die Ladeinfrastruktur
Fundstelle im PDF: Seite 12</t>
  </si>
  <si>
    <t xml:space="preserve">ANF-791</t>
  </si>
  <si>
    <t xml:space="preserve">§ 8 (3)</t>
  </si>
  <si>
    <t xml:space="preserve">Die Pflicht zur Errichtung von MCS-Ladepunkten besteht nicht, solange eine eichrechtskonforme Errichtung von MCS-Ladepunkten mangels verfügbarer Technik nicht möglich ist.</t>
  </si>
  <si>
    <t xml:space="preserve">Die Pflicht zur Errichtung von MCS-Ladepunkten besteht nicht, solange eine eichrechtskonforme Errichtung von MCS-Ladepunkten mangels verfügbarer Technik nicht möglich ist. Eichrechtskonforme Ladepunkte gelten erst dann als verfügbar, wenn mindestens vier Hersteller solche anbieten. Soweit 18 Monate nach Zuschlagserteilung mindestens ein, jedoch weniger als vier Hersteller eichrechtskonforme MCS-Ladepunkte anbieten, ist der Auftragnehmer auf Aufforderung des Auftraggebers 2 verpflichtet, eichrechtskonforme MCS-Ladepunkte zu errichten. Hinsichtlich der technischen Inbetriebnahme der Ladeinfrastruktur gilt § 13 Abs. 7.</t>
  </si>
  <si>
    <t xml:space="preserve">ANF-792</t>
  </si>
  <si>
    <t xml:space="preserve">§ 8 (4)</t>
  </si>
  <si>
    <t xml:space="preserve">Weitere Vorgaben an die Ladeeinrichtungen ergeben sich aus Vertragsanlage 6: Anforderungen an die Ladeinfrastruktur, weitere Vorgaben für die sonstigen Einrichtungen, die Teil der Ladeinfrastruktur …</t>
  </si>
  <si>
    <t xml:space="preserve">Weitere Vorgaben an die Ladeeinrichtungen ergeben sich aus Vertragsanlage 6: Anforderungen an die Ladeinfrastruktur, weitere Vorgaben für die sonstigen Einrichtungen, die Teil der Ladeinfrastruktur sind, ergeben sich aus Vertragsanlage 4: Leistungsbeschreibung Errichtung.</t>
  </si>
  <si>
    <t xml:space="preserve">ANF-793</t>
  </si>
  <si>
    <t xml:space="preserve">Der Auftragnehmer ist verpflichtet, alle Ladeeinrichtungen mit einer Kennzeichnung in Form eines Firmen-Signets des Auftragnehmers zu versehen.</t>
  </si>
  <si>
    <t xml:space="preserve">Der Auftragnehmer ist verpflichtet, alle Ladeeinrichtungen mit einer Kennzeichnung in Form eines Firmen-Signets des Auftragnehmers zu versehen. Daneben ist ein üblicher – dezenter – Herstellerhinweis sowie ein Co-Branding für einen Standortpartner zulässig. Die Größe dieser weiteren Kennzeichnungen darf die Größe des Firmen-Signets nicht überschreiten.</t>
  </si>
  <si>
    <t xml:space="preserve">Kapitel: Kennzeichnung von bzw. Informationen an der Ladeeinrichtung
Fundstelle im PDF: Seite 12</t>
  </si>
  <si>
    <t xml:space="preserve">ANF-794</t>
  </si>
  <si>
    <t xml:space="preserve">An der Ladeeinrichtung sind in Abstimmung mit dem Auftraggeber 2 an mindestens zwei Stellen die in der Vertragsanlage 7: Logos aufgeführten Logos anzubringen.</t>
  </si>
  <si>
    <t xml:space="preserve">An der Ladeeinrichtung sind in Abstimmung mit dem Auftraggeber 2 an mindestens zwei Stellen die in der Vertragsanlage 7: Logos aufgeführten Logos anzubringen. Die anzubringenden Logos werden dem Auftragnehmer innerhalb von zwölf Wochen nach Zuschlagserteilung zur Verfügung gestellt und dann als Vertragsanlage 7: Logos zum Vertrag genommen.</t>
  </si>
  <si>
    <t xml:space="preserve">ANF-795</t>
  </si>
  <si>
    <t xml:space="preserve">§ 9 (3)</t>
  </si>
  <si>
    <t xml:space="preserve">Im Übrigen ist jede Werbung an der Ladeinfrastruktur oder am Standort unzulässig.</t>
  </si>
  <si>
    <t xml:space="preserve">Im Übrigen ist jede Werbung an der Ladeinfrastruktur oder am Standort unzulässig. Dies gilt nicht für das Display der Ladeeinrichtungen sowie für eine sich aus der Anbindung an eine E-Roaming-Plattform ergebende Kennzeichnungspflicht an der Ladeeinrichtung.</t>
  </si>
  <si>
    <t xml:space="preserve">Aplitronic / eRound / SCS</t>
  </si>
  <si>
    <t xml:space="preserve">ANF-796</t>
  </si>
  <si>
    <t xml:space="preserve">§ 9 (4)</t>
  </si>
  <si>
    <t xml:space="preserve">Die Telefonnummer der technischen Hotline gemäß § 26 ist aus unmittelbarer Nähe gut sichtbar an der Vorderseite oder den Seitenflächen der Ladeeinrichtung kenntlich zu machen.</t>
  </si>
  <si>
    <t xml:space="preserve">ANF-797</t>
  </si>
  <si>
    <t xml:space="preserve">§ 9 (5)</t>
  </si>
  <si>
    <t xml:space="preserve">Eine allgemeinverständliche graphische Darstellung muss den Gebrauch der Ladeeinrichtung für Endnutzer erläutern.</t>
  </si>
  <si>
    <t xml:space="preserve">ANF-798</t>
  </si>
  <si>
    <t xml:space="preserve">§ 9 (7)</t>
  </si>
  <si>
    <t xml:space="preserve">Abweichungen von vorstehenden Vorgaben bedürfen der vorherigen schriftlichen Zustimmung des Auftraggebers 2.</t>
  </si>
  <si>
    <t xml:space="preserve">ANF-799</t>
  </si>
  <si>
    <t xml:space="preserve">Für jeden Ladepunkt muss ein Park- bzw. Stellplatz (Ladeplatz) zur Verfügung stehen, der durch entsprechende Beschilderung1 das Parken von E-Lkw während des Ladevorganges gestattet.</t>
  </si>
  <si>
    <t xml:space="preserve">Für jeden Ladepunkt muss ein Park- bzw. Stellplatz (Ladeplatz) zur Verfügung stehen, der durch entsprechende Beschilderung1 das Parken von E-Lkw während des Ladevorganges gestattet. Der Auftragnehmer ist verpflichtet, notwendige bauliche Anpassungen in dem erforderlichen Umfang durchzuführen. Die Vorgaben der Vertragsanlage 4: Leistungsbeschreibung Errichtung sind einzuhalten.</t>
  </si>
  <si>
    <t xml:space="preserve">Kapitel: Einrichtung von Stellplätzen
Fundstelle im PDF: Seite 13</t>
  </si>
  <si>
    <t xml:space="preserve">ANF-800</t>
  </si>
  <si>
    <t xml:space="preserve">Der Auftragnehmer ist verpflichtet, bei der zuständigen Behörde die verkehrsrechtlichen Anordnungen der Beschilderung der Stellplätze zu veranlassen und die Beschilderung vorzunehmen.</t>
  </si>
  <si>
    <t xml:space="preserve">ANF-801</t>
  </si>
  <si>
    <t xml:space="preserve">§ 11 (1)</t>
  </si>
  <si>
    <t xml:space="preserve">Der Auftragnehmer ist verpflichtet, rechtzeitig die erforderlichen Planungsleistungen zu erbringen, die jeweils notwendigen Genehmigungen, Freigaben und Erlaubnisse zu beantragen und die notwendigen …</t>
  </si>
  <si>
    <t xml:space="preserve">Der Auftragnehmer ist verpflichtet, rechtzeitig die erforderlichen Planungsleistungen zu erbringen, die jeweils notwendigen Genehmigungen, Freigaben und Erlaubnisse zu beantragen und die notwendigen Anmeldungen vorzunehmen, sodass diese zu einem Zeitpunkt vorliegen, der eine fristgerechte Errichtung, technische Inbetriebnahme, Abnahme und Betriebsfreigabe der Ladeeinrichtungen ermöglicht.</t>
  </si>
  <si>
    <t xml:space="preserve">Kapitel: Errichtungsfristen, baubezogene Mitteilungspflichten
Fundstelle im PDF: Seite 13</t>
  </si>
  <si>
    <t xml:space="preserve">ANF-802</t>
  </si>
  <si>
    <t xml:space="preserve">§ 11 (2)</t>
  </si>
  <si>
    <t xml:space="preserve">Der Rahmenterminplan und die Standortterminpläne (künftige Vertragsanlage 8: Terminplan) sind vom Auftragnehmer nach Vertragsschluss unter Beachtung der Vorgaben der Vertragsanlage 4: …</t>
  </si>
  <si>
    <t xml:space="preserve">Der Rahmenterminplan und die Standortterminpläne (künftige Vertragsanlage 8: Terminplan) sind vom Auftragnehmer nach Vertragsschluss unter Beachtung der Vorgaben der Vertragsanlage 4: Leistungsbeschreibung Errichtung zu erstellen.</t>
  </si>
  <si>
    <t xml:space="preserve">ANF-803</t>
  </si>
  <si>
    <t xml:space="preserve">§ 11 (3)</t>
  </si>
  <si>
    <t xml:space="preserve">Der Auftragnehmer ist verpflichtet, für jeden Standort die für die Baufreigabe erforderlichen Unterlagen, die in Vertragsanlage 4: Leistungsbeschreibung Errichtung aufgeführt sind, bis zu dem für den …</t>
  </si>
  <si>
    <t xml:space="preserve">Der Auftragnehmer ist verpflichtet, für jeden Standort die für die Baufreigabe erforderlichen Unterlagen, die in Vertragsanlage 4: Leistungsbeschreibung Errichtung aufgeführt sind, bis zu dem für den Standort im Rahmenterminplan (Vertragsanlage 8: Terminplan) genannten verbindlichen Vertragstermin bei den in der Vertragsanlage 2: Standorte für den jeweiligen Standort benannten Niederlassung des Auftraggebers 2 einzureichen.</t>
  </si>
  <si>
    <t xml:space="preserve">ANF-804</t>
  </si>
  <si>
    <t xml:space="preserve">§ 11 (4)</t>
  </si>
  <si>
    <t xml:space="preserve">Der Auftragnehmer ist verpflichtet, die Errichtungsleistungen so zu erbringen, dass die Abnahme der Bauleistungen durch den Auftraggeber 2 bis zu dem für den jeweiligen Standort im Rahmenterminplan …</t>
  </si>
  <si>
    <t xml:space="preserve">Der Auftragnehmer ist verpflichtet, die Errichtungsleistungen so zu erbringen, dass die Abnahme der Bauleistungen durch den Auftraggeber 2 bis zu dem für den jeweiligen Standort im Rahmenterminplan (Vertragsanlage 8: Terminplan) vorgesehenen Meilenstein für die Abnahme möglich ist. Die in § 13 Abs. 2 und 3 sowie in Abschnitt 2.2 der Vertragsanlage 4: Leistungsbeschreibung Errichtung vorgesehenen verbindlichen Vertragstermine für die Einreichung des Antrags auf Baufreigabe und die Baufreigabe, jeweils einschließlich Ausführungs-, Werk- und Montageplanung, sowie die Einreichung des Antrags auf Betriebsfreigabe sowie die Betriebsfreigabe sind einzuhalten. Dies gilt nicht, wenn und soweit der Auftragnehmer die Nichteinhaltung eines der vorgenannten verbindlichen Vertragstermine nicht zu vertreten hat.</t>
  </si>
  <si>
    <t xml:space="preserve">ANF-805</t>
  </si>
  <si>
    <t xml:space="preserve">§ 11 (5)</t>
  </si>
  <si>
    <t xml:space="preserve">Im Hinblick auf die Beantragung und Erlangung der Betriebsfreigabe gilt § 13 Abs.</t>
  </si>
  <si>
    <t xml:space="preserve">Im Hinblick auf die Beantragung und Erlangung der Betriebsfreigabe gilt § 13 Abs. 5 und 6. gemäß den Vorgaben der Vertragsanlage 4: Leistungsbeschreibung Errichtung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 Soweit für einzelne Standorte in der Vertragsanlage 5: Details zum Netzanschluss für einen Standort kein voraussichtlicher Zeitpunkt der Inbetriebnahme angegeben wird, ist für die Erstellung der Rahmenterminpläne davon auszugehen, dass die Inbetriebnahme des Standortes im Kalenderjahr 2030 mit der in der Spalte „Startleistung 2026“ genannten Leistung möglich ist. Der Auftragnehmer ist verpflichtet, den Antrag auf Betriebsfreigabe so rechtzeitig einzureichen, dass bei Einhaltung der Regelbearbeitungsfrist von sechs Wochen (Abschnitt 2.2.1 der Vertragsanlage 4: Leistungsbeschreibung Errichtung) mit fristgerechter Erteilung der Betriebsfreigabe gerechnet werden kann.</t>
  </si>
  <si>
    <t xml:space="preserve">ANF-806</t>
  </si>
  <si>
    <t xml:space="preserve">§ 11 (6)</t>
  </si>
  <si>
    <t xml:space="preserve">Soweit die Erteilung der Baufreigabe länger als sechs Monate (nach Antrag auf Erteilung gemäß § 6 Abs.</t>
  </si>
  <si>
    <t xml:space="preserve">Soweit die Erteilung der Baufreigabe länger als sechs Monate (nach Antrag auf Erteilung gemäß § 6 Abs. 5) dauert, ist dies dem Auftraggeber 2 unverzüglich in Textform anzuzeigen. Die Anzeige 1 Die entsprechenden rechtlichen Grundlagen sollen bis zum Aufbau der Ladeinfrastruktur geschaffen werden. Für die Angebotsabgabe ist davon auszugehen, dass die Einrichtung eines Park- bzw. Stellplatzes mit entsprechender Beschilderung rechtlich zulässig ist. ist gegebenenfalls nach (jeweils) weiteren drei Monaten unter Hinweis auf die in der Zwischenzeit ergriffenen Maßnahmen zu wiederholen.</t>
  </si>
  <si>
    <t xml:space="preserve">ANF-807</t>
  </si>
  <si>
    <t xml:space="preserve">§ 12 (1)</t>
  </si>
  <si>
    <t xml:space="preserve">Der Rahmenterminplan und die Standortterminpläne sind vom Auftragnehmer gemäß den Regelungen dieser Vertragsanlage als SOLL- und IST-Terminpläne zu führen, fortzuschreiben und dem Auftraggeber 2 …</t>
  </si>
  <si>
    <t xml:space="preserve">Der Rahmenterminplan und die Standortterminpläne sind vom Auftragnehmer gemäß den Regelungen dieser Vertragsanlage als SOLL- und IST-Terminpläne zu führen, fortzuschreiben und dem Auftraggeber 2 vorzulegen.</t>
  </si>
  <si>
    <t xml:space="preserve">Kapitel: Anpassung des Terminplans
Fundstelle im PDF: Seite 14</t>
  </si>
  <si>
    <t xml:space="preserve">ANF-808</t>
  </si>
  <si>
    <t xml:space="preserve">§ 12 (2)</t>
  </si>
  <si>
    <t xml:space="preserve">Eine Anpassung des Rahmenterminplans und der im Rahmenterminplan enthaltenen verbindlichen Vertragstermine setzt einen entsprechenden Anspruch des Auftragnehmers voraus.</t>
  </si>
  <si>
    <t xml:space="preserve">Eine Anpassung des Rahmenterminplans und der im Rahmenterminplan enthaltenen verbindlichen Vertragstermine setzt einen entsprechenden Anspruch des Auftragnehmers voraus. Der Auftragnehmer hat neben weiteren im Vertrag ausdrücklich genannten Fällen auch dann einen Anspruch auf Anpassung, wenn und soweit</t>
  </si>
  <si>
    <t xml:space="preserve">ANF-809</t>
  </si>
  <si>
    <t xml:space="preserve">§ 12 (2) a</t>
  </si>
  <si>
    <t xml:space="preserve">eine Verzögerung von den Auftraggebern zu vertreten ist oder ein Ereignis eintritt, das nicht in den Risikobereich des Auftragnehmers fällt (z.</t>
  </si>
  <si>
    <t xml:space="preserve">eine Verzögerung von den Auftraggebern zu vertreten ist oder ein Ereignis eintritt, das nicht in den Risikobereich des Auftragnehmers fällt (z. B. unvermeidbare Terminverschiebungen auf Seiten der Auftraggeber; höhere Gewalt),</t>
  </si>
  <si>
    <t xml:space="preserve">ANF-810</t>
  </si>
  <si>
    <t xml:space="preserve">§ 12 (2) b</t>
  </si>
  <si>
    <t xml:space="preserve">sich Verzögerungen aus dem Fehlen einer Baufreigabe, einer Abnahme, einer Betriebsfreigabe oder eines sonstigen öffentlich-rechtlichen Genehmigungsverfahren ergeben, wenn und soweit die Verzögerungen …</t>
  </si>
  <si>
    <t xml:space="preserve">sich Verzögerungen aus dem Fehlen einer Baufreigabe, einer Abnahme, einer Betriebsfreigabe oder eines sonstigen öffentlich-rechtlichen Genehmigungsverfahren ergeben, wenn und soweit die Verzögerungen nicht vom Auftragnehmer zu vertreten sind; dies ist insbesondere im Falle einer verspäteten oder unvollständigen Antragstellung durch den Auftragnehmer der Fall,</t>
  </si>
  <si>
    <t xml:space="preserve">ANF-811</t>
  </si>
  <si>
    <t xml:space="preserve">§ 12 (2) c</t>
  </si>
  <si>
    <t xml:space="preserve">in den Fällen des § 17 Abs. 10 und § 18 Abs.</t>
  </si>
  <si>
    <t xml:space="preserve">in den Fällen des § 17 Abs. 10 und § 18 Abs. 7, wenn sich Verzögerungen aus der Realisierung des Netzanschlusses ergeben und die Verzögerungen nicht vom Auftragnehmer zu vertreten sind, oder</t>
  </si>
  <si>
    <t xml:space="preserve">ANF-812</t>
  </si>
  <si>
    <t xml:space="preserve">§ 12 (2) d</t>
  </si>
  <si>
    <t xml:space="preserve">nach dem Vertragsschluss der Fall eintritt, dass vom Auftragnehmer vorgesehenen Lieferanten oder Nachunternehmern die Erbringung der von ihnen zu übernehmenden Leistungen unmöglich wird, ohne dass …</t>
  </si>
  <si>
    <t xml:space="preserve">nach dem Vertragsschluss der Fall eintritt, dass vom Auftragnehmer vorgesehenen Lieferanten oder Nachunternehmern die Erbringung der von ihnen zu übernehmenden Leistungen unmöglich wird, ohne dass dies auf ein Verhalten des Auftragnehmers zurückzuführen ist und der Auftragnehmer gegenüber dem Auftraggeber 2 nachvollziehbar darlegt, dass er unter Anwendung der Sorgfalt eines ordentlichen Kaufmanns vernünftige Anstrengungen unternommen hat, um seine Errichtungsverpflichtungen termingerecht erbringen zu können; die Darlegung hat insbesondere auch eine Darstellung der von ihm hinsichtlich der betreffenden Leistungen ergriffenen Vorsorge- und Absicherungsmaßnahmen einschließlich der sorgfältigen Auswahl der Lieferanten und Nachunternehmer zu umfassen.</t>
  </si>
  <si>
    <t xml:space="preserve">ANF-813</t>
  </si>
  <si>
    <t xml:space="preserve">§ 12 (3)</t>
  </si>
  <si>
    <t xml:space="preserve">Der Auftragnehmer hat einen Sachverhalt, der zu Verzögerungen führt, dem Auftraggeber 2 unverzüglich anzuzeigen, sobald er Kenntnis davon erlangt.</t>
  </si>
  <si>
    <t xml:space="preserve">Der Auftragnehmer hat einen Sachverhalt, der zu Verzögerungen führt, dem Auftraggeber 2 unverzüglich anzuzeigen, sobald er Kenntnis davon erlangt. Er hat sodann nachvollziehbar unter Berücksichtigung des tatsächlichen Planungs- und Baugeschehens darzulegen, welche konkreten Auswirkungen das Ereignis auf den Rahmenterminplan und die darin enthaltenen verbindlichen Vertragstermine hat. Sofern Vertragstermine betroffen sind, sind sie jeweils um den erforderlichen Zeitraum anzupassen. Die Anpassungen sind von den Parteien in Form einer Ersetzung der Vertragsanlage 8: Terminplan mittels einer Nachtragsvereinbarung zu diesem Vertrag zu dokumentieren und gelten ab dem Zeitpunkt des Abschlusses der Nachtragsvereinbarung.</t>
  </si>
  <si>
    <t xml:space="preserve">ANF-814</t>
  </si>
  <si>
    <t xml:space="preserve">§ 13 (1)</t>
  </si>
  <si>
    <t xml:space="preserve">Nach Fertigstellung der Errichtungsleistungen erfolgt die technische Inbetriebnahme der Ladeinfrastruktur durch den Auftragnehmer.</t>
  </si>
  <si>
    <t xml:space="preserve">Nach Fertigstellung der Errichtungsleistungen erfolgt die technische Inbetriebnahme der Ladeinfrastruktur durch den Auftragnehmer. Die technische Inbetriebnahme ist zu protokollieren; das Protokoll ist als Teil der Unterlagen für die Abnahme und als Teil der Unterlagen für die Betriebsfreigabe bei der jeweiligen Beantragung einzureichen.</t>
  </si>
  <si>
    <t xml:space="preserve">Kapitel: Fertigstellung, technische Inbetriebnahme, Abnahme, Betriebsfreigabe
Fundstelle im PDF: Seite 14</t>
  </si>
  <si>
    <t xml:space="preserve">ANF-815</t>
  </si>
  <si>
    <t xml:space="preserve">§ 13 (2)</t>
  </si>
  <si>
    <t xml:space="preserve">Ist der Auftragnehmer der Ansicht, dass die Errichtungsleistungen betreffend die Ladeinfrastruktur an einem Standort fertiggestellt worden sind und Abnahmereife vorliegt, so zeigt er dies dem …</t>
  </si>
  <si>
    <t xml:space="preserve">Ist der Auftragnehmer der Ansicht, dass die Errichtungsleistungen betreffend die Ladeinfrastruktur an einem Standort fertiggestellt worden sind und Abnahmereife vorliegt, so zeigt er dies dem Auftraggeber 2 an.</t>
  </si>
  <si>
    <t xml:space="preserve">ANF-816</t>
  </si>
  <si>
    <t xml:space="preserve">§ 13 (3)</t>
  </si>
  <si>
    <t xml:space="preserve">Auftraggeber 2 und Auftragnehmer vereinbaren einen Termin für die Durchführung der Abnahme der Errichtungsleistungen.</t>
  </si>
  <si>
    <t xml:space="preserve">Auftraggeber 2 und Auftragnehmer vereinbaren einen Termin für die Durchführung der Abnahme der Errichtungsleistungen. Der Termin soll regelmäßig nicht später als 14 Kalendertage nach der Anzeige der Abnahmereife durch den Auftragnehmer liegen.</t>
  </si>
  <si>
    <t xml:space="preserve">ANF-817</t>
  </si>
  <si>
    <t xml:space="preserve">§ 13 (4)</t>
  </si>
  <si>
    <t xml:space="preserve">Am Tag der Abnahme erfolgt am Standort eine Begehung und Inspektion der erbrachten Leistungen und der vom Auftragnehmer vorgelegten Dokumentation.</t>
  </si>
  <si>
    <t xml:space="preserve">Am Tag der Abnahme erfolgt am Standort eine Begehung und Inspektion der erbrachten Leistungen und der vom Auftragnehmer vorgelegten Dokumentation. Beide Parteien können hierzu weitere Beteiligte hinzuziehen. Das Ergebnis der Begehung und Inspektion wird vom Auftraggeber 2 in einem Abnahmeprotokoll festgehalten. Etwaige Restleistungen und Mängel werden mit Nacherfüllungs- und Behebungsfristen festgehalten. Bei wesentlichen Mängeln ist der Auftraggeber 2 berechtigt, die Abnahme zu verweigern.</t>
  </si>
  <si>
    <t xml:space="preserve">ANF-818</t>
  </si>
  <si>
    <t xml:space="preserve">§ 13 (5)</t>
  </si>
  <si>
    <t xml:space="preserve">Der Auftragnehmer ist verpflichtet, die Betriebsfreigabe für den jeweiligen Standort bis zu dem im Terminplan jeweils vorgesehenen verbindlichen Vertragstermin bei der zuständigen Niederlassung des …</t>
  </si>
  <si>
    <t xml:space="preserve">Der Auftragnehmer ist verpflichtet, die Betriebsfreigabe für den jeweiligen Standort bis zu dem im Terminplan jeweils vorgesehenen verbindlichen Vertragstermin bei der zuständigen Niederlassung des Auftraggebers 2 zu beantragen. Dabei sind die Unterlagen, die in Vertragsanlage 9: Anforderungen für die Betriebsfreigabe aufgeführt sind, beim Auftraggeber 2 einzureichen. Der Auftragnehmer ist des Weiteren verpflichtet, die Betriebsfreigabe jeweils bis zu dem im Rahmenterminplan benannten verbindlichen Vertragstermin zu erlangen; § 12 Abs. 2 und § 14 bleiben unberührt.</t>
  </si>
  <si>
    <t xml:space="preserve">ANF-819</t>
  </si>
  <si>
    <t xml:space="preserve">§ 13 (6)</t>
  </si>
  <si>
    <t xml:space="preserve">Sofern an einem Standort die technische Betriebsbereitschaft früher hergestellt ist als die übrigen Gewerke (mithin die Ladeeinrichtungen bereits vollständig betriebsbereit sind und beispielsweise …</t>
  </si>
  <si>
    <t xml:space="preserve">Sofern an einem Standort die technische Betriebsbereitschaft früher hergestellt ist als die übrigen Gewerke (mithin die Ladeeinrichtungen bereits vollständig betriebsbereit sind und beispielsweise die Fertigstellung der Kennzeichnung der Ladeeinrichtungen noch nicht erfolgt ist) und die Verzögerung bei der Fertigstellung der ausstehenden Gewerke nicht durch den Auftragnehmer zu vertreten ist, so kann gleichwohl eine Betriebsfreigabe für die bereits errichteten Bestandteile der Ladeinfrastruktur erfolgen, sofern der Auftragnehmer nachgewiesen hat, dass die gesetzlichen Voraussetzungen für den Betrieb der Ladeeinrichtung insbesondere hinsichtlich Betriebs- und Verkehrssicherheit erfüllt sind. Die Zahlung des Errichtungsentgelts für diesen Standort erfolgt jedoch erst nach Fertigstellung aller Gewerke und erfolgter Betriebsfreigabe für die noch ausstehenden Gewerke entsprechend den Absätzen 3 und 4.</t>
  </si>
  <si>
    <t xml:space="preserve">ANF-820</t>
  </si>
  <si>
    <t xml:space="preserve">§ 13 (7)</t>
  </si>
  <si>
    <t xml:space="preserve">Sofern an einem Standort die technische Betriebsbereitschaft hergestellt ist, der Standort insgesamt aufgrund einer Verzögerung bei der Entwicklung technischer Standards noch nicht den vereinbarten …</t>
  </si>
  <si>
    <t xml:space="preserve">Sofern an einem Standort die technische Betriebsbereitschaft hergestellt ist, der Standort insgesamt aufgrund einer Verzögerung bei der Entwicklung technischer Standards noch nicht den vereinbarten technischen Anforderungen genügt (z. B. CCS-Ladepunkte vollständig betriebsbereit, die MCS-Ladepunkte jedoch nicht) und die Verzögerung nicht der Auftragnehmer zu vertreten hat, kann die technische Inbetriebnahme der Ladeinfrastruktur nach Absatz 1 auch ohne vollständige Betriebsbereitschaft erfolgen.</t>
  </si>
  <si>
    <t xml:space="preserve">ANF-821</t>
  </si>
  <si>
    <t xml:space="preserve">§ 13 (8)</t>
  </si>
  <si>
    <t xml:space="preserve">Verwirklicht sich das nach § 12 Abs. 2 a) und b) von den Auftraggebern zu tragende Risiko und verzögert sich die Inbetriebnahme eines Standortes deshalb um mindestens zwei Monate gegenüber dem im …</t>
  </si>
  <si>
    <t xml:space="preserve">Verwirklicht sich das nach § 12 Abs. 2 a) und b) von den Auftraggebern zu tragende Risiko und verzögert sich die Inbetriebnahme eines Standortes deshalb um mindestens zwei Monate gegenüber dem im Rahmenterminplan vorgesehenen Zeitpunkt (gegebenenfalls unter Berücksichtigung einer Fortschreibung gemäß § 12 Abs. 2), so erfolgt auch ohne die Inbetriebnahme zwei Monate nach dem geplanten Inbetriebnahme Datum die Zahlung der letzten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</si>
  <si>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ANF-822</t>
  </si>
  <si>
    <t xml:space="preserve">§ 14</t>
  </si>
  <si>
    <t xml:space="preserve">Erfolgt die vollständige Betriebsfreigabe für den nach der Vertragsanlage 4: Leistungsbeschreibung Errichtung vorgesehenen prozentualen Anteil der Standorte nicht zu dem verbindlichen Vertragstermin, …</t>
  </si>
  <si>
    <t xml:space="preserve">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die aufgrund eines vom Auftragnehmer zu vertretenden Umstands entgegen dem verbindlichen Vertragstermin keine vollständige Betriebsfreigabe erhalten haben, eine Vertragsstrafe zu zahlen. Die Höhe der täglichen Vertragsstrafe beträgt 0,1 % des gemäß Preisblatt des Auftragnehmers durchschnittlich zu zahlenden Errichtungsentgelts, multipliziert mit dem Prozentsatz der vertragswidrig und vom Auftragnehmer zu vertreten nicht vollständig freigegebenen Standorte. Die sonstigen vertraglichen und gesetzlichen Rechte der Auftraggeber im Falle von Verzögerungen bleiben von der Vertragsstrafe unberührt.</t>
  </si>
  <si>
    <t xml:space="preserve">Kapitel: Vertragsstrafe bei verspäteter Errichtung
Fundstelle im PDF: Seite 15</t>
  </si>
  <si>
    <t xml:space="preserve">ANF-823</t>
  </si>
  <si>
    <t xml:space="preserve">§ 15 (1)</t>
  </si>
  <si>
    <t xml:space="preserve">Ist die für den Betrieb der Ladeinfrastruktur an einem in der Vertragsanlage 2: Standorte genannten Standort vorgesehene Netzanschlusskapazität – gegebenenfalls unter Berücksichtigung eines …</t>
  </si>
  <si>
    <t xml:space="preserve">Ist die für den Betrieb der Ladeinfrastruktur an einem in der Vertragsanlage 2: Standorte genannten Standort vorgesehene Netzanschlusskapazität – gegebenenfalls unter Berücksichtigung eines zusätzlichen Einsatzes eines Speichers – bis zum 31.12.2030 nicht vorhanden, mit der vorhandenen Netzanschlusskapazität ein Betrieb der für diesen Standort in der Vertragsanlage 2: Standorte vorgesehenen Ladeeinrichtungen unter Anwendung eines Lastmanagements jedoch möglich, ist der Auftragnehmer verpflichtet, die Ladeeinrichtungen zu errichten und bei einer Auslastung, die die vorhandene Netzanschlusskapazität übersteigt, mit einer im Vergleich zu der in der Vertragsanlage 2: Standorte vorgesehenen reduzierten Ladeleistung zu betreiben. Der Auftragnehmer ist verpflichtet, das Lademanagement bezogen auf die einzelnen Formen des Zugangs zur Ladeinfrastruktur des § 30 und bezogen auf einzelne Ladevorgänge diskriminierungsfrei zu betreiben. Der Auftragnehmer hat in den Fällen des Satzes 1 keinen Anspruch auf Anpassung des Rahmenterminplans nach § 12 Abs. 2 lit c).</t>
  </si>
  <si>
    <t xml:space="preserve">Kapitel: Errichtung von Standorten mit geringerer Netzanschlusskapazität / Lastmanagement
Fundstelle im PDF: Seite 15</t>
  </si>
  <si>
    <t xml:space="preserve">ANF-824</t>
  </si>
  <si>
    <t xml:space="preserve">§ 15 (2)</t>
  </si>
  <si>
    <t xml:space="preserve">Ist ein Betrieb nach Absatz 1 bis zum 31.12.2030 nicht möglich, ist der Auftragnehmer verpflichtet, in der Vertragsanlage 2: Standorte vorgesehene Standorte auf Aufforderung des Auftraggebers 2 auch …</t>
  </si>
  <si>
    <t xml:space="preserve">Ist ein Betrieb nach Absatz 1 bis zum 31.12.2030 nicht möglich, ist der Auftragnehmer verpflichtet, in der Vertragsanlage 2: Standorte vorgesehene Standorte auf Aufforderung des Auftraggebers 2 auch nach dem 31.12.2030 zu errichten und unter Anwendung eines Lastmanagements zu betreiben, soweit dies unter Berücksichtigung der an dem Standort vorhandenen Netzanschlusskapazität möglich ist. Absatz 1 Satz 2 gilt entsprechend. Der Auftragnehmer hat in den Fällen des Satzes 1 einen Anspruch auf Anpassung des Rahmenterminplans nach § 12 Abs. 2 lit c). Daneben hat der Auftragnehmer ab dem 31.12.2030 einen Anspruch auf Zahlung eines Betreiberentgelts und Zahlung von entgangenem Gewinn, § 16 Abs. 2 lit. b Satz 2 gilt entsprechend.</t>
  </si>
  <si>
    <t xml:space="preserve">ANF-825</t>
  </si>
  <si>
    <t xml:space="preserve">§ 15 (3)</t>
  </si>
  <si>
    <t xml:space="preserve">Darüber hinausgehende Ansprüche des Auftragnehmers bestehen nicht.</t>
  </si>
  <si>
    <t xml:space="preserve">ANF-826</t>
  </si>
  <si>
    <t xml:space="preserve">§ 16 (1)</t>
  </si>
  <si>
    <t xml:space="preserve">Ist eine vollständige Errichtung aller in der Vertragsanlage 2: Standorte für einen Standort vorgesehenen Ladepunkte unter Berücksichtigung der vom jeweiligen Anschlussnetzbetreiber zur Verfügung …</t>
  </si>
  <si>
    <t xml:space="preserve">Ist eine vollständige Errichtung aller in der Vertragsanlage 2: Standorte für einen Standort vorgesehenen Ladepunkte unter Berücksichtigung der vom jeweiligen Anschlussnetzbetreiber zur Verfügung gestellten maximalen Netzanschlusskapazität und gegebenenfalls eines Speichers an einem Standort nicht möglich, kann der Auftraggeber 2 die Anzahl der zu errichtenden Ladepunkte vor vollständiger Errichtung eines Standortes reduzieren. Der Auftraggeber 2 wird den Auftragnehmer über die Reduzierung der Ladepunkte unverzüglich nach Kenntniserlangung über die nicht ausreichende Netzanschlusskapazität an dem Standort informieren.</t>
  </si>
  <si>
    <t xml:space="preserve">Kapitel: Standortverkleinerung vor vollständiger Errichtung
Fundstelle im PDF: Seite 16</t>
  </si>
  <si>
    <t xml:space="preserve">ANF-827</t>
  </si>
  <si>
    <t xml:space="preserve">§ 16 (2)</t>
  </si>
  <si>
    <t xml:space="preserve">Der Auftragnehmer erhält für die nicht errichteten Ladepunkte folgende Ausgleichszahlungen:</t>
  </si>
  <si>
    <t xml:space="preserve">Kapitel: Standortverkleinerung vor vollständiger Errichtung
Fundstelle im PDF: Seite 16
Zuordnung prüfen (Komponente/Partner nicht eindeutig)</t>
  </si>
  <si>
    <t xml:space="preserve">ANF-828</t>
  </si>
  <si>
    <t xml:space="preserve">§ 16 (2) a</t>
  </si>
  <si>
    <t xml:space="preserve">Betreiberentgelt Der Auftragnehmer erhält die Differenz zwischen dem für den Standort unter Berücksichtigung der in der Vertragsanlage 2: Standorte ursprünglich vorgesehenen Anzahl von Ladepunkten zu …</t>
  </si>
  <si>
    <t xml:space="preserve">Betreiberentgelt Der Auftragnehmer erhält die Differenz zwischen dem für den Standort unter Berücksichtigung der in der Vertragsanlage 2: Standorte ursprünglich vorgesehenen Anzahl von Ladepunkten zu zahlenden Betreiberentgelt und dem nunmehr für den Standort nach Maßgabe von § 45 zu zahlenden Betreiberentgelt in dem Umfang, in dem der Auftragnehmer nachweist, dass dies zur Deckung nicht vermeidbarer Kosten erforderlich ist.</t>
  </si>
  <si>
    <t xml:space="preserve">ANF-829</t>
  </si>
  <si>
    <t xml:space="preserve">§ 16 (2) b</t>
  </si>
  <si>
    <t xml:space="preserve">Entgangener Gewinn Der Auftragnehmer erhält ab Betriebsfreigabe nach § 13 Abs.</t>
  </si>
  <si>
    <t xml:space="preserve">Entgangener Gewinn Der Auftragnehmer erhält ab Betriebsfreigabe nach § 13 Abs. 4 bzw. im Fall einer teilweisen Errichtung des Standortes mit Teilabnahme nach § 18 Abs. 3 einen Ausgleich für den entgangenen Gewinn. Die Höhe ermittelt sich aus dem Durchschnitt des Gewinns (entgangene Marge pro kWh verladenen Stroms) des Auftragnehmers je Art von ursprünglich vorgesehenem und nunmehr nicht mehr zu errichtendem Ladepunkt (MCS bzw. CCS) in den letzten drei Kalendermonaten an einem hinsichtlich der Anzahl der Ladepunkte, der an dem Standort vorhandenen Netzanschlusskapazität und der Auslastung des jeweiligen Streckenabschnitts vergleichbaren Standort der ursprünglichen Größe. Die Parteien verständigen sich hierzu über die Vergleichbarkeit der Standorte. Die Höhe wird kalenderjährlich jeweils zum Jahresersten unter Berücksichtigung des Durchschnittsgewinns der vorangegangenen drei Kalendermonate angepasst. Darüber hinausgehende Ansprüche des Auftragnehmers bestehen nicht, insbesondere steht die Reduzierung der am Anschluss vorgehaltenen Leistung nach § 15 Abs. 1 einer Reduzierung von Ladepunkten nicht gleich.</t>
  </si>
  <si>
    <t xml:space="preserve">ANF-830</t>
  </si>
  <si>
    <t xml:space="preserve">§ 16 (3)</t>
  </si>
  <si>
    <t xml:space="preserve">Für nach Maßgabe von Absatz 1 errichtete Standorte erhält der Auftragnehmer ein reduziertes Errichtungsentgelt, bestehend aus • 30 % des für den Standort nach dem Preisblatt gemäß dem Angebot des …</t>
  </si>
  <si>
    <t xml:space="preserve">Für nach Maßgabe von Absatz 1 errichtete Standorte erhält der Auftragnehmer ein reduziertes Errichtungsentgelt, bestehend aus • 30 % des für den Standort nach dem Preisblatt gemäß dem Angebot des Auftragnehmers regulär zu zahlenden Errichtungsentgelts und • einem weiteren – gekürzten – Anteil der verbleibenden 70 % des regulären Errichtungsentgelts. Die Höhe dieses Teils wird pauschal im Rahmen eines Dreisatzes ermittelt, wobei die 70 % des regulären Errichtungsentgelts nach dem Verhältnis der bereits errichteten Ladepunkte zu den an dem Standort ursprünglich zu errichtenden Ladepunkte reduziert wird; hierbei werden MCS-Ladepunkte doppelt gewichtet. Das reduzierte Errichtungsentgelt wird mithin nach folgender Formel ermittelt: 𝐸𝐺𝑒𝑙𝑡𝑟𝑒𝑑𝑢𝑧𝑖𝑒𝑟𝑡 = 𝐸𝐺𝑒𝑙𝑡𝑟𝑒𝑔𝑢𝑙ä𝑟∗30 %+ (𝐸𝐺𝑒𝑙𝑡𝑟𝑒𝑔𝑢𝑙ä𝑟∗70 % ∗ (2∗ (2 𝐴 ∗ 𝑛𝑧 𝐴 𝑎 𝑛 ℎ 𝑧 𝑙 𝑎 𝑀 ℎ𝑙 𝐶 𝑀 𝑆𝑢 𝐶 𝑟 𝑆 𝑠𝑝 𝑟 𝑟 𝑒 ü 𝑑 𝑛 𝑢 𝑔 𝑧𝑖 𝑙 𝑒 𝑖𝑐 𝑟 ℎ 𝑡+ + 𝐴 𝐴 𝑛 𝑛 𝑧 𝑧 𝑎 𝑎 ℎ ℎ 𝑙 𝑙 𝐶 𝐶 𝐶 𝐶 𝑆 𝑆 𝑟 𝑢 𝑒 𝑟 𝑑 𝑠𝑝 𝑢 𝑟 𝑧 ü 𝑖𝑒 𝑛 𝑟 𝑔 𝑡 𝑙 ) 𝑖𝑐ℎ) ) EGelt = Reduziertes Errichtungsentgelt reduziert EGelt = Errichtungsentgelt gemäß Preisblatt aus dem Angebot des regulär Auftragnehmers MCS = Anzahl der errichteten MCS-Ladepunkte reduziert MCS = Anzahl der nach der Vertragsanlage 2: Standorte an dem ursprünglich Standort zu errichtenden MCS-Ladepunkte CCS = Anzahl der bereits errichteten CCS-Ladepunkte reduziert CCS = Anzahl der nach der Vertragsanlage 2: Standorte an dem ursprünglich Standort zu errichtenden CCS-Ladepunkte</t>
  </si>
  <si>
    <t xml:space="preserve">ANF-831</t>
  </si>
  <si>
    <t xml:space="preserve">§ 16 (4)</t>
  </si>
  <si>
    <t xml:space="preserve">Hinsichtlich der Zahlungsmodalitäten des reduzierten Errichtungsentgelts gilt § 44 Abs.</t>
  </si>
  <si>
    <t xml:space="preserve">Hinsichtlich der Zahlungsmodalitäten des reduzierten Errichtungsentgelts gilt § 44 Abs. 3 des Vertrags entsprechend; mithin werden 70 % des reduzierten Errichtungsentgelts nach Abschluss der in § 44 Abs. 3 beschriebenen drei Phasen (vgl. § 44 Abs. 3 lit. a. bis c.) gezahlt. Die übrigen 30 % (Einbehalt) werden in dem auf die Teilabnahme folgenden Quartal ratierlich in vierteljährlichen Teilbeträgen gezahlt.</t>
  </si>
  <si>
    <t xml:space="preserve">ANF-832</t>
  </si>
  <si>
    <t xml:space="preserve">§ 16 (5)</t>
  </si>
  <si>
    <t xml:space="preserve">Die Außerbetriebnahme bereits errichteter Ladepunkte richtet sich nach § 39.</t>
  </si>
  <si>
    <t xml:space="preserve">ANF-833</t>
  </si>
  <si>
    <t xml:space="preserve">§ 17 (1)</t>
  </si>
  <si>
    <t xml:space="preserve">Ist die Errichtung einzelner in der Vertragsanlage 2: Standorte aufgeführter Standorte nicht oder vorübergehend nicht möglich, weil der Netzanschluss nicht oder nicht in dem erforderlichen Umfang …</t>
  </si>
  <si>
    <t xml:space="preserve">Ist die Errichtung einzelner in der Vertragsanlage 2: Standorte aufgeführter Standorte nicht oder vorübergehend nicht möglich, weil der Netzanschluss nicht oder nicht in dem erforderlichen Umfang hergestellt werden kann, und hat der Auftragnehmer dies nicht zu vertreten, so kann der Auftraggeber 2 bis zum 31.12.2030 in dem Gebiet des Loses einen in der Vertragsanlage 2: Standorte nicht aufgeführten Standort als Ersatzstandort benennen. Das Gebiet eines Loses umfasst die Fläche innerhalb eines Umkreises der geografisch jeweils am äußersten Rand des Loses gelegenen Standorte zuzüglich 20 Kilometer. Zur Benennung eines Ersatzstandortes wird der Auftraggeber 2 dem Auftragnehmer Informationen zu dem Ersatzstandort (Daten und Informationen entsprechend der Vertragsanlage 2: Standorte sowie der Vertragsanlage 3: Angaben und Informationen zu den einzelnen Standorten) sowie das Datum der geplanten Inbetriebnahme rechtzeitig, spätestens zwölf Monate vor dem geplanten Inbetriebnahmedatum, mitteilen.</t>
  </si>
  <si>
    <t xml:space="preserve">Kapitel: Benennung von Ersatzstandorten / Errichtung von Standorten nach dem 31.12.2030 / Kos-
Fundstelle im PDF: Seite 17</t>
  </si>
  <si>
    <t xml:space="preserve">ANF-834</t>
  </si>
  <si>
    <t xml:space="preserve">§ 17 (2)</t>
  </si>
  <si>
    <t xml:space="preserve">Benennt der Auftraggeber 2 in den Fällen des Absatzes 1 einen Ersatzstandort, erhält der Auftragnehmer für die Errichtung des Ersatzstandortes eine Vergütung nach § 40 Abs.</t>
  </si>
  <si>
    <t xml:space="preserve">Benennt der Auftraggeber 2 in den Fällen des Absatzes 1 einen Ersatzstandort, erhält der Auftragnehmer für die Errichtung des Ersatzstandortes eine Vergütung nach § 40 Abs. 2. Zusätzlich erhält der Auftragnehmer für Ersatzstandorte ein Betreiberentgelt nach § 45. Ein Errichtungsentgelt nach § 44 wird für Ersatzstandorte nicht gezahlt. Dieser Absatz 2 gilt nicht, wenn der Abschluss der Errichtungsleistung des Ersatzstandortes nach Maßgabe von Abs. 8 Satz 1 erst nach dem 31.12.2030 möglich ist; in diesen Fällen richtet sich die Errichtung des Ersatzstandortes nach Absatz 8.</t>
  </si>
  <si>
    <t xml:space="preserve">ANF-835</t>
  </si>
  <si>
    <t xml:space="preserve">§ 17 (3)</t>
  </si>
  <si>
    <t xml:space="preserve">Ist die Errichtung eines Standortes bis zum 31.12.2030 aus den in Absatz 1 genannten Gründen nicht möglich und benennt der Auftraggeber 2 keinen Ersatzstandort, erhält der Auftragnehmer ab diesem …</t>
  </si>
  <si>
    <t xml:space="preserve">Ist die Errichtung eines Standortes bis zum 31.12.2030 aus den in Absatz 1 genannten Gründen nicht möglich und benennt der Auftraggeber 2 keinen Ersatzstandort, erhält der Auftragnehmer ab diesem Zeitpunkt für die in der Vertragsanlage 2: Standorte aufgeführten Standorte, deren Errichtung nicht oder vorübergehend nicht möglich ist, ein Betreiberentgelt entsprechend § 16 Abs. 2 lit. a sowie eine Ausgleichszahlung für den entgangenen Gewinn entsprechend § 16 Abs. 2 lit. b Satz 2.</t>
  </si>
  <si>
    <t xml:space="preserve">ANF-836</t>
  </si>
  <si>
    <t xml:space="preserve">§ 17 (4)</t>
  </si>
  <si>
    <t xml:space="preserve">Verzögert sich die Errichtung eines vom Auftraggeber 2 benannten Ersatzstandorts aus den in Absatz 1 genannten Gründen um mehr als zwei Jahre, werden das Betreiberentgelt sowie der entgangene Gewinn …</t>
  </si>
  <si>
    <t xml:space="preserve">Verzögert sich die Errichtung eines vom Auftraggeber 2 benannten Ersatzstandorts aus den in Absatz 1 genannten Gründen um mehr als zwei Jahre, werden das Betreiberentgelt sowie der entgangene Gewinn nach Absatz 3 für die Dauer der Verzögerung gezahlt.</t>
  </si>
  <si>
    <t xml:space="preserve">ANF-837</t>
  </si>
  <si>
    <t xml:space="preserve">§ 17 (5)</t>
  </si>
  <si>
    <t xml:space="preserve">Hat der Auftraggeber 2 keinen Ersatzstandort benannt und ist die Errichtung eines in der Vertragsanlage 2: Standorte aufgeführten Standortes unter Berücksichtigung der an dem Standort vorhandenen …</t>
  </si>
  <si>
    <t xml:space="preserve">Hat der Auftraggeber 2 keinen Ersatzstandort benannt und ist die Errichtung eines in der Vertragsanlage 2: Standorte aufgeführten Standortes unter Berücksichtigung der an dem Standort vorhandenen Netzanschlusskapazität erst nach dem 31.12.2030 möglich, ist der Auftragnehmer unter Beachtung der Vorgaben des Absatzes 8 verpflichtet, den Standort auch nach dem 31.12.2030 zu errichten und anschließend zu betreiben, sofern die Errichtung innerhalb der regulären Vertragslaufzeit nach § 56 Abs. 1 noch möglich ist. Hat der Auftraggeber 2 von der in § 56 Abs. 1 vorgesehen Möglichkeit zur einseitigen Vertragsverlängerung Gebrauch gemacht und ist die Errichtung erst in der Vertragsverlängerung möglich, kann der Auftraggeber 2 die Errichtung und den anschließenden Betrieb eines in der Vertragsanlage 2: Standorte vorgesehenen Standorts unter Beachtung der Vorgaben des Absatzes 8 auch nach dem 31.12.2035 vom Auftragnehmer verlangen. Die Einzelheiten der Errichtung und des Betriebs des Standortes vereinbaren die Parteien in den Fällen des Satzes 2 mittels gesonderter Nachtragsvereinbarung zu diesem Vertrag.</t>
  </si>
  <si>
    <t xml:space="preserve">ANF-838</t>
  </si>
  <si>
    <t xml:space="preserve">§ 17 (6)</t>
  </si>
  <si>
    <t xml:space="preserve">In den Fällen des Absatzes 5 werden das Betreiberentgelt und der entgangene Gewinn entsprechend § 16 Abs.</t>
  </si>
  <si>
    <t xml:space="preserve">In den Fällen des Absatzes 5 werden das Betreiberentgelt und der entgangene Gewinn entsprechend § 16 Abs. 2 lit. a bzw. lit. b Satz 2 gezahlt. Im Übrigen gilt § 15 entsprechend für Standorte, die nach Maßgabe des Absatzes 5 errichtet werden.</t>
  </si>
  <si>
    <t xml:space="preserve">ANF-839</t>
  </si>
  <si>
    <t xml:space="preserve">§ 17 (7)</t>
  </si>
  <si>
    <t xml:space="preserve">Soweit dem Auftragnehmer für die Planung eines nach der Vertragsanlage 2: Standorte ursprünglich zu errichtenden Standortes bereits Kosten entstanden sind, die nunmehr nicht mehr nutzbar sind, erhält …</t>
  </si>
  <si>
    <t xml:space="preserve">Soweit dem Auftragnehmer für die Planung eines nach der Vertragsanlage 2: Standorte ursprünglich zu errichtenden Standortes bereits Kosten entstanden sind, die nunmehr nicht mehr nutzbar sind, erhält der Auftragnehmer diese Kosten vom Auftraggeber 2 in dem Umfang ersetzt, in dem der Auftragnehmer diese Kosten nachweist.</t>
  </si>
  <si>
    <t xml:space="preserve">ANF-840</t>
  </si>
  <si>
    <t xml:space="preserve">§ 17 (8)</t>
  </si>
  <si>
    <t xml:space="preserve">Ist der Abschluss der Errichtungsleistungen aus nicht in der Risikosphäre des Auftragnehmers liegenden Gründen (z.</t>
  </si>
  <si>
    <t xml:space="preserve">Ist der Abschluss der Errichtungsleistungen aus nicht in der Risikosphäre des Auftragnehmers liegenden Gründen (z. B. Verzögerungen beim Netzanschluss) an einem in der Vertragsanlage 2: Standorte genannten Standort oder an einem vom Auftraggeber 2 nach Maßgabe von Absatz 1 benannten Ersatzstandort unter Berücksichtigung des Zeitpunkts einer etwaigen Baufreigabe und der vom Auftragnehmer kalkulierten Bauzeiten erst nach dem 31.12.2030 möglich, richtet sich die Errichtung dieses Standortes nach § 40. Ist die Errichtung des Standortes aus diesem Grund trotz nachgewiesener Bemühungen zu den der Angebotskalkulation des Auftragnehmers zugrundeliegenden Errichtungskosten nicht mehr möglich, erhält der Auftragnehmer die nachgewiesenen Mehrkosten nach Maßgabe von § 40 Abs. 2 erstattet. Die Mehrkosten nach Satz 2 umfassen auch die Baustellengemeinkosten (BGK) und die Allgemeinen Geschäftskosten (AGK), Kosten für die verlängerte Vorhaltung des Baukoordinationspersonals, Kosten für die Mobilisierung der einzelnen Baustellen sowie anfallende zusätzliche Finanzierungskosten. § 44 Abs. 2 Satz 2 und Abs. 6 finden für diese Standorte keine Anwendung.</t>
  </si>
  <si>
    <t xml:space="preserve">ANF-841</t>
  </si>
  <si>
    <t xml:space="preserve">§ 17 (9)</t>
  </si>
  <si>
    <t xml:space="preserve">Hat der Auftraggeber 2 nach Maßgabe des § 18 die teilweise Errichtung eines Standortes vom Auftragnehmer verlangt und kann ein Teil der Errichtungsleistungen erst nach dem 31.12.2030 erfolgen, gilt …</t>
  </si>
  <si>
    <t xml:space="preserve">Hat der Auftraggeber 2 nach Maßgabe des § 18 die teilweise Errichtung eines Standortes vom Auftragnehmer verlangt und kann ein Teil der Errichtungsleistungen erst nach dem 31.12.2030 erfolgen, gilt Absatz 8 für diesen Teil der Errichtungsleistungen entsprechend.</t>
  </si>
  <si>
    <t xml:space="preserve">ANF-842</t>
  </si>
  <si>
    <t xml:space="preserve">§ 17 (10)</t>
  </si>
  <si>
    <t xml:space="preserve">Der Anspruch des Auftragnehmers auf Anpassung des Rahmenterminplans richtet sich nach § 12 Abs.</t>
  </si>
  <si>
    <t xml:space="preserve">Der Anspruch des Auftragnehmers auf Anpassung des Rahmenterminplans richtet sich nach § 12 Abs. 2 lit. a und lit c).</t>
  </si>
  <si>
    <t xml:space="preserve">ANF-843</t>
  </si>
  <si>
    <t xml:space="preserve">§ 17 (11)</t>
  </si>
  <si>
    <t xml:space="preserve">Darüber hinausgehende Ansprüche des Auftragnehmers bestehen nicht, insbesondere hat der Auftragnehmer in den Fällen des Absatzes 2 keinen Anspruch auf Ersatz von entgangenem Gewinn.</t>
  </si>
  <si>
    <t xml:space="preserve">Kapitel: Benennung von Ersatzstandorten / Errichtung von Standorten nach dem 31.12.2030 / Kos-
Fundstelle im PDF: Seite 17
Zuordnung prüfen (Komponente/Partner nicht eindeutig)</t>
  </si>
  <si>
    <t xml:space="preserve">ANF-844</t>
  </si>
  <si>
    <t xml:space="preserve">§ 18 (1)</t>
  </si>
  <si>
    <t xml:space="preserve">Benennt der Auftraggeber 2 in den Fällen des § 17 Abs.</t>
  </si>
  <si>
    <t xml:space="preserve">Benennt der Auftraggeber 2 in den Fällen des § 17 Abs. 1 keinen Ersatzstandort, kann er vom Auftragnehmer zunächst die teilweise Errichtung eines in der Vertragsanlage 2: Standorte aufgeführten Standortes verlangen.</t>
  </si>
  <si>
    <t xml:space="preserve">Kapitel: Teilweise Errichtung von Standorten / Kostenersatz
Fundstelle im PDF: Seite 19</t>
  </si>
  <si>
    <t xml:space="preserve">ANF-845</t>
  </si>
  <si>
    <t xml:space="preserve">§ 18 (2)</t>
  </si>
  <si>
    <t xml:space="preserve">Die teilweise Errichtung eines Standortes nach Absatz 1 kann insbesondere die Herstellung der Fundamente, die Durchführung aller erforderlichen Tiefbaumaßnahmen sowie Kabelverlegungen sowie die …</t>
  </si>
  <si>
    <t xml:space="preserve">Die teilweise Errichtung eines Standortes nach Absatz 1 kann insbesondere die Herstellung der Fundamente, die Durchführung aller erforderlichen Tiefbaumaßnahmen sowie Kabelverlegungen sowie die Errichtung einzelner Ladeeinrichtungen unter Berücksichtigung der an dem Standort vorhandenen Netzanschlusskapazität umfassen. Der genaue Umfang wird vom Auftraggeber 2 bestimmt. Im Fall der teilweisen Errichtung eines Standortes sind die noch nicht für das Laden genutzten Ladeplätze soweit möglich für schwere Nutzfahrzeuge und Busse sowie Gespanne (Klasse M2 gemäß Art. 4 Abs. 1 lit. a) Ziffer ii), Klasse M3 gemäß Art. 4 Abs. 1 lit a) Ziffer iii) sowie der Klassen N2 und N3 gemäß Art. 4 Abs. 1 lit. b) Ziffer ii) und Ziffer iii) der Verordnung (EU) 2018/858) freizugeben.</t>
  </si>
  <si>
    <t xml:space="preserve">ANF-846</t>
  </si>
  <si>
    <t xml:space="preserve">§ 18 (3)</t>
  </si>
  <si>
    <t xml:space="preserve">Der Auftragnehmer zeigt dem Auftraggeber 2 die Fertigstellung der teilweisen Errichtung des Standortes an, wenn die Teilabnahmereife vorliegt.</t>
  </si>
  <si>
    <t xml:space="preserve">Der Auftragnehmer zeigt dem Auftraggeber 2 die Fertigstellung der teilweisen Errichtung des Standortes an, wenn die Teilabnahmereife vorliegt. Auftraggeber 2 und Auftragnehmer vereinbaren einen Termin für die Durchführung der Teilabnahme der Errichtungsleistungen. Der Termin soll regelmäßig nicht später als 14 Kalendertage nach der Anzeige der Teilabnahmereife durch den Auftragnehmer liegen.</t>
  </si>
  <si>
    <t xml:space="preserve">Kapitel: Teilweise Errichtung von Standorten / Kostenersatz
Fundstelle im PDF: Seite 19
Zuordnung prüfen (Komponente/Partner nicht eindeutig)</t>
  </si>
  <si>
    <t xml:space="preserve">ANF-847</t>
  </si>
  <si>
    <t xml:space="preserve">§ 18 (4)</t>
  </si>
  <si>
    <t xml:space="preserve">Der Auftragnehmer erhält für die teilweise Errichtung folgende Zahlungen:</t>
  </si>
  <si>
    <t xml:space="preserve">ANF-848</t>
  </si>
  <si>
    <t xml:space="preserve">§ 18 (4) a</t>
  </si>
  <si>
    <t xml:space="preserve">Reduziertes Errichtungsentgelt Der Auftragnehmer erhält ein reduziertes Errichtungsentgelt nach § 16 Abs.</t>
  </si>
  <si>
    <t xml:space="preserve">Reduziertes Errichtungsentgelt Der Auftragnehmer erhält ein reduziertes Errichtungsentgelt nach § 16 Abs. 3. Hinsichtlich der Zahlungsmodalitäten gilt § 16 Abs. 4.</t>
  </si>
  <si>
    <t xml:space="preserve">ANF-849</t>
  </si>
  <si>
    <t xml:space="preserve">§ 18 (4) b</t>
  </si>
  <si>
    <t xml:space="preserve">Betreiberentgelt Zusätzlich erhält der Auftragnehmer für bereits errichtete Ladepunkte ein Betreiberentgelt. nach § 45 Abs.</t>
  </si>
  <si>
    <t xml:space="preserve">Betreiberentgelt Zusätzlich erhält der Auftragnehmer für bereits errichtete Ladepunkte ein Betreiberentgelt. nach § 45 Abs. 2.</t>
  </si>
  <si>
    <t xml:space="preserve">ANF-850</t>
  </si>
  <si>
    <t xml:space="preserve">§ 18 (5)</t>
  </si>
  <si>
    <t xml:space="preserve">Der Auftragnehmer ist verpflichtet, den Standort vollständig zu errichten, sobald der Auftraggeber 2 den Auftragnehmer hierzu schriftlich auffordert.</t>
  </si>
  <si>
    <t xml:space="preserve">Der Auftragnehmer ist verpflichtet, den Standort vollständig zu errichten, sobald der Auftraggeber 2 den Auftragnehmer hierzu schriftlich auffordert. Der Auftraggeber 2 wird dem Auftragnehmer in der Aufforderung, soweit bereits bekannt, das Datum der geplanten Herstellung bzw. Erweiterung des Netzanschlusses mitteilen. Die Parteien werden sich einvernehmlich auf ein Datum für die Betriebsfreigabe nach vollständiger Errichtung des Standortes unter Berücksichtigung der bereits erfolgten Errichtungsleistungen einigen. Im Übrigen gilt § 14 entsprechend.</t>
  </si>
  <si>
    <t xml:space="preserve">ANF-851</t>
  </si>
  <si>
    <t xml:space="preserve">§ 18 (6)</t>
  </si>
  <si>
    <t xml:space="preserve">Nach vollständiger Errichtung und Betriebsfreigabe des Standorts erhält der Auftragnehmer die Differenz zwischen dem vom Auftraggeber 2 bereits gezahlten reduzierten Errichtungsentgelt und dem bis zu …</t>
  </si>
  <si>
    <t xml:space="preserve">Nach vollständiger Errichtung und Betriebsfreigabe des Standorts erhält der Auftragnehmer die Differenz zwischen dem vom Auftraggeber 2 bereits gezahlten reduzierten Errichtungsentgelt und dem bis zu diesem Zeitpunkt nach § 44 Abs. 3 vom Auftraggeber 2 zu zahlenden regulären Errichtungsentgelt entsprechend § 44 Abs. 3 ausgezahlt; der Auftragnehmer erhält mithin 70 % der Differenz des reduzierten Errichtungsentgelts und des regulären Errichtungsentgelts zzgl. der gesamten Umsatzsteuer auf die Differenz. Der Einbehalt ist unter Berücksichtigung bereits aufgelöster Teile neu zu berechnen. Nach der vollständigen Errichtung und Inbetriebnahme der (weiteren) Ladepunkte des Standortes erhält der Auftragnehmer das Betreiberentgelt nach § 45 in voller Höhe.</t>
  </si>
  <si>
    <t xml:space="preserve">ANF-852</t>
  </si>
  <si>
    <t xml:space="preserve">§ 18 (7)</t>
  </si>
  <si>
    <t xml:space="preserve">Hat die teilweise Errichtung eines Standortes Auswirkungen auf den Rahmenterminplan, so hat der Auftragnehmer einen Anspruch auf Anpassung des Rahmenterminplans gemäß § 12 Abs.</t>
  </si>
  <si>
    <t xml:space="preserve">Hat die teilweise Errichtung eines Standortes Auswirkungen auf den Rahmenterminplan, so hat der Auftragnehmer einen Anspruch auf Anpassung des Rahmenterminplans gemäß § 12 Abs. 2.</t>
  </si>
  <si>
    <t xml:space="preserve">ANF-853</t>
  </si>
  <si>
    <t xml:space="preserve">§ 19 (1)</t>
  </si>
  <si>
    <t xml:space="preserve">Der Auftraggeber 2 plant an einzelnen Rastanlagen der Vertragsanlage 2: Standorte die Durchführung von Ausbau- und Erhaltungsmaßnahmen (gemeinsam Baumaßnahmen).</t>
  </si>
  <si>
    <t xml:space="preserve">Der Auftraggeber 2 plant an einzelnen Rastanlagen der Vertragsanlage 2: Standorte die Durchführung von Ausbau- und Erhaltungsmaßnahmen (gemeinsam Baumaßnahmen). Die Details solcher Baumaßnahmen (insbesondere Art der Baumaßnahme, voraussichtlicher Beginn und geplante Verkehrsfreigabe der Rastanlage) ergeben sich aus Vertragsanlage 3: Angaben und Informationen zu den einzelnen Standorten.</t>
  </si>
  <si>
    <t xml:space="preserve">Kapitel: Ausbauvorhaben und Erhaltungsmaßnahmen an Rastanlagen
Fundstelle im PDF: Seite 20</t>
  </si>
  <si>
    <t xml:space="preserve">ANF-854</t>
  </si>
  <si>
    <t xml:space="preserve">§ 19 (2)</t>
  </si>
  <si>
    <t xml:space="preserve">Ist an einer Rastanlage eine Ausbaumaßnahme geplant, erfolgt während der Dauer der Ausbaumaßnahme eine Standortsperrung.</t>
  </si>
  <si>
    <t xml:space="preserve">Ist an einer Rastanlage eine Ausbaumaßnahme geplant, erfolgt während der Dauer der Ausbaumaßnahme eine Standortsperrung. Für die Errichtung der Ladeinfrastruktur gilt Folgendes:</t>
  </si>
  <si>
    <t xml:space="preserve">ANF-855</t>
  </si>
  <si>
    <t xml:space="preserve">§ 19 (2) a</t>
  </si>
  <si>
    <t xml:space="preserve">Erfolgt die planmäßige Verkehrsfreigabe für die Rastanlage bis zum 31.12.2030 (vgl.</t>
  </si>
  <si>
    <t xml:space="preserve">Erfolgt die planmäßige Verkehrsfreigabe für die Rastanlage bis zum 31.12.2030 (vgl. Vertragsanlage 3: Angaben und Informationen zu den einzelnen Standorten), errichtet der Auftragnehmer die Ladeinfrastruktur an dem Standort nach Erteilung der Verkehrsfreigabe der Rastanlage. Ein Anspruch auf Anpassung des Rahmenterminplans nach § 12 Abs. 2 besteht nur, wenn die Verkehrsfreigabe nach dem in der Vertragsanlage 3: Angaben und Informationen zu den einzelnen Standorten vorgesehenen Zeitpunkt erfolgt.</t>
  </si>
  <si>
    <t xml:space="preserve">ANF-856</t>
  </si>
  <si>
    <t xml:space="preserve">§ 19 (2) b</t>
  </si>
  <si>
    <t xml:space="preserve">Erfolgt die planmäßige Verkehrsfreigabe für die Rastanlage nach der Baumaßnahme zwischen dem 01.01.2031 und dem Ende der Vertragslaufzeit (vgl.</t>
  </si>
  <si>
    <t xml:space="preserve">Erfolgt die planmäßige Verkehrsfreigabe für die Rastanlage nach der Baumaßnahme zwischen dem 01.01.2031 und dem Ende der Vertragslaufzeit (vgl. Vertragsanlage 3: Angaben und Informationen zu den einzelnen Standorten), ist der Auftragnehmer verpflichtet, die Ladeinfrastruktur zunächst entsprechend den Vorgaben des Rahmenterminplans (vgl. Vertragsanlage 4: Leistungsbeschreibung Errichtung) zu errichten. Ist die Ladeinfrastruktur räumlich von der Ausbaumaßnahme betroffen, ist der Auftragnehmer verpflichtet, die Ladeinfrastruktur während der Dauer der Ausbaumaßnahme in dem erforderlichen Umfang abzubauen und nach Erteilung der Verkehrsfreigabe erneut aufzubauen. Für die Kosten des Abbaus und des Wideraufbaus gilt § 40 Abs. 2 dieses Vertrags. Ein Anspruch auf Anpassung des Rahmenterminplans nach § 12 Abs. 2 besteht nicht.</t>
  </si>
  <si>
    <t xml:space="preserve">ANF-857</t>
  </si>
  <si>
    <t xml:space="preserve">§ 19 (3)</t>
  </si>
  <si>
    <t xml:space="preserve">Ist an einer Rastanlage eine Erhaltungsmaßnahme geplant, erfolgt während der Dauer der Erhaltungsmaßnahme eine Standortsperrung nur, wenn dies in der Vertragsanlage 3: Angaben und Informationen zu …</t>
  </si>
  <si>
    <t xml:space="preserve">Ist an einer Rastanlage eine Erhaltungsmaßnahme geplant, erfolgt während der Dauer der Erhaltungsmaßnahme eine Standortsperrung nur, wenn dies in der Vertragsanlage 3: Angaben und Informationen zu den einzelnen Standorten vorgesehen ist. Ist eine Standortsperrung vorgesehen, gilt Absatz 2 lit. a und b entsprechend wobei die in Absatz 2 lit. a und b vorgesehene Verkehrsfreigabe das planmäßige Ende der Erhaltungsmaßnahme ist (Vertragsanlage 3: Angaben und Informationen zu den einzelnen Standorten).</t>
  </si>
  <si>
    <t xml:space="preserve">ANF-858</t>
  </si>
  <si>
    <t xml:space="preserve">§ 19 (4)</t>
  </si>
  <si>
    <t xml:space="preserve">Der Auftragnehmer hat in den Fällen des Absatzes 2 lit. b und des Absatzes 3 i.</t>
  </si>
  <si>
    <t xml:space="preserve">Der Auftragnehmer hat in den Fällen des Absatzes 2 lit. b und des Absatzes 3 i. V. m. Absatzes 2 lit. b einen Anspruch auf Zahlung von entgangenem Gewinn und Fortzahlung des Betreiberentgelts entsprechend § 16 Abs. 2 lit. a und b Satz 2, wenn die Verkehrsfreigabe bzw. das Ende der Erhaltungsmaßnahme mehr als zwei volle Kalendermonate nach dem in der Vertragsanlage 3: Angaben und Informationen zu den einzelnen Standorten vorgesehenen Zeitpunkt erfolgt. Der Anspruch besteht ab dem Monatsersten, der auf die zwei vollen Kalendermonate folgt, bis zur Verkehrsfreigabe bzw. zum Ende der Erhaltungsmaßnahme.</t>
  </si>
  <si>
    <t xml:space="preserve">ANF-859</t>
  </si>
  <si>
    <t xml:space="preserve">§ 19 (5)</t>
  </si>
  <si>
    <t xml:space="preserve">Der Auftragnehmer plant an einzelnen Rastanlagen die Umsetzung des telematischen Parkens.</t>
  </si>
  <si>
    <t xml:space="preserve">Der Auftragnehmer plant an einzelnen Rastanlagen die Umsetzung des telematischen Parkens. Die baulichen Maßnahmen zur Umsetzung des telematischen Parkens werden von einem dritten Dienstleister erbracht. Der Auftraggeber 2 wird den Auftragnehmer unverzüglich über entsprechende (bauliche) Umsetzungsmaßnahmen informieren, wenn sich Zeitraum und Umfang hinreichend konkretisieren lassen.</t>
  </si>
  <si>
    <t xml:space="preserve">Kapitel: Ausbauvorhaben und Erhaltungsmaßnahmen an Rastanlagen
Fundstelle im PDF: Seite 20
Zuordnung prüfen (Komponente/Partner nicht eindeutig)</t>
  </si>
  <si>
    <t xml:space="preserve">ANF-860</t>
  </si>
  <si>
    <t xml:space="preserve">§ 19 (6)</t>
  </si>
  <si>
    <t xml:space="preserve">Je nach Zeitpunkt der Umsetzung des telematischen Parkens gilt für den Betreiber das Folgende:</t>
  </si>
  <si>
    <t xml:space="preserve">ANF-861</t>
  </si>
  <si>
    <t xml:space="preserve">§ 19 (6) a</t>
  </si>
  <si>
    <t xml:space="preserve">Erfolgen die Maßnahmen zur Umsetzung des telematischen Parkens an einer Rastanlage bereits vor der Errichtung der Ladeinfrastruktur durch den Auftragnehmer, ist der Auftragnehmer verpflichtet, die …</t>
  </si>
  <si>
    <t xml:space="preserve">Erfolgen die Maßnahmen zur Umsetzung des telematischen Parkens an einer Rastanlage bereits vor der Errichtung der Ladeinfrastruktur durch den Auftragnehmer, ist der Auftragnehmer verpflichtet, die Ladeinfrastruktur entsprechend den Vorgaben des Rahmenterminplans und dem Kapitel 3.13.3 „Telematisches Parken“ der Vertragsanlage 4: Leistungsbeschreibung Errichtung zu errichten und hierbei die Vorgaben aus dem Abschnitt 3.13.3 „Telematisches Parken“ der Vertragsanlage 4: Leistungsbeschreibung Errichtung zu berücksichtigen.</t>
  </si>
  <si>
    <t xml:space="preserve">ANF-862</t>
  </si>
  <si>
    <t xml:space="preserve">§ 19 (7)</t>
  </si>
  <si>
    <t xml:space="preserve">Der Auftragnehmer hat in den Fällen des Absatzes 6 lit. b für die Dauer der baulichen Maßnahmen einen Anspruch auf Zahlung von entgangenem Gewinn und Fortzahlung des Betreiberentgelts entsprechend § …</t>
  </si>
  <si>
    <t xml:space="preserve">Der Auftragnehmer hat in den Fällen des Absatzes 6 lit. b für die Dauer der baulichen Maßnahmen einen Anspruch auf Zahlung von entgangenem Gewinn und Fortzahlung des Betreiberentgelts entsprechend § 16 Abs. 2 lit. a und b Satz 2. Für die Kosten des Abbaus und des Wideraufbaus gilt § 40 Abs. 2 dieses Vertrags.</t>
  </si>
  <si>
    <t xml:space="preserve">ANF-863</t>
  </si>
  <si>
    <t xml:space="preserve">§ 20 (1)</t>
  </si>
  <si>
    <t xml:space="preserve">Der Auftraggeber 2 kann einzelne in der Vertragsanlage 2: Standorte aufgeführte Standorte während der Laufzeit dieses Vertrags auch nach Erteilung der Betriebsfreigabe aus sachlichen Gründen …</t>
  </si>
  <si>
    <t xml:space="preserve">Der Auftraggeber 2 kann einzelne in der Vertragsanlage 2: Standorte aufgeführte Standorte während der Laufzeit dieses Vertrags auch nach Erteilung der Betriebsfreigabe aus sachlichen Gründen vorübergehend außer Betrieb setzen (z. B. im Falle von Straßenbauarbeiten oder sonstigen dem Betrieb entgegenstehenden Renovierungen am Standort) oder dauerhaft stilllegen (etwa im Falle einer dauerhaften Verlegung des Standortes oder der Verwirklichung eines neuen Standortlayouts). Im Fall einer Stilllegung sind die Ladeinfrastruktur sowie die sonstigen baulichen Elemente auf Aufforderung des Auftraggebers 2 in dem in der Aufforderung genannten Umfang innerhalb von zwei Monaten auf Kosten des Auftraggebers 2 zurückzubauen und in Abstimmung mit dem Auftraggeber 2 an einem anderen Standort zu nutzen. Für die Kosten des Rückbaus und des Aufbaus an einem anderen Standort gilt § 40 Abs. 2 dieses Vertrags.</t>
  </si>
  <si>
    <t xml:space="preserve">Kapitel: Außerbetriebnahme und Stilllegung von Standorten
Fundstelle im PDF: Seite 21</t>
  </si>
  <si>
    <t xml:space="preserve">ANF-864</t>
  </si>
  <si>
    <t xml:space="preserve">§ 20 (2)</t>
  </si>
  <si>
    <t xml:space="preserve">Für dauerhaft stillgelegte und vorübergehend außer Betrieb genommene Standorte nach Absatz 1 erfolgt eine Fortzahlung des Betreiberentgelts nach Maßgabe von § 45 Abs.</t>
  </si>
  <si>
    <t xml:space="preserve">Für dauerhaft stillgelegte und vorübergehend außer Betrieb genommene Standorte nach Absatz 1 erfolgt eine Fortzahlung des Betreiberentgelts nach Maßgabe von § 45 Abs. 6 und des noch ausstehenden Errichtungsentgelts nach Maßgabe von § 44. Zusätzlich erhält der Auftragnehmer für dauerhaft stillgelegte Standorte bis zu einer gegebenenfalls erfolgten Inbetriebnahme an einem neuen Standort eine Kompensation, deren Höhe sich nach dem Durchschnitt der Gewinne richtet, die der Auftragnehmer in den drei Kalendermonaten, die der Sperrung vorangingen, erzielt hat. Nach Ablauf des zwölften vollen Kalendermonats ermittelt sich die Höhe der Kompensation anhand der durchschnittlich erzielten Gewinne an einem vergleichbaren Standort. Die Parteien verständigen sich über die Vergleichbarkeit von Standorten. Darüber hinausgehende Ansprüche des Auftragnehmers bestehen nicht.</t>
  </si>
  <si>
    <t xml:space="preserve">ANF-865</t>
  </si>
  <si>
    <t xml:space="preserve">§ 20 (3)</t>
  </si>
  <si>
    <t xml:space="preserve">Bleiben die Parkplätze ausnahmsweise im Falle eines Ausbauvorhabens oder im Fall einer vorübergehenden Außerbetriebnahme der Ladeinfrastruktur nutzbar, sind die Ladeplätze an dem Standort …</t>
  </si>
  <si>
    <t xml:space="preserve">Bleiben die Parkplätze ausnahmsweise im Falle eines Ausbauvorhabens oder im Fall einer vorübergehenden Außerbetriebnahme der Ladeinfrastruktur nutzbar, sind die Ladeplätze an dem Standort unverzüglich für schwere Nutzfahrzeuge, Busse und Gespanne i. S. v. § 18 Abs. 2 freizugeben.</t>
  </si>
  <si>
    <t xml:space="preserve">ANF-866</t>
  </si>
  <si>
    <t xml:space="preserve">§ 21</t>
  </si>
  <si>
    <t xml:space="preserve">Das Eigentum an der im Rahmen dieses Vertrags errichteten Ladeinfrastruktur einschließlich aller im Rahmen der Errichtung verwendeten Materialien geht zum Zeitpunkt der Abnahme auf den Auftraggeber 1 …</t>
  </si>
  <si>
    <t xml:space="preserve">Das Eigentum an der im Rahmen dieses Vertrags errichteten Ladeinfrastruktur einschließlich aller im Rahmen der Errichtung verwendeten Materialien geht zum Zeitpunkt der Abnahme auf den Auftraggeber 1 als Eigentümer der Grundstücke der Standorte über, sofern das Eigentum nicht bereits aufgrund gesetzlicher Vorschriften zu einem früheren Zeitpunkt auf ihn übergegangen ist. Die Einrichtungen des Netzanschlusses sowie gegebenenfalls erforderliche Speicher stehen, soweit sie nicht im Eigentum des Anschlussnetzbetreibers stehen, im Eigentum des Auftraggebers 1. ABSCHNITT 3 BETRIEB UND KUNDENZUFRIEDENHEIT</t>
  </si>
  <si>
    <t xml:space="preserve">Kapitel: Eigentum an der Ladeinfrastruktur und den Einrichtungen des Netzanschlusses
Fundstelle im PDF: Seite 21</t>
  </si>
  <si>
    <t xml:space="preserve">ANF-867</t>
  </si>
  <si>
    <t xml:space="preserve">§ 22 (1)</t>
  </si>
  <si>
    <t xml:space="preserve">Der Auftragnehmer betreibt die Ladeinfrastruktur nach den jeweils geltenden gesetzlichen und untergesetzlichen Vorgaben sowie den anerkannten Regeln der Technik.</t>
  </si>
  <si>
    <t xml:space="preserve">Der Auftragnehmer betreibt die Ladeinfrastruktur nach den jeweils geltenden gesetzlichen und untergesetzlichen Vorgaben sowie den anerkannten Regeln der Technik. Dazu zählen neben der AFIR u. a. die mess- und eichrechtlichen Bestimmungen sowie die der Preisangabenverordnung, in ihren zum Betriebszeitpunkt gültigen Fassungen. Soweit Vorgaben dieses Vertrags darüber hinausgehen, sind diese weiteren Vorgaben in diesem Vertrag nebst seiner Anlagen abschließend geregelt.</t>
  </si>
  <si>
    <t xml:space="preserve">Kapitel: Betrieb der Ladeinfrastruktur; Freigabe von MCS- und CCS-Ladepunkten zum Zwischenla-
Fundstelle im PDF: Seite 22</t>
  </si>
  <si>
    <t xml:space="preserve">ANF-868</t>
  </si>
  <si>
    <t xml:space="preserve">§ 22 (2)</t>
  </si>
  <si>
    <t xml:space="preserve">Der Auftragnehmer wird die Ladeeinrichtungen zudem gemäß den Vorgaben in Vertragsanlage 6: Anforderungen an die Ladeinfrastruktur betreiben.</t>
  </si>
  <si>
    <t xml:space="preserve">Der Auftragnehmer wird die Ladeeinrichtungen zudem gemäß den Vorgaben in Vertragsanlage 6: Anforderungen an die Ladeinfrastruktur betreiben. Der vom Auftragnehmer zu gewährleistende sichere und ordnungsgemäße Betrieb umfasst auch die Installation und gegebenenfalls notwendige Nachrüstung sicherheitsrelevanter Software auf Kosten des Auftragnehmers.</t>
  </si>
  <si>
    <t xml:space="preserve">ANF-869</t>
  </si>
  <si>
    <t xml:space="preserve">§ 23 (1)</t>
  </si>
  <si>
    <t xml:space="preserve">Der Auftragnehmer ist verpflichtet, die Ladeeinrichtungen und die dazugehörige Technik so zu betreiben, dass die daraus entstehenden Behinderungen oder Beeinträchtigungen für alle Verkehrsteilnehmer …</t>
  </si>
  <si>
    <t xml:space="preserve">Der Auftragnehmer ist verpflichtet, die Ladeeinrichtungen und die dazugehörige Technik so zu betreiben, dass die daraus entstehenden Behinderungen oder Beeinträchtigungen für alle Verkehrsteilnehmer möglichst gering sind. Alle Belange der Barrierefreiheit und der Verkehrssicherheit müssen zu jeder Zeit berücksichtigt und eingehalten werden. Die Sicherheit und Leichtigkeit des Verkehrs dürfen nicht eingeschränkt werden.</t>
  </si>
  <si>
    <t xml:space="preserve">Kapitel: Verkehrssicherungspflichten
Fundstelle im PDF: Seite 22</t>
  </si>
  <si>
    <t xml:space="preserve">ANF-870</t>
  </si>
  <si>
    <t xml:space="preserve">§ 23 (2)</t>
  </si>
  <si>
    <t xml:space="preserve">Der Auftragnehmer trägt die Verkehrssicherungspflichten hinsichtlich der von ihm errichteten Ladeinfrastruktur gemäß der Vertragsanlage 10: Leistungsbeschreibung Betrieb.</t>
  </si>
  <si>
    <t xml:space="preserve">Der Auftragnehmer trägt die Verkehrssicherungspflichten hinsichtlich der von ihm errichteten Ladeinfrastruktur gemäß der Vertragsanlage 10: Leistungsbeschreibung Betrieb. Dem Auftraggeber 2 obliegen die (Verkehrssicherungs-)Pflichten aus der Vertragsanlage 11: Leistungsheft für den Straßenbetrieb auf Bundesfernstraßen. Auftraggeber 2 und Auftragnehmer definieren und dokumentieren die Schnittstellen und nähere Abgrenzung der Verantwortungsbereiche von Auftraggeber 2 und Auftragnehmer vor der Betriebsfreigabe des jeweiligen Standorts jeweils mittels einer Nachtragsvereinbarung zu diesem Vertrag.</t>
  </si>
  <si>
    <t xml:space="preserve">ANF-871</t>
  </si>
  <si>
    <t xml:space="preserve">§ 23 (3)</t>
  </si>
  <si>
    <t xml:space="preserve">Der Auftragnehmer ist nach § 54 Abs. 2 verpflichtet, die Auftraggeber von Ansprüchen Dritter freizustellen, die diese gegen die Auftraggeber aufgrund einer Verletzung von Verkehrssicherungspflichten …</t>
  </si>
  <si>
    <t xml:space="preserve">Der Auftragnehmer ist nach § 54 Abs. 2 verpflichtet, die Auftraggeber von Ansprüchen Dritter freizustellen, die diese gegen die Auftraggeber aufgrund einer Verletzung von Verkehrssicherungspflichten durch den Auftragnehmer hinsichtlich der von ihm errichteten Ladeinfrastruktur geltend machen. Der Auftraggeber 2 ist verpflichtet, den Auftragnehmer von Ansprüchen Dritter freizustellen, die diese gegen den Auftragnehmer aufgrund einer schuldhaften Verletzung der von dem Auftraggeber 2 gemäß Abgrenzung in Absatz 2 übernommenen Verkehrssicherungspflichten durch den Auftraggeber 2 geltend machen.</t>
  </si>
  <si>
    <t xml:space="preserve">ANF-872</t>
  </si>
  <si>
    <t xml:space="preserve">§ 23 (4)</t>
  </si>
  <si>
    <t xml:space="preserve">Der Auftraggeber 2 überprüft in regelmäßigen Abständen die Wahrnehmung und Einhaltung der Verkehrssicherungspflichten des Auftragnehmers hinsichtlich der Ladeinfrastruktur und macht diesen …</t>
  </si>
  <si>
    <t xml:space="preserve">Der Auftraggeber 2 überprüft in regelmäßigen Abständen die Wahrnehmung und Einhaltung der Verkehrssicherungspflichten des Auftragnehmers hinsichtlich der Ladeinfrastruktur und macht diesen gegebenenfalls auf Handlungsbedarfe aufmerksam.</t>
  </si>
  <si>
    <t xml:space="preserve">Kapitel: Verkehrssicherungspflichten
Fundstelle im PDF: Seite 22
Zuordnung prüfen (Komponente/Partner nicht eindeutig)</t>
  </si>
  <si>
    <t xml:space="preserve">ANF-873</t>
  </si>
  <si>
    <t xml:space="preserve">§ 23 (5)</t>
  </si>
  <si>
    <t xml:space="preserve">Veränderungen oder Schäden an der Ladeinfrastruktur mit Einfluss auf die Verkehrssicherheit hat der Auftragnehmer unverzüglich zu beseitigen bzw. instand zu setzen sowie die Beseitigung der Schäden …</t>
  </si>
  <si>
    <t xml:space="preserve">Veränderungen oder Schäden an der Ladeinfrastruktur mit Einfluss auf die Verkehrssicherheit hat der Auftragnehmer unverzüglich zu beseitigen bzw. instand zu setzen sowie die Beseitigung der Schäden dem Auftraggeber 2 anzuzeigen. Die Vorgaben der Vertragsanlage 10: Leistungsbeschreibung Betrieb betreffend Berichte, Mitteilungen und Datenübermittlung sind zu beachten. Die Regelungen des § 28 bleiben unberührt.</t>
  </si>
  <si>
    <t xml:space="preserve">ANF-874</t>
  </si>
  <si>
    <t xml:space="preserve">§ 24 (1)</t>
  </si>
  <si>
    <t xml:space="preserve">Der Auftragnehmer ist verpflichtet, die Stromversorgung der Ladeinfrastruktur (Strom für Ladevorgänge sowie für die Einrichtungen gemäß Vertragsanlage 4: Leistungsbeschreibung Errichtung) …</t>
  </si>
  <si>
    <t xml:space="preserve">Der Auftragnehmer ist verpflichtet, die Stromversorgung der Ladeinfrastruktur (Strom für Ladevorgänge sowie für die Einrichtungen gemäß Vertragsanlage 4: Leistungsbeschreibung Errichtung) sicherzustellen, soweit der Strom nicht im Rahmen des Durchleitungsmodells nach § 34 von Dritten bereitgestellt wird. Bei einer vom Auftragnehmer nicht zu vertretenden Unterbrechung oder Unregelmäßigkeit der Stromversorgung ist, soweit es sich um Folgen einer Störung des Netzbetriebs einschließlich des Netzanschlusses oder einer Störung des Messstellenbetriebs handelt, der Auftragnehmer von seiner Leistungspflicht befreit.</t>
  </si>
  <si>
    <t xml:space="preserve">Kapitel: Stromversorgung, Anschlussnutzung, Stromherkunft
Fundstelle im PDF: Seite 23</t>
  </si>
  <si>
    <t xml:space="preserve">ANF-875</t>
  </si>
  <si>
    <t xml:space="preserve">§ 24 (2)</t>
  </si>
  <si>
    <t xml:space="preserve">Der Auftragnehmer bzw. sein Lieferant ist Netznutzer und zahlt die Netznutzungsentgelte, die netzbezogenen Umlagen und Abgaben sowie die Entgelte für Messstellenbetrieb und Messung.</t>
  </si>
  <si>
    <t xml:space="preserve">Der Auftragnehmer bzw. sein Lieferant ist Netznutzer und zahlt die Netznutzungsentgelte, die netzbezogenen Umlagen und Abgaben sowie die Entgelte für Messstellenbetrieb und Messung. Der Leistungspreis der Netzentgelte wird dem Auftragnehmer vom Auftraggeber 2 ersetzt. Der Arbeitspreis der Netzentgelte und die netzbezogenen Abgaben und Umlagen sind bei der Kalkulation der Entgelte für das Ad-hoc-Laden nach § 32 bzw. den von Mobilitätsdienstleistern zu zahlenden Entgelten (vgl. § 36) zu berücksichtigen bzw. werden im Rahmen des Durchleitungsmodells nach § 37 in der jeweils anfallenden Höhe weitergegeben.</t>
  </si>
  <si>
    <t xml:space="preserve">ANF-876</t>
  </si>
  <si>
    <t xml:space="preserve">§ 24 (3)</t>
  </si>
  <si>
    <t xml:space="preserve">Der Auftragnehmer ist Anschlussnutzer und wird, falls es der Anschlussnetzbetreiber verlangt, mit diesem einen Anschlussnutzungsvertrag abschließen.</t>
  </si>
  <si>
    <t xml:space="preserve">ANF-877</t>
  </si>
  <si>
    <t xml:space="preserve">§ 24 (4)</t>
  </si>
  <si>
    <t xml:space="preserve">Die Nutzung des Speichers auch zu anderen Zwecken als dem Betrieb der Ladeinfrastruktur ist ihm möglich, durch eine solche Nutzung darf jedoch ein tatsächlicher Bedarf an nach diesem Vertrag …</t>
  </si>
  <si>
    <t xml:space="preserve">Die Nutzung des Speichers auch zu anderen Zwecken als dem Betrieb der Ladeinfrastruktur ist ihm möglich, durch eine solche Nutzung darf jedoch ein tatsächlicher Bedarf an nach diesem Vertrag vorzuhaltender Ladeleistung nicht beeinträchtigt werden.</t>
  </si>
  <si>
    <t xml:space="preserve">ANF-878</t>
  </si>
  <si>
    <t xml:space="preserve">§ 24 (5)</t>
  </si>
  <si>
    <t xml:space="preserve">Der für den Ladevorgang erforderliche Strom sowie der Strom für die Ladeinfrastruktur müssen aus erneuerbaren Energien stammen (Ökostrom).</t>
  </si>
  <si>
    <t xml:space="preserve">Der für den Ladevorgang erforderliche Strom sowie der Strom für die Ladeinfrastruktur müssen aus erneuerbaren Energien stammen (Ökostrom). Der Lieferant des Stroms muss dazu für die zum Ladevorgang erforderlichen Strommengen Herkunftsnachweise gemäß § 3 Nr. 29 EEG beim Herkunftsnachweisregister des Umweltbundesamts entwerten.</t>
  </si>
  <si>
    <t xml:space="preserve">ANF-879</t>
  </si>
  <si>
    <t xml:space="preserve">§ 24 (6)</t>
  </si>
  <si>
    <t xml:space="preserve">Der Auftragnehmer ist verpflichtet, die Entwertung von Herkunftsnachweisen gemäß § 30 Abs.</t>
  </si>
  <si>
    <t xml:space="preserve">Der Auftragnehmer ist verpflichtet, die Entwertung von Herkunftsnachweisen gemäß § 30 Abs. 3 Herkunfts- und Regionalnachweis-Durchführungsverordnung mittels eines Registerausdrucks nachzuweisen. Der Nachweis ist jährlich, bezogen auf ein Kalenderjahr bis Ende Februar des Folgejahres, gegenüber dem Auftraggeber 2 zu erbringen.</t>
  </si>
  <si>
    <t xml:space="preserve">ANF-880</t>
  </si>
  <si>
    <t xml:space="preserve">§ 24 (7)</t>
  </si>
  <si>
    <t xml:space="preserve">Die Anforderungen nach den Absätzen 5 und 6 gelten nicht unmittelbar für Strom, den Endnutzer unter Inanspruchnahme des Durchleitungsmodells nach § 34 entnehmen.</t>
  </si>
  <si>
    <t xml:space="preserve">Die Anforderungen nach den Absätzen 5 und 6 gelten nicht unmittelbar für Strom, den Endnutzer unter Inanspruchnahme des Durchleitungsmodells nach § 34 entnehmen. In diesen Fällen richtet sich die Stromqualität nach den Vereinbarungen des Endnutzers mit seinem für die Bilanzierung des geladenen Stroms verantwortlichen Mobilitätsdienstleister bzw. Lieferanten, der auch für die Erfüllung der Voraussetzungen für die vereinbarte Qualität verantwortlich ist. Der Auftragnehmer wird im Rahmen des Durchleitungsmodells jedoch entsprechende Vorgaben machen (vgl. § 5 der Vertragsanlage 13: Bilanzierung Durchleitungsmodell).</t>
  </si>
  <si>
    <t xml:space="preserve">ANF-881</t>
  </si>
  <si>
    <t xml:space="preserve">§ 24 (8)</t>
  </si>
  <si>
    <t xml:space="preserve">Sofern das EEG oder ein anderes Gesetz während der Vertragslaufzeit strengere, allgemeinverbindliche Anforderungen an den Nachweis, dass es sich um Strom aus erneuerbaren Energien (Ökostrom) handelt, …</t>
  </si>
  <si>
    <t xml:space="preserve">Sofern das EEG oder ein anderes Gesetz während der Vertragslaufzeit strengere, allgemeinverbindliche Anforderungen an den Nachweis, dass es sich um Strom aus erneuerbaren Energien (Ökostrom) handelt, stellt, sind diese zu erfüllen.</t>
  </si>
  <si>
    <t xml:space="preserve">ANF-882</t>
  </si>
  <si>
    <t xml:space="preserve">Der Auftragnehmer kann CCS- und MCS-Ladepunkte an einem Standort von der Reservierungsmöglichkeit ausnehmen.</t>
  </si>
  <si>
    <t xml:space="preserve">Der Auftragnehmer kann CCS- und MCS-Ladepunkte an einem Standort von der Reservierungsmöglichkeit ausnehmen. Absatz 6 bleibt unberührt.</t>
  </si>
  <si>
    <t xml:space="preserve">Kapitel: Reservierung von Ladepunkten / Vertragsstrafe bei Nichtvorhaltung der Schnittstelle
Fundstelle im PDF: Seite 23
Fundstelle im Bestand bereits belegt, Text weicht ab – bitte gegen die alte Zeile prüfen</t>
  </si>
  <si>
    <t xml:space="preserve">ANF-883</t>
  </si>
  <si>
    <t xml:space="preserve">§ 26 (1)</t>
  </si>
  <si>
    <t xml:space="preserve">Der Auftragnehmer gewährleistet eine für Endnutzer kostenlose Hotline, die täglich 24 Stunden durch technisch kompetentes Personal besetzt ist und einen Remote-Zugriff auf die Ladeeinrichtungen hat.</t>
  </si>
  <si>
    <t xml:space="preserve">Der Auftragnehmer gewährleistet eine für Endnutzer kostenlose Hotline, die täglich 24 Stunden durch technisch kompetentes Personal besetzt ist und einen Remote-Zugriff auf die Ladeeinrichtungen hat. Die Hotline dient der Beantwortung von Fragen der Endnutzer, der Behebung von Störungen oder dem Starten des Ladevorgangs im Rahmen des Fernzugriffs und der Auslösung von Aufträgen zur Instandhaltung und zur Beseitigung von Störungen und Schäden an der Ladeeinrichtung. Anrufe werden unverzüglich entgegengenommen. Dabei bedeutet „unverzüglich“, dass im Normalfall 80 % aller Anrufe innerhalb von 20 Sekunden und 90 % aller Anrufe innerhalb von 60 Sekunden entgegengenommen werden, wobei für die Entgegennahme eine automatisierte Anrufbearbeitung ausreichend ist, mit der das Anliegen des Anrufers kategorisiert, die Eckdaten vorerfasst und nach Möglichkeit eine automatisierte Lösung herbeigeführt wird. Die Kommunikation erfolgt in Deutsch und Englisch. Die datenschutzrechtlichen Vorgaben, insbesondere die Datenschutz-Grundverordnung (DSGVO) sind einzuhalten. Der Auftragnehmer ist berechtigt, einen fachkundigen Dritten als Erfüllungsgehilfen zu beauftragen.</t>
  </si>
  <si>
    <t xml:space="preserve">Kapitel: Einrichtung einer telefonischen Hotline; Kundenzufriedenheit
Fundstelle im PDF: Seite 24</t>
  </si>
  <si>
    <t xml:space="preserve">ANF-884</t>
  </si>
  <si>
    <t xml:space="preserve">§ 26 (2)</t>
  </si>
  <si>
    <t xml:space="preserve">Der Auftragnehmer ist verpflichtet, die Telefonnummer dieser Hotline an der Ladeeinrichtung gemäß § 9 Abs.</t>
  </si>
  <si>
    <t xml:space="preserve">Der Auftragnehmer ist verpflichtet, die Telefonnummer dieser Hotline an der Ladeeinrichtung gemäß § 9 Abs. 4 kenntlich zu machen.</t>
  </si>
  <si>
    <t xml:space="preserve">ANF-885</t>
  </si>
  <si>
    <t xml:space="preserve">§ 26 (3)</t>
  </si>
  <si>
    <t xml:space="preserve">Sofern Anfragen nicht von der Hotline nach Absatz 1 erledigt werden, beantwortet bzw. bearbeitet der Auftragnehmer Anfragen, die wegen ihres geringen Gefahren- oder Schadenspotential kein …</t>
  </si>
  <si>
    <t xml:space="preserve">Sofern Anfragen nicht von der Hotline nach Absatz 1 erledigt werden, beantwortet bzw. bearbeitet der Auftragnehmer Anfragen, die wegen ihres geringen Gefahren- oder Schadenspotential kein unverzügliches Handeln erfordern, werktags, außer an Samstagen, zwischen 08:00 und 19:00 Uhr (Geschäftszeiten). Die Frist zur Initiierung des Prozesses zur Lösungsfindung (Bearbeitungsfrist innerhalb des 1st Level Support) beträgt eine Stunde. Eine finale Bearbeitung (Lösungszeit) erfolgt innerhalb von 12 Stunden. Dabei bleiben Zeiten zwischen 19:00 und 08:00 Uhr des folgenden Werktags unberücksichtigt. Für Kundenanfragen, die die DSGVO und die damit verbundenen Prozesse betreffen, hat im Rahmen der Bearbeitungsfrist lediglich die Mitteilung an den Endnutzer zu erfolgen, dass der entsprechende Prozess initiiert worden ist.</t>
  </si>
  <si>
    <t xml:space="preserve">Kapitel: Einrichtung einer telefonischen Hotline; Kundenzufriedenheit
Fundstelle im PDF: Seite 24
Zuordnung prüfen (Komponente/Partner nicht eindeutig)</t>
  </si>
  <si>
    <t xml:space="preserve">ANF-886</t>
  </si>
  <si>
    <t xml:space="preserve">§ 26 (4)</t>
  </si>
  <si>
    <t xml:space="preserve">Sollten in § 28 von den Fristen zur finalen Bearbeitung in Absatz 3 abweichende Zeiten zur Beseitigung von Störungen oder Schäden vorgesehen sein, gelten diese vorrangig.</t>
  </si>
  <si>
    <t xml:space="preserve">ANF-887</t>
  </si>
  <si>
    <t xml:space="preserve">§ 26 (5)</t>
  </si>
  <si>
    <t xml:space="preserve">Können sich Endnutzer an einer Ladeeinrichtung des Auftragnehmers nicht authentifizieren, ist der Auftragnehmer verpflichtet, unverzüglich, in der Regel innerhalb eines Zeitraums von maximal 15 …</t>
  </si>
  <si>
    <t xml:space="preserve">Können sich Endnutzer an einer Ladeeinrichtung des Auftragnehmers nicht authentifizieren, ist der Auftragnehmer verpflichtet, unverzüglich, in der Regel innerhalb eines Zeitraums von maximal 15 Minuten, zu klären, ob der Fehler vom ihm selbst oder einem Mobilitätsdienstleister des Endnutzers zu verantworten ist. Im letzteren Fall teilt der Auftragnehmer dies dem Endnutzer mit, damit dieser den Mobilitätsdienstleister kontaktieren bzw. einen Ad-hoc-Ladevorgang starten kann; kann der Endnutzer gleichwohl nicht laden, obliegt es dem Auftragnehmer, inwieweit er dem Endnutzer eine Ladung im Kulanzwege anbietet.</t>
  </si>
  <si>
    <t xml:space="preserve">ANF-888</t>
  </si>
  <si>
    <t xml:space="preserve">§ 26 (6)</t>
  </si>
  <si>
    <t xml:space="preserve">Der Auftragnehmer ist verpflichtet, die Kundenzufriedenheit nach Maßgabe der Vertragsanlage 10: Leistungsbeschreibung Betrieb zu ermitteln.</t>
  </si>
  <si>
    <t xml:space="preserve">Der Auftragnehmer ist verpflichtet, die Kundenzufriedenheit nach Maßgabe der Vertragsanlage 10: Leistungsbeschreibung Betrieb zu ermitteln. Dafür stellt er sicher, dass den Endnutzern niederschwellige Möglichkeiten (z. B. mobile Webseite) zur Bewertung („Feedback“) zur Verfügung stehen.</t>
  </si>
  <si>
    <t xml:space="preserve">ANF-889</t>
  </si>
  <si>
    <t xml:space="preserve">§ 26 (7)</t>
  </si>
  <si>
    <t xml:space="preserve">Die Parteien sind sich einig, dass während der Vertragslaufzeit zur Erhöhung der Kundenzufriedenheit Gespräche über geeignete Maßnahmen des Auftragnehmers, insbesondere betreffend die Sicherstellung …</t>
  </si>
  <si>
    <t xml:space="preserve">Die Parteien sind sich einig, dass während der Vertragslaufzeit zur Erhöhung der Kundenzufriedenheit Gespräche über geeignete Maßnahmen des Auftragnehmers, insbesondere betreffend die Sicherstellung hygienischer Grundbedürfnisse, Versorgung mit Artikeln für den Reisebedarf sowie die Erhöhung des Sicherheitsempfindens, geführt werden können. Der Auftraggeber wird bei Vorliegen der rechtlichen und sachlichen Voraussetzung die Umsetzung derartiger Maßnahmen prüfen. ABSCHNITT 4 TECHNISCHE VERFÜGBARKEIT UND INSTANDHALTUNG DER LADEEINRICHTUNGEN</t>
  </si>
  <si>
    <t xml:space="preserve">ANF-890</t>
  </si>
  <si>
    <t xml:space="preserve">§ 27 (1)</t>
  </si>
  <si>
    <t xml:space="preserve">Der Auftragnehmer stellt sicher, dass jeder Ladepunkt ab dem Tag, der auf die Betriebsfreigabe des Standorts gemäß § 13 Abs.</t>
  </si>
  <si>
    <t xml:space="preserve">Der Auftragnehmer stellt sicher, dass jeder Ladepunkt ab dem Tag, der auf die Betriebsfreigabe des Standorts gemäß § 13 Abs. 1 folgt, bis zum Vertragsende technisch verfügbar ist. Ein Ladepunkt ist technisch verfügbar, wenn Endnutzer laden können und dabei die technischen Anforderungen an die Ladeeinrichtungen gemäß Vertragsanlage 6: Anforderungen an die Ladeinfrastruktur eingehalten sind. Einschränkungen der technischen Verfügbarkeit hat der Auftragnehmer im Rahmen seiner vertraglichen Leistungspflichten zu beheben. Bis zum Ablauf des 31.12.2030 gilt ein MCS-Ladepunkt ungeachtet seiner technischen Nichtverfügbarkeit im Sinne von Vertragsstrafen und Regelungen zu Nichtverfügbarkeiten als verfügbar, wenn und soweit Endnutzern bzw. Mobilitätsdienstleistern ein anderer MCS-Ladepunkt an dem Standort technisch und tatsächlich zur Verfügung steht, MCS-Ladewünsche daher nicht zurückgewiesen werden müssen. Die alternative Verfügbarkeit ist durch den Auftragnehmer nachzuweisen (z. B. durch Back-End-Status). § 8 Abs. 3 bleibt unberührt.</t>
  </si>
  <si>
    <t xml:space="preserve">Kapitel: Technische Verfügbarkeit der Ladeeinrichtungen, Vertragsstrafe bei Einschränkungen
Fundstelle im PDF: Seite 25</t>
  </si>
  <si>
    <t xml:space="preserve">ANF-891</t>
  </si>
  <si>
    <t xml:space="preserve">§ 27 (2)</t>
  </si>
  <si>
    <t xml:space="preserve">Bestimmte Einschränkungen der technischen Verfügbarkeit eines Ladepunktes haben, vorbehaltlich von Absatz 4, den Anfall einer Pönale zur Folge, die auf der Grundlage von Ausfallminuten berechnet wird.</t>
  </si>
  <si>
    <t xml:space="preserve">Bestimmte Einschränkungen der technischen Verfügbarkeit eines Ladepunktes haben, vorbehaltlich von Absatz 4, den Anfall einer Pönale zur Folge, die auf der Grundlage von Ausfallminuten berechnet wird. Näheres regelt Vertragsanlage 10: Leistungsbeschreibung Betrieb. Eine hiernach zu zahlende Vertragsstrafe ist • je MCS-Ladepunkt und Kalendertag auf einen Betrag von € 1.000,00 und je MCS-Ladepunkt und Kalenderjahr auf einen Betrag von € 75.000,00 und • je CCS-Ladepunkt und Kalendertag auf einen Betrag von € 750,00 und je CCS-Ladepunkt und Kalenderjahr auf einen Betrag von € 45.000,00 begrenzt. Pönalen werden nach Vorliegen der Abrechnung des Entgelts für ein Quartal des Vertragszeitraums zur Zahlung fällig.</t>
  </si>
  <si>
    <t xml:space="preserve">Aplitronic / SCS</t>
  </si>
  <si>
    <t xml:space="preserve">Pönalisierungssystem / Ladeeinrichtung</t>
  </si>
  <si>
    <t xml:space="preserve">ANF-892</t>
  </si>
  <si>
    <t xml:space="preserve">§ 27 (3)</t>
  </si>
  <si>
    <t xml:space="preserve">Der Auftragnehmer ist verpflichtet, die sich nach Absatz 2 ergebenden Pönalen monatsgenau zu ermitteln und, jeweils für das zurückliegende Quartal, in der jeweiligen quartalsmäßigen Abrechnung und …</t>
  </si>
  <si>
    <t xml:space="preserve">Der Auftragnehmer ist verpflichtet, die sich nach Absatz 2 ergebenden Pönalen monatsgenau zu ermitteln und, jeweils für das zurückliegende Quartal, in der jeweiligen quartalsmäßigen Abrechnung und Rechnungsstellung nach § 44 Abs. 6 und § 45 Abs. 4 zu berücksichtigen, wobei dem Auftraggeber 2 ein Recht zur Prüfung und Beanstandung der Abrechnung ebenso zusteht wie die Verrechnung von Pönalen mit sonstigen Ansprüchen des Auftragnehmers (wobei Verrechnungen gemäß § 51 Abs. 4 vorrangig mit dem Betreiberentgelt erfolgen).</t>
  </si>
  <si>
    <t xml:space="preserve">ANF-893</t>
  </si>
  <si>
    <t xml:space="preserve">§ 27 (4)</t>
  </si>
  <si>
    <t xml:space="preserve">Wenn und soweit der Auftragnehmer nachweist, dass eine Ausfallminute auf Umstände zurückzuführen ist, die nicht von ihm zu vertreten sind und außerhalb seines Verantwortungsbereichs liegen (z.</t>
  </si>
  <si>
    <t xml:space="preserve">Wenn und soweit der Auftragnehmer nachweist, dass eine Ausfallminute auf Umstände zurückzuführen ist, die nicht von ihm zu vertreten sind und außerhalb seines Verantwortungsbereichs liegen (z. B. Endnutzerverhalten oder Ausfall von Strom- oder Funknetzen, nicht jedoch der Ausfall eines Transformators), bleibt diese Ausfallminute bei der Berechnung der Pönale außer Betracht.</t>
  </si>
  <si>
    <t xml:space="preserve">ANF-894</t>
  </si>
  <si>
    <t xml:space="preserve">§ 27 (5)</t>
  </si>
  <si>
    <t xml:space="preserve">Für den Kalendermonat der Betriebsfreigabe eines Standorts sowie die sechs hierauf folgenden Kalendermonate fällt keine Pönale nach Absatz 2 in Verbindung mit Vertragsanlage 10: Leistungsbeschreibung …</t>
  </si>
  <si>
    <t xml:space="preserve">Für den Kalendermonat der Betriebsfreigabe eines Standorts sowie die sechs hierauf folgenden Kalendermonate fällt keine Pönale nach Absatz 2 in Verbindung mit Vertragsanlage 10: Leistungsbeschreibung Betrieb an (Ramp-up-Phase). Die Verpflichtung des Auftragnehmers zur Behebung von Störungen und Schäden nach § 28 besteht auch in dieser Phase.</t>
  </si>
  <si>
    <t xml:space="preserve">ANF-895</t>
  </si>
  <si>
    <t xml:space="preserve">§ 27 (6)</t>
  </si>
  <si>
    <t xml:space="preserve">Ergänzend zu den Vertragsstrafenregelungen gelten die Kündigungsrechte der Auftraggeber gemäß § 56 Abs.</t>
  </si>
  <si>
    <t xml:space="preserve">Ergänzend zu den Vertragsstrafenregelungen gelten die Kündigungsrechte der Auftraggeber gemäß § 56 Abs. 2 e), § 56 Abs. 2 f) sowie, im Falle gravierender Verstöße gegen die vertraglichen Verpflichtungen zur Übermittlung von Störungsmeldungen oder zur Erstellung von Abrechnungen der Pönale, gemäß § 56 Abs. 2 c) aa).</t>
  </si>
  <si>
    <t xml:space="preserve">Pönalisierungssystem / Monitoring / Ladeeinrichtung</t>
  </si>
  <si>
    <t xml:space="preserve">ANF-896</t>
  </si>
  <si>
    <t xml:space="preserve">§ 28 (1)</t>
  </si>
  <si>
    <t xml:space="preserve">Erlangt der Auftragnehmer Kenntnis von einer Störung oder von einem Schaden an der Ladeinfrastruktur oder an sonstigen baulichen Elementen, muss der Auftragnehmer unverzüglich aufklären, ob eine …</t>
  </si>
  <si>
    <t xml:space="preserve">Erlangt der Auftragnehmer Kenntnis von einer Störung oder von einem Schaden an der Ladeinfrastruktur oder an sonstigen baulichen Elementen, muss der Auftragnehmer unverzüglich aufklären, ob eine Gefahr für Leib, Leben oder die Verkehrssicherheit vorliegt. Liegt eine solche Gefahr vor, muss der Auftragnehmer die notwendigen, gegebenenfalls provisorischen Maßnahmen unverzüglich, spätestens aber innerhalb von 30 Minuten ab Kenntnis, veranlassen.</t>
  </si>
  <si>
    <t xml:space="preserve">Kapitel: Entstörung und Behebung von Schäden
Fundstelle im PDF: Seite 26
Zuordnung prüfen (Komponente/Partner nicht eindeutig)</t>
  </si>
  <si>
    <t xml:space="preserve">ANF-897</t>
  </si>
  <si>
    <t xml:space="preserve">§ 28 (2)</t>
  </si>
  <si>
    <t xml:space="preserve">Der Auftragnehmer ist verpflichtet, Störungen und Schäden an der Ladeinfrastruktur oder an sonstigen baulichen Elementen, die die Funktionsfähigkeit der Ladeeinrichtungen beeinträchtigen, unmittelbar …</t>
  </si>
  <si>
    <t xml:space="preserve">Der Auftragnehmer ist verpflichtet, Störungen und Schäden an der Ladeinfrastruktur oder an sonstigen baulichen Elementen, die die Funktionsfähigkeit der Ladeeinrichtungen beeinträchtigen, unmittelbar nach Kenntniserlangung zu beheben, wenn dies durch einen Remote-Zugriff möglich ist. Ladevorgänge müssen seitens der Ladeeinrichtung bei Bedarf oder nach einer Störung unmittelbar und automatisch neu gestartet werden können, soweit dies technisch möglich und zulässig ist.</t>
  </si>
  <si>
    <t xml:space="preserve">Kapitel: Entstörung und Behebung von Schäden
Fundstelle im PDF: Seite 26</t>
  </si>
  <si>
    <t xml:space="preserve">ANF-898</t>
  </si>
  <si>
    <t xml:space="preserve">§ 28 (3)</t>
  </si>
  <si>
    <t xml:space="preserve">Ist eine Vor-Ort-Entstörung notwendig, ist eine Behebung einer Störung oder eines Schadens an der Ladeinfrastruktur oder an sonstigen baulichen Elementen binnen 48 Stunden durchzuführen, dabei …</t>
  </si>
  <si>
    <t xml:space="preserve">Ist eine Vor-Ort-Entstörung notwendig, ist eine Behebung einer Störung oder eines Schadens an der Ladeinfrastruktur oder an sonstigen baulichen Elementen binnen 48 Stunden durchzuführen, dabei bleiben Zeiten zwischen Freitag 17:00 Uhr und Montag 08:00 Uhr unberücksichtigt; sind alle Ladepunkte des Standorts betroffen, ist eine Behebung binnen 24 Stunden durchzuführen. Dies gilt nicht, wenn der Auftragnehmer darlegt und beweist, dass die Behebung der Störung oder des Schadens innerhalb der in Satz 1 genannten Fristen nicht möglich oder unzumutbar</t>
  </si>
  <si>
    <t xml:space="preserve">ANF-899</t>
  </si>
  <si>
    <t xml:space="preserve">§ 28 (3) i</t>
  </si>
  <si>
    <t xml:space="preserve">S. d. § 275 Abs. 2 BGB ist.</t>
  </si>
  <si>
    <t xml:space="preserve">S. d. § 275 Abs. 2 BGB ist. Soweit eine Vor-Ort-Entstörung bei MCS- und CCS-Ladepunkten oder an sonstigen baulichen Elementen nicht unmittelbar durch den Auftragnehmer durchgeführt werden kann, ist eine Behebung von Störungen oder Schäden unverzüglich vom Auftragnehmer zu beauftragen und ab Beauftragung innerhalb der in Satz 1 genannten Fristen zu beheben. Für Schäden und Störungen am Transformator muss abweichend von Satz 1 innerhalb von 24 Stunden nach Kenntniserlangung eine Behebung der Störung/des Schadens (gegebenenfalls durch die übergangsweise Anmietung eines Miettransformators) initiiert werden.</t>
  </si>
  <si>
    <t xml:space="preserve">ANF-900</t>
  </si>
  <si>
    <t xml:space="preserve">§ 28 (4)</t>
  </si>
  <si>
    <t xml:space="preserve">Störungen und Schäden i. S. v.</t>
  </si>
  <si>
    <t xml:space="preserve">Störungen und Schäden i. S. v. Absatz 2 sind als Statusinformation des Ladepunkts im Back-End einzutragen, sodass potenzielle Endnutzer dies erkennen können. Gleiches gilt für die Behebung einer Störung oder eines Schadens. Die Vorgaben zu Datenschnittstelle, Format und Frist gemäß Vertragsanlage 10: Leistungsbeschreibung Betrieb sind zu beachten.</t>
  </si>
  <si>
    <t xml:space="preserve">ANF-901</t>
  </si>
  <si>
    <t xml:space="preserve">§ 28 (5)</t>
  </si>
  <si>
    <t xml:space="preserve">Störungen und Schäden, die die Funktionsfähigkeit der Ladeeinrichtungen nicht beeinträchtigen, wie z.</t>
  </si>
  <si>
    <t xml:space="preserve">Störungen und Schäden, die die Funktionsfähigkeit der Ladeeinrichtungen nicht beeinträchtigen, wie z. B. Graffiti, Beklebungen oder Beulen, sind vom Auftragnehmer spätestens anlässlich geplanter Wartungs- und Instandhaltungsmaßnahmen zu beheben und im Rahmen der zum Wartungs- und Instandhaltungskonzept vereinbarten Berichte die Behebung zu berichten. Absatz 1 bleibt unberührt.</t>
  </si>
  <si>
    <t xml:space="preserve">ANF-902</t>
  </si>
  <si>
    <t xml:space="preserve">§ 28 (6)</t>
  </si>
  <si>
    <t xml:space="preserve">Abweichend von Absatz 5 ist der Auftragnehmer verpflichtet, Symbole oder Parolen verfassungswidriger oder terroristischer Organisationen i.</t>
  </si>
  <si>
    <t xml:space="preserve">Abweichend von Absatz 5 ist der Auftragnehmer verpflichtet, Symbole oder Parolen verfassungswidriger oder terroristischer Organisationen i. S. d. § 86a StGB an der Ladeinfrastruktur nach Möglichkeit – gegebenenfalls provisorisch – innerhalb eines Werktags ab dem Tag der Kenntniserlangung zu entfernen. Für den Fristbeginn gilt § 187 Abs. 1 BGB.</t>
  </si>
  <si>
    <t xml:space="preserve">ANF-903</t>
  </si>
  <si>
    <t xml:space="preserve">§ 29 (1)</t>
  </si>
  <si>
    <t xml:space="preserve">Der Auftragnehmer ist für die bedarfsgerechte Instandhaltung sowie gegebenenfalls Wiederherstellung bzw.</t>
  </si>
  <si>
    <t xml:space="preserve">Der Auftragnehmer ist für die bedarfsgerechte Instandhaltung sowie gegebenenfalls Wiederherstellung bzw. Erneuerung der Ladeinfrastruktur verantwortlich, dies umfasst insbesondere auch die Pflicht zur Beseitigung von Störungen und Schäden.</t>
  </si>
  <si>
    <t xml:space="preserve">Kapitel: Instandhaltung, Wiederherstellung und Erneuerung
Fundstelle im PDF: Seite 27
Zuordnung prüfen (Komponente/Partner nicht eindeutig)</t>
  </si>
  <si>
    <t xml:space="preserve">ANF-904</t>
  </si>
  <si>
    <t xml:space="preserve">§ 29 (2)</t>
  </si>
  <si>
    <t xml:space="preserve">Der Auftragnehmer ist verpflichtet, eigenständig und unter Beachtung rechtlicher Vorgaben bzw. der von den Herstellern vorgegebenen oder den allgemeinen Regeln der Technik entsprechenden …</t>
  </si>
  <si>
    <t xml:space="preserve">Der Auftragnehmer ist verpflichtet, eigenständig und unter Beachtung rechtlicher Vorgaben bzw. der von den Herstellern vorgegebenen oder den allgemeinen Regeln der Technik entsprechenden Wartungsvorgaben und -intervallen zu prüfen, ob eine Instandhaltungsmaßnahme an der Ladeinfrastruktur erforderlich ist, und führt sie fristgerecht aus. Hierzu wird der Auftragnehmer nach Zuschlagserteilung und im Rahmen des Bau- und Betriebsfreigabeprozesses für jeden Standort ein Wartungs- und Instandhaltungskonzept erarbeiten, das dann vom Auftraggeber 2 freigegeben und dem Vertrag als Vertragsanlage 12: Wartungs- und Instandhaltungskonzept beigefügt wird.</t>
  </si>
  <si>
    <t xml:space="preserve">Kapitel: Instandhaltung, Wiederherstellung und Erneuerung
Fundstelle im PDF: Seite 27</t>
  </si>
  <si>
    <t xml:space="preserve">ANF-905</t>
  </si>
  <si>
    <t xml:space="preserve">§ 29 (3)</t>
  </si>
  <si>
    <t xml:space="preserve">Der Auftragnehmer trägt die Gefahr einer Beschädigung oder Zerstörung der Ladeinfrastruktur.</t>
  </si>
  <si>
    <t xml:space="preserve">Der Auftragnehmer trägt die Gefahr einer Beschädigung oder Zerstörung der Ladeinfrastruktur. Eine Wiederherstellungspflicht des Auftragnehmers bei Beschädigung, Zerstörung oder Beeinträchtigung der Nutzbarkeit infolge höherer Gewalt oder aufgrund von Drittgewalt auf Kosten des Auftragnehmers besteht nur in folgenden Fällen:</t>
  </si>
  <si>
    <t xml:space="preserve">ANF-906</t>
  </si>
  <si>
    <t xml:space="preserve">§ 29 (3) a</t>
  </si>
  <si>
    <t xml:space="preserve">wenn und soweit eine teilweise Wiederherstellung möglich ist, soweit die Kosten für die Wiederherstellung von einer Versicherung gedeckt sind (Zahlungsbestätigung der Versicherung) oder gedeckt …</t>
  </si>
  <si>
    <t xml:space="preserve">wenn und soweit eine teilweise Wiederherstellung möglich ist, soweit die Kosten für die Wiederherstellung von einer Versicherung gedeckt sind (Zahlungsbestätigung der Versicherung) oder gedeckt wären, hätte der Auftragnehmer die nach § 55 abzuschließende Versicherung abgeschlossen und alle Pflichten unter dem Versicherungsvertrag erfüllt. Ein im Versicherungsvertrag vereinbarter Selbstbehalt des Auftragnehmers ist von diesem zu tragen.</t>
  </si>
  <si>
    <t xml:space="preserve">ANF-907</t>
  </si>
  <si>
    <t xml:space="preserve">§ 29 (3) b</t>
  </si>
  <si>
    <t xml:space="preserve">bei Schäden, die nicht zu versichern sind, etwa im Falle von Schäden durch Kratzer, Schrammen, Dellen infolge von Vandalismus/böswilliger Beschädigung an der Ladeinfrastruktur, die nicht entsprechend …</t>
  </si>
  <si>
    <t xml:space="preserve">bei Schäden, die nicht zu versichern sind, etwa im Falle von Schäden durch Kratzer, Schrammen, Dellen infolge von Vandalismus/böswilliger Beschädigung an der Ladeinfrastruktur, die nicht entsprechend nachfolgendem lit. c zu ersetzen sind, wenn der Schaden je Schadenereignis einen Betrag von € 50.000,00 nicht übersteigt. Schadenereignis meint jede Handlung, die den Schaden unmittelbar ausgelöst hat. Hierbei können mehrere Handlungen ein Schadenereignis darstellen, wenn zwischen den einzelnen Handlungen ein sachlicher und zeitlicher Zusammengang besteht.</t>
  </si>
  <si>
    <t xml:space="preserve">ANF-908</t>
  </si>
  <si>
    <t xml:space="preserve">§ 29 (3) c</t>
  </si>
  <si>
    <t xml:space="preserve">bei Drittgewalt, wenn der Schaden den Betrag von € 50.000,00 übersteigt, nur, wenn und – soweit eine teilweise Wiederherstellung möglich ist – soweit verbindlich (z.</t>
  </si>
  <si>
    <t xml:space="preserve">bei Drittgewalt, wenn der Schaden den Betrag von € 50.000,00 übersteigt, nur, wenn und – soweit eine teilweise Wiederherstellung möglich ist – soweit verbindlich (z. B. durch eine entsprechende Kostenübernahmeerklärung oder ein rechtskräftiges Gerichtsurteil) feststeht, dass der Verursacher oder dessen Versicherung die Kosten für den entstandenen Schaden übernimmt. Eine Wiederherstellungspflicht nach diesem Absatz auf Kosten des Auftragnehmers besteht nicht (mehr), wenn und sobald die vom Auftragnehmer nach diesem Absatz zu tragenden Kosten (einschließlich der Selbstbehalte) insgesamt über die gesamte Vertragslaufzeit einen Betrag von € 0,5 Mio. übersteigen. Wenn und soweit eine Instandsetzung, Wiederherstellung bzw. Erneuerung durch den Auftragnehmer auf seine Kosten gemäß den vorstehenden Regelungen ausgeschlossen oder nach Maßgabe von Absatz 7 nicht durchsetzbar ist, werden die darüber hinausgehenden erforderlichen Kosten gemäß den Regelungen für geänderte oder zusätzliche Leistungen gemäß § 40 Abs. 2 erstattet. Die Darlegungs- und Beweislast für Tatsachen, die die Wiederherstellungspflicht ausschließen, trifft den Auftragnehmer.</t>
  </si>
  <si>
    <t xml:space="preserve">ANF-909</t>
  </si>
  <si>
    <t xml:space="preserve">§ 29 (4)</t>
  </si>
  <si>
    <t xml:space="preserve">Jede geplante Wartungs- und Instandhaltungsmaßnahme an der Ladeinfrastruktur, die voraussichtlich eine Ausfallzeit des Ladepunkts bzw. der Ladeeinrichtung von mehr als 15 Minuten zur Folge hat, ist …</t>
  </si>
  <si>
    <t xml:space="preserve">Jede geplante Wartungs- und Instandhaltungsmaßnahme an der Ladeinfrastruktur, die voraussichtlich eine Ausfallzeit des Ladepunkts bzw. der Ladeeinrichtung von mehr als 15 Minuten zur Folge hat, ist im Back-End als geplante Statusänderung einzutragen, sodass es den Endnutzern möglich ist, die Ausfallzeit über einen Kartendienst oder eine Kunden-App einzusehen. Nähere Vorgaben sind Vertragsanlage 10: Leistungsbeschreibung Betrieb zu entnehmen.</t>
  </si>
  <si>
    <t xml:space="preserve">ANF-910</t>
  </si>
  <si>
    <t xml:space="preserve">§ 29 (5)</t>
  </si>
  <si>
    <t xml:space="preserve">Wenn Instandhaltungs- oder Erneuerungsmaßnahmen den Verkehr im öffentlichen Raum beeinträchtigen, wird der Auftragnehmer die Maßnahmen nach Möglichkeit außerhalb der Hauptverkehrszeiten durchführen.</t>
  </si>
  <si>
    <t xml:space="preserve">Wenn Instandhaltungs- oder Erneuerungsmaßnahmen den Verkehr im öffentlichen Raum beeinträchtigen, wird der Auftragnehmer die Maßnahmen nach Möglichkeit außerhalb der Hauptverkehrszeiten durchführen. Als Hauptverkehrszeiten gelten von Montag bis Freitag die Zeiten von 07:00 bis 09:30 Uhr sowie von 15:00 bis 19:00 Uhr.</t>
  </si>
  <si>
    <t xml:space="preserve">ANF-911</t>
  </si>
  <si>
    <t xml:space="preserve">§ 29 (6)</t>
  </si>
  <si>
    <t xml:space="preserve">Der Auftragnehmer ist verpflichtet, soweit erforderlich, während einer baulichen oder sonstigen Maßnahme zur Instandhaltung oder Erneuerung Absicherungen nach den Richtlinien für die Sicherung von …</t>
  </si>
  <si>
    <t xml:space="preserve">Der Auftragnehmer ist verpflichtet, soweit erforderlich, während einer baulichen oder sonstigen Maßnahme zur Instandhaltung oder Erneuerung Absicherungen nach den Richtlinien für die Sicherung von Arbeitsstellen an Straßen (RSA), wie etwa Sperreinrichtungen, aufzustellen, um einen sicheren Verkehr zu gewährleisten. Dazu holt der Auftragnehmer von der zuständigen Straßenverkehrsbehörde eine gegebenenfalls erforderliche verkehrsrechtliche Erlaubnis ein und übernimmt die entsprechende Absicherung. Bei der Ergreifung von Sicherungsmaßnahmen sind alle Belange der Barrierefreiheit und der Verkehrssicherheit zu berücksichtigen bzw. einzuhalten.</t>
  </si>
  <si>
    <t xml:space="preserve">ANF-912</t>
  </si>
  <si>
    <t xml:space="preserve">§ 29 (7)</t>
  </si>
  <si>
    <t xml:space="preserve">Der Auftragnehmer ist verpflichtet, alle ihm zur Verfügung stehenden Rechtsmittel und Zwangsvollstreckungsmaßnahmen zur Durchsetzung etwaiger Schadensersatzansprüche gegen Dritte auf eigene Kosten …</t>
  </si>
  <si>
    <t xml:space="preserve">Der Auftragnehmer ist verpflichtet, alle ihm zur Verfügung stehenden Rechtsmittel und Zwangsvollstreckungsmaßnahmen zur Durchsetzung etwaiger Schadensersatzansprüche gegen Dritte auf eigene Kosten auszuschöpfen, soweit bei wirtschaftlich angemessenen Bemühungen hinreichende Aussicht auf Erfolg besteht. Der Auftragnehmer hat dies dem Auftraggeber 2 auf Verlangen nachzuweisen, es sei denn der Auftraggeber 1 verzichtet durch Erklärung gegenüber dem Auftragnehmer darauf, dass der Auftragnehmer dies tut. Die Auftraggeber werden etwaige gegenüber Dritten aufgrund der Zerstörung oder Beschädigung der Ladeinfrastruktur bestehende Ansprüche an den Auftragnehmer abtreten.</t>
  </si>
  <si>
    <t xml:space="preserve">ANF-913</t>
  </si>
  <si>
    <t xml:space="preserve">§ 29 (8)</t>
  </si>
  <si>
    <t xml:space="preserve">Werden Maßnahmen erforderlich, die eine Genehmigung nach § 4 FStrG erfordern, holt der Auftragnehmer diese Genehmigung vor Beginn der Ausführung der Arbeiten von der zuständigen Behörde ein.</t>
  </si>
  <si>
    <t xml:space="preserve">Werden Maßnahmen erforderlich, die eine Genehmigung nach § 4 FStrG erfordern, holt der Auftragnehmer diese Genehmigung vor Beginn der Ausführung der Arbeiten von der zuständigen Behörde ein. ABSCHNITT 5 ZUGANG ZU LADEEINRICHTUNGEN UND ZUGANGSENTGELTE; DURCHLEITUNGSMODELL</t>
  </si>
  <si>
    <t xml:space="preserve">ANF-914</t>
  </si>
  <si>
    <t xml:space="preserve">§ 30 (1)</t>
  </si>
  <si>
    <t xml:space="preserve">Der Auftragnehmer ist verpflichtet, Endnutzern und anderen Mobilitätsdienstleistern diskriminierungsfrei Zugang zur Ladeinfrastruktur gegen Zahlung eines Entgelts zu gewähren.</t>
  </si>
  <si>
    <t xml:space="preserve">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t>
  </si>
  <si>
    <t xml:space="preserve">Kapitel: Bereitstellung der Ladeinfrastruktur
Fundstelle im PDF: Seite 28</t>
  </si>
  <si>
    <t xml:space="preserve">ANF-915</t>
  </si>
  <si>
    <t xml:space="preserve">§ 30 (2)</t>
  </si>
  <si>
    <t xml:space="preserve">Der Zugang erfolgt durch die Bereitstellung von Ladestrom für Endnutzer im Rahmen des Adhoc-Ladens § 31, gegenüber Mobilitätsdienstleistern für deren Kunden auf Grundlage bilateraler Verträge und …</t>
  </si>
  <si>
    <t xml:space="preserve">Der Zugang erfolgt durch die Bereitstellung von Ladestrom für Endnutzer im Rahmen des Adhoc-Ladens § 31, gegenüber Mobilitätsdienstleistern für deren Kunden auf Grundlage bilateraler Verträge und über E-Roaming-Plattformen mit bilanzieller Bereitstellung der geladenen Strommengen durch den Auftragnehmer (vgl. § 33). Zudem ist Mobilitätsdienstleistern für deren Kunden der Zugang zur Infrastruktur auch im Rahmen des Durchleitungsmodells nach § 34 zu gewähren. In diesem Fall ist die Bereitstellung des geladenen Stroms in einem Bilanzkreis des Mobilitätsdienstleisters oder eines von ihm beauftragten Dritten sicherzustellen.</t>
  </si>
  <si>
    <t xml:space="preserve">ANF-916</t>
  </si>
  <si>
    <t xml:space="preserve">§ 30 (3)</t>
  </si>
  <si>
    <t xml:space="preserve">Der Auftragnehmer kann ein Blockadeentgelt nach § 38 erheben.</t>
  </si>
  <si>
    <t xml:space="preserve">Der Auftragnehmer kann ein Blockadeentgelt nach § 38 erheben. Das Blockadeentgelt ist diskriminierungsfrei von allen Endnutzern und Mobilitätsdienstleistern zu erheben.</t>
  </si>
  <si>
    <t xml:space="preserve">ANF-917</t>
  </si>
  <si>
    <t xml:space="preserve">§ 31 (2)</t>
  </si>
  <si>
    <t xml:space="preserve">Bargeldlose Zahlungen müssen entsprechend den Vorgaben der AFIR ermöglicht werden (vgl.</t>
  </si>
  <si>
    <t xml:space="preserve">Bargeldlose Zahlungen müssen entsprechend den Vorgaben der AFIR ermöglicht werden (vgl. Vertragsanlage 6: Anforderungen an die Ladeinfrastruktur). Zusätzliche Authentifizierungsund Zahlungsmöglichkeiten können den Endnutzern kostenlos eingeräumt werden Die Menüführung bei Authentifizierung und Zahlung muss mindestens in den Sprachen Deutsch und Englisch ermöglicht werden.</t>
  </si>
  <si>
    <t xml:space="preserve">Kapitel: Ad-hoc-Laden
Fundstelle im PDF: Seite 29</t>
  </si>
  <si>
    <t xml:space="preserve">ANF-918</t>
  </si>
  <si>
    <t xml:space="preserve">§ 31 (3)</t>
  </si>
  <si>
    <t xml:space="preserve">Mögliche Ad-hoc-Bezahlverfahren müssen dem Endnutzer in geeigneter Weise angezeigt werden.</t>
  </si>
  <si>
    <t xml:space="preserve">Mögliche Ad-hoc-Bezahlverfahren müssen dem Endnutzer in geeigneter Weise angezeigt werden. Die Varianten zum browserbasierten bzw. zum webbasierten Bezahlen sind dem Endnutzer auf geeignete, niederschwellige und sichere Weise (z. B. über einen sicheren QR-Code) zugänglich zu machen. Ein QR-Code muss für den Endnutzer gut sichtbar sein und muss, etwa als spezifischer QR-Code, gegen Verfälschung2 geschützt sein. Zur Nutzung der Ladeeinrichtung scannt der Endnutzer den QR-Code mit seinem Smartphone ein und wird auf eine mobile Website oder zur webbasierten Anwendung weitergeleitet. Mittels der mobilen Website muss ein durchschnittlicher Endnutzer den Ladevorgang bei ordnungsgemäßer Bedienung innerhalb von 90 Sekunden in Gang setzen können.</t>
  </si>
  <si>
    <t xml:space="preserve">ANF-919</t>
  </si>
  <si>
    <t xml:space="preserve">§ 31 (4)</t>
  </si>
  <si>
    <t xml:space="preserve">Um für Benutzer von Ladepunkten Preistransparenz zu gewährleisten, muss das Entgelt für das Ad-hoc-Laden an der Ladeeinrichtung angegeben werden.</t>
  </si>
  <si>
    <t xml:space="preserve">Um für Benutzer von Ladepunkten Preistransparenz zu gewährleisten, muss das Entgelt für das Ad-hoc-Laden an der Ladeeinrichtung angegeben werden. Erfolgt die Zahlung über ein Bezahlterminal, so ist das Entgelt gleichwohl unmittelbar an der Ladeeinrichtung anzuzeigen. Setzt sich das Entgelt aus mehreren Bestandteilen zusammen (z. B. der Preis pro kWh für den gelieferten Strom, Nutzungsentgelte wie Blockadeentgelt etc.), sind diese an der Ladeeinrichtung separat auszuweisen. Im Fall der browserbasierten bzw. webbasierten Begleichung des Ad-hoc-Preises muss der Ad-hoc-Preis spätestens vor der Einleitung des Ladevorgangs angegeben werden. Das Ausweisen der Ad-hoc-Ladekonditionen ausschließlich über eine Smartphone-App ist nicht zulässig.</t>
  </si>
  <si>
    <t xml:space="preserve">Authentifizierungskomponente / Abrechnungskomponente / Ladeeinrichtung</t>
  </si>
  <si>
    <t xml:space="preserve">ANF-920</t>
  </si>
  <si>
    <t xml:space="preserve">§ 32 (1)</t>
  </si>
  <si>
    <t xml:space="preserve">Der Ad-hoc-Preis muss angemessen und transparent sein.</t>
  </si>
  <si>
    <t xml:space="preserve">Der Ad-hoc-Preis muss angemessen und transparent sein. Er ist diskriminierungsfrei von allen Endnutzern zu erheben. Der Ad-hoc-Preis ist in Euro pro kWh auszuweisen.</t>
  </si>
  <si>
    <t xml:space="preserve">Kapitel: Ad-hoc-Preis
Fundstelle im PDF: Seite 29</t>
  </si>
  <si>
    <t xml:space="preserve">ANF-921</t>
  </si>
  <si>
    <t xml:space="preserve">§ 32 (2)</t>
  </si>
  <si>
    <t xml:space="preserve">Der Ad-hoc-Preis muss grundsätzlich dem Entgelt entsprechen, das einem Mobilitätsdienstleister für eine vergleichbare Leistung abgerechnet würde, eine Differenzierung ist nur zulässig, wenn diese …</t>
  </si>
  <si>
    <t xml:space="preserve">Der Ad-hoc-Preis muss grundsätzlich dem Entgelt entsprechen, das einem Mobilitätsdienstleister für eine vergleichbare Leistung abgerechnet würde, eine Differenzierung ist nur zulässig, wenn diese verhältnismäßig und objektiv gerechtfertigt ist, zum Beispiel aufgrund eines höheren oder 2 Künftige gesetzliche Regelungen, die Anforderungen an das Schutzniveau festlegen, sind zu beachten. geringeren Abwicklungsaufwand. Der Ad-hoc-Preis kann an den Standorten unterschiedlich hoch sein.</t>
  </si>
  <si>
    <t xml:space="preserve">ANF-922</t>
  </si>
  <si>
    <t xml:space="preserve">§ 32 (3)</t>
  </si>
  <si>
    <t xml:space="preserve">Das an den Auftraggeber 2 abzuführende Infrastrukturentgelt gemäß § 46 ist Teil der Kalkulation des Ad-hoc-Preises durch den Auftragnehmer.</t>
  </si>
  <si>
    <t xml:space="preserve">ANF-923</t>
  </si>
  <si>
    <t xml:space="preserve">§ 32 (4)</t>
  </si>
  <si>
    <t xml:space="preserve">Es ist dem Auftragnehmer untersagt, von Endnutzern einen Ad-hoc-Preis zu erheben, der marktunüblich und unangemessen i.</t>
  </si>
  <si>
    <t xml:space="preserve">Es ist dem Auftragnehmer untersagt, von Endnutzern einen Ad-hoc-Preis zu erheben, der marktunüblich und unangemessen i. S. v. Rn. 216 der Leitlinien für staatliche Klima-, Umweltschutzund Energiebeihilfen 2022 (KUEBLL) und den einschlägigen zivil- und kartellrechtlichen Regelungen ist. Es ist dem Auftragnehmer insbesondere untersagt, eine marktbeherrschende Stellung bei der Preisfestsetzung zu missbrauchen.</t>
  </si>
  <si>
    <t xml:space="preserve">ANF-924</t>
  </si>
  <si>
    <t xml:space="preserve">§ 32 (5)</t>
  </si>
  <si>
    <t xml:space="preserve">Der Auftragnehmer ist verpflichtet, den Auftraggebern auf Verlangen während der Laufzeit des Vertrags Auskunft über die Höhe seines Ad-hoc-Preises zu erteilen.</t>
  </si>
  <si>
    <t xml:space="preserve">Der Auftragnehmer ist verpflichtet, den Auftraggebern auf Verlangen während der Laufzeit des Vertrags Auskunft über die Höhe seines Ad-hoc-Preises zu erteilen. Auf Nachfrage der Auftraggeber (mindestens in Textform) hat der Auftragnehmer die Marktgerechtigkeit und Angemessenheit des Ad-hoc-Preises unter Bezugnahme auf relevanten Kosten und das Marktumfeld innerhalb von 10 Werktagen nachvollziehbar zu begründen. Nachfragen der Auftraggeber (mindestens in Textform) zu einzelnen Aspekten der Begründung wird der Auftragnehmer innerhalb von 10 Werktagen beantworten.</t>
  </si>
  <si>
    <t xml:space="preserve">ANF-925</t>
  </si>
  <si>
    <t xml:space="preserve">§ 32 (6)</t>
  </si>
  <si>
    <t xml:space="preserve">Halten die Auftraggeber die Höhe des Ad-hoc-Preises dennoch – trotz der Darlegung und Plausibilisierung durch den Auftragnehmer gemäß Absatz 5 – für unangemessen bzw. marktunüblich, insbesondere weil …</t>
  </si>
  <si>
    <t xml:space="preserve">Halten die Auftraggeber die Höhe des Ad-hoc-Preises dennoch – trotz der Darlegung und Plausibilisierung durch den Auftragnehmer gemäß Absatz 5 – für unangemessen bzw. marktunüblich, insbesondere weil der Ad-hoc-Preis signifikant über denen von Anbietern strukturell vergleichbarer Ladeinfrastruktur oder über den Kosten für den Aufbau vergleichbarer Ladeinfrastruktur unter Berücksichtigung von Investitions-, Kapital- und Betriebskosten liegen, können die Auftraggeber den Vorgang bei der zuständigen Kartellbehörde zur Anzeige bringen, damit die zuständige Kartellbehörde für die Parteien verbindlich feststellen kann, ob der Ad-hoc-Preis marktunüblich und unangemessen ist. Dabei ist ihnen eine Offenlegung der insoweit maßgeblichen Informationen gegenüber der zuständigen Kartellbehörde gestattet.</t>
  </si>
  <si>
    <t xml:space="preserve">ANF-926</t>
  </si>
  <si>
    <t xml:space="preserve">§ 32 (7)</t>
  </si>
  <si>
    <t xml:space="preserve">Der Auftragnehmer ist berechtigt, den Ad-hoc-Preis anzupassen und eine Systematik zur flexiblen Festsetzung des Ad-hoc-Preises (etwa durch Kopplung an kurzfristige Energiepreise) zu erstellen.</t>
  </si>
  <si>
    <t xml:space="preserve">Der Auftragnehmer ist berechtigt, den Ad-hoc-Preis anzupassen und eine Systematik zur flexiblen Festsetzung des Ad-hoc-Preises (etwa durch Kopplung an kurzfristige Energiepreise) zu erstellen. Dabei muss sichergestellt werden, dass auch Kostenentlastungen zeitnah und angemessen preiswirksam werden. Sofern dies nicht automatisiert erfolgt, ist der Auftragnehmer verpflichtet, die Systematik anzupassen.</t>
  </si>
  <si>
    <t xml:space="preserve">ANF-927</t>
  </si>
  <si>
    <t xml:space="preserve">§ 33 (1)</t>
  </si>
  <si>
    <t xml:space="preserve">Der Auftragnehmer ist verpflichtet, Mobilitätsdienstleistern für deren Kunden den Zugang zur Ladeinfrastruktur diskriminierungsfrei sowie zu angemessenen und transparenten Bedingungen zu ermöglichen.</t>
  </si>
  <si>
    <t xml:space="preserve">Der Auftragnehmer ist verpflichtet, Mobilitätsdienstleistern für deren Kunden den Zugang zur Ladeinfrastruktur diskriminierungsfrei sowie zu angemessenen und transparenten Bedingungen zu ermöglichen. Dessen ungeachtet kann dem Auftragnehmer die Gewährung des Zugangs zur Ladeinfrastruktur nicht zumutbar sein (z. B. aufgrund negativer Bonität des Mobilitätsdienstleisters). Die Pflicht nach Satz 1 gilt auch, wenn und soweit der Auftragnehmer selbst als Mobilitätsdienstleister auftritt.</t>
  </si>
  <si>
    <t xml:space="preserve">Kapitel: Zugang für Mobilitätsdienstleister / Vertragsstrafe bei Nichtgewährung des Zugangs
Fundstelle im PDF: Seite 30</t>
  </si>
  <si>
    <t xml:space="preserve">ANF-928</t>
  </si>
  <si>
    <t xml:space="preserve">§ 33 (2)</t>
  </si>
  <si>
    <t xml:space="preserve">Der Zugang erfolgt mit bilanzieller Bereitstellung der geladenen Strommengen oder nach Maßgabe der besonderen Voraussetzungen des § 34 im Wege des Durchleitungsmodells ohne bilanzielle Bereitstellung …</t>
  </si>
  <si>
    <t xml:space="preserve">Der Zugang erfolgt mit bilanzieller Bereitstellung der geladenen Strommengen oder nach Maßgabe der besonderen Voraussetzungen des § 34 im Wege des Durchleitungsmodells ohne bilanzielle Bereitstellung der geladenen Strommengen. Die vom Auftragnehmer betriebenen Ladepunkte sind Mobilitätsdienstleistern über bilaterale Verträge und/oder E-Roaming-Plattformen (vgl. § 35) zugänglich zu machen.</t>
  </si>
  <si>
    <t xml:space="preserve">ANF-929</t>
  </si>
  <si>
    <t xml:space="preserve">§ 33 (3)</t>
  </si>
  <si>
    <t xml:space="preserve">Verstößt der Auftragnehmer gegen die Pflicht nach Absatz 1 Satz 1 i.</t>
  </si>
  <si>
    <t xml:space="preserve">Verstößt der Auftragnehmer gegen die Pflicht nach Absatz 1 Satz 1 i. V. m. Absatz 2 wird für jeden Kalendertag eine Vertragsstrafe in Höhe von € 2.500,00 fällig. Die Höhe der Vertragsstrafe ist für ein Kalenderjahr auf einen Betrag von € 40.000,00 begrenzt. Ein Verstoß gegen die Pflichten nach Absatz 1 Satz 1 i. V. m. Absatz 2 liegt insbesondere vor, wenn</t>
  </si>
  <si>
    <t xml:space="preserve">ANF-930</t>
  </si>
  <si>
    <t xml:space="preserve">§ 33 (3) a</t>
  </si>
  <si>
    <t xml:space="preserve">der Auftragnehmer den Zugang zur Ladeinfrastruktur im Wege des Durchleitungsmodells nicht ermöglicht (etwa, weil er die hierfür erforderlichen Maßnahmen nach § 2 Abs.</t>
  </si>
  <si>
    <t xml:space="preserve">der Auftragnehmer den Zugang zur Ladeinfrastruktur im Wege des Durchleitungsmodells nicht ermöglicht (etwa, weil er die hierfür erforderlichen Maßnahmen nach § 2 Abs. 4 der Vertragsanlage 13: Bilanzierung Durchleitungsmodell nicht unternimmt und/oder während der Laufzeit des Vertrags nicht sicherstellt), oder</t>
  </si>
  <si>
    <t xml:space="preserve">ANF-931</t>
  </si>
  <si>
    <t xml:space="preserve">§ 33 (3) b</t>
  </si>
  <si>
    <t xml:space="preserve">der Auftragnehmer den Zugang für einzelne Mobilitätsdienstleister trotz Zumutbarkeit nicht gewährleistet.</t>
  </si>
  <si>
    <t xml:space="preserve">der Auftragnehmer den Zugang für einzelne Mobilitätsdienstleister trotz Zumutbarkeit nicht gewährleistet. In dem Fall fällt die Vertragsstrafe erst an, wenn der Auftragnehmer die Diskriminierung trotz Aufforderung des Auftraggebers 2 in Textform, in der die Diskriminierung darzulegen ist, nicht unverzüglich abstellt.</t>
  </si>
  <si>
    <t xml:space="preserve">ANF-932</t>
  </si>
  <si>
    <t xml:space="preserve">§ 34 (1)</t>
  </si>
  <si>
    <t xml:space="preserve">Der Auftragnehmer ist verpflichtet, nach Wahl des Mobilitätsdienstleisters für die Nutzung im Rahmen des Durchleitungsmodells eine bilanzielle Zuordnung der geladenen Strommengen nach Maßgabe der …</t>
  </si>
  <si>
    <t xml:space="preserve">Der Auftragnehmer ist verpflichtet, nach Wahl des Mobilitätsdienstleisters für die Nutzung im Rahmen des Durchleitungsmodells eine bilanzielle Zuordnung der geladenen Strommengen nach Maßgabe der Anlage 6 der Festlegung BK6-20-160 zur Weiterentwicklung der Netzzugangsbedingungen Strom der Bundesnetzagentur vom 21. Dezember 2020 (Netzzugangsregeln zur Ermöglichung einer ladevorgangscharfen bilanziellen Energiemengenzuordnung für Elektromobilität (NZR-EMob)) zu einem vom Mobilitätsdienstleister benannten Bilanzkonto zu ermöglichen. Der vom Auftragnehmer vertraglich gewährte Zugang zur Ladeinfrastruktur beinhaltet daher nicht die bilanzielle Bereitstellung der vom jeweiligen Endnutzer geladenen Strommengen, für die sein Mobilitätsdienstleister selbst Sorge tragen muss.</t>
  </si>
  <si>
    <t xml:space="preserve">Kapitel: Durchleitungsmodell
Fundstelle im PDF: Seite 31</t>
  </si>
  <si>
    <t xml:space="preserve">ANF-933</t>
  </si>
  <si>
    <t xml:space="preserve">§ 34 (2)</t>
  </si>
  <si>
    <t xml:space="preserve">Der Auftragnehmer wird zur Ermöglichung des Durchleitungsmodells mit den jeweiligen Anschlussnetzbetreibern der Standorte die erforderlichen Vereinbarungen schließen.</t>
  </si>
  <si>
    <t xml:space="preserve">Der Auftragnehmer wird zur Ermöglichung des Durchleitungsmodells mit den jeweiligen Anschlussnetzbetreibern der Standorte die erforderlichen Vereinbarungen schließen. Den Auftragnehmer treffen alle Pflichten eines aggregationsverantwortlichen Netzbetreibers. Er ist verantwortlich für die Bildung der Netzzeitreihe und die Zuordnung der Energiemengen zu den jeweiligen Bilanzkonten. Dazu muss der Auftragnehmer bzw. ein Erfüllungsgehilfe die Regelungen der MaBiS anwenden und im Wege der elektronischen Marktkommunikation nach der vom BDEW veröffentlichten „Anwendungshilfe zum Modell 2 zur ladevorgangsscharfen bilanziellen Energiemengenzuordnungsmöglichkeit“ in der jeweils geltenden Fassung kommunizieren.</t>
  </si>
  <si>
    <t xml:space="preserve">ANF-934</t>
  </si>
  <si>
    <t xml:space="preserve">§ 34 (3)</t>
  </si>
  <si>
    <t xml:space="preserve">Voraussetzung der Wahl des Durchleitungsmodells ist, dass eine entsprechende Vereinbarung über die separate Bilanzierung (vgl.</t>
  </si>
  <si>
    <t xml:space="preserve">Voraussetzung der Wahl des Durchleitungsmodells ist, dass eine entsprechende Vereinbarung über die separate Bilanzierung (vgl. Vertragsanlage 13: Bilanzierung Durchleitungsmodell) getroffen wurde oder ein Dritter, der eine entsprechende Vereinbarung geschlossen hat, gegenüber dem Auftragnehmer eine Zuordnungsvereinbarung entsprechend Vertragsanlage 13: Bilanzierung Durchleitungsmodell erteilt hat.</t>
  </si>
  <si>
    <t xml:space="preserve">ANF-935</t>
  </si>
  <si>
    <t xml:space="preserve">§ 34 (4)</t>
  </si>
  <si>
    <t xml:space="preserve">Wird an einem Standort ein die Anschlusskapazität teilweise ersetzender Speicher aufgestellt (vgl. § 49), so hat der Auftragnehmer sicherzustellen, dass die im Wege des Durchleitungsmodells …</t>
  </si>
  <si>
    <t xml:space="preserve">Wird an einem Standort ein die Anschlusskapazität teilweise ersetzender Speicher aufgestellt (vgl. § 49),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</si>
  <si>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ANF-936</t>
  </si>
  <si>
    <t xml:space="preserve">§ 34 (5)</t>
  </si>
  <si>
    <t xml:space="preserve">Hat der Auftragnehmer für die Umsetzung des Durchleitungsmodells einen Nachunternehmer beauftragt und stellt dieser seine Tätigkeit ein oder erfolgt eine außerordentliche Kündigung, wird die …</t>
  </si>
  <si>
    <t xml:space="preserve">Hat der Auftragnehmer für die Umsetzung des Durchleitungsmodells einen Nachunternehmer beauftragt und stellt dieser seine Tätigkeit ein oder erfolgt eine außerordentliche Kündigung, wird die Verpflichtung nach diesem Paragrafen ausgesetzt. Satz 1 gilt, bis der Auftragnehmer sich einen neuen Dienstleister zu angemessenen wirtschaftlichen und rechtlichen Bedingungen nehmen kann oder er die Umsetzung selbst gewährleisten kann, längstens jedoch für einen Zeitraum von 6 Monaten. Der Auftragnehmer ist verpflichtet, dem Auftraggeber 2 die Aussetzung und Wiederaufnahme des Durchleitungsmodells nach diesem Absatz unverzüglich schriftlich anzeigen. Der Auftragnehmer hat die Gründe, die zu einer Aussetzung der Verpflichtungen nach diesem Paragrafen geführt haben, nachvollziehbar darzulegen; insbesondere hat der Auftragnehmer darzulegen, dass der Nachunternehmer unter Anwendung der Sorgfalt eines ordentlichen Kaufmanns ausgewählt wurde und, dass der Auftragnehmer vernünftige Anstrengungen unternommen hat, um seine Verpflichtung zur Umsetzung des Durchleitungsmodells erbringen zu können.</t>
  </si>
  <si>
    <t xml:space="preserve">ANF-937</t>
  </si>
  <si>
    <t xml:space="preserve">§ 35 (1)</t>
  </si>
  <si>
    <t xml:space="preserve">Der Auftragnehmer hat – während der gesamten Laufzeit dieses Vertrags – die Anbindung an mindestens eine der in der Bundesrepublik Deutschland tätigen zwei größten E-Roaming-Plattformen (größte Zahl …</t>
  </si>
  <si>
    <t xml:space="preserve">Der Auftragnehmer hat – während der gesamten Laufzeit dieses Vertrags – die Anbindung an mindestens eine der in der Bundesrepublik Deutschland tätigen zwei größten E-Roaming-Plattformen (größte Zahl in der Bundesrepublik angebundener Ladepunkte) sicherzustellen. Sofern sich ein abweichender Marktstandard für die Vermittlung von Ladepunkten für E-Lkw entwickelt, kann von Satz 1 mit Zustimmung des Auftraggebers 2 abgewichen werden.</t>
  </si>
  <si>
    <t xml:space="preserve">Kapitel: Anbindung an E-Roaming-Plattformen; Authentifizierung
Fundstelle im PDF: Seite 31</t>
  </si>
  <si>
    <t xml:space="preserve">ANF-938</t>
  </si>
  <si>
    <t xml:space="preserve">§ 35 (2)</t>
  </si>
  <si>
    <t xml:space="preserve">Sofern der Auftragnehmer die Nutzung von Bedingungen abhängig macht, die die Kunden des Mobilitätsdienstleisters als Endnutzer akzeptieren müssen, müssen diese ebenfalls angemessen und …</t>
  </si>
  <si>
    <t xml:space="preserve">Sofern der Auftragnehmer die Nutzung von Bedingungen abhängig macht, die die Kunden des Mobilitätsdienstleisters als Endnutzer akzeptieren müssen, müssen diese ebenfalls angemessen und diskriminierungsfrei sein.</t>
  </si>
  <si>
    <t xml:space="preserve">ANF-939</t>
  </si>
  <si>
    <t xml:space="preserve">§ 35 (3)</t>
  </si>
  <si>
    <t xml:space="preserve">Endnutzern von E-Lkw in der Bundesrepublik Deutschland soll das Laden betreiberübergreifend,</t>
  </si>
  <si>
    <t xml:space="preserve">ANF-940</t>
  </si>
  <si>
    <t xml:space="preserve">§ 35 (3) d</t>
  </si>
  <si>
    <t xml:space="preserve">h. bei allen Auftragnehmern, die im Rahmen der Ausschreibung für Standorte entlang der Bundesautobahn den Zuschlag auf ein Los erhalten haben, einfach möglich sein.</t>
  </si>
  <si>
    <t xml:space="preserve">h. bei allen Auftragnehmern, die im Rahmen der Ausschreibung für Standorte entlang der Bundesautobahn den Zuschlag auf ein Los erhalten haben, einfach möglich sein. Die Möglichkeiten der Authentifizierung müssen daher für jeden Ladepunkt entsprechend Vertragsanlage 6: Anforderungen an die Ladeinfrastruktur ausgestaltet sein.</t>
  </si>
  <si>
    <t xml:space="preserve">ANF-941</t>
  </si>
  <si>
    <t xml:space="preserve">§ 35 (4)</t>
  </si>
  <si>
    <t xml:space="preserve">Jede Ladeeinrichtung muss über ein RFID-Kartenlesegerät entsprechend der Vertragsanlage 6: Anforderungen an die Ladeinfrastruktur verfügen, mit dem sich Endnutzer mittels eines gängigen RFID-fähigen …</t>
  </si>
  <si>
    <t xml:space="preserve">Jede Ladeeinrichtung muss über ein RFID-Kartenlesegerät entsprechend der Vertragsanlage 6: Anforderungen an die Ladeinfrastruktur verfügen, mit dem sich Endnutzer mittels eines gängigen RFID-fähigen Mediums authentifizieren können.</t>
  </si>
  <si>
    <t xml:space="preserve">ANF-942</t>
  </si>
  <si>
    <t xml:space="preserve">§ 35 (5)</t>
  </si>
  <si>
    <t xml:space="preserve">Die Authentifizierung muss zudem über Mobile Apps von Mobilitätsdienstleistern möglich sein.</t>
  </si>
  <si>
    <t xml:space="preserve">Die Authentifizierung muss zudem über Mobile Apps von Mobilitätsdienstleistern möglich sein. Der Auftragnehmer muss dazu die Voraussetzungen gemäß Vertragsanlage 6: Anforderungen an die Ladeinfrastruktur erfüllen.</t>
  </si>
  <si>
    <t xml:space="preserve">ANF-943</t>
  </si>
  <si>
    <t xml:space="preserve">§ 35 (6)</t>
  </si>
  <si>
    <t xml:space="preserve">Die Ladeeinrichtungen des Auftragnehmers sind auf seine Kosten gemäß derzeit geltender folgender Standards auszurüsten: DIN EN ISO 15118-1:2019 ‘Teil 1: Allgemeine Informationen und Festlegungen der …</t>
  </si>
  <si>
    <t xml:space="preserve">Die Ladeeinrichtungen des Auftragnehmers sind auf seine Kosten gemäß derzeit geltender folgender Standards auszurüsten: DIN EN ISO 15118-1:2019 ‘Teil 1: Allgemeine Informationen und Festlegungen der Anwendungsfälle’, DIN EN ISO 15118-2:2016 ‘Teil 2: Anforderungen an das Netzwerk- und Anwendungsprotokoll‘, DIN EN ISO 15118-3:2016 ‘Teil 3: Anforderungen an physikalische- und Datenverbindungsschnittstelle’, DIN EN ISO 15118-4:2019 ‘Teil 4: Konformitätsprüfungen für das Netzwerk- und Anwendungsprotokoll’ und DIN EN ISO 15118-5:2019 ‘Teil 5: Konformitätsprüfungen für die physikalische und Datenverbindungsschnittstelle’ auszurüsten, sodass eine Authentifizierung unter Anwendung des Standards möglich wäre. Ab dem 1. Januar 2027 sind die Ladeeinrichtungen zusätzlich mit dem Standard DIN EN ISO 15118-20:2022 ‘Teil 20: Anforderungen der 2. Generation an das Netzwerk- und Anwendungsprotokoll’ auszurüsten. Dafür hat er die Vorbereitungen gemäß Vertragsanlage 6: Anforderungen an die Ladeinfrastruktur zu treffen. Im Fall einer Änderung der Standards gilt § 41.</t>
  </si>
  <si>
    <t xml:space="preserve">ANF-944</t>
  </si>
  <si>
    <t xml:space="preserve">§ 35 (7)</t>
  </si>
  <si>
    <t xml:space="preserve">Der Auftragnehmer kann für die Zwecke der Authentifizierung von Endnutzern davon ausgehen, dass an jedem Standort eine 4 G Mobilfunkabdeckung vorhanden ist.</t>
  </si>
  <si>
    <t xml:space="preserve">ANF-945</t>
  </si>
  <si>
    <t xml:space="preserve">§ 36 (1)</t>
  </si>
  <si>
    <t xml:space="preserve">Der Auftragnehmer wird Zugangsentgelte gegenüber Mobilitätsdienstleistern diskriminierungsfrei nach grundsätzlich gleichen Bedingungen erheben.</t>
  </si>
  <si>
    <t xml:space="preserve">Kapitel: Zugangsentgelte bei bilanzieller Bereitstellung der entnommenen Strommengen
Fundstelle im PDF: Seite 32
Zuordnung prüfen (Komponente/Partner nicht eindeutig)</t>
  </si>
  <si>
    <t xml:space="preserve">ANF-946</t>
  </si>
  <si>
    <t xml:space="preserve">§ 36 (2)</t>
  </si>
  <si>
    <t xml:space="preserve">Zugangsentgelte müssen marktüblich und angemessen sein.</t>
  </si>
  <si>
    <t xml:space="preserve">Zugangsentgelte müssen marktüblich und angemessen sein. Das an den Auftraggeber 2 abzuführende Infrastrukturentgelt gemäß § 46 ist Teil der Kalkulation des Zugangsentgelts durch den Auftragnehmer. Eine preisliche Differenzierung gegenüber dem Ad-hoc-Preis gemäß § 32 ist nur statthaft, soweit dies insbesondere durch einen geringeren oder höheren Abwicklungsaufwand der Leistungsbeziehung mit einem Mobilitätsdienstleister sachlich gerechtfertigt ist.</t>
  </si>
  <si>
    <t xml:space="preserve">Kapitel: Zugangsentgelte bei bilanzieller Bereitstellung der entnommenen Strommengen
Fundstelle im PDF: Seite 32</t>
  </si>
  <si>
    <t xml:space="preserve">ANF-947</t>
  </si>
  <si>
    <t xml:space="preserve">§ 36 (3)</t>
  </si>
  <si>
    <t xml:space="preserve">Unterschiedliche Zugangsentgelte gegenüber Mobilitätsdienstleistern bedürfen einer sachlichen Rechtfertigung entsprechend § 19 Abs.</t>
  </si>
  <si>
    <t xml:space="preserve">Unterschiedliche Zugangsentgelte gegenüber Mobilitätsdienstleistern bedürfen einer sachlichen Rechtfertigung entsprechend § 19 Abs. 2 Nr. 1, Nr. 4 GWB. Sie muss mit den Zielen des Schnellladegesetzes, insbesondere § 3 Schnelladegesetz, in Einklang stehen und ist dem Auftraggeber im Rahmen des monatlichen Reporting nach § 64 begründet darzulegen. Eine sachliche Rechtfertigung kann insbesondere in unterschiedlichen Abwicklungsaufwänden begründet liegen, beispielsweise, • wenn der Abwicklungsaufwand mit einem Mobilitätsdienstleister aufgrund einer Vielzahl von Ladevorgängen geringer ist oder • wenn ein Auftragnehmer ein geringeres Zugangsentgelt verlangt, weil sich der Mobilitätsdienstleister direkt anbindet, sodass Roaming-Kosten nicht anfallen. Kein sachlicher Grund liegt beispielsweise vor, wenn der Auftragnehmer, der gleichzeitig Mobilitätsdienstleister ist, ein geringeres Zugangsentgelt erhebt, weil der Mobilitätsdienstleister zugleich Ladepunktbetreiber ist und sich wechselseitig günstigere Bedingungen eingeräumt werden (Benachteiligung vertikal nicht integrierter Mobilitätsdienstleister) oder wenn der Mobilitätsdienstleister sonstige Leistungen erbringt, die auch separat abgegolten werden können (z. B. Lieferung von Daten zum Benchmarking der Ladepunkte des Auftragnehmers im Vergleich zu Ladepunkten anderer Anbieter). Ein sachlicher Grund liegt auch nicht in Mengenrabatten oder Auslastungszusicherungen.</t>
  </si>
  <si>
    <t xml:space="preserve">ANF-948</t>
  </si>
  <si>
    <t xml:space="preserve">§ 36 (4)</t>
  </si>
  <si>
    <t xml:space="preserve">Soweit der Auftragnehmer oder ein mit ihm verbundenes Unternehmen zugleich Mobilitätsdienstleister ist, darf er seine besondere Marktstellung bei der Gestaltung der Zugangsentgelte und/oder der …</t>
  </si>
  <si>
    <t xml:space="preserve">Soweit der Auftragnehmer oder ein mit ihm verbundenes Unternehmen zugleich Mobilitätsdienstleister ist, darf er seine besondere Marktstellung bei der Gestaltung der Zugangsentgelte und/oder der Entgelte als Mobilitätsdienstleister nicht missbräuchlich ausnutzen.</t>
  </si>
  <si>
    <t xml:space="preserve">ANF-949</t>
  </si>
  <si>
    <t xml:space="preserve">§ 36 (5)</t>
  </si>
  <si>
    <t xml:space="preserve">Der Auftragnehmer ist verpflichtet, im Rahmen des monatlichen Reportings nach Maßgabe der Vertragsanlage 10: Leistungsbeschreibung Betrieb die Dritten oder intern oder einem verbundenen Unternehmen …</t>
  </si>
  <si>
    <t xml:space="preserve">Der Auftragnehmer ist verpflichtet, im Rahmen des monatlichen Reportings nach Maßgabe der Vertragsanlage 10: Leistungsbeschreibung Betrieb die Dritten oder intern oder einem verbundenen Unternehmen in Rechnung gestellten Zugangsentgelte und die Dritten oder seinen eigenen oder den Kunden des verbundenen Unternehmens in Rechnung gestellten Entgelte offen zu legen.</t>
  </si>
  <si>
    <t xml:space="preserve">ANF-950</t>
  </si>
  <si>
    <t xml:space="preserve">§ 37 (1)</t>
  </si>
  <si>
    <t xml:space="preserve">Der Auftragnehmer kann von seinem Vertragspartner für die Gewährung des Zugangs im Rahmen des Durchleitungsmodells ein Zugangsentgelt verlangen, das sich aus folgenden Preisbestandteilen …</t>
  </si>
  <si>
    <t xml:space="preserve">Der Auftragnehmer kann von seinem Vertragspartner für die Gewährung des Zugangs im Rahmen des Durchleitungsmodells ein Zugangsentgelt verlangen, das sich aus folgenden Preisbestandteilen zusammensetzt:</t>
  </si>
  <si>
    <t xml:space="preserve">Kapitel: Zugangsentgelte ohne bilanzielle Bereitstellung der entnommenen Strommengen
Fundstelle im PDF: Seite 33</t>
  </si>
  <si>
    <t xml:space="preserve">ANF-951</t>
  </si>
  <si>
    <t xml:space="preserve">§ 37 (1) a</t>
  </si>
  <si>
    <t xml:space="preserve">Infrastrukturentgelt nach § 46,</t>
  </si>
  <si>
    <t xml:space="preserve">ANF-952</t>
  </si>
  <si>
    <t xml:space="preserve">§ 37 (1) b</t>
  </si>
  <si>
    <t xml:space="preserve">Ausgleichszahlung für die Kosten für Verlustenergie nach Absatz 2,</t>
  </si>
  <si>
    <t xml:space="preserve">ANF-953</t>
  </si>
  <si>
    <t xml:space="preserve">§ 37 (1) c</t>
  </si>
  <si>
    <t xml:space="preserve">Netzentgelte des jeweiligen Anschlussnetzbetreibers (nur Arbeitspreis),</t>
  </si>
  <si>
    <t xml:space="preserve">ANF-954</t>
  </si>
  <si>
    <t xml:space="preserve">§ 37 (1) f</t>
  </si>
  <si>
    <t xml:space="preserve">Aufschlag für besondere Netznutzung (bestehend aus der § 19 StromNEV-Umlage inkl.</t>
  </si>
  <si>
    <t xml:space="preserve">Aufschlag für besondere Netznutzung (bestehend aus der § 19 StromNEV-Umlage inkl. Wasserstoffumlage und dem Aufschlag für besondere einspeiseseitige Netznutzung) sowie</t>
  </si>
  <si>
    <t xml:space="preserve">ANF-955</t>
  </si>
  <si>
    <t xml:space="preserve">§ 37 (1) g</t>
  </si>
  <si>
    <t xml:space="preserve">Offshore-Netzumlage. Die Entrichtung der Stromsteuer für die von den Kunden des Mobilitätsdienstleisters geladenen Mengen obliegt dem Mobilitätsdienstleister.</t>
  </si>
  <si>
    <t xml:space="preserve">Offshore-Netzumlage. Die Entrichtung der Stromsteuer für die von den Kunden des Mobilitätsdienstleisters geladenen Mengen obliegt dem Mobilitätsdienstleister. Soweit die Entrichtung der Stromsteuer dem Auftragnehmer obliegt, kann der Auftragnehmer zusätzlich die Stromsteuer in der jeweils geltenden Höhe verlangen. Zusätzlich kann der Auftragnehmer von seinem Vertragspartner nach Maßgabe von § 8 der Vertragsanlage 13: Bilanzierung Durchleitungsmodell ein Blockadeentgelt erheben.</t>
  </si>
  <si>
    <t xml:space="preserve">ANF-956</t>
  </si>
  <si>
    <t xml:space="preserve">§ 37 (2)</t>
  </si>
  <si>
    <t xml:space="preserve">Zum Ausgleich der Kosten für die Energiemengen, die im Stromnetz bei der Übertragung und Verteilung von Energie verlorengehen und daher nicht für das Aufladen von E-Lkws genutzt werden können …</t>
  </si>
  <si>
    <t xml:space="preserve">Zum Ausgleich der Kosten für die Energiemengen, die im Stromnetz bei der Übertragung und Verteilung von Energie verlorengehen und daher nicht für das Aufladen von E-Lkws genutzt werden können (Verlustenergie), zahlt der Vertragspartner eine pauschale Ausgleichszahlung je abgegebener kWh Ladestrom. Die Ausgleichszahlung richtet sich der Höhe nach dem von der Bundesnetzagentur für das jeweils vorletzte Quartal durchschnittlichen veröffentlichten Preisindex in ct/kWh für Industriestrom ohne Vergünstigungen (veröffentlicht unter https://www.smard.de) geteilt durch 100 multipliziert mit 7,5. Werden wegen einer Umstellung des Preisindex auf einen neuen Basismonat bereits veröffentlichte Indexzahlen nachträglich geändert, so gilt die Ausgleichszahlung, die sich aufgrund der alten Indexreihe (Basismonat Januar 2021) ergibt, bis zum übernächsten Quartal nach der ersten amtlichen Veröffentlichung der neuen Indexreihe. Wird der Preisindex in Zukunft nicht mehr veröffentlicht werden, so wird er durch einen in seinen wirtschaftlichen Auswirkungen möglichst gleichen oder den bisherigen Bezugsgrößen nahekommenden Index ersetzt.</t>
  </si>
  <si>
    <t xml:space="preserve">ANF-957</t>
  </si>
  <si>
    <t xml:space="preserve">§ 37 (3)</t>
  </si>
  <si>
    <t xml:space="preserve">Wird die Belieferung oder die Verteilung von Energie nach Vertragsschluss mit zusätzlichen, in Absatz 1 nicht genannten Steuern oder Abgaben belegt, ist der Auftragnehmer berechtigt, die hieraus …</t>
  </si>
  <si>
    <t xml:space="preserve">Wird die Belieferung oder die Verteilung von Energie nach Vertragsschluss mit zusätzlichen, in Absatz 1 nicht genannten Steuern oder Abgaben belegt, ist der Auftragnehmer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 Der Auftraggeber 2 ist über eine solche Weiterberechnung unverzüglich zu informieren. Der Auftragnehmer muss vertraglich sicherstellen, dass ihm eine Weitergabe möglich ist.</t>
  </si>
  <si>
    <t xml:space="preserve">ANF-958</t>
  </si>
  <si>
    <t xml:space="preserve">§ 37 (4)</t>
  </si>
  <si>
    <t xml:space="preserve">Bei den unter Absatz 1 bis Absatz 3 aufgeführten Preisbestandteilen handelt es sich um Nettopreise, die zuzüglich der Umsatzsteuer in jeweils geltender Höhe zu zahlen sind.</t>
  </si>
  <si>
    <t xml:space="preserve">ANF-959</t>
  </si>
  <si>
    <t xml:space="preserve">§ 37 (5)</t>
  </si>
  <si>
    <t xml:space="preserve">Alle in Absatz 1 und Absatz 2 nicht genannten Kosten (etwa den Aufwand für Betrieb, das Entgelt für den Messstellenbetrieb sowie die Marge) hat der Auftragnehmer in sein Betreiberentgelt nach § 45 …</t>
  </si>
  <si>
    <t xml:space="preserve">Alle in Absatz 1 und Absatz 2 nicht genannten Kosten (etwa den Aufwand für Betrieb, das Entgelt für den Messstellenbetrieb sowie die Marge) hat der Auftragnehmer in sein Betreiberentgelt nach § 45 einzukalkulieren.</t>
  </si>
  <si>
    <t xml:space="preserve">ANF-960</t>
  </si>
  <si>
    <t xml:space="preserve">§ 39 (1)</t>
  </si>
  <si>
    <t xml:space="preserve">Der Auftraggeber 2 kann auf den in der Vertragsanlage 2: Standorte genannten Standorten zusätzliche Ladepunkte errichten lassen, wenn sich ein nachhaltiger Mehrbedarf ergibt.</t>
  </si>
  <si>
    <t xml:space="preserve">Der Auftraggeber 2 kann auf den in der Vertragsanlage 2: Standorte genannten Standorten zusätzliche Ladepunkte errichten lassen, wenn sich ein nachhaltiger Mehrbedarf ergibt. Der Auftraggeber 2 wird den Auftragnehmer unverzüglich über die geplante Errichtung zusätzlicher Ladepunkte informieren und den Leistungsumfang für die Errichtung zusätzlicher Ladepunkte definieren.</t>
  </si>
  <si>
    <t xml:space="preserve">Kapitel: Skalierung am Standort; Außerbetriebnahme von Ladepunkten
Fundstelle im PDF: Seite 35
Zuordnung prüfen (Komponente/Partner nicht eindeutig)</t>
  </si>
  <si>
    <t xml:space="preserve">ANF-961</t>
  </si>
  <si>
    <t xml:space="preserve">§ 39 (2)</t>
  </si>
  <si>
    <t xml:space="preserve">Für die Errichtung zusätzlicher Ladepunkte nach dem vom Auftraggeber 2 zu definierendem Leistungsumfang, wird der Auftragnehmer mindestens drei Kostenangebote der für die Errichtung zusätzlichen …</t>
  </si>
  <si>
    <t xml:space="preserve">Für die Errichtung zusätzlicher Ladepunkte nach dem vom Auftraggeber 2 zu definierendem Leistungsumfang, wird der Auftragnehmer mindestens drei Kostenangebote der für die Errichtung zusätzlichen Ladeinfrastruktur anfallenden Kosten einholen und dem Auftraggeber 2 übersenden. Der Auftragnehmer wird diese drei Angebote im Rahmen eines wettbewerblichen Verfahrens einholen. Der entsprechende Wettbewerb muss offen, klar, transparent und diskriminierungsfrei erfolgen sowie auf objektiven Kriterien beruhen, die zur Minimierung des Risikos strategischer Angebote festgelegt wurden. Der Auftragnehmer muss die objektiven Kriterien für den Verfahrensablauf (inkl. der Angebotsbewertung) ausreichend lange vor Ablauf der Angebotsfrist veröffentlichen, sodass ein wirksamer Wettbewerb möglich wird. Der Auftragnehmer kann zusätzlich zur Durchführung des vorstehenden Verfahrens ein eigenes Kostenangebot einreichen. Der Auftraggeber 2 hat zudem das Recht mindestens ein weiteres Vergleichsangebot einzuholen und entscheidet nach Prüfung aller Kostenangebote, ob und durch wen die Errichtung zusätzlicher Ladepunkte erfolgen soll. Die Kostentragung richtet sich nach § 47.</t>
  </si>
  <si>
    <t xml:space="preserve">ANF-962</t>
  </si>
  <si>
    <t xml:space="preserve">§ 39 (3)</t>
  </si>
  <si>
    <t xml:space="preserve">Der Auftragnehmer ist verpflichtet, bei der Vergabe und bei der Errichtung zusätzlicher Ladepunkte mitzuwirken.</t>
  </si>
  <si>
    <t xml:space="preserve">Der Auftragnehmer ist verpflichtet, bei der Vergabe und bei der Errichtung zusätzlicher Ladepunkte mitzuwirken. Der Auftragnehmer hat insbesondere die erforderlichen Planungs- und Koordinierungsaufgaben zu übernehmen, die für die Errichtung und den Betrieb zusätzlicher Ladepunkte an den vom Auftragnehmer betriebenen Standorten erforderlich sind und nicht Gegenstand des vom Auftraggeber 2 definierten Leistungsumfang sind. Hierfür erhält der Auftragnehmer eine Vergütung nach Maßgabe von § 40 Abs. 2. Der Auftragnehmer ist verpflichtet, die errichteten Ladepunkte zu betreiben.</t>
  </si>
  <si>
    <t xml:space="preserve">ANF-963</t>
  </si>
  <si>
    <t xml:space="preserve">§ 39 (4)</t>
  </si>
  <si>
    <t xml:space="preserve">Absatz 3 gilt unabhängig davon, ob die Errichtung zusätzlicher Ladepunkte durch einen Dritten oder durch den Auftragnehmer selbst erfolgt.</t>
  </si>
  <si>
    <t xml:space="preserve">Absatz 3 gilt unabhängig davon, ob die Errichtung zusätzlicher Ladepunkte durch einen Dritten oder durch den Auftragnehmer selbst erfolgt. Erfolgt die Errichtung zusätzlicher Ladepunkte durch den Aufragnehmer, erfolgt die Vergütung nach Absatz 3 zusätzlich zu der Vergütung nach § 47.</t>
  </si>
  <si>
    <t xml:space="preserve">ANF-964</t>
  </si>
  <si>
    <t xml:space="preserve">§ 39 (6)</t>
  </si>
  <si>
    <t xml:space="preserve">Im Fall einer vorübergehenden Außerbetriebnahme oder dauerhaften Stilllegung ist der zu der Ladeeinrichtung gehörende Ladeplatz unverzüglich für schwere Nutzfahrzeuge und Busse sowie Gespanne i.</t>
  </si>
  <si>
    <t xml:space="preserve">Im Fall einer vorübergehenden Außerbetriebnahme oder dauerhaften Stilllegung ist der zu der Ladeeinrichtung gehörende Ladeplatz unverzüglich für schwere Nutzfahrzeuge und Busse sowie Gespanne i. S. v. § 18 Abs. 2 freizugeben. Im Fall einer Stilllegung hat innerhalb von sechs Monaten nach Aufforderung durch den Auftraggeber 2 in dem in der Aufforderung genannten Umfang ein Rückbau der Ladeinfrastruktur sowie der sonstigen baulichen Elemente nach § 40 Abs. 2 zu erfolgen. Darüber hinausgehende Ansprüche des Auftragnehmers bestehen nicht.</t>
  </si>
  <si>
    <t xml:space="preserve">Kapitel: Skalierung am Standort; Außerbetriebnahme von Ladepunkten
Fundstelle im PDF: Seite 35</t>
  </si>
  <si>
    <t xml:space="preserve">ANF-965</t>
  </si>
  <si>
    <t xml:space="preserve">§ 40 (1)</t>
  </si>
  <si>
    <t xml:space="preserve">Der Auftraggeber 2 kann von dem Auftragnehmer die Ausführung geänderter oder zusätzlicher Leistungen verlangen, die nicht für die Ausführung der vertraglichen Leistungen erforderlich sind, sofern …</t>
  </si>
  <si>
    <t xml:space="preserve">Der Auftraggeber 2 kann von dem Auftragnehmer die Ausführung geänderter oder zusätzlicher Leistungen verlangen, die nicht für die Ausführung der vertraglichen Leistungen erforderlich sind, sofern diese im sachlichen Zusammenhang mit der vertraglichen Leistung stehen. Insbesondere kann der Auftraggeber 2 von dem Auftragnehmer verlangen, dass über die in der Vertragsanlage 4: Leistungsbeschreibung Errichtung vorgesehenen Leistungen zur Verbindung der Ladeinfrastruktur mit dem Netzanschluss hinaus weitergehende Leistungen in diesem Zusammenhang (z. B. Anwendung von Bodenverdrängungsverfahren zur Verbindung gegenüberliegender Standorte) erbracht werden oder dass die Ladeinfrastruktur zum Ende des Vertragszeitraums bzw. zum Zeitpunkt des Wirksamwerdens einer Kündigung zurückzubauen und ordnungsgemäß zu verwerten ist. Das Recht des Auftraggebers 2, Dritte mit der Durchführung der geänderten oder zusätzlichen Leistungen zu beauftragen, bleibt unberührt.</t>
  </si>
  <si>
    <t xml:space="preserve">Kapitel: Ausführung geänderter oder zusätzlicher Leistungen
Fundstelle im PDF: Seite 36</t>
  </si>
  <si>
    <t xml:space="preserve">ANF-966</t>
  </si>
  <si>
    <t xml:space="preserve">§ 40 (2)</t>
  </si>
  <si>
    <t xml:space="preserve">Die Anordnung, Vereinbarung und die Vergütung von geänderten oder zusätzlichen Leistungen richtet sich nach §§ 650b ff.</t>
  </si>
  <si>
    <t xml:space="preserve">Die Anordnung, Vereinbarung und die Vergütung von geänderten oder zusätzlichen Leistungen richtet sich nach §§ 650b ff. BGB. Hat die Anordnung oder Vereinbarung Auswirkungen auf den Rahmenterminplan, so hat der Auftragnehmer einen Anspruch auf Anpassung des Rahmenterminplans gemäß § 12 Abs. 2.</t>
  </si>
  <si>
    <t xml:space="preserve">ANF-967</t>
  </si>
  <si>
    <t xml:space="preserve">§ 40 (3)</t>
  </si>
  <si>
    <t xml:space="preserve">Der Auftragnehmer ist verpflichtet, die für die Ausführung geänderter oder zusätzlicher Leistungen erforderlichen Planungsleistungen zu erbringen, wenn dies der Auftraggeber 2 verlangt.</t>
  </si>
  <si>
    <t xml:space="preserve">Der Auftragnehmer ist verpflichtet, die für die Ausführung geänderter oder zusätzlicher Leistungen erforderlichen Planungsleistungen zu erbringen, wenn dies der Auftraggeber 2 verlangt. Stellt der Auftraggeber 2 im Zusammenhang mit dem Verlangen der Ausführung geänderter oder zusätzlicher Leistungen Planungsleistungen zur Verfügung, so verpflichtet sich der Auftragnehmer, alle vom Auftraggeber 2 übergebenen Unterlagen vor Legung seines Angebots betreffend die geänderten oder zusätzlichen Leistungen mit der Maßgabe eines gewissenhaften Werkunternehmers zu prüfen und dem Auftraggeber 2 etwaige Bedenken mitzuteilen. Der Auftraggeber 2 übernimmt für die Richtigkeit und Vollständigkeit dieser Unterlagen keine Gewähr. Die vollständige Planungsverpflichtung obliegt dem Auftragnehmer.</t>
  </si>
  <si>
    <t xml:space="preserve">ANF-968</t>
  </si>
  <si>
    <t xml:space="preserve">§ 40 (4)</t>
  </si>
  <si>
    <t xml:space="preserve">Der Auftraggeber 2 entscheidet nach Prüfung des Angebots des Auftragnehmers, ob er den Auftragnehmer mit der Durchführung der gewünschten Leistungen beauftragt.</t>
  </si>
  <si>
    <t xml:space="preserve">Der Auftraggeber 2 entscheidet nach Prüfung des Angebots des Auftragnehmers, ob er den Auftragnehmer mit der Durchführung der gewünschten Leistungen beauftragt. Entscheidet sich der Auftraggeber 2 gegen eine Beauftragung des Auftragnehmers, so kann der Auftragnehmer für erbrachte Planungsleistungen, die über die Erstellung seines Angebots hinausgehen und die der Auftraggeber 2 vom Auftragnehmer verlangt, die Zahlung einer angemessenen Vergütung verlangen. Anspruchsgegner ist, soweit sich die Planungsleistungen auf die Errichtung beziehen, der Auftraggeber 1, im Übrigen der Auftraggeber 2. Die Abwicklung von Zahlungen erfolgt durch den Auftraggeber 2. Entscheidet sich der Auftraggeber 2 für eine Beauftragung des Auftragnehmers, nimmt er das Angebot des Auftragnehmers schriftlich an. Dabei handelt er, soweit sich das Angebot auf die Errichtung (und deren Planung) bezieht, für den Auftraggeber 1. Das Anordnungsrecht des Auftraggebers 2 nach § 650b Abs. 2 BGB bleibt unberührt.</t>
  </si>
  <si>
    <t xml:space="preserve">ANF-969</t>
  </si>
  <si>
    <t xml:space="preserve">§ 40 (5)</t>
  </si>
  <si>
    <t xml:space="preserve">Bestreitet der Auftraggeber 2 unter Angabe von Gründen Ansprüche des Auftragnehmers dem Grunde oder der Höhe nach, so kann der Aufragnehmer die Leistung bis zur vorläufigen oder endgültigen Klärung …</t>
  </si>
  <si>
    <t xml:space="preserve">Bestreitet der Auftraggeber 2 unter Angabe von Gründen Ansprüche des Auftragnehmers dem Grunde oder der Höhe nach, so kann der Aufragnehmer die Leistung bis zur vorläufigen oder endgültigen Klärung der Meinungsverschiedenheit nicht verweigern.</t>
  </si>
  <si>
    <t xml:space="preserve">Kapitel: Ausführung geänderter oder zusätzlicher Leistungen
Fundstelle im PDF: Seite 36
Zuordnung prüfen (Komponente/Partner nicht eindeutig)</t>
  </si>
  <si>
    <t xml:space="preserve">ANF-970</t>
  </si>
  <si>
    <t xml:space="preserve">§ 41 (1)</t>
  </si>
  <si>
    <t xml:space="preserve">Soweit in diesem Vertrag im Einzelfall nicht anders geregelt, hat der Auftragnehmer einen Anspruch auf Erstattung der durch die Neuschaffung oder Änderung verursachten tatsächlich erforderlichen …</t>
  </si>
  <si>
    <t xml:space="preserve">Soweit in diesem Vertrag im Einzelfall nicht anders geregelt, hat der Auftragnehmer einen Anspruch auf Erstattung der durch die Neuschaffung oder Änderung verursachten tatsächlich erforderlichen Kosten, wenn nach der Abgabe des Angebots des Auftragnehmers die auf den Bau, den Betrieb oder die Erhaltung anzuwendenden Rechtsvorschriften oder technischen Regeln und Regelwerke neu geschaffen oder geändert werden und der Auftragnehmer diese umsetzen muss, um die nach diesem Vertrag geschuldeten Leistungen zu erbringen, und diese Neuschaffung oder Änderung dem Auftragnehmer bis zur Abgabe des Angebots nicht bekannt war und auch nicht bekannt sein musste und mit dieser Änderung auch bei Anwendung der Sorgfalt eines erfahrenen Planers und Werkunternehmers nicht gerechnet werden musste. Mit der Änderung oder Schaffung einer anerkannten Regel der Technik muss spätestens dann gerechnet werden, wenn ein Entwurf oder eine Vornorm der betreffenden Norm für Fachkreise veröffentlicht wurde.</t>
  </si>
  <si>
    <t xml:space="preserve">Kapitel: Nachträgliche Änderung von technischen und rechtlichen Normen
Fundstelle im PDF: Seite 37</t>
  </si>
  <si>
    <t xml:space="preserve">ANF-971</t>
  </si>
  <si>
    <t xml:space="preserve">§ 41 (2)</t>
  </si>
  <si>
    <t xml:space="preserve">Die Erstattung der tatsächlich erforderlichen Kosten (zuzüglich angemessener Zuschläge für allgemeine Geschäftskosten, Wagnis und Gewinn) erfolgt nach den Regelungen über geänderte oder zusätzliche …</t>
  </si>
  <si>
    <t xml:space="preserve">Die Erstattung der tatsächlich erforderlichen Kosten (zuzüglich angemessener Zuschläge für allgemeine Geschäftskosten, Wagnis und Gewinn) erfolgt nach den Regelungen über geänderte oder zusätzliche Leistungen nach § 40. Hat die Neuschaffung oder Änderung von technischen und rechtlichen Normen Auswirkungen auf den Rahmenterminplan, so hat der Auftragnehmer einen Anspruch auf Anpassung des Rahmenterminplans gemäß § 12 Abs. 2.</t>
  </si>
  <si>
    <t xml:space="preserve">ANF-972</t>
  </si>
  <si>
    <t xml:space="preserve">§ 42 (1)</t>
  </si>
  <si>
    <t xml:space="preserve">Der Auftraggeber 2 und der Auftragnehmer werden nach Ablauf der ersten zwei Jahre der Vertragslaufzeit und danach bei durch den Auftraggeber 2 und den Auftragnehmer festzustellendem Bedarf alle zwei …</t>
  </si>
  <si>
    <t xml:space="preserve">Der Auftraggeber 2 und der Auftragnehmer werden nach Ablauf der ersten zwei Jahre der Vertragslaufzeit und danach bei durch den Auftraggeber 2 und den Auftragnehmer festzustellendem Bedarf alle zwei Jahre Workshops zu denkbaren und erforderlichen Anpassungen der Ladeinfrastruktur durchführen, insbesondere betreffend den jeweils aktuellen Stand der Technik und der (europäischen) Marktusancen beispielsweise zu folgenden Bereichen: • Zahlungsmöglichkeiten, • Ausstattung Ladeinfrastruktur, z. B. kundenfreundliches Display, • Ladetechnik, z. B. intelligente Kabelführung, Kühltechnik und Innovationen zum Stromsparen, • Lärmschutz, • Last- und Lademanagement, • Bidirektionales Laden, • (soweit rechtlich möglich) Reservierungsmöglichkeiten sowie Möglichkeiten zur Blockade von Ladeplätzen, z. B. physische Zugangsbarrieren, sowie • Online-Informationen auf geeigneten und gemeinhin bekannten Plattformen zu Standort und dynamischen Daten (z. B. Belegung).</t>
  </si>
  <si>
    <t xml:space="preserve">Kapitel: Innovationen und Überprüfungsklausel
Fundstelle im PDF: Seite 37</t>
  </si>
  <si>
    <t xml:space="preserve">Dynamische Anzeige / OCPI Buchungskalender</t>
  </si>
  <si>
    <t xml:space="preserve">ANF-973</t>
  </si>
  <si>
    <t xml:space="preserve">§ 42 (2)</t>
  </si>
  <si>
    <t xml:space="preserve">Der Auftragnehmer ist zur Organisation und Kostentragung des Workshops verpflichtet.</t>
  </si>
  <si>
    <t xml:space="preserve">Kapitel: Innovationen und Überprüfungsklausel
Fundstelle im PDF: Seite 37
Zuordnung prüfen (Komponente/Partner nicht eindeutig)</t>
  </si>
  <si>
    <t xml:space="preserve">ANF-974</t>
  </si>
  <si>
    <t xml:space="preserve">§ 42 (3)</t>
  </si>
  <si>
    <t xml:space="preserve">Damit durchgängig eine zeitgemäße und leistungsfähige Ladeinfrastruktur für die Endnutzer zur Verfügung steht, überprüft der Auftraggeber 2 im Abstand von zwei Jahren nach Wirksamwerden dieses …</t>
  </si>
  <si>
    <t xml:space="preserve">Damit durchgängig eine zeitgemäße und leistungsfähige Ladeinfrastruktur für die Endnutzer zur Verfügung steht, überprüft der Auftraggeber 2 im Abstand von zwei Jahren nach Wirksamwerden dieses Vertrags, ob Innovationen bestehen, die an im Einvernehmen zwischen dem Auftragnehmer und dem Auftraggeber 2 ausgewählten Standorten testweise umgesetzt werden sollen. Unabhängig von dieser regelmäßigen Überprüfung können sowohl der Auftraggeber 2 als auch der Auftragnehmer jederzeit eine Überprüfung hinsichtlich konkreter Innovationen einleiten. Im Falle einer Umsetzung gilt Absatz 1 entsprechend.</t>
  </si>
  <si>
    <t xml:space="preserve">ANF-975</t>
  </si>
  <si>
    <t xml:space="preserve">§ 42 (4)</t>
  </si>
  <si>
    <t xml:space="preserve">Innovationen im Sinne dieses Paragrafen sind • technische Neuerungen an den Ladeeinrichtungen oder einzelnen Ladepunkten (z.</t>
  </si>
  <si>
    <t xml:space="preserve">Innovationen im Sinne dieses Paragrafen sind • technische Neuerungen an den Ladeeinrichtungen oder einzelnen Ladepunkten (z. B. Zahlungsmöglichkeiten, Parkplatzdetektionen etc.) oder • für Endnutzer relevante Einrichtungen gemäß Vertragsanlage 4: Leistungsbeschreibung Errichtung, z. B. Maßnahmen, die den Komfort während des Ladestopps erhöhen, die über den nach diesem Vertrag geschuldeten Standard hinausgehen.</t>
  </si>
  <si>
    <t xml:space="preserve">ANF-976</t>
  </si>
  <si>
    <t xml:space="preserve">§ 42 (6)</t>
  </si>
  <si>
    <t xml:space="preserve">Der Auftragnehmer ist verpflichtet, die Auswirkungen der vom Auftraggeber 2 beauftragten Innovationen in regelmäßigen Abständen zu evaluieren.</t>
  </si>
  <si>
    <t xml:space="preserve">Der Auftragnehmer ist verpflichtet, die Auswirkungen der vom Auftraggeber 2 beauftragten Innovationen in regelmäßigen Abständen zu evaluieren. Der Auftraggeber 2 kann Kriterien für die Evaluation vorgeben. Fordert der Auftraggeber 2 Evaluationsleistungen, die über die Pflichten des Auftragnehmers in Vertragsanlage 10: Leistungsbeschreibung Betrieb hinausgehen, so werden diese Leistungen nach den Regelungen über geänderte oder zusätzliche Leistungen nach § 40 vergütet. ABSCHNITT 7 ENTGELTE UND KOSTENERSATZ</t>
  </si>
  <si>
    <t xml:space="preserve">ANF-977</t>
  </si>
  <si>
    <t xml:space="preserve">§ 43</t>
  </si>
  <si>
    <t xml:space="preserve">Im Rahmen des Vertragsverhältnisses erfolgen folgende Zahlungen, wobei die Auftraggeber gegenüber dem Auftragnehmer verschiedene Zahlungen miteinander verrechnen können:</t>
  </si>
  <si>
    <t xml:space="preserve">Kapitel: Kosten, Entgelte; Infrastrukturentgelt
Fundstelle im PDF: Seite 38</t>
  </si>
  <si>
    <t xml:space="preserve">ANF-978</t>
  </si>
  <si>
    <t xml:space="preserve">§ 43 a</t>
  </si>
  <si>
    <t xml:space="preserve">Errichtungsentgelt pro Standort durch den Auftraggeber 2 gemäß § 44,</t>
  </si>
  <si>
    <t xml:space="preserve">ANF-979</t>
  </si>
  <si>
    <t xml:space="preserve">§ 43 b</t>
  </si>
  <si>
    <t xml:space="preserve">Betreiberentgelt pro Standort durch den Auftraggeber 2 gemäß § 45 sowie</t>
  </si>
  <si>
    <t xml:space="preserve">ANF-980</t>
  </si>
  <si>
    <t xml:space="preserve">§ 43 c</t>
  </si>
  <si>
    <t xml:space="preserve">Infrastrukturentgelt pro abgegebener kWh Ladestrom durch den Auftragnehmer an den Auftraggeber 2 gemäß § 46.</t>
  </si>
  <si>
    <t xml:space="preserve">ANF-981</t>
  </si>
  <si>
    <t xml:space="preserve">§ 44 (1)</t>
  </si>
  <si>
    <t xml:space="preserve">Der Auftraggeber 1 zahlt dem Auftragnehmer für auf Grundlage dieses Vertrags geplante und errichtete, voll funktionsfähige und den vertraglichen Vorgaben entsprechende Ladeinfrastruktur an einem …</t>
  </si>
  <si>
    <t xml:space="preserve">Der Auftraggeber 1 zahlt dem Auftragnehmer für auf Grundlage dieses Vertrags geplante und errichtete, voll funktionsfähige und den vertraglichen Vorgaben entsprechende Ladeinfrastruktur an einem Standort ein einmaliges pauschales Errichtungsentgelt. Mit dem Errichtungsentgelt sind sämtliche Planungs- und Bauleistungen des Auftragnehmers am jeweiligen Standort abgegolten, soweit nachfolgend nichts anderes bestimmt ist. Die Sonderregelung gemäß § 13 Abs. 6 und 7 bleibt unberührt.</t>
  </si>
  <si>
    <t xml:space="preserve">Kapitel: Errichtungsentgelt, weitere errichtungsbezogene Vergütungsbestandteile
Fundstelle im PDF: Seite 38</t>
  </si>
  <si>
    <t xml:space="preserve">ANF-982</t>
  </si>
  <si>
    <t xml:space="preserve">§ 44 (2)</t>
  </si>
  <si>
    <t xml:space="preserve">Das Errichtungsentgelt je Standort ist dem Preisblatt gemäß Angebot des Auftragnehmers zu entnehmen.</t>
  </si>
  <si>
    <t xml:space="preserve">Das Errichtungsentgelt je Standort ist dem Preisblatt gemäß Angebot des Auftragnehmers zu entnehmen. Das Errichtungsentgelt je Standort wird unter Verwendung der Formblätter 141 – Autobahn gemäß Vertragsanlage 14.1: Formblatt 141 - Autobahn, Vertragsanlage 14.2: Formblatt 145 - Autobahn und Vertragsanlage 14.3: Stoffpreisgleitklausel für Kabellieferungen wie folgt an die Preisentwicklung angepasst:</t>
  </si>
  <si>
    <t xml:space="preserve">ANF-983</t>
  </si>
  <si>
    <t xml:space="preserve">§ 44 (2) a</t>
  </si>
  <si>
    <t xml:space="preserve">Für die in Vertragsanlage 14.2: Formblatt 145 - Autobahn aufgeführten Stoffe werden bei Änderung der Preise die Mehr- oder Minderaufwendungen gemäß den Vertragsanlage 14.1: Formblatt 141 - Autobahn …</t>
  </si>
  <si>
    <t xml:space="preserve">Für die in Vertragsanlage 14.2: Formblatt 145 - Autobahn aufgeführten Stoffe werden bei Änderung der Preise die Mehr- oder Minderaufwendungen gemäß den Vertragsanlage 14.1: Formblatt 141 - Autobahn und Vertragsanlage 14.2: Formblatt 145 - Autobahn erstattet. Die Mehr- oder Minderaufwendungen werden standortbezogen ermittelt. Dementsprechend wird die Abrechnungssumme je Standort reduziert bzw. erhöht.</t>
  </si>
  <si>
    <t xml:space="preserve">ANF-984</t>
  </si>
  <si>
    <t xml:space="preserve">§ 44 (2) b</t>
  </si>
  <si>
    <t xml:space="preserve">Die Abrechnung erfolgt nach tatsächlich erforderlichen Mengen und freigegebener Ausführungsplanung.</t>
  </si>
  <si>
    <t xml:space="preserve">ANF-985</t>
  </si>
  <si>
    <t xml:space="preserve">§ 44 (2) c</t>
  </si>
  <si>
    <t xml:space="preserve">Die Preisgleitung für Kabellieferungen richtet sich nach Vertragsanlage 14.3: Stoffpreisgleitklausel für Kabellieferungen.</t>
  </si>
  <si>
    <t xml:space="preserve">Die Preisgleitung für Kabellieferungen richtet sich nach Vertragsanlage 14.3: Stoffpreisgleitklausel für Kabellieferungen. Vertragsanlage 14.1: Formblatt 141 - Autobahn und Vertragsanlage 14.2: Formblatt 145 - Autobahn finden hinsichtlich der Kabellieferungen keine Anwendung.</t>
  </si>
  <si>
    <t xml:space="preserve">ANF-986</t>
  </si>
  <si>
    <t xml:space="preserve">§ 44 (3)</t>
  </si>
  <si>
    <t xml:space="preserve">70 % des für den Standort im Angebot des Auftragnehmers angebotenen Errichtungsentgelts (anteiliges Errichtungsentgelt) werden, sofern die jeweils nachfolgenden Zahlungsvoraussetzungen vorliegen, in …</t>
  </si>
  <si>
    <t xml:space="preserve">70 % des für den Standort im Angebot des Auftragnehmers angebotenen Errichtungsentgelts (anteiliges Errichtungsentgelt) werden, sofern die jeweils nachfolgenden Zahlungsvoraussetzungen vorliegen, in Teilzahlungen gemäß folgenden Phasen gemäß Kapitel 3.2.1 der Vertragsanlage 4: Leistungsbeschreibung Errichtung ausgezahlt:</t>
  </si>
  <si>
    <t xml:space="preserve">ANF-987</t>
  </si>
  <si>
    <t xml:space="preserve">§ 44 (3) a</t>
  </si>
  <si>
    <t xml:space="preserve">30 % des anteiligen Errichtungsentgelts zzgl. der auf diesen Teilbetrag anfallenden Umsatzsteuer mit Abschluss der Phase 4 (Baufreigabe / Ausführungsplanung),</t>
  </si>
  <si>
    <t xml:space="preserve">ANF-988</t>
  </si>
  <si>
    <t xml:space="preserve">§ 44 (3) c</t>
  </si>
  <si>
    <t xml:space="preserve">40 % des anteiligen Errichtungsentgelts zzgl. der auf das Errichtungsentgelt insgesamt anfallenden und noch nicht mit den Teilzahlungen nach lit. a und b gezahlten Umsatzsteuer mit Abschluss der …</t>
  </si>
  <si>
    <t xml:space="preserve">40 % des anteiligen Errichtungsentgelts zzgl. der auf das Errichtungsentgelt insgesamt anfallenden und noch nicht mit den Teilzahlungen nach lit. a und b gezahlten Umsatzsteuer mit Abschluss der Phase 6 (Betriebsfreigabe). Der Auftragnehmer kann die Teilzahlungen unmittelbar nach Abschluss der jeweiligen Phase zzgl. der auf den entsprechenden Anteil anfallenden Umsatzsteuer in Rechnung stellen. Dies gilt nicht, wenn für diesen Teil des Errichtungsentgelts die Sonderregelung des § 13 Abs. 8 greift. Die verbleibenden 30 % des Errichtungsentgelts für den betreffenden Standort werden in dem auf die Betriebsfreigabe folgenden Quartal ratierlich in vierteljährlichen Teilbeträgen über die verbleibende Vertragslaufzeit (ohne optionale Verlängerung) oder mit der Beendigung des Vertrags nach § 56 Abs. 2 nach Maßgabe des § 58 gezahlt.</t>
  </si>
  <si>
    <t xml:space="preserve">ANF-989</t>
  </si>
  <si>
    <t xml:space="preserve">§ 44 (4)</t>
  </si>
  <si>
    <t xml:space="preserve">Kann zunächst nur ein Teil der Ladepunkte an einem Standort für den Betrieb freigegeben werden und liegt der Grund der Teilfreigabe in der Sphäre des Auftragnehmers, so erfolgt eine Zahlung des …</t>
  </si>
  <si>
    <t xml:space="preserve">Kann zunächst nur ein Teil der Ladepunkte an einem Standort für den Betrieb freigegeben werden und liegt der Grund der Teilfreigabe in der Sphäre des Auftragnehmers, so erfolgt eine Zahlung des anteilig reduzierten Teilbetrags des Errichtungsentgelts. Der Restbetrag wird nach vollständiger Freigabe ausgezahlt. Die generelle Nichtverfügbarkeit von MCS-Ladeeinrichtungen liegt dabei nicht in der Sphäre des Auftragnehmers.</t>
  </si>
  <si>
    <t xml:space="preserve">ANF-990</t>
  </si>
  <si>
    <t xml:space="preserve">§ 44 (5)</t>
  </si>
  <si>
    <t xml:space="preserve">Verwirklicht sich das gemäß § 6 Abs. 3 vom Auftraggeber 1 zu tragende Bodenrisiko, so kann der Auftragnehmer für diejenigen Leistungen, die über die in Vertragsanlage 4: Leistungsbeschreibung …</t>
  </si>
  <si>
    <t xml:space="preserve">Verwirklicht sich das gemäß § 6 Abs. 3 vom Auftraggeber 1 zu tragende Bodenrisiko, so kann der Auftragnehmer für diejenigen Leistungen, die über die in Vertragsanlage 4: Leistungsbeschreibung Errichtung beschriebenen Leistungen hinausgehen, eine gesonderte Vergütung nach Maßgabe der Regelungen über die Ausführung geänderter oder zusätzlicher Leistungen (vgl. § 40) verlangen. Gleiches gilt, wenn der Auftraggeber 2 den Auftragnehmer nach § 40 Abs. 1 mit der Ausführung geänderter oder zusätzlicher Leistungen beauftragt, sowie im Falle des § 41 Abs. 2.</t>
  </si>
  <si>
    <t xml:space="preserve">ANF-991</t>
  </si>
  <si>
    <t xml:space="preserve">§ 44 (6)</t>
  </si>
  <si>
    <t xml:space="preserve">Wenn eine zur Errichtung der Ladeinfrastruktur erforderliche Ladeeinrichtung oder ein Transformator trotz nachgewiesener Bemühungen um eine kalkulationskonforme Beschaffung nur noch zu Preisen …</t>
  </si>
  <si>
    <t xml:space="preserve">Wenn eine zur Errichtung der Ladeinfrastruktur erforderliche Ladeeinrichtung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t>
  </si>
  <si>
    <t xml:space="preserve">ANF-992</t>
  </si>
  <si>
    <t xml:space="preserve">§ 44 (6) a</t>
  </si>
  <si>
    <t xml:space="preserve">Im Falle einer Preissteigerung von bis zu 30 % des kalkulierten Preises trägt der Auftragnehmer die Preissteigerung allein.</t>
  </si>
  <si>
    <t xml:space="preserve">ANF-993</t>
  </si>
  <si>
    <t xml:space="preserve">§ 44 (6) b</t>
  </si>
  <si>
    <t xml:space="preserve">Im Falle einer Preissteigerung von mehr als 30 % und weniger als 80 % teilen sich die Parteien die Preissteigerung, soweit diese über 30 % hinausgeht.</t>
  </si>
  <si>
    <t xml:space="preserve">ANF-994</t>
  </si>
  <si>
    <t xml:space="preserve">§ 44 (6) c</t>
  </si>
  <si>
    <t xml:space="preserve">Im Falle einer Preissteigerung von mehr als 80 % trägt der Auftraggeber die über 80 % hinausgehende Preissteigerung.</t>
  </si>
  <si>
    <t xml:space="preserve">Im Falle einer Preissteigerung von mehr als 80 % trägt der Auftraggeber die über 80 % hinausgehende Preissteigerung. Voraussetzung für die Anwendung der vorstehenden Regelung ist, dass der Auftragnehmer dem Auftraggeber nachweist, dass er sowohl im Zuge der Angebotskalkulation als auch zum Zeitpunkt der tatsächlichen Beschaffung in einem wettbewerblichen Verfahren Angebote, in der Regel mindestens drei, betreffend die Beschaffung eingeholt hat.</t>
  </si>
  <si>
    <t xml:space="preserve">ANF-995</t>
  </si>
  <si>
    <t xml:space="preserve">§ 44 (7)</t>
  </si>
  <si>
    <t xml:space="preserve">Der Auftragnehmer erstellt nach Abschluss der jeweiligen Phase bzw. nach Abschluss eines Quartals eine Rechnung gemäß §§ 14, 14a UstG über den entsprechenden Anteil des Errichtungsentgelts.</t>
  </si>
  <si>
    <t xml:space="preserve">Der Auftragnehmer erstellt nach Abschluss der jeweiligen Phase bzw. nach Abschluss eines Quartals eine Rechnung gemäß §§ 14, 14a UstG über den entsprechenden Anteil des Errichtungsentgelts. Mit der Rechnung über die letzte Teilzahlung des anteiligen Errichtungsentgelts nach Absatz 3 übermittelt der Auftragnehmer dem Auftraggeber 2 eine Übersicht, aus der sich die Höhe der vierteljährlichen Teilbeträge der verbleibenden 30 % des Errichtungsentgelts ergibt.</t>
  </si>
  <si>
    <t xml:space="preserve">ANF-996</t>
  </si>
  <si>
    <t xml:space="preserve">§ 45 (1)</t>
  </si>
  <si>
    <t xml:space="preserve">Der Auftragnehmer enthält für jeden Standort, der die Betriebsfreigabe erhalten hat, ein Betreiberentgelt vom Auftraggeber 2 nach Maßgabe der nachfolgenden Bestimmungen.</t>
  </si>
  <si>
    <t xml:space="preserve">Der Auftragnehmer enthält für jeden Standort, der die Betriebsfreigabe erhalten hat, ein Betreiberentgelt vom Auftraggeber 2 nach Maßgabe der nachfolgenden Bestimmungen. Die Sonderregelungen gemäß § 13 Abs. 6 und 7, § 15 Abs. 2, § 16 Abs. 2 lit. a, § 17 Abs. 3 und 6 sowie § 19 Abs. 4 bleiben unberührt.</t>
  </si>
  <si>
    <t xml:space="preserve">Kapitel: Betreiberentgelt
Fundstelle im PDF: Seite 40</t>
  </si>
  <si>
    <t xml:space="preserve">ANF-997</t>
  </si>
  <si>
    <t xml:space="preserve">§ 45 (2)</t>
  </si>
  <si>
    <t xml:space="preserve">Das Betreiberentgelt für einen Standort entspricht dem Anteil an der Summe in der Spalte „Entgelt in Euro (netto)“ des Preisblatts aus dem Angebot des Auftragnehmers, der bei gleichmäßiger Verteilung …</t>
  </si>
  <si>
    <t xml:space="preserve">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tatsächlich errichteten Ladepunkte des betreffenden Standortes entfällt.</t>
  </si>
  <si>
    <t xml:space="preserve">Kapitel: Betreiberentgelt
Fundstelle im PDF: Seite 40
Zuordnung prüfen (Komponente/Partner nicht eindeutig)</t>
  </si>
  <si>
    <t xml:space="preserve">ANF-998</t>
  </si>
  <si>
    <t xml:space="preserve">§ 45 (3)</t>
  </si>
  <si>
    <t xml:space="preserve">Das Betreiberentgelt wird anteilig (taggenaue Berechnung) geschuldet, wenn ein Standort in einem Quartal in Betrieb genommen wird oder wenn sich die Anzahl der errichteten Ladepunkte an einem …</t>
  </si>
  <si>
    <t xml:space="preserve">Das Betreiberentgelt wird anteilig (taggenaue Berechnung) geschuldet, wenn ein Standort in einem Quartal in Betrieb genommen wird oder wenn sich die Anzahl der errichteten Ladepunkte an einem Standort nach Vertragsschluss ändert.</t>
  </si>
  <si>
    <t xml:space="preserve">ANF-999</t>
  </si>
  <si>
    <t xml:space="preserve">§ 45 (4)</t>
  </si>
  <si>
    <t xml:space="preserve">Das Betreiberentgelt wird nachschüssig, jeweils nach Ablauf eines Kalenderquartals – erstmals im Kalenderquartal nach dem Kalenderquartal der Betriebsfreigabe – gezahlt.</t>
  </si>
  <si>
    <t xml:space="preserve">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t>
  </si>
  <si>
    <t xml:space="preserve">ANF-1000</t>
  </si>
  <si>
    <t xml:space="preserve">§ 45 (5)</t>
  </si>
  <si>
    <t xml:space="preserve">Eine Anpassung des Betreiberentgelts erfolgt zum 01.01. eines jeden Jahres, erstmalig zum 01.01.2028, nach Maßgabe der folgenden Formel: 𝐸 = 𝐸 ∗ [(60 %∗ 𝐿𝑖−1)+ (40 %∗ 𝑀𝑖−1)] 𝑖 0 𝐿0 𝑀0 E = Entgelt im …</t>
  </si>
  <si>
    <t xml:space="preserve">Eine Anpassung des Betreiberentgelts erfolgt zum 01.01. eines jeden Jahres, erstmalig zum 01.01.2028, nach Maßgabe der folgenden Formel: 𝐸 = 𝐸 ∗ [(60 %∗ 𝐿𝑖−1)+ (40 %∗ 𝑀𝑖−1)] 𝑖 0 𝐿0 𝑀0 E = Entgelt im Jahr der Vertragsanpassung i E = Entgelt gemäß Preisblatt aus dem Angebot des Auftragnehmers im Jahr 2026 L = Jahresindex der Tarifverdienste, Wochenarbeitszeit für den Wirtschaftszweig Energiei-1 versorgung, der durch das Statistische Bundesamt in Wiesbaden unter Index der Tarifverdienste und Arbeitszeiten unter dem Code 62221-0001 – WZ08-D Energieversorgung veröffentlicht wird, heranzuziehen ist der Jahresindex für das Kalenderjahr i-1 L = Jahresindex für das Jahr 2024 der Tarifverdienste, Wochenarbeitszeit für den Wirtschaftszweig Energieversorgung, der durch das Statistische Bundesamt in Wiesbaden unter Index der Tarifverdienste und Arbeitszeiten unter dem Code 62221-0001 – WZ08-D Energieversorgung, veröffentlicht wird M = Jahresindex der Erzeugerpreise gewerblicher Produkte (Inlandsabsatz), Erzeugnisse i-1 der Investitionsgüterproduzenten, der durch das Statistische Bundesamt in Wiesbaden unter Index der Erzeugerpreise gewerblicher Produkte unter dem Code 61241-0001 veröffentlicht wird, heranzuziehen ist der Jahresindex für das Kalenderjahr i-1 M = Jahresindex für das Jahr 2024 der Erzeugerpreise gewerblicher Produkte (Inlandsabsatz), Erzeugnisse der Investitionsgüterproduzenten, der durch das Statistische Bundesamt unter Index der Erzeugerpreise gewerblicher Produkte unter dem Code 61241- 0001, veröffentlicht wird</t>
  </si>
  <si>
    <t xml:space="preserve">ANF-1001</t>
  </si>
  <si>
    <t xml:space="preserve">§ 45 (6)</t>
  </si>
  <si>
    <t xml:space="preserve">Im Fall einer Vertragsverlängerung nach § 56 Abs.</t>
  </si>
  <si>
    <t xml:space="preserve">Im Fall einer Vertragsverlängerung nach § 56 Abs. 1 wird das Betreiberentgelt während des Verlängerungszeitraums nach Maßgabe dieses § 45 fortgezahlt.</t>
  </si>
  <si>
    <t xml:space="preserve">ANF-1002</t>
  </si>
  <si>
    <t xml:space="preserve">§ 45 (7)</t>
  </si>
  <si>
    <t xml:space="preserve">Wird ein Standort nach Erteilung der Betriebsfreigabe gemäß § 13 Abs.</t>
  </si>
  <si>
    <t xml:space="preserve">Wird ein Standort nach Erteilung der Betriebsfreigabe gemäß § 13 Abs. 5 oder Herstellung der technischen Betriebsbereitschaft gemäß § 13 Abs. 6 von dem Auftraggeber 2 nach § 20 vorübergehend außer Betrieb gesetzt oder dauerhaft stillgelegt oder werden bereits errichtete Ladepunkte vom Auftraggeber 2 nach § 39 Abs. 5 vorübergehend außer Betrieb gesetzt oder dauerhaft stillgelegt und hat der Auftragnehmer die Außerbetriebsetzung oder Stilllegung nicht zu vertreten, so wird das Betreiberentgelt für die Dauer der Außerbetriebsetzung, im Fall einer Stilllegung bis zum Aufbau der Ladeinfrastruktur an einem anderen Standort oder bis zum Ende der Vertragslaufzeit, in dem Umfange weiter gezahlt, in dem der Auftragnehmer nachweist, dass dies zur Deckung nicht vermeidbarer Kosten erforderlich ist.</t>
  </si>
  <si>
    <t xml:space="preserve">ANF-1003</t>
  </si>
  <si>
    <t xml:space="preserve">§ 45 (8)</t>
  </si>
  <si>
    <t xml:space="preserve">Sollte ein in diesem Vertrag verwendeter Index nicht mehr ermittelt bzw. veröffentlicht werden, ist eine Überleitung auf die Basis des nächsten jeweils veröffentlichten, dem nicht mehr ermittelten …</t>
  </si>
  <si>
    <t xml:space="preserve">Sollte ein in diesem Vertrag verwendeter Index nicht mehr ermittelt bzw. veröffentlicht werden, ist eine Überleitung auf die Basis des nächsten jeweils veröffentlichten, dem nicht mehr ermittelten bzw. veröffentlichen Index vergleichbaren Index vorzunehmen. Heranzuziehen ist der Index, der dem bei Vertragsbeginn verwendeten Index so nahe wie möglich kommt.</t>
  </si>
  <si>
    <t xml:space="preserve">ANF-1004</t>
  </si>
  <si>
    <t xml:space="preserve">§ 45 (9)</t>
  </si>
  <si>
    <t xml:space="preserve">Soweit die jeweils ausschlaggebenden Indizes am Preisanpassungsstichtag bzw. am vertraglich vorgesehenen Abrechnungszeitpunkt noch nicht veröffentlicht sind, erfolgt eine vorläufige Abrechnung auf …</t>
  </si>
  <si>
    <t xml:space="preserve">Soweit die jeweils ausschlaggebenden Indizes am Preisanpassungsstichtag bzw. am vertraglich vorgesehenen Abrechnungszeitpunkt noch nicht veröffentlicht sind, erfolgt eine vorläufige Abrechnung auf Grundlage des bisherigen Preises. Die Abrechnung ist zu korrigieren, sobald die betreffenden Indizes veröffentlicht worden sind.</t>
  </si>
  <si>
    <t xml:space="preserve">ANF-1005</t>
  </si>
  <si>
    <t xml:space="preserve">§ 46 (1)</t>
  </si>
  <si>
    <t xml:space="preserve">Für jede abgegebene kWh Ladestrom ist ein Infrastrukturentgelt vom Auftragnehmer an den Auftraggeber 2 zu zahlen.</t>
  </si>
  <si>
    <t xml:space="preserve">Für jede abgegebene kWh Ladestrom ist ein Infrastrukturentgelt vom Auftragnehmer an den Auftraggeber 2 zu zahlen. Erfolgt eine Nutzung der Ladeinfrastruktur im Rahmen des Ad-hoc-Ladens oder mit bilanzieller Bereitstellung der geladenen Strommengen durch den Auftragnehmer, ist das Infrastrukturentgelt vom Auftragnehmer bei der Kalkulation des Ad-hoc-Preises bzw. des Zugangsentgelts nach § 36 zu berücksichtigen. Erfolgt eine Nutzung im Wege des Durchleitungsmodells, ist das Infrastrukturentgelt bei der Kalkulation des Zugangsentgelts nach § 37 Abs. 1 lit. a zu berücksichtigen.</t>
  </si>
  <si>
    <t xml:space="preserve">Kapitel: Infrastrukturentgelt
Fundstelle im PDF: Seite 41</t>
  </si>
  <si>
    <t xml:space="preserve">ANF-1006</t>
  </si>
  <si>
    <t xml:space="preserve">§ 46 (2)</t>
  </si>
  <si>
    <t xml:space="preserve">Der Auftraggeber 2 setzt die Höhe dieses Infrastrukturentgelts für die Nutzung von MCS-Ladepunkten bzw. von CCS-Ladepunkte innerhalb von drei Monaten nach Zuschlagserteilung auf der Grundlage der …</t>
  </si>
  <si>
    <t xml:space="preserve">Der Auftraggeber 2 setzt die Höhe dieses Infrastrukturentgelts für die Nutzung von MCS-Ladepunkten bzw. von CCS-Ladepunkte innerhalb von drei Monaten nach Zuschlagserteilung auf der Grundlage der Ergebnisse der Ausschreibung (Errichtung und Betrieb der Ladepunkte), der Kosten des Netzanschlusses, der vom Auftraggeber 1 zu zahlenden Leistungspreise der Netznutzung, der prognostizierten Erlöse aus der Vermarktung von THG-Quoten sowie der allgemeinen Preisentwicklung für die Nutzung vergleichbarer Ladeinfrastruktur fest.</t>
  </si>
  <si>
    <t xml:space="preserve">ANF-1007</t>
  </si>
  <si>
    <t xml:space="preserve">§ 46 (3)</t>
  </si>
  <si>
    <t xml:space="preserve">Der Auftraggeber 2 kann die Höhe des Infrastrukturentgelts während der Laufzeit des Vertrags mit einer Frist von vier Monaten auf den Beginn eines Quartals schriftlich mit Wirkung gegenüber dem …</t>
  </si>
  <si>
    <t xml:space="preserve">Der Auftraggeber 2 kann die Höhe des Infrastrukturentgelts während der Laufzeit des Vertrags mit einer Frist von vier Monaten auf den Beginn eines Quartals schriftlich mit Wirkung gegenüber dem Auftragnehmer anpassen, wenn ohne eine Anpassung die Gefahr einer Marktverzerrung besteht. Der Auftragnehmer ist verpflichtet, sich seinerseits eine Anpassung seiner Entgelte vorzubehalten und unverzüglich alle erforderlichen Maßnahmen zur Umsetzung der Änderung des Infrastrukturentgelts durchzuführen. Kann der Auftragnehmer nachweisen, dass eine Anpassung des Infrastrukturentgelts zu dem in Satz 1 genannten Zeitpunkt aus Gründen, die er nicht zu vertreten hat, nicht umgesetzt werden kann, kann der Auftraggeber 2 den Stichtag der Anpassung entsprechend verlängern. Auf Nachfrage des Auftragnehmers legt der Auftraggeber 2 dar, warum die Höhe des Infrastrukturentgelts unter Berücksichtigung der in Absatz 2 genannten Kosten angemessen ist.</t>
  </si>
  <si>
    <t xml:space="preserve">ANF-1008</t>
  </si>
  <si>
    <t xml:space="preserve">§ 46 (4)</t>
  </si>
  <si>
    <t xml:space="preserve">Hält der Auftragnehmer die Höhe des Infrastrukturentgelts trotz Begründung durch den Auftraggeber 2 für unangemessen, kann der Auftragnehmer den Vorgang bei der zuständigen Kartellbehörde zur Anzeige …</t>
  </si>
  <si>
    <t xml:space="preserve">Hält der Auftragnehmer die Höhe des Infrastrukturentgelts trotz Begründung durch den Auftraggeber 2 für unangemessen, kann der Auftragnehmer den Vorgang bei der zuständigen Kartellbehörde zur Anzeige bringen, damit die zuständige Kartellbehörde für die Parteien verbindlich feststellen kann, ob die Höhe des Infrastrukturentgelts unangemessen und daher ursächlich für marktunübliche Ladepreise ist. Den Parteien ist eine Offenlegung der insoweit maßgeblichen Informationen gegenüber der zuständigen Kartellbehörde gestattet.</t>
  </si>
  <si>
    <t xml:space="preserve">ANF-1009</t>
  </si>
  <si>
    <t xml:space="preserve">§ 46 (5)</t>
  </si>
  <si>
    <t xml:space="preserve">Das vom Auftragnehmer je abgegebener kWh Ladestrom nach Absatz 1 vereinnahmte Infrastrukturentgelt ist in vollem Umfang an den Auftraggeber 2 abzuführen.</t>
  </si>
  <si>
    <t xml:space="preserve">Das vom Auftragnehmer je abgegebener kWh Ladestrom nach Absatz 1 vereinnahmte Infrastrukturentgelt ist in vollem Umfang an den Auftraggeber 2 abzuführen. Bei dem Ad-hoc-Laden und bei den Zugangsentgelten nach § 36 gilt das Infrastrukturentgelt unabhängig von der tatsächlichen Höhe des Ad-hoc-Preises bzw. des Zugangsentgelts nach § 36 als vereinnahmt. Von der Pflicht zur Zahlung des Infrastrukturentgelts ausgenommen ist Ladestrom, der aufgrund von Kulanz oder aufgrund fehlender Authentifizierung des Endnutzers ohne Verrechnung an einen Endnutzer abgegeben wurde. Beim Durchleitungsmodell gilt das Infrastrukturentgelt nur im Fall des Zahlungseingangs des Zugangsentgelts nach § 37 beim Auftragnehmer als vereinnahmt. Der Auftragnehmer ist verpflichtet, alle zumutbaren Maßnahmen zur Durchsetzung seiner Forderung gegenüber Mobilitätsdienstleistern vorzunehmen.</t>
  </si>
  <si>
    <t xml:space="preserve">ANF-1010</t>
  </si>
  <si>
    <t xml:space="preserve">§ 47</t>
  </si>
  <si>
    <t xml:space="preserve">Erfolgt die Errichtung zusätzlicher Ladepunkte durch den Auftragnehmer, erhält dieser vom Auftraggeber 1 die Kosten nach Maßgabe des vom Auftragnehmer erstellten Kostenangebots erstattet. § 39 Abs.</t>
  </si>
  <si>
    <t xml:space="preserve">Erfolgt die Errichtung zusätzlicher Ladepunkte durch den Auftragnehmer, erhält dieser vom Auftraggeber 1 die Kosten nach Maßgabe des vom Auftragnehmer erstellten Kostenangebots erstattet. § 39 Abs. 3 bleiben unberührt.</t>
  </si>
  <si>
    <t xml:space="preserve">Kapitel: Kosten für die Errichtung zusätzlicher Ladepunkte
Fundstelle im PDF: Seite 42
Zuordnung prüfen (Komponente/Partner nicht eindeutig)</t>
  </si>
  <si>
    <t xml:space="preserve">ANF-1011</t>
  </si>
  <si>
    <t xml:space="preserve">§ 48 (1)</t>
  </si>
  <si>
    <t xml:space="preserve">Der Auftraggeber 1 trägt die Kosten für die Errichtung eines neuen oder die Erweiterung eines bestehenden Netzanschlusses (Anschlusskosten und gegebenenfalls Baukostenzuschuss) für einen Standort.</t>
  </si>
  <si>
    <t xml:space="preserve">Der Auftraggeber 1 trägt die Kosten für die Errichtung eines neuen oder die Erweiterung eines bestehenden Netzanschlusses (Anschlusskosten und gegebenenfalls Baukostenzuschuss) für einen Standort. Zahlungen für den Netzanschluss erfolgen namens des Auftraggebers 1 direkt vom Auftraggeber 2 an den Netzbetreiber. Zusätzlich trägt der Auftraggeber 1 den Leistungspreis der Netzentgelte für die jeweiligen Standorte während der Laufzeit dieses Vertrags.</t>
  </si>
  <si>
    <t xml:space="preserve">Kapitel: Netzanschlusskosten
Fundstelle im PDF: Seite 42</t>
  </si>
  <si>
    <t xml:space="preserve">ANF-1012</t>
  </si>
  <si>
    <t xml:space="preserve">§ 48 (2)</t>
  </si>
  <si>
    <t xml:space="preserve">Kosten für die Nutzung des Netzanschlusses nach Errichtung oder Erweiterung (Leistungs- und Arbeitspreis der Netzentgelte, netzbezogene Umlagen und Abgaben, Entgelte für Messung und …</t>
  </si>
  <si>
    <t xml:space="preserve">Kosten für die Nutzung des Netzanschlusses nach Errichtung oder Erweiterung (Leistungs- und Arbeitspreis der Netzentgelte, netzbezogene Umlagen und Abgaben, Entgelte für Messung und Messstellenbetrieb) sind vom Auftragnehmer zu zahlen (vgl. § 24). Der Auftragnehmer erhält den Leistungspreis der Netzentgelte vom Auftraggeber 1 im Rahmen der Quartalsrechnung nach § 45 Abs. 4 erstattet.</t>
  </si>
  <si>
    <t xml:space="preserve">ANF-1013</t>
  </si>
  <si>
    <t xml:space="preserve">§ 48 (3)</t>
  </si>
  <si>
    <t xml:space="preserve">Für den Fall, dass der Auftragnehmer gemäß § 40 Abs.</t>
  </si>
  <si>
    <t xml:space="preserve">Für den Fall, dass der Auftragnehmer gemäß § 40 Abs. 1 mit geänderten oder zusätzlichen Leistungen im Zusammenhang mit dem Anschluss der Ladeinfrastruktur an das öffentliche Netz beauftragt wird, richtet sich die Vergütung dieser Leistungen nach den Regelungen des § 40 Abs. 2. Eine weitergehende Vergütung des Auftragnehmers für Leistungen im Zusammenhang mit dem Netzanschluss erfolgt nicht.</t>
  </si>
  <si>
    <t xml:space="preserve">ANF-1014</t>
  </si>
  <si>
    <t xml:space="preserve">§ 49 (1)</t>
  </si>
  <si>
    <t xml:space="preserve">Der Auftragnehmer ist verpflichtet, an den in der Vertragsanlage 2: Standorte aufgeführten Standorten sowie an Ersatzstandorten einen Speicher zu errichten, wenn dies teilweise zur Ersetzung der …</t>
  </si>
  <si>
    <t xml:space="preserve">Der Auftragnehmer ist verpflichtet, an den in der Vertragsanlage 2: Standorte aufgeführten Standorten sowie an Ersatzstandorten einen Speicher zu errichten, wenn dies teilweise zur Ersetzung der benötigten Anschlusskapazität erforderlich ist. Voraussetzung dafür ist, dass der Speicher in der Vertragsanlage 5: Details zum Netzanschluss in der Spalte „Aufbau eines Speichers“ vermerkt wurde bzw. ein Ersatzstandort mit einem entsprechenden Hinweis benannt wird. Der Auftraggeber 2 wird den Auftragnehmer unverzüglich nach Kenntniserlangung über die Erforderlichkeit und die Dimensionierung eines Speichers an einem Standort informieren.</t>
  </si>
  <si>
    <t xml:space="preserve">Kapitel: Speicher
Fundstelle im PDF: Seite 42</t>
  </si>
  <si>
    <t xml:space="preserve">ANF-1015</t>
  </si>
  <si>
    <t xml:space="preserve">§ 49 (2)</t>
  </si>
  <si>
    <t xml:space="preserve">In den Fällen des Absatzes 1 ist der Auftragnehmer für Planung, Errichtung, Betrieb und Instandhaltung des Speichers verantwortlich.</t>
  </si>
  <si>
    <t xml:space="preserve">In den Fällen des Absatzes 1 ist der Auftragnehmer für Planung, Errichtung, Betrieb und Instandhaltung des Speichers verantwortlich. Der Auftragnehmer hat die für den Betrieb des Speichers erforderlichen Versicherungen abzuschließen.</t>
  </si>
  <si>
    <t xml:space="preserve">ANF-1016</t>
  </si>
  <si>
    <t xml:space="preserve">§ 49 (3)</t>
  </si>
  <si>
    <t xml:space="preserve">Wurde der Aufbau des Speichers in der Vertragsanlage 5: Details zum Netzanschluss vermerkt, hat der Auftragnehmer die Kosten für die Errichtung und den Betrieb des Speichers in sein …</t>
  </si>
  <si>
    <t xml:space="preserve">Wurde der Aufbau des Speichers in der Vertragsanlage 5: Details zum Netzanschluss vermerkt, hat der Auftragnehmer die Kosten für die Errichtung und den Betrieb des Speichers in sein Errichtungsentgelt nach § 44 einzukalkulieren. Zur Kalkulation der erforderlichen Kapazitätsdimensionierung durch den Auftragnehmer, stellt der Auftraggeber in der Vertragsanlage 5: Details zum Netzanschluss eine unverbindliche prognostische Lastkurve für die Standorte zur Verfügung, an denen der Aufbau eines Speichers vermerkt wurde. Der Auftragnehmer ist verpflichtet, die erforderliche Kapazitätsdimensionierung des Speichers anhand der an dem Standort verfügbaren Netzanschlusskapazität und der prognostischen Lastkurve zu ermitteln. Die vom Auftraggeber 2 zur Verfügung gestellte prognostische Lastkurve dient ausschließlich zur Ermittlung der erforderlichen Kapazitätsdimensionierung des Speichers und ist unverbindlich; sie begründet keine Ansprüche des Auftragnehmers (z. B. hinsichtlich der tatsächlichen Auslastung des Standortes).</t>
  </si>
  <si>
    <t xml:space="preserve">ANF-1017</t>
  </si>
  <si>
    <t xml:space="preserve">§ 49 (4)</t>
  </si>
  <si>
    <t xml:space="preserve">Sollte der Aufbau eines Speichers entgegen der aktuellen Einschätzung des Auftraggeber 2 ausnahmsweise auch an Standorten erforderlich werden die in der Vertragsanlage 5: Details zum Netzanschluss …</t>
  </si>
  <si>
    <t xml:space="preserve">Sollte der Aufbau eines Speichers entgegen der aktuellen Einschätzung des Auftraggeber 2 ausnahmsweise auch an Standorten erforderlich werden die in der Vertragsanlage 5: Details zum Netzanschluss nicht als Speicherstandorte vorgesehen sind, hat der Betreiber auf Verlangen des Auftraggebers 2 auch an solchen Standorten einen Speicher nach Vorgaben des Auftraggebers 2 zu errichten; Absatz 2 gilt in diesem Fall entsprechend. Die Vergütung des Auftragnehmers richtet sich in einem solchen Fall nach § 40 Abs. 2.</t>
  </si>
  <si>
    <t xml:space="preserve">ANF-1018</t>
  </si>
  <si>
    <t xml:space="preserve">§ 50 (1)</t>
  </si>
  <si>
    <t xml:space="preserve">Gemäß § 6 der Verordnung zur Festlegung weiterer Bestimmungen zur Treibhausgasminderung bei Kraftstoffen („38.</t>
  </si>
  <si>
    <t xml:space="preserve">Gemäß § 6 der Verordnung zur Festlegung weiterer Bestimmungen zur Treibhausgasminderung bei Kraftstoffen („38. BImSchV“) können Betreiber öffentlich zugänglicher Ladepunkte (Art. 2 Nr. 38 AFIR) die durch die Abgabe von Ladestrom an diesen Ladepunkten generierte Treibhausgas-Minderungsquote im Sinne der Vorschriften des BImSchG („THG-Quoten“) beantragen und handeln.</t>
  </si>
  <si>
    <t xml:space="preserve">Kapitel: THG-Quoten
Fundstelle im PDF: Seite 43
Zuordnung prüfen (Komponente/Partner nicht eindeutig)</t>
  </si>
  <si>
    <t xml:space="preserve">ANF-1019</t>
  </si>
  <si>
    <t xml:space="preserve">§ 50 (2)</t>
  </si>
  <si>
    <t xml:space="preserve">Der Auftragnehmer wird das Recht zur Vermarktung von THG-Quoten für über die diesem Vertrag unterliegenden Ladepunkte abgegebenen Ladestrommengen nach Maßgabe folgender Absätze auf den Auftraggeber 1 …</t>
  </si>
  <si>
    <t xml:space="preserve">Der Auftragnehmer wird das Recht zur Vermarktung von THG-Quoten für über die diesem Vertrag unterliegenden Ladepunkte abgegebenen Ladestrommengen nach Maßgabe folgender Absätze auf den Auftraggeber 1 oder einen von diesem benannten Dritten übertragen:</t>
  </si>
  <si>
    <t xml:space="preserve">ANF-1020</t>
  </si>
  <si>
    <t xml:space="preserve">§ 50 (2) a</t>
  </si>
  <si>
    <t xml:space="preserve">Der Auftragnehmer bestimmt den Auftraggeber 1 als Dritten gemäß § 5 Abs.</t>
  </si>
  <si>
    <t xml:space="preserve">Der Auftragnehmer bestimmt den Auftraggeber 1 als Dritten gemäß § 5 Abs. 1 Satz 2 Alt. 2</t>
  </si>
  <si>
    <t xml:space="preserve">Kapitel: THG-Quoten
Fundstelle im PDF: Seite 43</t>
  </si>
  <si>
    <t xml:space="preserve">ANF-1021</t>
  </si>
  <si>
    <t xml:space="preserve">§ 50 (2) i</t>
  </si>
  <si>
    <t xml:space="preserve">V. m. § 7 Abs. 5 der 38.</t>
  </si>
  <si>
    <t xml:space="preserve">V. m. § 7 Abs. 5 der 38. BImSchV. Der Auftraggeber 1 ist berechtigt, die Menge des elektrischen Stroms, der über die von diesem Vertrag umfassten Ladepunkte entnommen wird, im Rahmen des THG-Quotenhandels nach § 37a Abs. 6 BImSchG im eigenen Namen und auf eigene Rechnung zu vermarkten, d. h. beim Umweltbundesamt zu melden und an Quotenverpflichtete i. S. v. § 37a Abs. 1 BImSchG zu übertragen.</t>
  </si>
  <si>
    <t xml:space="preserve">ANF-1022</t>
  </si>
  <si>
    <t xml:space="preserve">§ 50 (2) b</t>
  </si>
  <si>
    <t xml:space="preserve">Eine Übertragung erfolgt, soweit der Auftragnehmer die THG-Quoten generiert und jeweils für volle Kalenderjahre.</t>
  </si>
  <si>
    <t xml:space="preserve">Eine Übertragung erfolgt, soweit der Auftragnehmer die THG-Quoten generiert und jeweils für volle Kalenderjahre. Beginn ist das Kalenderjahr der Inbetriebnahme des ersten Ladepunktes nach diesem Vertrag. Die Übertragung endet nach Ablauf des Kalenderjahres nach Ende dieses Vertrags.</t>
  </si>
  <si>
    <t xml:space="preserve">ANF-1023</t>
  </si>
  <si>
    <t xml:space="preserve">§ 50 (2) c</t>
  </si>
  <si>
    <t xml:space="preserve">Der Auftragnehmer teilt dem Auftraggeber 1 die im vorangegangenen Kalenderjahr über die Ladepunkte entnommene Strommenge mit und weist diese in geeigneter Weise nach.</t>
  </si>
  <si>
    <t xml:space="preserve">Der Auftragnehmer teilt dem Auftraggeber 1 die im vorangegangenen Kalenderjahr über die Ladepunkte entnommene Strommenge mit und weist diese in geeigneter Weise nach. Darüber hinaus teilt der Auftragnehmer dem Auftraggeber 1 das Verpflichtungsjahr, die EVSE-ID, den genauen Standort des Ladepunktes und den Zeitraum, in dem die Strommenge dem Ladepunkt entnommen wurde, mit. Die Mitteilung der Angaben nach Satz 1 und 2 dieser lit. c hat bis spätestens 15.02. eines Kalenderjahres zu erfolgen.</t>
  </si>
  <si>
    <t xml:space="preserve">ANF-1024</t>
  </si>
  <si>
    <t xml:space="preserve">§ 50 (2) d</t>
  </si>
  <si>
    <t xml:space="preserve">Ändern sich die gesetzlichen oder behördlichen Anforderungen an den Nachweis der elektrischen Strommengen für Elektrofahrzeuge gegenüber dem Umweltbundesamt, wird der Auftragnehmer den Auftraggeber 1 …</t>
  </si>
  <si>
    <t xml:space="preserve">Ändern sich die gesetzlichen oder behördlichen Anforderungen an den Nachweis der elektrischen Strommengen für Elektrofahrzeuge gegenüber dem Umweltbundesamt, wird der Auftragnehmer den Auftraggeber 1 oder den von ihm benannten Dritten bei der Erfüllung dieser Pflichten unterstützen, insbesondere gegebenenfalls erforderliche Informationen und Unterlagen zur Verfügung stellen.</t>
  </si>
  <si>
    <t xml:space="preserve">ANF-1025</t>
  </si>
  <si>
    <t xml:space="preserve">§ 50 (2) e</t>
  </si>
  <si>
    <t xml:space="preserve">Spätestens zwei Wochen vor Beginn eines Quartals wird der Auftragnehmer dem Auftraggeber 1 eine Absatzprognose für dieses Quartal übermitteln.</t>
  </si>
  <si>
    <t xml:space="preserve">ANF-1026</t>
  </si>
  <si>
    <t xml:space="preserve">§ 51 (1)</t>
  </si>
  <si>
    <t xml:space="preserve">Der Auftragnehmer erstellt jeweils vier Wochen vor Ende eines Quartals eine Prognose zum Mittelabfluss im folgenden Quartal für den Auftraggeber 2 unter Berücksichtigung der Zahlungen des …</t>
  </si>
  <si>
    <t xml:space="preserve">Der Auftragnehmer erstellt jeweils vier Wochen vor Ende eines Quartals eine Prognose zum Mittelabfluss im folgenden Quartal für den Auftraggeber 2 unter Berücksichtigung der Zahlungen des Auftraggebers 2 (im eigenen Namen und auf Rechnung des Auftraggebers 1) sowie der Zahlungen des Auftragnehmers (Infrastrukturentgelt).</t>
  </si>
  <si>
    <t xml:space="preserve">Kapitel: Prognose für den Mittelabfluss, Allgemeine Bestimmungen für Zahlungen der Auftraggeber
Fundstelle im PDF: Seite 43</t>
  </si>
  <si>
    <t xml:space="preserve">ANF-1027</t>
  </si>
  <si>
    <t xml:space="preserve">§ 51 (2)</t>
  </si>
  <si>
    <t xml:space="preserve">Zahlungen des Errichtungsentgelts nach § 44 erfolgen namens und auf Rechnung des Auftraggebers 1 durch den Auftraggeber 2.</t>
  </si>
  <si>
    <t xml:space="preserve">ANF-1028</t>
  </si>
  <si>
    <t xml:space="preserve">§ 51 (3)</t>
  </si>
  <si>
    <t xml:space="preserve">Zahlungen des Betreiberentgelts nach § 45 erfolgen durch den Auftraggeber 2 in eigenem Namen und auf eigene Rechnung.</t>
  </si>
  <si>
    <t xml:space="preserve">ANF-1029</t>
  </si>
  <si>
    <t xml:space="preserve">§ 51 (4)</t>
  </si>
  <si>
    <t xml:space="preserve">Der Auftraggeber 2 ist berechtigt, sämtliche ihm zustehenden Zahlungsansprüche (einschließlich Ansprüche auf Zahlung von Vertragsstrafen und Ansprüche auf Zahlung des Infrastrukturentgelts) mit …</t>
  </si>
  <si>
    <t xml:space="preserve">Der Auftraggeber 2 ist berechtigt, sämtliche ihm zustehenden Zahlungsansprüche (einschließlich Ansprüche auf Zahlung von Vertragsstrafen und Ansprüche auf Zahlung des Infrastrukturentgelts) mit Zahlungsansprüche des Auftragnehmers gegen die Auftraggeber zu verrechnen und gegen diese aufzurechnen. Der Auftraggeber 1 tritt hierzu seine ihm gegen den Auftragnehmer zustehenden Zahlungsansprüche und solche, die in einen Zahlungsanspruch übergeben können, bereits hiermit ab und der Auftraggeber 2 nimmt die Abtretung hiermit an. Eine Verrechnung von Ansprüchen der Auftraggeber erfolgt vorrangig mit dem Betreiberentgelt.</t>
  </si>
  <si>
    <t xml:space="preserve">ANF-1030</t>
  </si>
  <si>
    <t xml:space="preserve">§ 51 (5)</t>
  </si>
  <si>
    <t xml:space="preserve">Der Auftragnehmer erstellt unverzüglich nach Ablauf eines Quartals eine Abrechnung über das dem Auftraggeber 2 für das betreffende Quartal zustehende Infrastrukturentgelt.</t>
  </si>
  <si>
    <t xml:space="preserve">ANF-1031</t>
  </si>
  <si>
    <t xml:space="preserve">§ 51 (6)</t>
  </si>
  <si>
    <t xml:space="preserve">Zahlungen der Auftraggeber sowie Verrechnungen des Auftraggebers 2 erfolgen jeweils binnen 30 Tagen nach Vorlage einer prüffähigen Rechnung durch den Auftragnehmer und des Vorliegens der Abrechnung …</t>
  </si>
  <si>
    <t xml:space="preserve">Zahlungen der Auftraggeber sowie Verrechnungen des Auftraggebers 2 erfolgen jeweils binnen 30 Tagen nach Vorlage einer prüffähigen Rechnung durch den Auftragnehmer und des Vorliegens der Abrechnung nach Absatz 5. Die Rechnungsstellung soll innerhalb eines Monats nach Ende des Quartals erfolgen.</t>
  </si>
  <si>
    <t xml:space="preserve">Kapitel: Prognose für den Mittelabfluss, Allgemeine Bestimmungen für Zahlungen der Auftraggeber
Fundstelle im PDF: Seite 43
Zuordnung prüfen (Komponente/Partner nicht eindeutig)</t>
  </si>
  <si>
    <t xml:space="preserve">ANF-1032</t>
  </si>
  <si>
    <t xml:space="preserve">§ 51 (7)</t>
  </si>
  <si>
    <t xml:space="preserve">Der Auftragnehmer ist verpflichtet, Rechnungen unter Beachtung der rechtlichen Vorgaben zu stellen, insbesondere der Verordnung über die elektronische Rechnungsstellung im öffentlichen Auftragswesen …</t>
  </si>
  <si>
    <t xml:space="preserve">Der Auftragnehmer ist verpflichtet, Rechnungen unter Beachtung der rechtlichen Vorgaben zu stellen, insbesondere der Verordnung über die elektronische Rechnungsstellung im öffentlichen Auftragswesen der Auftraggeber (E-Rechnungsverordnung) in der jeweils geltenden Fassung, elektronisch über die Zentrale Rechnungseingangsplattform des Auftraggebers 2 (ZRE).</t>
  </si>
  <si>
    <t xml:space="preserve">ANF-1033</t>
  </si>
  <si>
    <t xml:space="preserve">§ 51 (8)</t>
  </si>
  <si>
    <t xml:space="preserve">Alle in diesem Vertrag genannten Zahlungen verstehen sich netto, zuzüglich gegebenenfalls anfallender gesetzlicher Umsatzsteuer.</t>
  </si>
  <si>
    <t xml:space="preserve">Alle in diesem Vertrag genannten Zahlungen verstehen sich netto, zuzüglich gegebenenfalls anfallender gesetzlicher Umsatzsteuer. Dies gilt auch für die gemäß § 44 vor Fälligkeit anteilig in Rechnung gestellten Beträge. ABSCHNITT 8 VERTRAGSSTRAFEN, HAFTUNG UND VERSICHERUNG</t>
  </si>
  <si>
    <t xml:space="preserve">ANF-1034</t>
  </si>
  <si>
    <t xml:space="preserve">§ 52 (1)</t>
  </si>
  <si>
    <t xml:space="preserve">Im Fall der Nichteinhaltung von verbindlichen Vertragsterminen zur Erlangung der Betriebsfreigabe findet die Regelung des § 14 Anwendung.</t>
  </si>
  <si>
    <t xml:space="preserve">Kapitel: Vertragsstrafen
Fundstelle im PDF: Seite 44</t>
  </si>
  <si>
    <t xml:space="preserve">ANF-1035</t>
  </si>
  <si>
    <t xml:space="preserve">§ 52 (2)</t>
  </si>
  <si>
    <t xml:space="preserve">Im Fall einer Nichtvorhaltung der Schnittstelle zur Reservierung von Ladepunkten findet die Regelung in § 25 Abs.</t>
  </si>
  <si>
    <t xml:space="preserve">Im Fall einer Nichtvorhaltung der Schnittstelle zur Reservierung von Ladepunkten findet die Regelung in § 25 Abs. 6 Anwendung.</t>
  </si>
  <si>
    <t xml:space="preserve">ANF-1036</t>
  </si>
  <si>
    <t xml:space="preserve">§ 52 (3)</t>
  </si>
  <si>
    <t xml:space="preserve">Im Fall der Überschreitung von maximalen Ausfallzeiten finden die Regelungen des § 27 Abs.</t>
  </si>
  <si>
    <t xml:space="preserve">Im Fall der Überschreitung von maximalen Ausfallzeiten finden die Regelungen des § 27 Abs. 2 und 3 Anwendung.</t>
  </si>
  <si>
    <t xml:space="preserve">ANF-1037</t>
  </si>
  <si>
    <t xml:space="preserve">§ 52 (4)</t>
  </si>
  <si>
    <t xml:space="preserve">Im Fall einer Zuwiderhandlung gegen die Pflicht zur diskriminierungsfreien Zugangsgewährung findet die Regelung in § 33 Abs.</t>
  </si>
  <si>
    <t xml:space="preserve">Im Fall einer Zuwiderhandlung gegen die Pflicht zur diskriminierungsfreien Zugangsgewährung findet die Regelung in § 33 Abs. 1 Anwendung.</t>
  </si>
  <si>
    <t xml:space="preserve">ANF-1038</t>
  </si>
  <si>
    <t xml:space="preserve">§ 52 (5)</t>
  </si>
  <si>
    <t xml:space="preserve">Daneben ist der Auftragnehmer im Falle der nachstehend näher beschriebenen, vom Auftragnehmer zu vertretenden Pflichtverletzungen zur Zahlung von Vertragsstrafen an den Auftraggeber 2 verpflichtet.</t>
  </si>
  <si>
    <t xml:space="preserve">Daneben ist der Auftragnehmer im Falle der nachstehend näher beschriebenen, vom Auftragnehmer zu vertretenden Pflichtverletzungen zur Zahlung von Vertragsstrafen an den Auftraggeber 2 verpflichtet. Schadensersatz-, Freistellungs- sowie weitergehende Ansprüche bleiben unberührt, verwirkte Vertragsstrafen werden auf Schadensersatzansprüche angerechnet.</t>
  </si>
  <si>
    <t xml:space="preserve">ANF-1039</t>
  </si>
  <si>
    <t xml:space="preserve">§ 52 (5) a</t>
  </si>
  <si>
    <t xml:space="preserve">Verletzt der Auftragnehmer seine Pflicht zur Übermittlung von Daten an den Auftraggeber 2 (§ 64 i.</t>
  </si>
  <si>
    <t xml:space="preserve">Verletzt der Auftragnehmer seine Pflicht zur Übermittlung von Daten an den Auftraggeber 2 (§ 64 i. V. m. Kap. 1 (Datenschnittstelle) der Vertragsanlage 10: Leistungsbeschreibung Betrieb) und beseitigt er diese Pflichtverletzung trotz vorheriger Mahnung nicht innerhalb von einer Woche, so wird je Pflichtverletzung (bei nicht fristgemäßer, unvollständiger oder nicht vorgenommener Mitteilung) eine Vertragsstrafe von € 250,00 fällig. Die Vertragsstrafe ist pro Standort auf einen Betrag von € 20.000,00 pro Kalenderjahr des Vertragszeitraums begrenzt.</t>
  </si>
  <si>
    <t xml:space="preserve">ANF-1040</t>
  </si>
  <si>
    <t xml:space="preserve">§ 52 (5) b</t>
  </si>
  <si>
    <t xml:space="preserve">Verletzt der Auftragnehmer seine monatlichen Berichtspflichten (§ 64 i.</t>
  </si>
  <si>
    <t xml:space="preserve">Verletzt der Auftragnehmer seine monatlichen Berichtspflichten (§ 64 i. V. m. Kap. 3 (Monatsberichte) der Vertragsanlage 10: Leistungsbeschreibung Betrieb) und beseitigt er diese Pflichtverletzung trotz vorhergehender Mahnung nicht innerhalb von zwei Wochen, so wird je Pflichtverletzung (bei nicht fristgemäßen, unvollständigen oder nicht vorgenommenen Monatsberichten) eine Vertragsstrafe von € 100,00 pro betroffenem Standort fällig. Verwirklicht ein und dieselbe Pflichtverletzung den Tatbestand mehrerer der in Absatz 5 genannten Fälle, so wird die höchste Vertragsstrafe in Ansatz gebracht.</t>
  </si>
  <si>
    <t xml:space="preserve">ANF-1041</t>
  </si>
  <si>
    <t xml:space="preserve">§ 52 (6)</t>
  </si>
  <si>
    <t xml:space="preserve">Die nach diesem Vertrag hinsichtlich der Verletzung der Pflichten des Auftragnehmers zur Errichtung der Ladeinfrastruktur sowie die nach diesem Vertrag hinsichtlich der Verletzung der Pflichten des …</t>
  </si>
  <si>
    <t xml:space="preserve">Die nach diesem Vertrag hinsichtlich der Verletzung der Pflichten des Auftragnehmers zur Errichtung der Ladeinfrastruktur sowie die nach diesem Vertrag hinsichtlich der Verletzung der Pflichten des Auftragnehmers zum Betrieb der Ladeinfrastruktur zu zahlenden Vertragsstrafen sind jeweils der Höhe nach auf 5 % des im Angebot des Auftragnehmers insgesamt angegebenen Brutto-Errichtungsentgelts (für Errichtungspflichten) bzw. Brutto-Betreiberentgelts (für Betriebspflichten sowie alle weiteren vertragsstrafenbewährten Pflichten des Auftragnehmers) begrenzt.</t>
  </si>
  <si>
    <t xml:space="preserve">ANF-1042</t>
  </si>
  <si>
    <t xml:space="preserve">§ 52 (7)</t>
  </si>
  <si>
    <t xml:space="preserve">Das Recht des Auftraggebers 2 zur außerordentlichen Kündigung aus wichtigem Grund bleibt durch diese Vorgaben unberührt.</t>
  </si>
  <si>
    <t xml:space="preserve">ANF-1043</t>
  </si>
  <si>
    <t xml:space="preserve">§ 53 (1)</t>
  </si>
  <si>
    <t xml:space="preserve">Der Auftragnehmer ist verpflichtet, dem Auftraggeber 2 spätestens 30 Tage nach Vertragsschluss eine Bürgschaft eines europäischen Kreditinstituts zur Sicherung der Ansprüche der Auftraggeber aus …</t>
  </si>
  <si>
    <t xml:space="preserve">Der Auftragnehmer ist verpflichtet, dem Auftraggeber 2 spätestens 30 Tage nach Vertragsschluss eine Bürgschaft eines europäischen Kreditinstituts zur Sicherung der Ansprüche der Auftraggeber aus diesem Vertrag nach dem als Vertragsanlage 15: Muster Vertragserfüllungsbürgschaft beigefügten Muster vorzulegen. Sie ist eine Höchstbetragsbürgschaft und dient als Sicherheit für die Erfüllung sämtlicher Leistungspflichten des Auftragnehmers betreffend Planung, Errichtung und Betrieb der Ladeinfrastruktur einschließlich Zahlungsverpflichtungen, insbesondere betreffend die Zahlung des Infrastrukturentgelts gemäß § 46, von Vertragsstrafen, die Leistung von Schadensersatz, gleich aus welchem Rechtsgrund, sowie Zinsen. Der Auftragnehmer ist berechtigt, anstelle einer Bürgschaft bis zu fünf Höchstbetragsbürgschaften zur Sicherung der vorgenannten Ansprüche zu stellen.</t>
  </si>
  <si>
    <t xml:space="preserve">Kapitel: Sicherheiten
Fundstelle im PDF: Seite 45</t>
  </si>
  <si>
    <t xml:space="preserve">ANF-1044</t>
  </si>
  <si>
    <t xml:space="preserve">§ 53 (2)</t>
  </si>
  <si>
    <t xml:space="preserve">Das sich verbürgende europäische Kreditinstitut muss ein Rating im „BBB“-Bereich von Standard &amp; Poor's oder ein gleichwertiges Rating einer anderen international anerkannten Rating-Agentur aufweisen.</t>
  </si>
  <si>
    <t xml:space="preserve">Das sich verbürgende europäische Kreditinstitut muss ein Rating im „BBB“-Bereich von Standard &amp; Poor's oder ein gleichwertiges Rating einer anderen international anerkannten Rating-Agentur aufweisen. Die Auftraggeber haben einen Anspruch auf Austausch der Bürgschaft, wenn sich das Rating wesentlich verschlechtert, d. h. schlechter als „BBB“- (Standard &amp; Poor's) oder ein gleichwertig schlechteres Rating einer anderen international anerkannten Rating-Agentur. Die Bürgschaft muss schriftlich, unbedingt und unbefristet, unwiderruflich und selbstschuldnerisch sowie unter Verzicht auf die Einrede der Vorausklage erklärt werden. Das Recht zur Hinterlegung muss ebenfalls ausgeschlossen sein. Ferner hat der Bürge zu erklären, dass für Streitigkeiten aus der Bürgschaft ausschließlich das Recht der Bundesrepublik Deutschland Anwendung findet und Gerichtsstand Berlin ist. Weiter hat er zu erklären, dass die Bürgschaftsforderung nicht vor der gesicherten Hauptforderung verjährt.</t>
  </si>
  <si>
    <t xml:space="preserve">ANF-1045</t>
  </si>
  <si>
    <t xml:space="preserve">§ 53 (3)</t>
  </si>
  <si>
    <t xml:space="preserve">Die Höhe der Bürgschaft beträgt 5 % der Gesamtsumme des Netto-Errichtungsentgelts gemäß Preisblatt aus dem Angebot des Auftragnehmers.</t>
  </si>
  <si>
    <t xml:space="preserve">Die Höhe der Bürgschaft beträgt 5 % der Gesamtsumme des Netto-Errichtungsentgelts gemäß Preisblatt aus dem Angebot des Auftragnehmers. Erhöht sich infolge geänderter oder zusätzlicher Leistungen die Vergütung des Auftragnehmers um 10 % oder mehr der Gesamtsumme des Netto-Errichtungsentgelts, so kann der Auftraggeber eine Erhöhung der Bürgschaft um den entsprechenden zusätzlichen Betrag verlangen. Die Höhe der Bürgschaft verringert sich mit der Betriebsfreigabe eines Standorts um einen Betrag, der dem Anteil des Errichtungsentgelts für diesen Standort an der Gesamtsumme des Netto-Errichtungsentgelts (Gesamtkosten aller Standorte gemäß Preisblatt des Angebots des Bieters) entspricht.</t>
  </si>
  <si>
    <t xml:space="preserve">ANF-1046</t>
  </si>
  <si>
    <t xml:space="preserve">§ 53 (4)</t>
  </si>
  <si>
    <t xml:space="preserve">Die Auftraggeber haben die nicht verwertete Bürgschaft zurückzugeben, sobald für alle Standorte, an denen nach diesem Vertrag die Planung, Errichtung, technische Inbetriebnahme, Abnahme und …</t>
  </si>
  <si>
    <t xml:space="preserve">Die Auftraggeber haben die nicht verwertete Bürgschaft zurückzugeben, sobald für alle Standorte, an denen nach diesem Vertrag die Planung, Errichtung, technische Inbetriebnahme, Abnahme und Betriebsfreigabe der Ladeeinrichtungen vom Auftragnehmer zu erbringen bzw. zu bewirken sind, die Betriebsfreigabe erteilt worden ist, es sei denn, zu diesem Zeitpunkt bestehen noch offene Ansprüche und diese sind gegen den Bürgen geltend gemacht. In letzterem Fall ist die Bürgschaft mit Erfüllung dieser offenen, gegen den Bürgen geltend gemachten Ansprüche zurückzugeben.</t>
  </si>
  <si>
    <t xml:space="preserve">ANF-1047</t>
  </si>
  <si>
    <t xml:space="preserve">§ 53 (5)</t>
  </si>
  <si>
    <t xml:space="preserve">Die Bürgschaft ist befristet, sie gilt bis zum Ende des 8. auf das Kalenderjahr der Zuschlagserteilung folgenden Kalenderjahres.</t>
  </si>
  <si>
    <t xml:space="preserve">Die Bürgschaft ist befristet, sie gilt bis zum Ende des 8. auf das Kalenderjahr der Zuschlagserteilung folgenden Kalenderjahres. Der Bürge wird nach Maßgabe von § 777 Abs. 1 Satz 2 BGB mit Ablauf der bestimmten Zeit frei, sofern eine unverzügliche Anzeige der Inanspruchnahme des Bürgen unterbleibt.</t>
  </si>
  <si>
    <t xml:space="preserve">ANF-1048</t>
  </si>
  <si>
    <t xml:space="preserve">§ 53 (6)</t>
  </si>
  <si>
    <t xml:space="preserve">Die Kosten der Bürgschaft hat der Auftragnehmer zu tragen.</t>
  </si>
  <si>
    <t xml:space="preserve">ANF-1049</t>
  </si>
  <si>
    <t xml:space="preserve">§ 53 (7)</t>
  </si>
  <si>
    <t xml:space="preserve">Das Erfordernis zur Stellung einer Bürgschaft gemäß Absatz 1 bis 5 durch den Betreiber kann bis zu 50 % des zu sichernden Betrages durch ein gleichwertiges Sicherungsinstrument (z.</t>
  </si>
  <si>
    <t xml:space="preserve">Das Erfordernis zur Stellung einer Bürgschaft gemäß Absatz 1 bis 5 durch den Betreiber kann bis zu 50 % des zu sichernden Betrages durch ein gleichwertiges Sicherungsinstrument (z. B. Garantie eines oder mehrerer Gesellschafter des Betreibers und/oder eines oder mehrerer mit dem Betreiber im Sinne des § 15 AktG verbundenen Unternehmen oder einer am Betreiber beteiligten Gebietskörperschaft mit Ratings mindestens gemäß Absatz 2 bzw. anderweitig nachgewiesener vergleichbarer Bonität) ersetzt werden. Bezüglich der vergleichbaren Bonität desjenigen, der das vergleichbare Sicherungsinstrument stellt, wäre insoweit ausreichend, wenn diese über eine Muttergesellschaft (oder eine andere Konzerngesellschaft) vermittelt wird, mit der ein Ergebnisabführungsvertrag (oder eine Kette von Ergebnisabführungsverträgen) besteht.</t>
  </si>
  <si>
    <t xml:space="preserve">ANF-1050</t>
  </si>
  <si>
    <t xml:space="preserve">§ 54 (1)</t>
  </si>
  <si>
    <t xml:space="preserve">Die Parteien haften untereinander nach den gesetzlichen Vorschriften, soweit sich aus den folgenden Bestimmungen nichts Abweichendes ergibt.</t>
  </si>
  <si>
    <t xml:space="preserve">Die Parteien haften untereinander nach den gesetzlichen Vorschriften, soweit sich aus den folgenden Bestimmungen nichts Abweichendes ergibt. Die Höhe der Haftung des Auftragnehmers für alle Schäden während der Vertragslaufzeit ist in der Höhe beschränkt auf 50 % der Auftragssumme (Errichtungsentgelt zzgl. Summe der Betreiberentgelte für die Vertragslaufzeit) über die Vertragslaufzeit. Vorstehende Haftungsbegrenzung gilt jedoch nicht für</t>
  </si>
  <si>
    <t xml:space="preserve">Kapitel: Allgemeine Haftungsregeln
Fundstelle im PDF: Seite 46</t>
  </si>
  <si>
    <t xml:space="preserve">ANF-1051</t>
  </si>
  <si>
    <t xml:space="preserve">§ 54 (1) a</t>
  </si>
  <si>
    <t xml:space="preserve">schuldhaft verursachte Schäden aus der Verletzung des Lebens, des Körpers oder der Gesundheit und</t>
  </si>
  <si>
    <t xml:space="preserve">ANF-1052</t>
  </si>
  <si>
    <t xml:space="preserve">§ 54 (1) b</t>
  </si>
  <si>
    <t xml:space="preserve">sonstige Schäden, die auf einer grob fahrlässigen oder vorsätzlichen Pflichtverletzung beruhen sowie</t>
  </si>
  <si>
    <t xml:space="preserve">ANF-1053</t>
  </si>
  <si>
    <t xml:space="preserve">§ 54 (1) c</t>
  </si>
  <si>
    <t xml:space="preserve">die in diesem Vertrag ausdrücklich geregelten Vertragsstrafen.</t>
  </si>
  <si>
    <t xml:space="preserve">ANF-1054</t>
  </si>
  <si>
    <t xml:space="preserve">§ 54 (2)</t>
  </si>
  <si>
    <t xml:space="preserve">Soweit die Auftraggeber im Zusammenhang mit der Planung, der Errichtung oder dem Betrieb der Ladeinfrastruktur Dritten gegenüber allein oder neben dem Auftragnehmer haften (sei es als …</t>
  </si>
  <si>
    <t xml:space="preserve">Soweit die Auftraggeber im Zusammenhang mit der Planung, der Errichtung oder dem Betrieb der Ladeinfrastruktur Dritten gegenüber allein oder neben dem Auftragnehmer haften (sei es als Grundstückseigentümer, Träger der Straßenbaulast oder aus sonstigem Rechtsgrund) und diese Haftung auf einer zu vertretenden Nicht- oder Schlechterfüllung der in diesem Vertrag von dem Auftragnehmer gegenüber den Auftraggebern übernommenen Verpflichtungen oder einer sonstigen schuldhaften Handlung des Auftragnehmers beruht, ist der Auftragnehmer verpflichtet, die Auftraggeber insoweit von Ersatzansprüchen Dritter freizustellen.</t>
  </si>
  <si>
    <t xml:space="preserve">ANF-1055</t>
  </si>
  <si>
    <t xml:space="preserve">§ 54 (3)</t>
  </si>
  <si>
    <t xml:space="preserve">Der Auftraggeber 2 haftet gegenüber dem Auftragnehmer nicht für Nachteile, die diesem aus einer etwaigen verzögerten Erteilung von Planfreigaben, Baufreigaben oder Betriebsfreigaben entstehen.</t>
  </si>
  <si>
    <t xml:space="preserve">Der Auftraggeber 2 haftet gegenüber dem Auftragnehmer nicht für Nachteile, die diesem aus einer etwaigen verzögerten Erteilung von Planfreigaben, Baufreigaben oder Betriebsfreigaben entstehen. Die vorstehende Regelung lässt Ansprüche des Auftragnehmers auf Erstattung tatsächlich erforderlicher Kosten, die ihm nach diesem Vertrag zustehen, unberührt.</t>
  </si>
  <si>
    <t xml:space="preserve">ANF-1056</t>
  </si>
  <si>
    <t xml:space="preserve">§ 55 (1) a</t>
  </si>
  <si>
    <t xml:space="preserve">Sachsubstanzversicherung/Elektronikversicherung aa) Der Auftragnehmer ist verpflichtet, für die nach diesem Vertrag von ihm zu planenden, zu errichtenden und zu betreibenden Ladeinfrastruktur eine …</t>
  </si>
  <si>
    <t xml:space="preserve">Sachsubstanzversicherung/Elektronikversicherung aa) Der Auftragnehmer ist verpflichtet, für die nach diesem Vertrag von ihm zu planenden, zu errichtenden und zu betreibenden Ladeinfrastruktur eine ausreichende Sachsubstanzversicherung zu üblichen Versicherungsbedingungen abzuschließen und über die Dauer der Vertragslaufzeit aufrechtzuerhalten. Das Interesse der Auftraggeber ist mitzuversichern. bb) In diesem Zusammenhang übliche Versicherungsbedingungen stellen die Allgemeine Bedingungen für die Elektronikversicherung (ABE 2020) dar, die um Schäden aus inneren Unruhen zu erweitern sind. cc) Die Ladeinfrastruktur ist insbesondere gegen die Risiken einer unvorhergesehen eintretenden Beschädigung oder Zerstörung sowie gegen Abhandenkommen durch Diebstahl zu versichern. Der Versicherungsschutz hat dabei auch Schäden durch höhere Gewalt, einschließlich Elementarschäden — auch durch Erdbeben — sowie Schäden durch innere Unruhen einzuschließen. Im Falle einer Sachsubstanzversicherung ist eine Deckungserweiterung um Schäden durch böswillige Beschädigung vorzusehen. Die Höchstersatzleistung des Versicherers für derartige Schäden kann je Kalenderjahr auf einen Maximalbetrag von € 5.000.000,00 begrenzt werden. Dabei darf der Versicherungsschutz einen Ausschluss von Schäden durch Kratzer, Schrammen, Dellen infolge von Vandalismus/böswilliger Beschädigung an der Ladeinfrastruktur vorsehen, soweit durch den Schaden nicht gleichzeitig die Funktionsfähigkeit der Ladeeinrichtung beeinträchtigt ist (optische/kosmetische Schäden). Der Auftragnehmer kann sich auf diesen Ausschluss nur dann berufen, wenn der Schaden sachgerecht dokumentiert wurde und er zusätzlich eine polizeiliche Anzeige des Schadens vorgenommen hat. dd) Nebenleistungen beispielsweise für die Schnittstelle zum Netzanschluss und Fundamente sind in den Versicherungsschutz einzubeziehen.</t>
  </si>
  <si>
    <t xml:space="preserve">Kapitel: Versicherungen
Fundstelle im PDF: Seite 46</t>
  </si>
  <si>
    <t xml:space="preserve">ANF-1057</t>
  </si>
  <si>
    <t xml:space="preserve">§ 55 (1) b</t>
  </si>
  <si>
    <t xml:space="preserve">Montageversicherung aa) Der Auftragnehmer ist verpflichtet, für Schäden an den nach diesem Vertrag zu errichtenden und/oder zu montierenden Montageobjekten eine ausreichende Montageversicherung zu …</t>
  </si>
  <si>
    <t xml:space="preserve">Montageversicherung aa) Der Auftragnehmer ist verpflichtet, für Schäden an den nach diesem Vertrag zu errichtenden und/oder zu montierenden Montageobjekten eine ausreichende Montageversicherung zu üblichen Versicherungsbedingungen abzuschließen und während der Bau- und Montagephase sowie mindestens sechs Monate darüber hinaus für Schäden durch Nacharbeiten sowie Schäden, die während des Versicherungsschutzes am Versicherungsort verursacht wurden (Extended Maintenance), aufrechtzuerhalten. Der Auftragnehmer kann seine Pflicht nach diesem Absatz auch dadurch erfüllen, dass sein Zulieferer eine entsprechende Versicherung abschließt. bb) In diesem Zusammenhang übliche Versicherungsbedingungen stellen die Allgemeinen Bedingungen für die Montageversicherung (AmoB 01/2021) sowie deren Vorgängerversion mit der Bezeichnung (AmoB 2008) sowie vergleichbare, individuell ausgehandelte Bedingungen dar, die um folgende Schäden zu erweitern sind: • Innere Unruhen, • Streik sowie • Aussperrung. cc) Vom Versicherungsschutz müssen insbesondere umfasst sein: • Nebenleistungen beispielsweise für die Anbindung an den Netzanschluss, Fundamente und Kabel sowie der Leitungsführung dienende Vorrichtungen, • Auftraggeberinteresse (sog. „Bestellerinteresse“), • Schäden, die auf den Transportwegen zwischen einer (Zwischen-)Lagerstätte und dem Montageplatz entstehen, sowie • De- und Remontagekosten infolge eines Mangels am zu liefernden Montageobjekt.</t>
  </si>
  <si>
    <t xml:space="preserve">ANF-1058</t>
  </si>
  <si>
    <t xml:space="preserve">§ 55 (1) c</t>
  </si>
  <si>
    <t xml:space="preserve">Nach Abschluss der Versicherungen ist der Auftraggeber 2 über die Höhe und die versicherten Risiken zu unterrichten.</t>
  </si>
  <si>
    <t xml:space="preserve">Nach Abschluss der Versicherungen ist der Auftraggeber 2 über die Höhe und die versicherten Risiken zu unterrichten. Der Fortbestand der Versicherungen muss vom Auftragnehmer jeweils zum ersten Werktag des Kalendermonats Januar gegenüber dem Auftraggeber 2 nachgewiesen werden. Änderungen des Versicherungsumfanges, wesentlicher Versicherungsbedingungen oder ein Verlust des Versicherungsschutzes, gleich aus welchem Grund, sind dem Auftraggeber 2 gegenüber unverzüglich schriftlich anzuzeigen. Der Auftragnehmer verpflichtet den Versicherer unwiderruflich zur Mitteilung direkt gegenüber dem Auftraggeber 2, wenn der Versicherungsschutz nicht oder nicht mehr gegeben ist, insbesondere wenn die geschuldete Prämie nicht geleistet wurde. Der Auftragnehmer muss dem Auftraggeber 2 diese Anweisung des oder der Versicherer spätestens einen Monat nach Vertragsschluss nachweisen.</t>
  </si>
  <si>
    <t xml:space="preserve">ANF-1059</t>
  </si>
  <si>
    <t xml:space="preserve">§ 55 (1) d</t>
  </si>
  <si>
    <t xml:space="preserve">Der Auftragnehmer ist verpflichtet, Ansprüche aus dem Versicherungsvertrag mit der Sorgfalt eines ordentlichen Kaufmanns zu verfolgen.</t>
  </si>
  <si>
    <t xml:space="preserve">Der Auftragnehmer ist verpflichtet, Ansprüche aus dem Versicherungsvertrag mit der Sorgfalt eines ordentlichen Kaufmanns zu verfolgen. Der Auftragnehmer ist allerdings nach Maßgabe von § 28 und § 29 auch dann zur Beseitigung von Schäden oder zur Erneuerung (Wiederherstellung) der Ladeeinrichtungen verpflichtet, wenn ihm keine Ansprüche gegen den Versicherer aus dem Versicherungsvertrag zustehen sollten. Stehen dem Auftragnehmer Leistungen aus dem Versicherungsvertrag für den Ersatz von Schäden bzw. für die Wiederherstellung zu, hat der Auftragnehmer diese sachgerecht zur Beseitigung der Schäden bzw. zur Wiederherstellung der Ladeeinrichtungen sowie der Schäden an den Montageobjekten einzusetzen. Dem Auftragnehmer stehen Leistungen aus dem Versicherungsvertrag so lange zweckgebunden zu, als er seinen Verpflichtungen in Bezug auf Versicherungen nachkommt. Dies gilt auch für den Fall, wenn die Ladeinfrastruktur nach § 19 bereits in das Eigentum des Auftraggebers 1 übergegangen ist. Die Auftraggeber sind im Schadensfall und soweit dem Auftragnehmer Ansprüche aus dem Versicherungsvertrag zustehen berechtigt, die Abtretung der Ansprüche gegen den Versicherer oder die Herausgabe der Versicherungsleistung zu verlangen, falls der Auftragnehmer seinen Verpflichtungen zur Beseitigung von Schäden oder zur Erneuerung (Wiederherstellung) der betroffenen Ladeeinrichtungen gemäß § 28 und § 29 sowie von Schäden an den Montageobjekten trotz Abmahnung durch den Auftraggeber 2 nicht nachkommt. Die Berechtigung des Auftragnehmers, Ansprüche an einen Fremdkapitalgeber oder einen von einem Fremdkapitalgeber bestellten Sicherheitentreuhänder abzutreten, bleibt unberührt und gilt auch für Ansprüche gegen Versicherungen.</t>
  </si>
  <si>
    <t xml:space="preserve">ANF-1060</t>
  </si>
  <si>
    <t xml:space="preserve">§ 55 (2)</t>
  </si>
  <si>
    <t xml:space="preserve">Haftpflichtversicherungen</t>
  </si>
  <si>
    <t xml:space="preserve">ANF-1061</t>
  </si>
  <si>
    <t xml:space="preserve">§ 55 (2) a</t>
  </si>
  <si>
    <t xml:space="preserve">Der Auftragnehmer ist verpflichtet, für die nach diesem Vertrag vom ihm zu errichtenden und zu betreibenden Ladeeinrichtungen sowie für die von ihm zu erbringenden Nebenleistungen ausreichende …</t>
  </si>
  <si>
    <t xml:space="preserve">Der Auftragnehmer ist verpflichtet, für die nach diesem Vertrag vom ihm zu errichtenden und zu betreibenden Ladeeinrichtungen sowie für die von ihm zu erbringenden Nebenleistungen ausreichende Haftpflichtversicherungen für seine gesetzliche Haftpflicht privatrechtlichen Inhalts für alle versicherbaren Haftungsrisiken während der Vertragsdauer (Bauhaftpflicht-, Betriebs- und Produkthaftpflicht-, Umwelthaftpflicht-, Umweltschadensrisiken) abzuschließen oder dem Auftraggeber 2 durch Vorlage eines entsprechenden Versicherungsnachweises das Bestehen eines solchen Versicherungsschutzes zu bestätigen. Für Versicherungsfälle, die während der Vertragslaufzeit eingetreten sind, jedoch erst zu einem späteren Zeitpunkt zu Ansprüchen führen, ist eine Nachhaftung von mindestens fünf Jahren vorzusehen. Die persönliche gesetzliche Haftpflicht beauftragter Nachunternehmer ist mitzuversichern. Die Haftpflichtversicherungen haben eine Mindestversicherungssumme je Versicherungsfall von € 10.000.000,00 pauschal für Personen- und Sachschäden oder sich daraus ergebenden Vermögensschaden aufzuweisen, soweit nicht nachstehend Ausnahmen definiert sind. Falls die Versicherung der Bauhaftpflicht-, Betriebs- und Produkthaftpflicht-, Umwelthaftpflicht-, Umweltschadensrisiken innerhalb eines einheitlichen Versicherungsvertrags erfolgt, kann die Gesamtleistung je Versicherungsfall auf € 10.000.000,00 und je Versicherungsjahr auf € 20.000.000,00 begrenzt werden. Eine Limitierung der Versicherungssumme je geschädigte Person ist nicht zulässig. Sofern der Auftragnehmer keine Projektversicherung abschließt, die vorgenannten Versicherungssummen also nicht ausschließlich für das vertragsgegenständliche Projekt zur Verfügung stehen, müssen die vorgenannten Versicherungssummen je Versicherungsfall im Versicherungsjahr für die gesamte Vertragsdauer mindestens zweifach zur Verfügung stehen (zweifache Maximierung). Alternativ kann der Auftragnehmer eine Anschlusshaftpflichtversicherung (Exzedenten-Versicherung) in entsprechender Höhe nachweisen.</t>
  </si>
  <si>
    <t xml:space="preserve">ANF-1062</t>
  </si>
  <si>
    <t xml:space="preserve">§ 55 (2) b</t>
  </si>
  <si>
    <t xml:space="preserve">Der Auftragnehmer hat ferner sicherzustellen, dass etwaige von ihm zur Erfüllung seiner Leistungspflichten aus diesem Vertrag eingesetzte Erfüllungsgehilfen (z.</t>
  </si>
  <si>
    <t xml:space="preserve">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2 nachzuweisen.</t>
  </si>
  <si>
    <t xml:space="preserve">ANF-1063</t>
  </si>
  <si>
    <t xml:space="preserve">§ 55 (2) c</t>
  </si>
  <si>
    <t xml:space="preserve">Der Versicherungsschutz hat eine Freistellung der Auftraggeber von deren gesetzlicher Haftpflicht privatrechtlichen Inhalts vorzusehen, soweit die Ansprüche auf einen Fehler zurückzuführen sind, der …</t>
  </si>
  <si>
    <t xml:space="preserve">Der Versicherungsschutz hat eine Freistellung der Auftraggeber von deren gesetzlicher Haftpflicht privatrechtlichen Inhalts vorzusehen, soweit die Ansprüche auf einen Fehler zurückzuführen sind, der vom Auftragnehmer zu vertreten ist.</t>
  </si>
  <si>
    <t xml:space="preserve">ANF-1064</t>
  </si>
  <si>
    <t xml:space="preserve">§ 55 (2) e</t>
  </si>
  <si>
    <t xml:space="preserve">Bauhaftpflichtversicherung Vom Versicherungsschutz müssen insbesondere umfasst sein: aa) Vermögensschäden, die weder mittelbar noch unmittelbar mit einem Personen- oder Sachschaden zusammenhängen, …</t>
  </si>
  <si>
    <t xml:space="preserve">Bauhaftpflichtversicherung Vom Versicherungsschutz müssen insbesondere umfasst sein: aa) Vermögensschäden, die weder mittelbar noch unmittelbar mit einem Personen- oder Sachschaden zusammenhängen, mit einem Sublimit von € 1.000.000,00 und bb) Tätigkeitsschäden sowie Erdleitungsschäden mit einem Sublimit von € 2.000.000,00.</t>
  </si>
  <si>
    <t xml:space="preserve">ANF-1065</t>
  </si>
  <si>
    <t xml:space="preserve">§ 55 (2) f</t>
  </si>
  <si>
    <t xml:space="preserve">Umwelthaftpflicht- und Umweltschadenversicherung aa) Die Umwelthaftpflichtversicherung hat eine Mindestversicherungssumme in Höhe von € 10.000.000,00 pauschal für Personen-, Sach- und mitversicherte …</t>
  </si>
  <si>
    <t xml:space="preserve">Umwelthaftpflicht- und Umweltschadenversicherung aa) Die Umwelthaftpflichtversicherung hat eine Mindestversicherungssumme in Höhe von € 10.000.000,00 pauschal für Personen-, Sach- und mitversicherte Vermögensschäden (Verletzung von Aneignungsrechten, des Rechts am eingerichteten und ausgeübten Gewerbebetrieb, von wasserrechtlichen Benutzungsrechten oder -befugnissen) aufzuweisen. Die Versicherungssumme kann auch als Sublimit zur Verfügung stehen. bb) Die Umweltschadensversicherung hat eine Mindestversicherungssumme in Höhe von € 2.000.000,00 aufzuweisen. Die Versicherungssumme kann auch als Sublimit zur Verfügung stehen. cc) Die Versicherungssummen der Umwelthaftpflicht- und Umweltschadensversicherung müssen mindestens einmal je Versicherungsjahr zur Verfügung stehen.</t>
  </si>
  <si>
    <t xml:space="preserve">ANF-1066</t>
  </si>
  <si>
    <t xml:space="preserve">§ 55 (2) g</t>
  </si>
  <si>
    <t xml:space="preserve">Betriebs- und Produkthaftpflichtversicherung aa) Deckungserweiterungen Der Versicherungsschutz ist zusätzlich insbesondere um die nachfolgenden Deckungserweiterungen zu ergänzen: • …</t>
  </si>
  <si>
    <t xml:space="preserve">Betriebs- und Produkthaftpflichtversicherung aa) Deckungserweiterungen Der Versicherungsschutz ist zusätzlich insbesondere um die nachfolgenden Deckungserweiterungen zu ergänzen: • Haftpflichtansprüche Dritter aus der Verletzung von Persönlichkeitsrechten bzw. datenschutzrechtlicher Bestimmungen, insbesondere Ansprüche der Endnutzer sowie Mobilitätsdienstleister; • Soweit Leistungen mit fremden Inhalten bereitgehalten werden: Vermögensschäden Dritter aus dem Bereithalten fremder Inhalte/Providing; • Soweit ein Rechenzentrum betrieben wird: Vermögensschäden Dritter (Endnutzer, Mobilitätsdienstleister, sonstige Dritte) aus dem Betrieb von Rechenzentren, beispielsweise für Kundenkonten, Statistiken, für die Datenauswertung, den Datentransfer und die Abrechnung; • Vermögensschäden Dritter wegen Beschädigung oder Verlust fremder Daten, insbesondere Daten sowie Datenträgern der Endnutzer sowie von Geschäftspartnern – beispielsweise Verändern, Löschen der Kartendaten, Übermittlung fehlerhafter Datensätze an Abrechnungsstellen, unberechtigte Verbreitung von Daten und Programmen (Schadsoftware) etc.; • Ansprüche/Vertragsstrafen von E-Payment-Anbietern wegen Verletzung von PCI-Datensicherheitsstandards; • Vermögensschäden, die weder mittelbar noch unmittelbar mit einem Personenoder Sachschaden zusammenhängen, mit einem Sublimit von mindestens € 1.000.000,00; • Obhuts-/Mietsachschäden (insbesondere für die Netzanschlusspunkte) mit einem Sublimit von mindestens € 1.000.000,00 je Versicherungsfall sowie • Tätigkeitsschäden mit einem Sublimit von mindestens € 1.000.000,00. Soweit der Auftragnehmer Daten speichert, verarbeitet oder Dritten zur Verfügung stellt, ist ein Sublimit von € 5.000.000,00 für Vermögensschäden aus den genannten Risiken je Versicherungsfall und Versicherungsjahr vorzusehen. Werden Daten ausschließlich durch Dritte gespeichert, verarbeitet oder zur Verfügung gestellt, ist ein Sublimit von € 2.000.000,00 für Vermögensschäden aus den genannten Risiken je Versicherungsfall und Versicherungsjahr zu vereinbaren. bb) Erweiterte Produkthaftpflichtversicherung Soweit der Auftragnehmer selbst Hersteller oder Quasihersteller der Ladeinfrastruktur i. S. d. Produkthaftungsgesetzes ist, ist er weiter verpflichtet, eine sog. „erweiterte Produkthaftpflichtversicherung“ abzuschließen und für die Dauer von fünf Jahren aufrechtzuerhalten, wobei sich der Versicherungsschutz insbesondere auch auf Kosten für den Austausch mangelhafter Erzeugnisse, d. h.: • Kosten für das Ausbauen, Abnehmen, Freilegen oder Entfernen mangelhafter Erzeugnisse sowie • das Einbauen, Anbringen, Verlegen oder Auftragen mangelfreier Erzeugnisse oder mangelfreier Produkte Dritter zu erstrecken hat. Dabei sind auf Sachmängeln beruhende Schadensersatzansprüche Dritter im gesetzlichen Umfang mitzuversichern, wenn der Auftragnehmer aufgrund einer Vereinbarung mit dem Auftraggeber über bestimmte Eigenschaften seiner Erzeugnisse, Arbeiten und Leistungen dafür verschuldensunabhängig einzustehen hat, dass diese bei Gefahrübergang vorhanden sind (zugesicherte Eigenschaften/Beschaffenheiten). Der Versicherungsschutz muss hier auch solche Kosten umfassen, die zur Erfüllung einer gesetzlichen Pflicht zur Neulieferung oder zur Beseitigung eines Mangels des Erzeugnisses aufgewendet werden müssen (gewährleistungsbedingter Austausch). Vom Versicherungsschutz ausgenommen sind die Kosten für die Nach- und Neulieferung mangelfreier Erzeugnisse oder mangelfreier Produkte Dritter (originärer Vertragserfüllungsanspruch). Für die Deckungserweiterung der „erweiterten Produkthaftpflichtversicherung“ ist ein Sublimit von mindestens € 5.000.000,00 vorzusehen.</t>
  </si>
  <si>
    <t xml:space="preserve">ANF-1067</t>
  </si>
  <si>
    <t xml:space="preserve">§ 55 (3) a</t>
  </si>
  <si>
    <t xml:space="preserve">Selbstbehalte unter den vorgenannten Versicherungen sind vom Auftragnehmer zu tragen.</t>
  </si>
  <si>
    <t xml:space="preserve">Selbstbehalte unter den vorgenannten Versicherungen sind vom Auftragnehmer zu tragen. Die Vereinbarung folgender Selbstbehalte ist zulässig: • Für die Sachsubstanzversicherung sowie die Umwelthaftpflicht- und Umweltschadenversicherung kann eine Selbstbeteiligung in Höhe von € 20.000,00 vereinbart werden. • Für die „erweiterte Produkthaftpflichtversicherung“ kann eine Selbstbeteiligung in Höhe von 10 % der Entschädigungsleistung, mindestens € 20.000,00, jedoch maximal € 100.000,00, vereinbart werden. • Für die sonstigen Versicherungen kann jeweils eine Selbstbeteiligung in Höhe von € 20.000,00 je Versicherungsfall vereinbart werden. Dies gilt nicht für Personenschäden im Rahmen der Haftpflichtversicherungen.</t>
  </si>
  <si>
    <t xml:space="preserve">ANF-1068</t>
  </si>
  <si>
    <t xml:space="preserve">§ 55 (3) b</t>
  </si>
  <si>
    <t xml:space="preserve">Hat der Auftragnehmer innerhalb eines Kalenderjahres im Rahmen der Sachsubstanz- /Elektronikversicherungen wegen Schäden durch böswillige Beschädigungen/Vandalismus an den Ladeeinrichtungen …</t>
  </si>
  <si>
    <t xml:space="preserve">Hat der Auftragnehmer innerhalb eines Kalenderjahres im Rahmen der Sachsubstanz- /Elektronikversicherungen wegen Schäden durch böswillige Beschädigungen/Vandalismus an den Ladeeinrichtungen Selbstbehalte von mehr als € 200.000,00 zu tragen, werden die darüber hinaus gehenden Kosten durch vereinbarte Selbstbehalte von den Auftraggebern getragen und nach den Regelungen über geänderte oder zusätzliche Leistungen nach § 40 vergütet.</t>
  </si>
  <si>
    <t xml:space="preserve">ANF-1069</t>
  </si>
  <si>
    <t xml:space="preserve">§ 55 (4)</t>
  </si>
  <si>
    <t xml:space="preserve">Weitere Regelungen zu Versicherungen Für alle nach diesem Paragrafen zu schließenden Versicherungen gilt Folgendes:</t>
  </si>
  <si>
    <t xml:space="preserve">ANF-1070</t>
  </si>
  <si>
    <t xml:space="preserve">§ 55 (4) a</t>
  </si>
  <si>
    <t xml:space="preserve">Die Versicherungssumme der Haftpflichtversicherungen mit Ausnahme der Bauhaftpflichtversicherung nach Absatz 2 lit. e ist entsprechend der allgemeinen Preisentwicklung alle drei Kalenderjahre zu …</t>
  </si>
  <si>
    <t xml:space="preserve">Die Versicherungssumme der Haftpflichtversicherungen mit Ausnahme der Bauhaftpflichtversicherung nach Absatz 2 lit. e ist entsprechend der allgemeinen Preisentwicklung alle drei Kalenderjahre zu prüfen und wertsichernd dynamisch anzupassen. Als Basis gilt der Verbraucherpreisindex für Deutschland/Gesamtindex des Statistischen Bundesamts der Bundesrepublik Deutschland. Schwellenwert ist eine Steigerung von 10 % seit Vertragsschluss bzw. dem Zeitpunkt der letzten Anpassung der Versicherungssumme.</t>
  </si>
  <si>
    <t xml:space="preserve">ANF-1071</t>
  </si>
  <si>
    <t xml:space="preserve">§ 55 (4) b</t>
  </si>
  <si>
    <t xml:space="preserve">Der Auftragnehmer verpflichtet sich, die in diesem Paragrafen genannten Versicherungen während des Vertragszeitraums aufrechtzuerhalten und dafür Sorge zu tragen, dass diese in vollem Umfang wirksam …</t>
  </si>
  <si>
    <t xml:space="preserve">Der Auftragnehmer verpflichtet sich, die in diesem Paragrafen genannten Versicherungen während des Vertragszeitraums aufrechtzuerhalten und dafür Sorge zu tragen, dass diese in vollem Umfang wirksam bestehen. Insbesondere hat er alle Auflagen und Obliegenheitspflichten unter den Versicherungsverträgen zu erfüllen, die Prämien bei Fälligkeit zu zahlen und Maßnahmen zu unterlassen, die den Versicherungsschutz beeinträchtigen können.</t>
  </si>
  <si>
    <t xml:space="preserve">ANF-1072</t>
  </si>
  <si>
    <t xml:space="preserve">§ 55 (4) c</t>
  </si>
  <si>
    <t xml:space="preserve">Kommt es, ohne dass dies auf ein Verhalten des Auftragnehmers zurückzuführen ist, nach Abschluss der gemäß diesem Paragrafen abzuschließenden Versicherungen trotz besten Bemühens des Auftragnehmers …</t>
  </si>
  <si>
    <t xml:space="preserve">Kommt es, ohne dass dies auf ein Verhalten des Auftragnehmers zurückzuführen ist, nach Abschluss der gemäß diesem Paragrafen abzuschließenden Versicherungen trotz besten Bemühens des Auftragnehmers bei der Suche nach einer günstigen Versicherung zu einer Prämiensteigerung für eine oder mehrere der Versicherungen, die über eine übliche Steigerung insbesondere wegen Indexierung oder Änderungen der Beitragsbemessungsgrundlagen hinausgeht und auch unter Beachtung der vom Auftragnehmer erzielbaren Erlöse (unter Gegenrechnung des Infrastrukturentgelt) ein Festhalten an der vertraglich vereinbarten Vergütung als nicht angemessen erscheinen lässt, so kann sich der Auftraggeber 2 an diesen Prämiensteigerungen beteiligen oder den Auftragnehmer von der betroffenen Versicherungspflicht befreien. In letzterem Falle geht das fortan nicht mehr versicherte Risiko auf die Auftraggeber über.</t>
  </si>
  <si>
    <t xml:space="preserve">ANF-1073</t>
  </si>
  <si>
    <t xml:space="preserve">§ 55 (4) d</t>
  </si>
  <si>
    <t xml:space="preserve">Wird auf dem europäischen Versicherungsmarkt, bestehend aus dem Gebiet der EU und der Staaten der Vertragsparteien des Abkommens über den Europäischen Wirtschaftsraum, oder im Rahmen eines zwischen …</t>
  </si>
  <si>
    <t xml:space="preserve">Wird auf dem europäischen Versicherungsmarkt, bestehend aus dem Gebiet der EU und der Staaten der Vertragsparteien des Abkommens über den Europäischen Wirtschaftsraum, oder im Rahmen eines zwischen der Europäischen Union mit Großbritannien zum Versicherungssektor geschlossenen Handelsabkommens in Großbritannien eine der nach diesem Vertrag vorgeschriebenen Versicherungen für die im Vertrag genannten Risiken (auch im Rahmen von Exzedenten- und Layerverträgen) nicht mehr angeboten („Unversicherbarkeit“), wird der Auftragnehmer ab Mitteilung der Unversicherbarkeit an den Auftraggeber 2 für den Zeitraum der Unversicherbarkeit von der entsprechenden Versicherungspflicht frei und das Risiko geht auf die Auftraggeber über.</t>
  </si>
  <si>
    <t xml:space="preserve">ANF-1074</t>
  </si>
  <si>
    <t xml:space="preserve">§ 55 (4) e</t>
  </si>
  <si>
    <t xml:space="preserve">Verwirklicht sich ein Risiko, das nach den vorstehenden Bestimmungen auf die Auftraggeber übergegangen ist, so erbringt der Auftraggeber 2, wenn er nicht den Vertrag aus wichtigem Grund mit den …</t>
  </si>
  <si>
    <t xml:space="preserve">Verwirklicht sich ein Risiko, das nach den vorstehenden Bestimmungen auf die Auftraggeber übergegangen ist, so erbringt der Auftraggeber 2, wenn er nicht den Vertrag aus wichtigem Grund mit den Rechtsfolgen nach § 58 Abs. 1 b) kündigt, die Leistungen, die ansonsten von der Versicherung erbracht würden, dabei handelt er gegebenenfalls im Namen des Auftraggebers 1. Der Auftragnehmer muss sich ersparte Prämienzahlungen anrechnen lassen.</t>
  </si>
  <si>
    <t xml:space="preserve">ANF-1075</t>
  </si>
  <si>
    <t xml:space="preserve">§ 55 (4) f</t>
  </si>
  <si>
    <t xml:space="preserve">Dem Abschluss einer Versicherung durch den Auftragnehmer steht es gleich, wenn er den in diesem Vertrag vorgesehenen Versicherungsschutz nachweist.</t>
  </si>
  <si>
    <t xml:space="preserve">Dem Abschluss einer Versicherung durch den Auftragnehmer steht es gleich, wenn er den in diesem Vertrag vorgesehenen Versicherungsschutz nachweist. ABSCHNITT 9 VERTRAGSLAUFZEIT UND ENDSCHAFT</t>
  </si>
  <si>
    <t xml:space="preserve">ANF-1076</t>
  </si>
  <si>
    <t xml:space="preserve">§ 56 (1)</t>
  </si>
  <si>
    <t xml:space="preserve">Laufzeit Der Vertrag beginnt mit Zuschlagserteilung im vorangegangenen Verfahren und endet mit Ablauf eines Zeitraums von acht Jahren nach dem vorgenannten Zeitpunkt.</t>
  </si>
  <si>
    <t xml:space="preserve">Laufzeit Der Vertrag beginnt mit Zuschlagserteilung im vorangegangenen Verfahren und endet mit Ablauf eines Zeitraums von acht Jahren nach dem vorgenannten Zeitpunkt. Der Auftraggeber 2 hat das Recht, durch einseitige Erklärung gegenüber dem Auftragnehmer die Laufzeit einmalig um vier Jahre zu verlängern. Alternativ zu Satz 2 kann der Auftraggeber 2 die Laufzeit zweimal verlängern; in diesem Fall erfolgt eine erstmalige Verlängerung der Laufzeit bis zum Ablauf des zehnten Kalenderjahres ab dem Tag der Bekanntgabe des Beschlusses der beihilfenrechtlichen Genehmigung der Europäischen Kommission, im Fall einer weiteren Verlängerung erfolgt diese für zwei Kalenderjahre. Entsprechende Erklärungen des Auftraggebers 2 haben spätestens zwölf Monate vor Ende der Vertragslaufzeit zu erfolgen, sie binden auch den Auftraggeber 1.</t>
  </si>
  <si>
    <t xml:space="preserve">Kapitel: Laufzeit und Kündigungsrechte
Fundstelle im PDF: Seite 51</t>
  </si>
  <si>
    <t xml:space="preserve">ANF-1077</t>
  </si>
  <si>
    <t xml:space="preserve">§ 56 (2)</t>
  </si>
  <si>
    <t xml:space="preserve">Kündigung aus wichtigem Grund</t>
  </si>
  <si>
    <t xml:space="preserve">ANF-1078</t>
  </si>
  <si>
    <t xml:space="preserve">§ 56 (2) a</t>
  </si>
  <si>
    <t xml:space="preserve">Die ordentliche Kündigung ist ausgeschlossen.</t>
  </si>
  <si>
    <t xml:space="preserve">ANF-1079</t>
  </si>
  <si>
    <t xml:space="preserve">§ 56 (2) b</t>
  </si>
  <si>
    <t xml:space="preserve">Beide Parteien haben das Recht, den Vertrag bei Vorliegen eines wichtigen Grundes, der die weitere Vertragsfortsetzung für die jeweilige Partei unzumutbar macht (§§ 313, 314 BGB), zu kündigen.</t>
  </si>
  <si>
    <t xml:space="preserve">Beide Parteien haben das Recht, den Vertrag bei Vorliegen eines wichtigen Grundes, der die weitere Vertragsfortsetzung für die jeweilige Partei unzumutbar macht (§§ 313, 314 BGB), zu kündigen. Das Kündigungsrecht der Auftraggeber wird einheitlich durch den Auftraggeber 2 ausgeübt.</t>
  </si>
  <si>
    <t xml:space="preserve">ANF-1080</t>
  </si>
  <si>
    <t xml:space="preserve">§ 56 (2) c</t>
  </si>
  <si>
    <t xml:space="preserve">Für die Auftraggeber stellt es insbesondere einen wichtigen Grund dar, der sie zur Kündigung des Vertrags aus wichtigem Grund berechtigt, aa) wenn der Auftragnehmer gegen eine wesentliche Pflicht des …</t>
  </si>
  <si>
    <t xml:space="preserve">Für die Auftraggeber stellt es insbesondere einen wichtigen Grund dar, der sie zur Kündigung des Vertrags aus wichtigem Grund berechtigt, aa) wenn der Auftragnehmer gegen eine wesentliche Pflicht des Vertrags verstößt und diesen Verstoß nicht binnen einer vom Auftraggeber 2 gesetzten angemessenen Frist beseitigt, es sei denn, der Auftragnehmer hat die Pflichtverletzung nicht zu vertreten, bb) wenn der Auftragnehmer oder seine Mitarbeiter, Nachunternehmer oder dessen Mitarbeiter im Rahmen der Vorbereitung zur oder der Leistungserbringung selbst nachweislich eine Abrede getroffen hat/haben, die eine unzulässige Wettbewerbsbeschränkung darstellt, cc) wenn der Auftragnehmer oder seine Mitarbeiter, Nachunternehmer oder dessen Mitarbeiter im Rahmen der Vorbereitung zur oder der Leistungserbringung selbst den Auftraggebern oder deren Mitarbeitern oder von diesen beauftragten Dritten, die mit der Vorbereitung, dem Abschluss oder der Durchführung des Vertrags betraut sind, oder ihnen nahestehenden Personen, Geschenke, andere Zuwendungen oder sonstige Vorteile unmittelbar oder mittelbar in Aussicht stellt, anbietet, verspricht oder gewährt, sofern es sich nicht um sozial adäquates Verhalten handelt, dd) wenn der Auftragnehmer oder seine Mitarbeiter, Nachunternehmer oder dessen Mitarbeiter im Rahmen der Vorbereitung zur oder der Leistungserbringung selbst gegenüber den Auftraggebern, deren Mitarbeitern oder beauftragten Dritten strafbare Handlungen im Sinne der in § 123 Abs. 1 GWB genannten Straftaten begeht, ee) wenn der Auftragnehmer von einer anwendbaren nationalen oder europäischen Sanktions- oder Embargoliste erfasst ist, ff) wenn der Auftragnehmer seinen Versicherungsschutz nach § 55 verliert (ohne dass ein Fall des § 55 Abs. 4 d) vorliegt) und nicht innerhalb einer Frist von acht Wochen nach dem Verlust wiederherstellen kann, gg) wenn wegen einer oder mehrerer Forderungen eine Zwangsvollstreckung in das Vermögen des Auftragnehmers erfolglos geblieben ist oder hh) wenn die Eröffnung des Insolvenzverfahrens über das Vermögen des Auftragnehmers beantragt wurde oder die Eröffnung mangels Masse abgewiesen wird; wobei im Falle einer Antragstellung durch Dritte das Kündigungsrecht nicht besteht, wenn der Antrag als unzulässig abgelehnt wird.</t>
  </si>
  <si>
    <t xml:space="preserve">ANF-1081</t>
  </si>
  <si>
    <t xml:space="preserve">§ 56 (2) d</t>
  </si>
  <si>
    <t xml:space="preserve">Die Auftraggeber können den Vertrag mit Wirkung für den betroffenen Standort kündigen (Teilkündigung), wenn für einen Standort die Betriebsfreigabe aus einem vom Auftragnehmer zu vertretenden Grund …</t>
  </si>
  <si>
    <t xml:space="preserve">Die Auftraggeber können den Vertrag mit Wirkung für den betroffenen Standort kündigen (Teilkündigung), wenn für einen Standort die Betriebsfreigabe aus einem vom Auftragnehmer zu vertretenden Grund nicht bis zu dem Zeitpunkt erteilt wird, der sechs Monate nach dem (gegebenenfalls gemäß § 12 angepassten) verbindlichen Termin für die Betriebsfreigabe liegt. Erfolgt für mehr als fünf Standorte die Betriebsfreigabe nicht bis zu dem jeweiligen Zeitpunkt, der sechs Monate nach dem (gegebenenfalls gemäß § 12 angepassten) für den jeweiligen Standort verbindlichen Termin für die Betriebsfreigabe liegt, so können die Auftraggeber diesen Vertrag insgesamt mit Wirkung für alle Standorte kündigen, es sei denn, der Auftragnehmer hat die zur Kündigung führenden Umstände nicht zu vertreten. Das Recht des Auftraggebers, den Vertrag mit Wirkung für Standorte, für die aus nicht vom Auftragnehmer zu vertretenden Gründen eine Betriebsfreigabe nicht erteilt werden kann, mit den Rechtsfolgen einer vom Auftraggeber zu vertretenden Kündigung zu kündigen, bleibt hiervon unberührt.</t>
  </si>
  <si>
    <t xml:space="preserve">ANF-1082</t>
  </si>
  <si>
    <t xml:space="preserve">§ 56 (2) e</t>
  </si>
  <si>
    <t xml:space="preserve">Die Auftraggeber sind berechtigt, den Vertrag aus wichtigem Grund mit Wirkung für den betroffenen Standort zu kündigen (Teilkündigung), wenn an einem Standort in einem Kalenderjahr die Pönale nach § …</t>
  </si>
  <si>
    <t xml:space="preserve">Die Auftraggeber sind berechtigt, den Vertrag aus wichtigem Grund mit Wirkung für den betroffenen Standort zu kündigen (Teilkündigung), wenn an einem Standort in einem Kalenderjahr die Pönale nach § 27 Abs. 2 für mindestens die Hälfte der Ladepunkte des Standortes den Maximalbetrag der Pönale pro Kalenderjahr erreicht. Der Auftragnehmer kann das Kündigungsrecht abwenden, indem er – spätestens eine Woche nach Zugang der Kündigungserklärung – über den Maximalbetrag hinausgehende Pönalen leistet, dies gilt solange, bis für mindestens die Hälfte der Ladepunkte in einem Kalenderjahr das doppelte des Maximalbetrags der Pönale gezahlt wurde. In jedem Fall sind die Auftraggeber zur Kündigung eines Standortes berechtigt, wenn an einem Standort in einem Kalenderjahr die Pönale nach § 27 Abs. 2 für sämtliche Ladepunkte des Standortes den Maximalbetrag der Pönale pro Kalenderjahr erreicht.</t>
  </si>
  <si>
    <t xml:space="preserve">ANF-1083</t>
  </si>
  <si>
    <t xml:space="preserve">§ 56 (2) f</t>
  </si>
  <si>
    <t xml:space="preserve">Sind die Auftraggeber nach Absatz 2 e) berechtigt, den Vertrag aus wichtigem Grund für mehr als zwei Standorte zu kündigen, so können sie diesen Vertrag insgesamt kündigen.</t>
  </si>
  <si>
    <t xml:space="preserve">ANF-1084</t>
  </si>
  <si>
    <t xml:space="preserve">§ 56 (2) g</t>
  </si>
  <si>
    <t xml:space="preserve">Die Auftraggeber werden von ihrem Kündigungsrecht nach Absatz 2 e) und Absatz 2 f) keinen Gebrauch machen, wenn der Auftragnehmer nachweist, dass der Anfall der Pönalen auf einem mehrfach …</t>
  </si>
  <si>
    <t xml:space="preserve">Die Auftraggeber werden von ihrem Kündigungsrecht nach Absatz 2 e) und Absatz 2 f) keinen Gebrauch machen, wenn der Auftragnehmer nachweist, dass der Anfall der Pönalen auf einem mehrfach auftretenden gleichwertigen Fehler der Ladeeinrichtungen (Auftreten mindestens an 5 % der gesamten Ladepunkte einer Art) beruht und ein Konzept vorlegt, mit dem die geschuldete Verfügbarkeit der Ladeeinrichtungen hergestellt wird und gleichzeitig bis zu diesem Zeitpunkt eine hinreichenden Versorgung der Verkehrsteilnehmer mit funktionsfähigen Ladepunkten sichergestellt ist.</t>
  </si>
  <si>
    <t xml:space="preserve">ANF-1085</t>
  </si>
  <si>
    <t xml:space="preserve">§ 56 (2) h</t>
  </si>
  <si>
    <t xml:space="preserve">Die Kündigung bedarf der Schriftform i. S. d. § 126 BGB.</t>
  </si>
  <si>
    <t xml:space="preserve">ANF-1086</t>
  </si>
  <si>
    <t xml:space="preserve">§ 57</t>
  </si>
  <si>
    <t xml:space="preserve">Für den Fall, dass der Auftragnehmer dem Auftraggeber 2 den Abschluss einer Fremdfinanzierung für die teilweise oder vollständige Finanzierung der Leistungen nach diesem Vertrag nachweist, sind die …</t>
  </si>
  <si>
    <t xml:space="preserve">Für den Fall, dass der Auftragnehmer dem Auftraggeber 2 den Abschluss einer Fremdfinanzierung für die teilweise oder vollständige Finanzierung der Leistungen nach diesem Vertrag nachweist, sind die Auftraggeber bereit, eine vergaberechtskonforme Vereinbarung mit den Fremdkapitalgebern nach dem als Vertragsanlage 16: Muster Direktvertrag beigefügten Muster zu schließen.</t>
  </si>
  <si>
    <t xml:space="preserve">Kapitel: Direktvertrag
Fundstelle im PDF: Seite 53</t>
  </si>
  <si>
    <t xml:space="preserve">ANF-1087</t>
  </si>
  <si>
    <t xml:space="preserve">§ 58 (1)</t>
  </si>
  <si>
    <t xml:space="preserve">Kündigen die Auftraggeber den Vertrag mit Wirkung für einen Standort, für den eine sachlich zutreffende Anzeige nach § 13 Abs.</t>
  </si>
  <si>
    <t xml:space="preserve">Kündigen die Auftraggeber den Vertrag mit Wirkung für einen Standort, für den eine sachlich zutreffende Anzeige nach § 13 Abs. 2 erfolgt ist, aus einem wichtigen Grund, so gilt Folgendes:</t>
  </si>
  <si>
    <t xml:space="preserve">Kapitel: Rechtsfolgen einer vorzeitigen Vertragsbeendigung
Fundstelle im PDF: Seite 53</t>
  </si>
  <si>
    <t xml:space="preserve">ANF-1088</t>
  </si>
  <si>
    <t xml:space="preserve">§ 58 (1) a</t>
  </si>
  <si>
    <t xml:space="preserve">Hat der Auftragnehmer den zur Kündigung berechtigenden Grund zu vertreten, so steht dem Auftragnehmer ein Anspruch auf Zahlung der zum Kündigungszeitpunkt (Wirksamkeitszeitpunkt) noch ausstehenden …</t>
  </si>
  <si>
    <t xml:space="preserve">Hat der Auftragnehmer den zur Kündigung berechtigenden Grund zu vertreten, so steht dem Auftragnehmer ein Anspruch auf Zahlung der zum Kündigungszeitpunkt (Wirksamkeitszeitpunkt) noch ausstehenden Zahlungen des Errichtungsentgelts für den Standort zu, wobei der Vorteil der vorzeitigen Zahlung an den Auftragnehmer durch Diskontierung gemäß Absatz 6 auszugleichen ist. Vom Anspruch des Auftragnehmers werden folgende Positionen in Abzug gebracht werden: aa) Schadensersatzansprüche im Rahmen der Haftungsbegrenzung nach § 54 Abs. 1 sowie Forderungen der Auftraggeber auf Zahlung von Pönalen, Zahlung des Infrastrukturentgelts und sonstige Zahlungsansprüche der Auftraggeber nach diesem Vertrag oder Gesetz, soweit diese mit dem vorliegenden Vertrag in rechtlichem Zusammenhang stehen, bb) der auf Wagnis und Gewinn entfallende Anteil des Errichtungsentgelts, der durch Offenlegung der Kalkulation des Auftragnehmers zu ermitteln ist; es wird klargestellt, dass durch die Diskontierung keine doppelte Berücksichtigung des Gewinnanteils zulasten des Auftragnehmers erfolgen soll. Für den Standort erhält der Auftragnehmer zudem das anteilig auf den Monat des Kündigungszeitpunktes entfallende Betreiberentgelt, verringert um die ersparten Aufwendungen des Auftragnehmers. Eine Erstattung von Kosten der vorzeitigen Beendigung von Finanzierungsverträgen einschließlich einer etwaigen Zinssicherung erfolgt nicht.</t>
  </si>
  <si>
    <t xml:space="preserve">ANF-1089</t>
  </si>
  <si>
    <t xml:space="preserve">§ 58 (1) b</t>
  </si>
  <si>
    <t xml:space="preserve">Hat der Auftragnehmer den zur Kündigung berechtigenden Grund nicht zu vertreten, so steht dem Auftragnehmer ein Anspruch auf Zahlung der zum Kündigungszeitpunkt gemäß § 44 Abs.</t>
  </si>
  <si>
    <t xml:space="preserve">Hat der Auftragnehmer den zur Kündigung berechtigenden Grund nicht zu vertreten, so steht dem Auftragnehmer ein Anspruch auf Zahlung der zum Kündigungszeitpunkt gemäß § 44 Abs. 3 noch ausstehenden Zahlungen des Errichtungsentgelts für den Standort zu. Weiterhin steht dem Auftragnehmer ein Anspruch auf die zum Zeitpunkt der Kündigung noch ausstehenden Zahlungen des Betreiberentgelts für den Standort, verringert um die ersparten Aufwendungen des Auftragnehmers, zu; die Zahlungen erfolgen zu den vertraglich vorgesehenen Zeitpunkten. Der Auftragnehmer kann von den Auftraggebern eine Kostenentschädigung für nachgewiesene erforderliche Kosten der vorzeitigen Beendigung von Finanzierungsverträgen einschließlich einer etwaigen Zinssicherung verlangen.</t>
  </si>
  <si>
    <t xml:space="preserve">ANF-1090</t>
  </si>
  <si>
    <t xml:space="preserve">§ 58 (3)</t>
  </si>
  <si>
    <t xml:space="preserve">Der Auftragnehmer ist im Sinne einer allgemeinen Schadensminderungspflicht verpflichtet, die nach vorstehenden Vorschriften zu leistenden Erstattungen so gering wie möglich zu halten.</t>
  </si>
  <si>
    <t xml:space="preserve">ANF-1091</t>
  </si>
  <si>
    <t xml:space="preserve">§ 58 (4)</t>
  </si>
  <si>
    <t xml:space="preserve">Kündigen die Auftraggeber den Vertrag insgesamt aus wichtigem Grund, so erfolgt ebenso eine Differenzierung danach, ob der Auftragnehmer den zur Kündigung führenden Grund zu vertreten hat oder nicht, …</t>
  </si>
  <si>
    <t xml:space="preserve">Kündigen die Auftraggeber den Vertrag insgesamt aus wichtigem Grund, so erfolgt ebenso eine Differenzierung danach, ob der Auftragnehmer den zur Kündigung führenden Grund zu vertreten hat oder nicht, und die Bestimmungen von Absatz 1 sowie Absatz 2 finden für alle von der Kündigung betroffenen Standorte Anwendung.</t>
  </si>
  <si>
    <t xml:space="preserve">ANF-1092</t>
  </si>
  <si>
    <t xml:space="preserve">§ 58 (5)</t>
  </si>
  <si>
    <t xml:space="preserve">Im Fall einer vorzeitigen Kündigung dieses Vertrags bleiben an den Auftragnehmer für Zeiträume vor dem Kündigungszeitpunkt gezahlte Vergütungen unberührt.</t>
  </si>
  <si>
    <t xml:space="preserve">Im Fall einer vorzeitigen Kündigung dieses Vertrags bleiben an den Auftragnehmer für Zeiträume vor dem Kündigungszeitpunkt gezahlte Vergütungen unberührt. Eine Rückforderung erfolgt nicht.</t>
  </si>
  <si>
    <t xml:space="preserve">ANF-1093</t>
  </si>
  <si>
    <t xml:space="preserve">§ 58 (6)</t>
  </si>
  <si>
    <t xml:space="preserve">Die Diskontierung des noch ausstehenden, nach vorstehenden Absatz 1 und Absatz 4 im Kündigungsfall an den Auftragnehmer zu zahlenden Errichtungsentgelts wird mit dem Maximum von (a) Null und (b) dem …</t>
  </si>
  <si>
    <t xml:space="preserve">Die Diskontierung des noch ausstehenden, nach vorstehenden Absatz 1 und Absatz 4 im Kündigungsfall an den Auftragnehmer zu zahlenden Errichtungsentgelts wird mit dem Maximum von (a) Null und (b) dem Effektivzinssatz der Bundesbank für Neugeschäftseinlagen nichtfinanzieller Kapitalgesellschaften mit einer vereinbarten Laufzeit von über zwei Jahren berechnet. Die Diskontierung erfolgt mit dem Zinssatz, der an dem Tag der Kündigungserklärung gilt. Der jeweils geltende Zinssatz ist auf der Webseite der Bundesbank unter folgender Adresse abrufbar: MFI-Zinsstatistik (Bestände, Neugeschäft) | Deutsche Bundesbank</t>
  </si>
  <si>
    <t xml:space="preserve">ANF-1094</t>
  </si>
  <si>
    <t xml:space="preserve">§ 58 (7)</t>
  </si>
  <si>
    <t xml:space="preserve">Sind die zur Kündigung oder Teilkündigung dieses Vertrags durch die Auftraggeber führenden Gründe auf eine Pflichtverletzung des Auftragnehmers zurückzuführen, so ist er den Auftraggebern im Rahmen …</t>
  </si>
  <si>
    <t xml:space="preserve">Sind die zur Kündigung oder Teilkündigung dieses Vertrags durch die Auftraggeber führenden Gründe auf eine Pflichtverletzung des Auftragnehmers zurückzuführen, so ist er den Auftraggebern im Rahmen der Haftungsbegrenzung nach § 54 Abs. 1 für sämtliche hieraus resultierenden Schäden, insbesondere der Kosten eines durchzuführenden Vergabeverfahrens und von Mehraufwendungen bei der Erbringung der Leistungen durch einen anderen Auftragnehmer zum Schadensersatz verpflichtet, es sei denn, er hat die Pflichtverletzung nicht zu vertreten.</t>
  </si>
  <si>
    <t xml:space="preserve">ANF-1095</t>
  </si>
  <si>
    <t xml:space="preserve">§ 59 (1)</t>
  </si>
  <si>
    <t xml:space="preserve">Beenden die Auftraggeber den Vertrag ganz oder teilweise vorzeitig, so ist der Auftragnehmer auf Aufforderung des Auftraggebers 2 zum Rückbau der Ladeinfrastruktur sowie der sonstigen baulichen …</t>
  </si>
  <si>
    <t xml:space="preserve">Beenden die Auftraggeber den Vertrag ganz oder teilweise vorzeitig, so ist der Auftragnehmer auf Aufforderung des Auftraggebers 2 zum Rückbau der Ladeinfrastruktur sowie der sonstigen baulichen Elemente in dem vom Auftraggeber 2 angeordneten Umfang verpflichtet. Für die Rückbaumaßnahmen kann er eine Vergütung gemäß § 40 nur dann verlangen, wenn die vorzeitige Beendigung nicht auf eine Pflichtverletzung des Auftragnehmers, die dieser zu vertreten hat, zurückzuführen ist. Das Eigentum an den rückgebauten Gegenständen geht mit ihrem Aus- oder Rückbau auf den Auftragnehmer über.</t>
  </si>
  <si>
    <t xml:space="preserve">Kapitel: Weitere Rechtsfolgen einer Vertragsbeendigung
Fundstelle im PDF: Seite 55</t>
  </si>
  <si>
    <t xml:space="preserve">ANF-1096</t>
  </si>
  <si>
    <t xml:space="preserve">§ 59 (2)</t>
  </si>
  <si>
    <t xml:space="preserve">Im Falle einer Vertragsbeendigung durch Ablauf der (gegebenenfalls verlängerten) Vertragslaufzeit kann der Auftraggeber 2 den Auftragnehmer gemäß den Regelungen zur Ausführung geänderter oder …</t>
  </si>
  <si>
    <t xml:space="preserve">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</si>
  <si>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ANF-1097</t>
  </si>
  <si>
    <t xml:space="preserve">§ 59 (3)</t>
  </si>
  <si>
    <t xml:space="preserve">Mit Ende des Vertragszeitraums bzw. zum Zeitpunkt des Wirksamwerdens einer Kündigung hat der Auftragnehmer dem Auftraggeber 2 sämtliche Unterlagen und Dokumentationen zur Verfügung zu stellen sowie …</t>
  </si>
  <si>
    <t xml:space="preserve">Mit Ende des Vertragszeitraums bzw. zum Zeitpunkt des Wirksamwerdens einer Kündigung hat der Auftragnehmer dem Auftraggeber 2 sämtliche Unterlagen und Dokumentationen zur Verfügung zu stellen sowie die Übernahme bestehender Verträge mit Nachunternehmern, die zum Betrieb der Ladeinfrastruktur erforderlich sind, zu ermöglichen und sämtliche hierzu erforderliche Erklärungen abzugeben und Handlungen vorzunehmen.</t>
  </si>
  <si>
    <t xml:space="preserve">ANF-1098</t>
  </si>
  <si>
    <t xml:space="preserve">§ 60</t>
  </si>
  <si>
    <t xml:space="preserve">Wenn der Auftragnehmer einschließlich seiner Nachunternehmer aus Anlass der Vergabe nachweislich eine Abrede getroffen hat, die eine kartellrechtlich unzulässige Wettbewerbsbeschränkung darstellt, …</t>
  </si>
  <si>
    <t xml:space="preserve">Wenn der Auftragnehmer einschließlich seiner Nachunternehmer aus Anlass der Vergabe nachweislich eine Abrede getroffen hat, die eine kartellrechtlich unzulässige Wettbewerbsbeschränkung darstellt, ist er dem Auftraggeber 2 zu einem pauschalen Schadensersatz in Höhe von 5 % der Summe, der für alle Standorte gemäß Preisblatt vereinbarten Errichtungsentgelte verpflichtet, es sei denn er weist nach, dass der Schaden des Auftraggebers 2 geringer ist. Dies gilt auch, wenn der Vertrag gekündigt oder bereits erfüllt ist.</t>
  </si>
  <si>
    <t xml:space="preserve">Kapitel: Schadensersatz bei unzulässiger Wettbewerbsbeschränkung
Fundstelle im PDF: Seite 55</t>
  </si>
  <si>
    <t xml:space="preserve">ANF-1099</t>
  </si>
  <si>
    <t xml:space="preserve">§ 61 (1)</t>
  </si>
  <si>
    <t xml:space="preserve">Gesellschafter des Auftragnehmers und im Falle einer GmbH &amp; Co.</t>
  </si>
  <si>
    <t xml:space="preserve">Gesellschafter des Auftragnehmers und im Falle einer GmbH &amp; Co. KG auch dessen Komplementärin sind zum Zeitpunkt des Abschlusses dieses Vertrags die in Vertragsanlage 17: Gesellschafter bezeichneten natürlichen und juristischen Personen zu den dort genannten Anteilen. Der Auftragnehmer verpflichtet sich, jede beabsichtigte Änderung der Gesellschaftsform und/oder der Gesellschafterstruktur unverzüglich dem Auftraggeber 2 schriftlich anzuzeigen, wobei der Auftragnehmer sämtliche Unterlagen (insbesondere Gesellschaftsverträge und Gesellschafterlisten) beizufügen hat, die zur Beurteilung der beabsichtigten Änderung durch den Auftraggeber 2 erforderlich sind. Jede Änderung der Gesellschaftsform und/oder der Gesellschafterstruktur, die zu einer Änderung der Geschäftsanteile und/oder der Stimmrechte führt, bedarf der ausdrücklichen schriftlichen Zustimmung des Auftraggebers 2. Die Zustimmung darf nur aus wichtigem Grund verweigert werden, insbesondere wegen fehlender Bonität des oder der eintretenden Gesellschafter, der Nichtvorlage von Erklärungen, die denjenigen entsprechen, die nach dem Teilnahmewettbewerb oder den Vergabeunterlagen von den ursprünglichen Gesellschaftern oder Mitgliedern der Bietergemeinschaft vorzulegen waren oder sind, oder der nachträglichen Umgehung von Restriktionen bei der Vergabe (z. B. Anbietervielfalt ist in der betroffenen Region nicht mehr gewährleistet). Vorstehende Regelungen gelten für Veränderungen auf der Ebene einer etwaigen Holdinggesellschaft entsprechend.</t>
  </si>
  <si>
    <t xml:space="preserve">Kapitel: Gesellschafterstruktur, Sitz der Gesellschaft, Steuerliche Konstruktionen
Fundstelle im PDF: Seite 55</t>
  </si>
  <si>
    <t xml:space="preserve">ANF-1100</t>
  </si>
  <si>
    <t xml:space="preserve">§ 61 (2)</t>
  </si>
  <si>
    <t xml:space="preserve">Einer Änderung der Gesellschafterstruktur steht der Erwerb der mittelbaren Kontrolle über den Auftragnehmer i.</t>
  </si>
  <si>
    <t xml:space="preserve">Einer Änderung der Gesellschafterstruktur steht der Erwerb der mittelbaren Kontrolle über den Auftragnehmer i. S. v. § 37 Abs. 1 Nr. 2 des Gesetzes gegen Wettbewerbsbeschränkungen gleich. Insbesondere fallen hierunter:</t>
  </si>
  <si>
    <t xml:space="preserve">ANF-1101</t>
  </si>
  <si>
    <t xml:space="preserve">§ 61 (2) a</t>
  </si>
  <si>
    <t xml:space="preserve">der anderweitige Erwerb der direkten Kontrolle am Auftragnehmer i.</t>
  </si>
  <si>
    <t xml:space="preserve">der anderweitige Erwerb der direkten Kontrolle am Auftragnehmer i. S. v. § 290 HGB durch ein zum Zeitpunkt der Unterzeichnung dieses Vertrags nicht i. S. v. §§ 15 ff. AktG verbundenes Unternehmen;</t>
  </si>
  <si>
    <t xml:space="preserve">ANF-1102</t>
  </si>
  <si>
    <t xml:space="preserve">§ 61 (2) b</t>
  </si>
  <si>
    <t xml:space="preserve">die Begründung von Nutzungsrechten oder Pfandrechten durch ein zum Zeitpunkt der Unterzeichnung dieses Vertrags nicht i.</t>
  </si>
  <si>
    <t xml:space="preserve">die Begründung von Nutzungsrechten oder Pfandrechten durch ein zum Zeitpunkt der Unterzeichnung dieses Vertrags nicht i. S. v. §§ 15 ff. AktG verbundenes Unternehmen, sodass dieses nach der Begründung bezogen auf insgesamt mindestens 50 % der Anteile Nutzungsrechte oder Pfandrechte hat oder direkt über Stimmrechte oder Anteile verfügt;</t>
  </si>
  <si>
    <t xml:space="preserve">ANF-1103</t>
  </si>
  <si>
    <t xml:space="preserve">§ 61 (2) c</t>
  </si>
  <si>
    <t xml:space="preserve">der Abschluss von Verträgen mit Dritten, die diesen einen bestimmenden Einfluss auf die Zusammensetzung der Organe und/oder Geschäftsleistung einräumen.</t>
  </si>
  <si>
    <t xml:space="preserve">ANF-1104</t>
  </si>
  <si>
    <t xml:space="preserve">§ 61 (3)</t>
  </si>
  <si>
    <t xml:space="preserve">Die Zustimmung der Auftraggeber zu einer Verpfändung von Anteilen an die Fremdkapitalgeber richtet sich nach den Bestimmungen des Direktvertrags (Vertragsanlage 16: Muster Direktvertrag).</t>
  </si>
  <si>
    <t xml:space="preserve">Die Zustimmung der Auftraggeber zu einer Verpfändung von Anteilen an die Fremdkapitalgeber richtet sich nach den Bestimmungen des Direktvertrags (Vertragsanlage 16: Muster Direktvertrag). ABSCHNITT 10 SONSTIGE REGELUNGEN</t>
  </si>
  <si>
    <t xml:space="preserve">ANF-1105</t>
  </si>
  <si>
    <t xml:space="preserve">§ 62 (1)</t>
  </si>
  <si>
    <t xml:space="preserve">Der Auftragnehmer ist verpflichtet, dem Auftraggeber vor Leistungsbeginn mitzuteilen, wenn er die Ausführung wesentlicher Teile der Leistungen, die einen Nettoauftragswert von € 100.000,00 …</t>
  </si>
  <si>
    <t xml:space="preserve">Der Auftragnehmer ist verpflichtet, dem Auftraggeber vor Leistungsbeginn mitzuteilen, wenn er die Ausführung wesentlicher Teile der Leistungen, die einen Nettoauftragswert von € 100.000,00 übersteigen, an Nachunternehmer übertragen oder einen bislang beauftragten Nachunternehmer wechseln möchte. Mit der Mitteilung ist eine Eigenerklärung des Nachunternehmers vorzulegen, dass kein Ausschlussgrund nach §§ 123, 124 GWB vorliegt. Die Ausführung wesentlicher Teile der Leistungen, die einen Nettoauftragswert von € 2.500.000,00 übersteigen, darf der Auftragnehmer nur mit vorheriger Zustimmung des Auftraggebers 2 an Nachunternehmer übertragen. Eine Zustimmung ist entbehrlich, soweit der Nachunternehmer bereits im Vergabeverfahren benannt wurde. Der Auftraggeber 2 kann die Zustimmung nur aus wichtigem Grund verweigern, insbesondere bei fehlender Eignung oder Leistungsfähigkeit des Unternehmens oder Vorliegen eines Ausschlussgrundes nach §§ 123, 124 GWB. Die Zustimmung gilt als erteilt, sofern der Auftraggeber 2 dem Auftragnehmer nicht innerhalb von zwei Wochen nach Mitteilung einer Übertragung mindestens in Textform seinen Widerspruch mitgeteilt hat. Sofern die Einbindung von Nachunternehmern während der Vertragslaufzeit erforderlich wird, haben diese vorab eine entsprechende Erklärung über Ausschlussgründe sowie, auf gesondertes Verlangen des Auftraggebers 2, weitere Erklärungen abzugeben. Zu den im Angebot mit ihren jeweiligen Leistungsbereichen benannten Nachunternehmern gilt die Zustimmung des Auftraggebers 2 bereits mit Vertragsschluss als erteilt. Beträgt der Nettoauftragswert mindestens € 25.000,00, so zeigt der Auftragnehmer, wenn nach vorstehenden Vorschriften kein Erfordernis zur vorherigen Anzeige oder zur Einholung der vorherigen Zustimmung besteht, dem Auftraggeber 2 den Einsatz des Nachunternehmers unverzüglich nach Leistungsbeginn an; der Auftraggeber 2 ist in diesem Fall berechtigt, dem weiteren Einsatz des Nachunternehmers aus wichtigem Grund zu widersprechen.</t>
  </si>
  <si>
    <t xml:space="preserve">Kapitel: Einbindung von Nachunternehmern
Fundstelle im PDF: Seite 56</t>
  </si>
  <si>
    <t xml:space="preserve">ANF-1106</t>
  </si>
  <si>
    <t xml:space="preserve">§ 62 (2)</t>
  </si>
  <si>
    <t xml:space="preserve">Nachunternehmer sind alle rechtlich selbstständigen Drittunternehmer oder dritte Personen, die ohne unmittelbares Vertragsverhältnis zum Bund im Auftrag und auf Rechnung des Betreibers bestimmte …</t>
  </si>
  <si>
    <t xml:space="preserve">Nachunternehmer sind alle rechtlich selbstständigen Drittunternehmer oder dritte Personen, die ohne unmittelbares Vertragsverhältnis zum Bund im Auftrag und auf Rechnung des Betreibers bestimmte Teile des Auftrags mit einem für die Auftragserfüllung gewissen Gewicht übernehmen und ausführen. Keine Unterauftragnehmer sind (Vor-)Lieferanten des Betreibers oder Unternehmen, die lediglich Hilfsleistungen wie beispielsweise Bilanzierungs- oder EDM-Dienstleistungen übernehmen. Lieferanten und Zulieferer von einzelnen Komponenten oder Bestandteilen von Ladeeinrichtungen sowie die Finanzierungspartner des Betreibers und seine Energielieferanten gelten nicht als Nachunternehmer. Nachunternehmer im Sinne dieser Vorschrift sind nur direkte Vertragspartner des Auftragnehmers, nicht Unterauftragnehmer von Nachunternehmern.</t>
  </si>
  <si>
    <t xml:space="preserve">ANF-1107</t>
  </si>
  <si>
    <t xml:space="preserve">§ 62 (3)</t>
  </si>
  <si>
    <t xml:space="preserve">Der Auftragnehmer ist verpflichtet, bei der Untervergabe an Nachunternehmer sicherzustellen, dass die in diesem Vertrag und seinen Vertragsanlagen geforderten Qualitätsstandards eingehalten werden.</t>
  </si>
  <si>
    <t xml:space="preserve">ANF-1108</t>
  </si>
  <si>
    <t xml:space="preserve">§ 62 (4)</t>
  </si>
  <si>
    <t xml:space="preserve">Der Auftragnehmer ist im Rahmen der Beauftragung von Nachunternehmern zur Durchführung eines wettbewerblichen Verfahrens verpflichtet.</t>
  </si>
  <si>
    <t xml:space="preserve">Der Auftragnehmer ist im Rahmen der Beauftragung von Nachunternehmern zur Durchführung eines wettbewerblichen Verfahrens verpflichtet. Er hat dabei insbesondere gemäß § 97 Abs. 4 Satz 1 bis 3 GWB mittelständische Interessen zu berücksichtigen. Die Einhaltung dieser Vorgaben liegt in alleiniger Verantwortung des Auftragnehmers.</t>
  </si>
  <si>
    <t xml:space="preserve">ANF-1109</t>
  </si>
  <si>
    <t xml:space="preserve">§ 62 (5)</t>
  </si>
  <si>
    <t xml:space="preserve">Nachunternehmer des Auftragnehmers sind dessen Erfüllungsgehilfen.</t>
  </si>
  <si>
    <t xml:space="preserve">ANF-1110</t>
  </si>
  <si>
    <t xml:space="preserve">§ 62 (6)</t>
  </si>
  <si>
    <t xml:space="preserve">Eintrittsrecht des Auftraggebers</t>
  </si>
  <si>
    <t xml:space="preserve">ANF-1111</t>
  </si>
  <si>
    <t xml:space="preserve">§ 62 (6) a</t>
  </si>
  <si>
    <t xml:space="preserve">Die Auftraggeber sind berechtigt, aber nicht verpflichtet, im Falle einer Kündigung gemäß § 56 Abs.</t>
  </si>
  <si>
    <t xml:space="preserve">Die Auftraggeber sind berechtigt, aber nicht verpflichtet, im Falle einer Kündigung gemäß § 56 Abs. 2 durch sie nach Maßgabe der folgenden Bestimmungen in Nachunternehmerverträge einzutreten. Das Eintrittsrecht der Auftraggeber wird einheitlich durch den Auftraggeber 2 ausgeübt. Der Auftragnehmer vereinbart in Nachunternehmerträgen ein auf die Kündigung dieses Vertrags durch die Auftraggeber (ausgeübt durch Auftraggeber 2) aufschiebend bedingtes Recht der Auftraggeber zum Eintritt der Auftraggeber anstelle des Auftragnehmers in den Nachunternehmervertrag, zu dem der Nachunternehmer im Zeitpunkt des Vertragsschlusses mit dem Auftraggeber unwiderruflich seine Zustimmung erklären muss. Das Eintrittsrecht muss durch Erklärung des Auftraggebers gegenüber dem Nachunternehmer ausgeübt werden können. Das Eintrittsrecht der Auftraggeber besteht nicht, wenn die Fremdkapitalgeber des Auftragnehmers von ihrem Recht unter der nach § 57 abgeschlossenen Vereinbarung Gebrauch machen. Die vorstehende Pflicht zur Vereinbarung eines Eintrittsrechts besteht nicht für Rahmenverträge, die der Auftragnehmer mit Nachunternehmern geschlossen hat und die über den Gegenstand der Ausschreibung „LKW-SCHNELLLADENETZ – UNBEWIRTSCHAFTETE RASTANLAGEN“ hinaus gelten, sowie für Leistungsbeziehungen, bei denen Leistungen des Nachunternehmers auf Grundlage von dessen Allgemeinen Geschäftsbedingungen abgerufen werden. Der Auftragnehmer ist verpflichtet, das Vorliegen der vorgenannten Ausnahmen dem Auftraggeber unter Angabe des jeweiligen Vertragspartners mitzuteilen.</t>
  </si>
  <si>
    <t xml:space="preserve">ANF-1112</t>
  </si>
  <si>
    <t xml:space="preserve">§ 62 (6) b</t>
  </si>
  <si>
    <t xml:space="preserve">Der Auftragnehmer legt dem Auftraggeber 2 auf dessen Verlangen die in abgeschlossenen Nachunternehmerverträgen jeweils vereinbarte Regelung zum Vertragseintritt der Auftraggeber in Fotokopie vor.</t>
  </si>
  <si>
    <t xml:space="preserve">ANF-1113</t>
  </si>
  <si>
    <t xml:space="preserve">§ 63 (1)</t>
  </si>
  <si>
    <t xml:space="preserve">Der Auftragnehmer ist verpflichtet, Maßnahmen des zuständigen Netzbetreibers im Zusammenhang mit der Errichtung oder Erweiterung des Netzanschlusses sowie Reparatur- und Wartungsarbeiten des …</t>
  </si>
  <si>
    <t xml:space="preserve">Der Auftragnehmer ist verpflichtet, Maßnahmen des zuständigen Netzbetreibers im Zusammenhang mit der Errichtung oder Erweiterung des Netzanschlusses sowie Reparatur- und Wartungsarbeiten des Netzbetreibers am Netzanschluss zu dulden. Entschädigungsansprüche des Auftragnehmers gegen die Auftraggeber bestehen auch bei Unterbrechungen des Anschlusses an das öffentliche Netz nicht. Etwaige Ansprüche des Auftragnehmers gegenüber dem Netzbetreiber bleiben unberührt.</t>
  </si>
  <si>
    <t xml:space="preserve">Kapitel: Duldungsverpflichtungen des Auftragnehmers
Fundstelle im PDF: Seite 57</t>
  </si>
  <si>
    <t xml:space="preserve">ANF-1114</t>
  </si>
  <si>
    <t xml:space="preserve">§ 63 (2)</t>
  </si>
  <si>
    <t xml:space="preserve">Der Auftragnehmer ist verpflichtet, Betriebsdienstleistungen, Erhaltungsmaßnahmen und Umbaumaßnahmen der Auftraggeber auf den Verkehrsflächen des jeweiligen Standortes zu dulden.</t>
  </si>
  <si>
    <t xml:space="preserve">Der Auftragnehmer ist verpflichtet, Betriebsdienstleistungen, Erhaltungsmaßnahmen und Umbaumaßnahmen der Auftraggeber auf den Verkehrsflächen des jeweiligen Standortes zu dulden. Im Falle von Baumaßnahmen der Auftraggeber stehen dem Auftragnehmer auch im Falle einer Sperrung eines Standorts über die Regelung in § 45 Abs. 6 hinaus keine Ansprüche gegen die Auftraggeber zu. Der Auftraggeber 2 wird dem Auftragnehmer den Beginn von wesentlichen Baumaßnahmen der Auftraggeber vorab mitteilen. Der Auftraggeber 2 kann vom Auftragnehmer zur Ermöglichung von Baumaßnahmen der Auftraggeber nach Maßgabe der Regelung zur Ausführung geänderter oder zusätzlicher Leistungen gemäß § 40 den vollständigen oder teilweisen Rückbau der Ladeinfrastruktur sowie der sonstigen baulichen Elemente verlangen.</t>
  </si>
  <si>
    <t xml:space="preserve">ANF-1115</t>
  </si>
  <si>
    <t xml:space="preserve">§ 63 (3)</t>
  </si>
  <si>
    <t xml:space="preserve">Die Auftraggeber sind nicht gehindert, an anderen Standorten Schnelladeinfrastruktur für E-Lkw auszuschreiben, zu errichten und zu betreiben bzw. errichten und betreiben zu lassen.</t>
  </si>
  <si>
    <t xml:space="preserve">Kapitel: Duldungsverpflichtungen des Auftragnehmers
Fundstelle im PDF: Seite 57
Zuordnung prüfen (Komponente/Partner nicht eindeutig)</t>
  </si>
  <si>
    <t xml:space="preserve">ANF-1116</t>
  </si>
  <si>
    <t xml:space="preserve">§ 64 (1)</t>
  </si>
  <si>
    <t xml:space="preserve">Der Auftragnehmer ist verpflichtet, die von ihm errichteten Ladeeinrichtungen während der Laufzeit des Vertrags fortlaufend zu dokumentieren und diese Angaben an den Auftraggeber 2 zu übermitteln.</t>
  </si>
  <si>
    <t xml:space="preserve">Der Auftragnehmer ist verpflichtet, die von ihm errichteten Ladeeinrichtungen während der Laufzeit des Vertrags fortlaufend zu dokumentieren und diese Angaben an den Auftraggeber 2 zu übermitteln. Einzelheiten hinsichtlich der Berichts- und Dokumentationspflichten sowie die erforderlichen Datenformate und die Stellen, an die die Informationen zu übermitteln sind, ergeben sich aus Vertragsanlage 10: Leistungsbeschreibung Betrieb. In den übermittelten Daten enthaltene Betriebs- und Geschäftsgeheimnisse sind vom Auftragnehmer zu kennzeichnen, bei der Übermittlung dieser gekennzeichneten Daten hat der Auftragnehmer darauf hinzuweisen, dass eine Weitergabe an Dritte unzulässig ist. Die Auftraggeber werden berechtigterweise entsprechend gekennzeichneten Daten nicht an Dritte weiterleiten. Die Nationale Leitstelle für Ladeinfrastruktur bei der NOW GmbH ist nicht Dritter im Sinne dieses Absatzes.</t>
  </si>
  <si>
    <t xml:space="preserve">Kapitel: Berichtspflichten, Datenübermittlung
Fundstelle im PDF: Seite 58</t>
  </si>
  <si>
    <t xml:space="preserve">ANF-1117</t>
  </si>
  <si>
    <t xml:space="preserve">§ 64 (2)</t>
  </si>
  <si>
    <t xml:space="preserve">Der Auftragnehmer ist verpflichtet, auf Verlangen des Auftraggebers 2 mit bis zu fünf Personentagen pro Jahr an wissenschaftlichen Begleitstudien mitzuwirken.</t>
  </si>
  <si>
    <t xml:space="preserve">Der Auftragnehmer ist verpflichtet, auf Verlangen des Auftraggebers 2 mit bis zu fünf Personentagen pro Jahr an wissenschaftlichen Begleitstudien mitzuwirken. Er hat zudem während der Laufzeit dieses Vertrags Evaluationen, etwa im Rahmen von Programmen des Auftraggebers 2, in angemessenem Umfang zu unterstützen bzw. an deren Treffen teilzunehmen und an Befragungen mitzuwirken.</t>
  </si>
  <si>
    <t xml:space="preserve">ANF-1118</t>
  </si>
  <si>
    <t xml:space="preserve">§ 64 (3)</t>
  </si>
  <si>
    <t xml:space="preserve">Über diesen Vertrag hinausgehende Berichts- oder Mitteilungspflichten, z.</t>
  </si>
  <si>
    <t xml:space="preserve">Über diesen Vertrag hinausgehende Berichts- oder Mitteilungspflichten, z. B. gegenüber der BNetzA, bleiben durch diese Regelungen unberührt.</t>
  </si>
  <si>
    <t xml:space="preserve">ANF-1119</t>
  </si>
  <si>
    <t xml:space="preserve">§ 65 (1)</t>
  </si>
  <si>
    <t xml:space="preserve">Die Parteien benennen jeweils eine oder mehrere Ansprechperson(en) als Empfängerin oder Empfänger im Zusammenhang mit jeglichen Erklärungen, die nach diesem Vertrag abzugeben sind.</t>
  </si>
  <si>
    <t xml:space="preserve">Kapitel: Ansprechpartner, Abstimmungstreffen
Fundstelle im PDF: Seite 58</t>
  </si>
  <si>
    <t xml:space="preserve">ANF-1120</t>
  </si>
  <si>
    <t xml:space="preserve">§ 65 (2)</t>
  </si>
  <si>
    <t xml:space="preserve">Die Parteien sind jederzeit berechtigt, von ihr benannte Ansprechpartner durch andere ausreichend qualifizierte Ansprechpartner zu ersetzen, wenn keine sonstigen in der Person des neuen …</t>
  </si>
  <si>
    <t xml:space="preserve">Die Parteien sind jederzeit berechtigt, von ihr benannte Ansprechpartner durch andere ausreichend qualifizierte Ansprechpartner zu ersetzen, wenn keine sonstigen in der Person des neuen Ansprechpartners begründeten Vorbehalte bestehen.</t>
  </si>
  <si>
    <t xml:space="preserve">Kapitel: Ansprechpartner, Abstimmungstreffen
Fundstelle im PDF: Seite 58
Zuordnung prüfen (Komponente/Partner nicht eindeutig)</t>
  </si>
  <si>
    <t xml:space="preserve">ANF-1121</t>
  </si>
  <si>
    <t xml:space="preserve">§ 65 (3)</t>
  </si>
  <si>
    <t xml:space="preserve">Der Auftragnehmer verpflichtet sich, dem Auftraggeber 2 im ersten Vertragsjahr für monatliche, ab dem zweiten Vertragsjahr für vierteljährliche Abstimmungstreffen der für die Vertragsabwicklung …</t>
  </si>
  <si>
    <t xml:space="preserve">Der Auftragnehmer verpflichtet sich, dem Auftraggeber 2 im ersten Vertragsjahr für monatliche, ab dem zweiten Vertragsjahr für vierteljährliche Abstimmungstreffen der für die Vertragsabwicklung zuständigen Ansprechpartner zur Verfügung zu stehen. An den Treffen nehmen auch Vertreter der Nationalen Leitstelle für Ladeinfrastruktur bei der NOW GmbH teil. Gegenstand dieser Abstimmungstreffen sind insbesondere Bestandsanalysen zum jeweiligen Stand der Umsetzung der Vorgaben dieses Vertrags, eine Priorisierung der weiteren Arbeitsschritte und die Klärung aktueller und offener Fragen, die im Zusammenhang mit dem Vertrag bzw. dem Betrieb der Ladeinfrastruktur stehen.</t>
  </si>
  <si>
    <t xml:space="preserve">ANF-1122</t>
  </si>
  <si>
    <t xml:space="preserve">§ 66 (1) a</t>
  </si>
  <si>
    <t xml:space="preserve">Der Auftragnehmer ist verpflichtet, die nach diesem Vertrag errichteten Ladeeinrichtungen an ein technisches Back-End anzubinden, das hinreichend technisch abgesichert wird, um Datenmanipulation und …</t>
  </si>
  <si>
    <t xml:space="preserve">Der Auftragnehmer ist verpflichtet, die nach diesem Vertrag errichteten Ladeeinrichtungen an ein technisches Back-End anzubinden, das hinreichend technisch abgesichert wird, um Datenmanipulation und -missbrauch zu unterbinden. Dies gilt für personenbezogene Daten</t>
  </si>
  <si>
    <t xml:space="preserve">Kapitel: Datenschutz und Weitergabe von Daten an Dritte
Fundstelle im PDF: Seite 58</t>
  </si>
  <si>
    <t xml:space="preserve">ANF-1123</t>
  </si>
  <si>
    <t xml:space="preserve">§ 66 (1) i</t>
  </si>
  <si>
    <t xml:space="preserve">S. v. Art.</t>
  </si>
  <si>
    <t xml:space="preserve">S. v. Art. 4 Abs. 1 der DS-GVO und für nicht personenbezogene Daten. Die datenschutzrechtlichen Bestimmungen, insbesondere die Vorgaben der DS-GVO und des Bundesdatenschutzgesetzes, sind einzuhalten.</t>
  </si>
  <si>
    <t xml:space="preserve">Kapitel: Datenschutz und Weitergabe von Daten an Dritte
Fundstelle im PDF: Seite 58
Zuordnung prüfen (Komponente/Partner nicht eindeutig)</t>
  </si>
  <si>
    <t xml:space="preserve">ANF-1124</t>
  </si>
  <si>
    <t xml:space="preserve">§ 66 (1) b</t>
  </si>
  <si>
    <t xml:space="preserve">Der Auftragnehmer ist verpflichtet, durch geeignete, dem aktuellen Stand der Technik entsprechende Verfahren sicherzustellen, dass die Vertraulichkeit wirtschaftlich sensibler Informationen (z.</t>
  </si>
  <si>
    <t xml:space="preserve">Der Auftragnehmer ist verpflichtet, durch geeignete, dem aktuellen Stand der Technik entsprechende Verfahren sicherzustellen, dass die Vertraulichkeit wirtschaftlich sensibler Informationen (z. B. Endnutzerdaten, Kundenportfolios, Tarifinformationen etc.), von denen er in Ausübung seiner Tätigkeit als Auftragnehmer Kenntnis erlangt, gegenüber Dritten oder intern gegenüber Bereichen, die im Wettbewerb mit dem Inhaber der vertraulichen Information stehen, gewahrt wird.</t>
  </si>
  <si>
    <t xml:space="preserve">ANF-1125</t>
  </si>
  <si>
    <t xml:space="preserve">§ 66 (2)</t>
  </si>
  <si>
    <t xml:space="preserve">Weitergabe von Daten an Dritte</t>
  </si>
  <si>
    <t xml:space="preserve">ANF-1126</t>
  </si>
  <si>
    <t xml:space="preserve">§ 66 (2) a</t>
  </si>
  <si>
    <t xml:space="preserve">Der Auftragnehmer ist verpflichtet, dem Auftraggeber 2 sowie Dritten, insbesondere Daten-Aggregatoren, Anbietern von Kartendiensten oder Kunden-Apps, die in Art.</t>
  </si>
  <si>
    <t xml:space="preserve">Der Auftragnehmer ist verpflichtet, dem Auftraggeber 2 sowie Dritten, insbesondere Daten-Aggregatoren, Anbietern von Kartendiensten oder Kunden-Apps, die in Art. 20 Abs. 2 der AFIR genannten statischen und dynamischen Daten über die betriebene Ladeinfrastruktur kostenfrei zur Verfügung zu stellen. Die Daten sind über eine Anwendungsprogrammierschnittstelle frei zugänglich zu machen. Die Regelungen zur Datenübermittlung gemäß der Vertragsanlage 10: Leistungsbeschreibung Betrieb bleiben hiervon unberührt.</t>
  </si>
  <si>
    <t xml:space="preserve">ANF-1127</t>
  </si>
  <si>
    <t xml:space="preserve">§ 66 (2) b</t>
  </si>
  <si>
    <t xml:space="preserve">Der Auftraggeber 2 ist berechtigt, zur Analyse und Verarbeitung der nach Vertragsanlage 10: Leistungsbeschreibung Betrieb zu übermittelnden Daten und Informationen Dritte einzubeziehen, die in …</t>
  </si>
  <si>
    <t xml:space="preserve">Der Auftraggeber 2 ist berechtigt, zur Analyse und Verarbeitung der nach Vertragsanlage 10: Leistungsbeschreibung Betrieb zu übermittelnden Daten und Informationen Dritte einzubeziehen, die in angemessenem Umfang zur Wahrung der Vertraulichkeit der Daten und Informationen verpflichtet werden. § 64 Abs. 1 bleibt unberührt.</t>
  </si>
  <si>
    <t xml:space="preserve">ANF-1128</t>
  </si>
  <si>
    <t xml:space="preserve">§ 67 (1)</t>
  </si>
  <si>
    <t xml:space="preserve">Die Parteien sind sich einig, dass eine Übertragung von Pflichten und eine Abtretung von Rechten des Auftragnehmers gegen einen oder beide Auftraggeber aus diesem Vertrag an Dritte nur dann wirksam …</t>
  </si>
  <si>
    <t xml:space="preserve">Die Parteien sind sich einig, dass eine Übertragung von Pflichten und eine Abtretung von Rechten des Auftragnehmers gegen einen oder beide Auftraggeber aus diesem Vertrag an Dritte nur dann wirksam ist, wenn der Auftraggeber 2, auch in Vertretung des Auftraggebers 1, vorab seine schriftliche Zustimmung dazu erteilt hat. Davon unberührt bleibt eine gesetzliche Rechtsnachfolge, insbesondere bei Übertragungen im Sinne des Umwandlungsgesetzes. Bei einer Übertragung im verbundenen Unternehmen wird der Bund seine Zustimmung erteilen, wenn der Auftragnehmer nachweist, dass eine Erfüllung der Verpflichtungen gleichermaßen gewährleistet ist.</t>
  </si>
  <si>
    <t xml:space="preserve">Kapitel: Abtretungsverbot, Übertragung auf eine Projektgesellschaft
Fundstelle im PDF: Seite 59</t>
  </si>
  <si>
    <t xml:space="preserve">ANF-1129</t>
  </si>
  <si>
    <t xml:space="preserve">§ 67 (2)</t>
  </si>
  <si>
    <t xml:space="preserve">Der Auftraggeber 2 wird, mit Wirkung auch für den Auftraggeber 1, einer Sicherungsabtretung von Rechten und Ansprüchen des Auftragnehmers nach diesem Vertrag an einen Fremdkapitalgeber bzw. den …</t>
  </si>
  <si>
    <t xml:space="preserve">Der Auftraggeber 2 wird, mit Wirkung auch für den Auftraggeber 1, einer Sicherungsabtretung von Rechten und Ansprüchen des Auftragnehmers nach diesem Vertrag an einen Fremdkapitalgeber bzw. den Sicherheitentreuhänder eines Fremdkapitalgeberkonsortiums zustimmen, gleiches gilt im Falle eines Forderungsverkaufes (Forfaitierung), wobei die Auftraggeber im Falle einer Forfaitierung keinen Einredeverzicht erklären werden. Eine Sicherungsabtretung von Ansprüchen unter den nach diesem Vertrag abzuschließenden Versicherungen ist nur zulässig, wenn sich der Abtretungsempfänger zur vertragsgemäßen Verwendung der Versicherungsentschädigungen im Sinne einer Reparatur oder Wiederherstellung der Ladeinfrastruktur verpflichtet.</t>
  </si>
  <si>
    <t xml:space="preserve">ANF-1130</t>
  </si>
  <si>
    <t xml:space="preserve">§ 67 (3)</t>
  </si>
  <si>
    <t xml:space="preserve">Die Auftraggeber werden einer Übertragung des Vertrags auf eine Projektgesellschaft zustimmen, wenn durch die Übertragung weder die Eignung noch die Fähigkeit des Auftragnehmers, den Vertrag …</t>
  </si>
  <si>
    <t xml:space="preserve">Die Auftraggeber werden einer Übertragung des Vertrags auf eine Projektgesellschaft zustimmen, wenn durch die Übertragung weder die Eignung noch die Fähigkeit des Auftragnehmers, den Vertrag ordnungsgemäß zu erfüllen, noch die Rechtsposition der Auftraggeber betreffend die Durchsetzung der ordnungsgemäßen Vertragserfüllung verschlechtert. Die Auftraggeber stimmen insbesondere einer Projektgesellschaft in Form einer GmbH zu, in der die Mitglieder der bisherigen Bietergemeinschaft Gesellschafter sind und gleichzeitig ihre Leistungsanteile als Nachunternehmer erbringen.</t>
  </si>
  <si>
    <t xml:space="preserve">ANF-1131</t>
  </si>
  <si>
    <t xml:space="preserve">§ 68 (1)</t>
  </si>
  <si>
    <t xml:space="preserve">Die Parteien behandeln den Inhalt dieses Vertrags vertraulich.</t>
  </si>
  <si>
    <t xml:space="preserve">Die Parteien behandeln den Inhalt dieses Vertrags vertraulich. Sie werden weder den Vertrag vollständig oder teilweise noch Informationen über dessen Inhalt ohne die schriftliche Einwilligung der anderen Partei einem Dritten überlassen oder in sonstiger Weise zugänglich machen.</t>
  </si>
  <si>
    <t xml:space="preserve">Kapitel: Vertraulichkeit
Fundstelle im PDF: Seite 59</t>
  </si>
  <si>
    <t xml:space="preserve">ANF-1132</t>
  </si>
  <si>
    <t xml:space="preserve">§ 68 (2)</t>
  </si>
  <si>
    <t xml:space="preserve">Dies gilt nicht für Informationen, die aufgrund gesetzlicher Verpflichtung oder an Behörden, verbundene Unternehmen sowie an zur Verschwiegenheit verpflichtete Berater, Kreditgeber oder deren …</t>
  </si>
  <si>
    <t xml:space="preserve">Dies gilt nicht für Informationen, die aufgrund gesetzlicher Verpflichtung oder an Behörden, verbundene Unternehmen sowie an zur Verschwiegenheit verpflichtete Berater, Kreditgeber oder deren Vertreter, die die Leistungen im Rahmen dieses Vertrags finanzieren, weitergegeben werden. Ausgenommen sind auch Anlagen, die Schnittstellendefinitionen bzw. Umfang der Berichterstattung betreffen.</t>
  </si>
  <si>
    <t xml:space="preserve">ANF-1133</t>
  </si>
  <si>
    <t xml:space="preserve">§ 68 (3)</t>
  </si>
  <si>
    <t xml:space="preserve">Im Übrigen gelten die gesetzlichen Bestimmungen zur Geheimhaltung von Betriebs- und Geschäftsgeheimnissen (insbesondere §§ 17 ff.</t>
  </si>
  <si>
    <t xml:space="preserve">Im Übrigen gelten die gesetzlichen Bestimmungen zur Geheimhaltung von Betriebs- und Geschäftsgeheimnissen (insbesondere §§ 17 ff. Gesetz gegen den unlauteren Wettbewerb) und sonstiger, gesetzlich geschützter Daten eines Unternehmens.</t>
  </si>
  <si>
    <t xml:space="preserve">ANF-1134</t>
  </si>
  <si>
    <t xml:space="preserve">§ 69 (1)</t>
  </si>
  <si>
    <t xml:space="preserve">Sollte in diesem Vertrag eine Bestimmung aus materiellen oder formellen Gründen unwirksam oder undurchführbar sein oder werden, so sind die Parteien sich darüber einig, dass die Gültigkeit der …</t>
  </si>
  <si>
    <t xml:space="preserve">Sollte in diesem Vertrag eine Bestimmung aus materiellen oder formellen Gründen unwirksam oder undurchführbar sein oder werden, so sind die Parteien sich darüber einig, dass die Gültigkeit der übrigen Bestimmungen hierdurch nicht berührt wird. Die Parteien verpflichten sich, die ungültige Bestimmung durch eine im wirtschaftlichen Erfolg ihr nach Möglichkeit gleichkommende Bestimmung in gültiger Weise zu ersetzen.</t>
  </si>
  <si>
    <t xml:space="preserve">Kapitel: Teilnichtigkeit, Anpassung des Vertrags
Fundstelle im PDF: Seite 59</t>
  </si>
  <si>
    <t xml:space="preserve">ANF-1135</t>
  </si>
  <si>
    <t xml:space="preserve">§ 69 (2)</t>
  </si>
  <si>
    <t xml:space="preserve">Sollte in diesem Vertrag ein regelungsbedürftiger Punkt nicht benannt oder nicht ausreichend geregelt worden sein, so verpflichten sich die Parteien, die so entstandene Lücke im Sinne und Geiste …</t>
  </si>
  <si>
    <t xml:space="preserve">Sollte in diesem Vertrag ein regelungsbedürftiger Punkt nicht benannt oder nicht ausreichend geregelt worden sein, so verpflichten sich die Parteien, die so entstandene Lücke im Sinne und Geiste dieses Vertrags durch eine ergänzende Regelung zu schließen, die dem angestrebten Ziel möglichst nahekommt.</t>
  </si>
  <si>
    <t xml:space="preserve">ANF-1136</t>
  </si>
  <si>
    <t xml:space="preserve">§ 69 (3)</t>
  </si>
  <si>
    <t xml:space="preserve">Dieser Vertrag ist nach den Grundsätzen verständiger und loyaler Kaufleute auszulegen und zu handhaben.</t>
  </si>
  <si>
    <t xml:space="preserve">ANF-1137</t>
  </si>
  <si>
    <t xml:space="preserve">§ 70 (1)</t>
  </si>
  <si>
    <t xml:space="preserve">Die Parteien erklären ihren festen Willen, jeglicher Form von Korruption sowie Menschenrechtsund Umweltschutzverletzungen entgegenzuwirken.</t>
  </si>
  <si>
    <t xml:space="preserve">Die Parteien erklären ihren festen Willen, jeglicher Form von Korruption sowie Menschenrechtsund Umweltschutzverletzungen entgegenzuwirken. Sie erklären, im Rahmen ihrer vertraglichen Beziehung sämtliche anwendbaren Gesetze, Verordnungen und sonstigen Rechtsvorschriften einzuhalten.</t>
  </si>
  <si>
    <t xml:space="preserve">Kapitel: Compliance
Fundstelle im PDF: Seite 60</t>
  </si>
  <si>
    <t xml:space="preserve">ANF-1138</t>
  </si>
  <si>
    <t xml:space="preserve">§ 70 (2)</t>
  </si>
  <si>
    <t xml:space="preserve">Der Auftragnehmer verpflichtet sich insbesondere zur Einhaltung aller anwendbaren Vorschriften gegen Korruption, Geldwäsche und andere schwerwiegende Straftaten, die im Geschäftsverkehr begangen …</t>
  </si>
  <si>
    <t xml:space="preserve">Der Auftragnehmer verpflichtet sich insbesondere zur Einhaltung aller anwendbaren Vorschriften gegen Korruption, Geldwäsche und andere schwerwiegende Straftaten, die im Geschäftsverkehr begangen werden, sowie zum Schutz der Menschenrechte und der Umwelt.</t>
  </si>
  <si>
    <t xml:space="preserve">Kapitel: Compliance
Fundstelle im PDF: Seite 60
Zuordnung prüfen (Komponente/Partner nicht eindeutig)</t>
  </si>
  <si>
    <t xml:space="preserve">ANF-1139</t>
  </si>
  <si>
    <t xml:space="preserve">§ 70 (3)</t>
  </si>
  <si>
    <t xml:space="preserve">Der Auftragnehmer verpflichtet sich, im Rahmen der vertraglichen Beziehung die jeweils geltenden tarifvertraglichen bzw. gesetzlichen Bestimmungen zur Entlohnung der Beschäftigten einzuhalten.</t>
  </si>
  <si>
    <t xml:space="preserve">ANF-1140</t>
  </si>
  <si>
    <t xml:space="preserve">§ 70 (4)</t>
  </si>
  <si>
    <t xml:space="preserve">Der Auftragnehmer wird zumutbare Anstrengungen unternehmen, um die Einhaltung der ihn gemäß Absatz 2 und Absatz 3 treffenden Verpflichtungen durch seine Nachunternehmer sicherzustellen.</t>
  </si>
  <si>
    <t xml:space="preserve">ANF-1141</t>
  </si>
  <si>
    <t xml:space="preserve">§ 70 (5)</t>
  </si>
  <si>
    <t xml:space="preserve">Der Auftragnehmer verpflichtet sich, bei der Abwehr von schweren Gesetzesverstößen im Sinne von Absatz 2 sowie bei der Aufklärung von Verdachtsfällen auf schwere Gesetzesverstöße mitzuwirken und mit …</t>
  </si>
  <si>
    <t xml:space="preserve">Der Auftragnehmer verpflichtet sich, bei der Abwehr von schweren Gesetzesverstößen im Sinne von Absatz 2 sowie bei der Aufklärung von Verdachtsfällen auf schwere Gesetzesverstöße mitzuwirken und mit den Auftraggebern zu kooperieren.</t>
  </si>
  <si>
    <t xml:space="preserve">ANF-1142</t>
  </si>
  <si>
    <t xml:space="preserve">§ 70 (6)</t>
  </si>
  <si>
    <t xml:space="preserve">Alle Schäden, die den Auftraggebern aus einem Verstoß gegen die in Absatz 2 und Absatz 3 genannten Verpflichtungen entstehen und vom Auftragnehmer zu vertreten sind, hat der Auftragnehmer zu ersetzen.</t>
  </si>
  <si>
    <t xml:space="preserve">Alle Schäden, die den Auftraggebern aus einem Verstoß gegen die in Absatz 2 und Absatz 3 genannten Verpflichtungen entstehen und vom Auftragnehmer zu vertreten sind, hat der Auftragnehmer zu ersetzen. Sonstige oder weitergehende Ansprüche bleiben hiervon unberührt.</t>
  </si>
  <si>
    <t xml:space="preserve">ANF-1143</t>
  </si>
  <si>
    <t xml:space="preserve">§ 70 (7)</t>
  </si>
  <si>
    <t xml:space="preserve">Die Parteien geben sich im Rahmen ihrer Geschäftsbeziehung wechselseitig die Zustimmung zur regelmäßigen Prüfung nach den jeweils aktuellen europäischen und nationalen Sanktions- und Embargolisten.</t>
  </si>
  <si>
    <t xml:space="preserve">Die Parteien geben sich im Rahmen ihrer Geschäftsbeziehung wechselseitig die Zustimmung zur regelmäßigen Prüfung nach den jeweils aktuellen europäischen und nationalen Sanktions- und Embargolisten. Dabei werden sie die einschlägigen datenschutzrechtlichen Bestimmungen beachten.</t>
  </si>
  <si>
    <t xml:space="preserve">ANF-1144</t>
  </si>
  <si>
    <t xml:space="preserve">§ 71 (1)</t>
  </si>
  <si>
    <t xml:space="preserve">Alle Streitigkeiten, die sich aus diesem Vertrag ergeben, werden zunächst den für die Beilegung von Streitigkeiten jeweils zu benennenden Vertretern der Parteien zur Beilegung vorgelegt.</t>
  </si>
  <si>
    <t xml:space="preserve">Kapitel: Streitbeilegung
Fundstelle im PDF: Seite 60</t>
  </si>
  <si>
    <t xml:space="preserve">ANF-1145</t>
  </si>
  <si>
    <t xml:space="preserve">§ 71 (2)</t>
  </si>
  <si>
    <t xml:space="preserve">Die Parteien vereinbaren dabei ein zweistufiges Vorgehen: Auf einer ersten Stufe sollen Vertreter der Projektleitung beider Parteien den Versuch einer Lösung der Streitigkeit unternehmen.</t>
  </si>
  <si>
    <t xml:space="preserve">Die Parteien vereinbaren dabei ein zweistufiges Vorgehen: Auf einer ersten Stufe sollen Vertreter der Projektleitung beider Parteien den Versuch einer Lösung der Streitigkeit unternehmen. Gelingt dies nicht, so sind in einer zweiten, nachgelagerten Eskalationsstufe Vertreter der Geschäftsführung beider Parteien zu beteiligen.</t>
  </si>
  <si>
    <t xml:space="preserve">Kapitel: Streitbeilegung
Fundstelle im PDF: Seite 60
Zuordnung prüfen (Komponente/Partner nicht eindeutig)</t>
  </si>
  <si>
    <t xml:space="preserve">ANF-1146</t>
  </si>
  <si>
    <t xml:space="preserve">§ 71 (3)</t>
  </si>
  <si>
    <t xml:space="preserve">Können die benannten Vertreter der Parteien auf diesem Wege nicht innerhalb einer angemessenen Frist von höchstens zwanzig Kalendertagen bzw. bei Zahlungsstreitigkeiten zehn Kalendertagen, jeweils …</t>
  </si>
  <si>
    <t xml:space="preserve">Können die benannten Vertreter der Parteien auf diesem Wege nicht innerhalb einer angemessenen Frist von höchstens zwanzig Kalendertagen bzw. bei Zahlungsstreitigkeiten zehn Kalendertagen, jeweils beginnend mit der schriftlichen Mitteilung einer Partei an die andere Partei, dass sie das Streitbeilegungsverfahren nach diesem § 71 einleiten möchte, zu einer Einigung gelangen, so steht es jeder Partei offen, zur Klärung der Streitigkeit ein ordentliches Gericht anzurufen, wenn nicht die Parteien schriftlich ein anderweitiges Vorgehen vereinbaren.</t>
  </si>
  <si>
    <t xml:space="preserve">ANF-1147</t>
  </si>
  <si>
    <t xml:space="preserve">§ 71 (4)</t>
  </si>
  <si>
    <t xml:space="preserve">Ausschließlicher Gerichtsstand für alle Streitigkeiten aus oder im Zusammenhang mit diesem Vertrag ist Berlin.</t>
  </si>
  <si>
    <t xml:space="preserve">ANF-1148</t>
  </si>
  <si>
    <t xml:space="preserve">§ 72 (1)</t>
  </si>
  <si>
    <t xml:space="preserve">Die in diesem Vertrag aufgeführten Vertragsanlagen sind Vertragsbestandteil.</t>
  </si>
  <si>
    <t xml:space="preserve">Kapitel: Schlussbestimmungen, Schriftformerfordernis
Fundstelle im PDF: Seite 61</t>
  </si>
  <si>
    <t xml:space="preserve">ANF-1149</t>
  </si>
  <si>
    <t xml:space="preserve">§ 72 (2)</t>
  </si>
  <si>
    <t xml:space="preserve">Diese Vertragsbedingungen sind abschließend. Mündliche Nebenabreden bestehen nicht.</t>
  </si>
  <si>
    <t xml:space="preserve">Diese Vertragsbedingungen sind abschließend. Mündliche Nebenabreden bestehen nicht. Änderungen und/oder Ergänzungen dieses Vertrags, einschließlich dieser Klausel, bedürfen zu ihrer Wirksamkeit der Schriftform.</t>
  </si>
  <si>
    <t xml:space="preserve">ANF-1150</t>
  </si>
  <si>
    <t xml:space="preserve">§ 72 (3)</t>
  </si>
  <si>
    <t xml:space="preserve">Der Auftragnehmer sichert zu, dass er für Errichtung, Erhaltung und Betrieb der vertragsgegenständlichen Ladeinfrastruktur keine nationalen oder EU-Fördermittel in Anspruch nimmt.</t>
  </si>
  <si>
    <t xml:space="preserve">ANF-1151</t>
  </si>
  <si>
    <t xml:space="preserve">§ 72 (4)</t>
  </si>
  <si>
    <t xml:space="preserve">Der Auftragnehmer sichert weiterhin zu, dass er kein Unternehmen in Schwierigkeiten im Sinne der Mitteilung der Kommission betreffend die Leitlinien für staatliche Beihilfen zur Rettung und …</t>
  </si>
  <si>
    <t xml:space="preserve">Der Auftragnehmer sichert weiterhin zu, dass er kein Unternehmen in Schwierigkeiten im Sinne der Mitteilung der Kommission betreffend die Leitlinien für staatliche Beihilfen zur Rettung und Umstrukturierung nichtfinanzieller Unternehmen in Schwierigkeiten (ABl. C 249 vom 31.7.2014, S. 1) ist. Des Weiteren sichert der Auftragnehmer zu, dass keine offenen Rückforderungsansprüche aufgrund eines Beschlusses der Europäischen Kommission zur Feststellung der Unzulässigkeit einer Beihilfe und ihrer Unvereinbarkeit mit dem europäischen Binnenmarkt gegen ihn bestehen.</t>
  </si>
  <si>
    <t xml:space="preserve">ANF-1152</t>
  </si>
  <si>
    <t xml:space="preserve">§ 72 (5)</t>
  </si>
  <si>
    <t xml:space="preserve">Verstößt der Auftragnehmer gegen eine der vorgenannten Zusicherungen, so können die Auftraggeber den Vertrag aus wichtigem Grund, den der Auftragnehmer zu vertreten hat, kündigen. ________________, …</t>
  </si>
  <si>
    <t xml:space="preserve">Verstößt der Auftragnehmer gegen eine der vorgenannten Zusicherungen, so können die Auftraggeber den Vertrag aus wichtigem Grund, den der Auftragnehmer zu vertreten hat, kündigen. ________________, den _____________ __________________________________ Unterschrift Auftraggeber 1, vertreten durch Auftraggeber 2 ________________, den ______________ __________________________________ Unterschrift Auftraggeber 2 ________________, den ______________ __________________________________ Unterschrift Auftragnehmer Anlagenverzeichnis Vertragsanlage 1: Angebot des Auftragnehmers vom [...] [wird nach Zuschlagserteilung beigefügt] Vertragsanlage 2: Standorte [losspezifisch] Vertragsanlage 3: Angaben und Informationen zu den einzelnen Standorten [losspezifisch] Vertragsanlage 4: Leistungsbeschreibung Errichtung Vertragsanlage 5: Details zum Netzanschluss Vertragsanlage 6: Anforderungen an die Ladeinfrastruktur Vertragsanlage 7: Logos [wird nach Zuschlagserteilung beigefügt] Vertragsanlage 8: Terminplan [wird nach Zuschlagserteilung beigefügt] Vertragsanlage 9: Anforderungen für die Betriebsfreigabe Vertragsanlage 10: Leistungsbeschreibung Betrieb Vertragsanlage 11: Leistungsheft für den Straßenbetrieb auf Bundesfernstraßen Vertragsanlage 12: Wartungs- und Instandhaltungskonzept [wird nach Zuschlagserteilung für jeden Standort erarbeitet und beigefügt] Vertragsanlage 13: Bilanzierung Durchleitungsmodell Vertragsanlage 14.1: Formblatt 141 - Autobahn Vertragsanlage 14.2: Formblatt 145 – Autobahn Vertragsanlage 14.3: Stoffpreisgleitklausel für Kabellieferungen Vertragsanlage 15: Muster Vertragserfüllungsbürgschaft Vertragsanlage 16: Muster Direktvertrag Vertragsanlage 17: Gesellschafter [wird vom Bieter mit der Angebotsabgabe vorgelegt und nach Zuschlagserteilung beigefügt]</t>
  </si>
  <si>
    <t xml:space="preserve">ANF-1153</t>
  </si>
  <si>
    <t xml:space="preserve">Die Ladeninfrastruktur muss die Vorgaben der anerkannten einschlägigen Regelwerke und Gesetzen einhalten, derzeit – nachfolgend in Gruppen zusammengefasst - insbesondere:</t>
  </si>
  <si>
    <t xml:space="preserve">Kapitel: Allgemeine technische Anforderungen an die Ladeinfrastruktur
Fundstelle im PDF: Seite 3
Zuordnung prüfen (Komponente/Partner nicht eindeutig)</t>
  </si>
  <si>
    <t xml:space="preserve">ANF-1154</t>
  </si>
  <si>
    <t xml:space="preserve">Ladestecker / Buchsen: IEC 62196-1, IEC 62196-3, IEC TS 62196-3-1, IEC TS 63379 (in Bearbeitung),</t>
  </si>
  <si>
    <t xml:space="preserve">Kapitel: Allgemeine technische Anforderungen an die Ladeinfrastruktur
Fundstelle im PDF: Seite 3</t>
  </si>
  <si>
    <t xml:space="preserve">ANF-1155</t>
  </si>
  <si>
    <t xml:space="preserve">§ 1 (3)</t>
  </si>
  <si>
    <t xml:space="preserve">Ladekabel: IEC 62893-1, IEC 62893-2 IEC 62893-4-1, IEC TS 62893-4-2</t>
  </si>
  <si>
    <t xml:space="preserve">ANF-1156</t>
  </si>
  <si>
    <t xml:space="preserve">§ 1 (4)</t>
  </si>
  <si>
    <t xml:space="preserve">Ladeeinrichtung: IEC 61851-1, IEC 61851-21-2, IEC 61851-23 ED2, IEC 61851-23-1 (in Bearbeitung), IEC 61851-23-3 (in Bearbeitung), IEC 61851-24, IEC TS 61851-27, VDE-AR-N 4100, VDE-AR-N 4105, VDE-AR-N …</t>
  </si>
  <si>
    <t xml:space="preserve">Ladeeinrichtung: IEC 61851-1, IEC 61851-21-2, IEC 61851-23 ED2, IEC 61851-23-1 (in Bearbeitung), IEC 61851-23-3 (in Bearbeitung), IEC 61851-24, IEC TS 61851-27, VDE-AR-N 4100, VDE-AR-N 4105, VDE-AR-N 4110, VDE-AR-N 4120, VDE-AR-E 2418-3-100, PTB-A 50.7, IEC 62053-41, IEC 62485-5 VDE 0510-485-5, BImSchG</t>
  </si>
  <si>
    <t xml:space="preserve">ANF-1157</t>
  </si>
  <si>
    <t xml:space="preserve">§ 1 (5)</t>
  </si>
  <si>
    <t xml:space="preserve">Kommunikation Fahrzeug-Ladeeinrichtung: ISO 15118-1 bis 20 (Teile in Bearbeitung), IEC 61851-24, DIN SPEC 70121, DIN SPEC 70122</t>
  </si>
  <si>
    <t xml:space="preserve">ANF-1158</t>
  </si>
  <si>
    <t xml:space="preserve">§ 1 (6)</t>
  </si>
  <si>
    <t xml:space="preserve">Kommunikation Ladeeinrichtung-Backend: OCPP, IEC 63110-1 bis 3 (Teile in Bearbeitung)</t>
  </si>
  <si>
    <t xml:space="preserve">ANF-1159</t>
  </si>
  <si>
    <t xml:space="preserve">§ 1 (7)</t>
  </si>
  <si>
    <t xml:space="preserve">Kommunikation mit Energieversorgungsnetz: IEC 62746-10-1, OSCP, IEC TR 61850-90-8, IEC 63382 (in Bearbeitung), VDE-AR-E 2122-1000</t>
  </si>
  <si>
    <t xml:space="preserve">ANF-1160</t>
  </si>
  <si>
    <t xml:space="preserve">§ 1 (8)</t>
  </si>
  <si>
    <t xml:space="preserve">Kennzeichnung der Fahrzeug- und Infrastrukturkompatibilität: DIN En 17186:2019 Sollten künftig geänderte oder zusätzliche Regelwerke anwendbar sein, sind diese zu beachten.</t>
  </si>
  <si>
    <t xml:space="preserve">Kennzeichnung der Fahrzeug- und Infrastrukturkompatibilität: DIN En 17186:2019 Sollten künftig geänderte oder zusätzliche Regelwerke anwendbar sein, sind diese zu beachten. Andere installierte und verwendete Komponenten als die Ladeinrichtungen, müssen nach anerkannten gültigen Regelwerken gebaut und betrieben werden. Dazu zählen derzeit u.a. CE-Konformität, Mess- und Eichrecht, AFIR oder LSV.</t>
  </si>
  <si>
    <t xml:space="preserve">ANF-1161</t>
  </si>
  <si>
    <t xml:space="preserve">§ 1.1 (1)</t>
  </si>
  <si>
    <t xml:space="preserve">Es ist durch den Auftragnehmer sicherzustellen, dass Abrechnungen von Ladevorgängen und</t>
  </si>
  <si>
    <t xml:space="preserve">Kapitel: Eichrecht
Fundstelle im PDF: Seite 3</t>
  </si>
  <si>
    <t xml:space="preserve">ANF-1162</t>
  </si>
  <si>
    <t xml:space="preserve">§ 1.1 (2)</t>
  </si>
  <si>
    <t xml:space="preserve">Bilanzierungen von Energiemengen im Durchleitungsmodell an jedem betroffenen Ladepunkt eichrechtskonform erfolgen.</t>
  </si>
  <si>
    <t xml:space="preserve">ANF-1163</t>
  </si>
  <si>
    <t xml:space="preserve">§ 1.2 (1)</t>
  </si>
  <si>
    <t xml:space="preserve">Es ist sicherzustellen, dass durch die Ladeeinrichtungen keine übermäßige Lärmbelästigung für</t>
  </si>
  <si>
    <t xml:space="preserve">Kapitel: Geräuschemissionen
Fundstelle im PDF: Seite 3</t>
  </si>
  <si>
    <t xml:space="preserve">ANF-1164</t>
  </si>
  <si>
    <t xml:space="preserve">§ 1.2 (2)</t>
  </si>
  <si>
    <t xml:space="preserve">Anwohner sowie für das Lkw-Fahrpersonal entsteht, insbesondere nachts bzw. während der</t>
  </si>
  <si>
    <t xml:space="preserve">Kapitel: Geräuschemissionen
Fundstelle im PDF: Seite 3
Zuordnung prüfen (Komponente/Partner nicht eindeutig)</t>
  </si>
  <si>
    <t xml:space="preserve">ANF-1165</t>
  </si>
  <si>
    <t xml:space="preserve">§ 1.2 (3)</t>
  </si>
  <si>
    <t xml:space="preserve">Ruhezeiten. Dabei ist die Entfernung der parkenden Lkw zu den Ladeeinrichtungen auf der</t>
  </si>
  <si>
    <t xml:space="preserve">ANF-1166</t>
  </si>
  <si>
    <t xml:space="preserve">§ 1.2 (4)</t>
  </si>
  <si>
    <t xml:space="preserve">Rastanlage zu berücksichtigen. Geltende Vorschriften sind einzuhalten.</t>
  </si>
  <si>
    <t xml:space="preserve">ANF-1167</t>
  </si>
  <si>
    <t xml:space="preserve">§ 2.1 (1)</t>
  </si>
  <si>
    <t xml:space="preserve">Jeder MCS-Ladepunkt muss technisch in der Lage sein, eine Nennladeleistung von mindestens 1.000 kW (DC) dauerhaft abgeben zu können (höhere Leistungen sind zulässig).</t>
  </si>
  <si>
    <t xml:space="preserve">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Im Fall gemeinsam genutzter Leistungseinheiten müssen pro MCS-Ladepunkt Leistungseinheiten mit einer Leistung von mindestens 800 kW installiert werden. Bei zeitgleichen Ladevorgängen an diesen muss die verfügbare Ladeleistung technisch dauerhaft mindestens 800 kW (DC) an jedem MCS-Ladepunkt betragen können. Eine Unterschreitung dieser Leistungsanforderung an MCS-Ladepunkte im Parallelbetrieb um bis zu 7 % ist zulässig, wenn dies auf schaltungstechnische Gründe des Ladesystems zurückzuführen ist (Granularität der Schaltmatrix).</t>
  </si>
  <si>
    <t xml:space="preserve">Kapitel: MCS-Ladeleistung
Fundstelle im PDF: Seite 4</t>
  </si>
  <si>
    <t xml:space="preserve">ANF-1168</t>
  </si>
  <si>
    <t xml:space="preserve">§ 2.1 (2)</t>
  </si>
  <si>
    <t xml:space="preserve">Die Nennladeleistung von MCS-Ladepunkten bemisst sich an einer Spannung von 800 V und einem Ladestrom von 1250 A.</t>
  </si>
  <si>
    <t xml:space="preserve">Kapitel: MCS-Ladeleistung
Fundstelle im PDF: Seite 4
Zuordnung prüfen (Komponente/Partner nicht eindeutig)</t>
  </si>
  <si>
    <t xml:space="preserve">ANF-1169</t>
  </si>
  <si>
    <t xml:space="preserve">§ 2.1 (3)</t>
  </si>
  <si>
    <t xml:space="preserve">Es muss ein Spannungsbereich von mindestens 500 V bis 1000 V für das Laden sichergestellt werden.</t>
  </si>
  <si>
    <t xml:space="preserve">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t>
  </si>
  <si>
    <t xml:space="preserve">ANF-1170</t>
  </si>
  <si>
    <t xml:space="preserve">§ 2.1 (4)</t>
  </si>
  <si>
    <t xml:space="preserve">Die Nennladeleistung muss kontinuierlich mindestens in einem Umgebungs-Temperaturbereich von - 5 °C bis 35 °C zur Verfügung stehen.</t>
  </si>
  <si>
    <t xml:space="preserve">Die Nennladeleistung muss kontinuierlich mindestens in einem Umgebungs-Temperaturbereich von - 5 °C bis 35 °C zur Verfügung stehen. Bei Verlassen des Umgebungs-Temperaturbereichs muss die Ladeeinrichtung in einem angemessenen Bereich funktionsfähig bleiben (Derating). Das Derating-Verhalten ist dem AG mit der Angebotsabgabe anzugeben.</t>
  </si>
  <si>
    <t xml:space="preserve">ANF-1171</t>
  </si>
  <si>
    <t xml:space="preserve">§ 2.1 (5)</t>
  </si>
  <si>
    <t xml:space="preserve">Die Leistungseinheiten der Ladeeinrichtungen weisen eine hohe Energieeffizienz von mindestens 0,95 bei Nennladeleistung auf.</t>
  </si>
  <si>
    <t xml:space="preserve">ANF-1172</t>
  </si>
  <si>
    <t xml:space="preserve">§ 2.2</t>
  </si>
  <si>
    <t xml:space="preserve">Der CCS-Standard findet im Nutzfahrzeugbereich Anwendung für das Zwischenladen und das</t>
  </si>
  <si>
    <t xml:space="preserve">Kapitel: CCS-Ladeleistung
Fundstelle im PDF: Seite 5
Zuordnung prüfen (Komponente/Partner nicht eindeutig)</t>
  </si>
  <si>
    <t xml:space="preserve">ANF-1173</t>
  </si>
  <si>
    <t xml:space="preserve">§ 2.2.1 (1)</t>
  </si>
  <si>
    <t xml:space="preserve">Jeder CCS-Ladepunkt muss eine Nennladeleistung von mindestens 400 kW (DC) dauerhaft abgeben können (höhere Leistungen sind zulässig).</t>
  </si>
  <si>
    <t xml:space="preserve">Kapitel: CCS-Zwischenladen
Fundstelle im PDF: Seite 5
Zuordnung prüfen (Komponente/Partner nicht eindeutig)</t>
  </si>
  <si>
    <t xml:space="preserve">ANF-1174</t>
  </si>
  <si>
    <t xml:space="preserve">§ 2.2.1 (2)</t>
  </si>
  <si>
    <t xml:space="preserve">Im Fall gemeinsam genutzter Leistungseinheiten müssen pro CCS-Ladepunkt zum Zwischenladen Leistungseinheiten mit einer Leistung von mindestens 400 kW installiert werden.</t>
  </si>
  <si>
    <t xml:space="preserve">Im Fall gemeinsam genutzter Leistungseinheiten müssen pro CCS-Ladepunkt zum Zwischenladen Leistungseinheiten mit einer Leistung von mindestens 400 kW installiert werden. Bei zeitgleichen Ladevorgängen an diesen muss die verfügbare Ladeleistung technisch dauerhaft mindestens 400 kW (DC) an jedem CCS-Ladepunkt zum Zwischenladen betragen können. Eine Unterschreitung dieser Leistungsanforderung an CCS-Ladepunkte im Parallelbetrieb um bis zu 10 % ist zulässig, wenn dies auf schaltungstechnische Gründe des Ladesystems zurückzuführen ist (Granularität der Schaltmatrix).</t>
  </si>
  <si>
    <t xml:space="preserve">Kapitel: CCS-Zwischenladen
Fundstelle im PDF: Seite 5</t>
  </si>
  <si>
    <t xml:space="preserve">ANF-1175</t>
  </si>
  <si>
    <t xml:space="preserve">§ 2.2.1 (3)</t>
  </si>
  <si>
    <t xml:space="preserve">Die Nennladeleistung von CCS-Ladepunkten bemisst sich an einer Spannung von 800 V und muss auch bei 920 V zur Verfügung stehen.</t>
  </si>
  <si>
    <t xml:space="preserve">ANF-1176</t>
  </si>
  <si>
    <t xml:space="preserve">§ 2.2.1 (4)</t>
  </si>
  <si>
    <t xml:space="preserve">Es muss ein Spannungsbereich von mindestens 200 V bis 920 V für das Laden sichergestellt werden, sodass Fahrzeuge mit 400-V- und 800-V-Batteriesystemen geladen werden können.</t>
  </si>
  <si>
    <t xml:space="preserve">ANF-1177</t>
  </si>
  <si>
    <t xml:space="preserve">§ 2.2.2 (1)</t>
  </si>
  <si>
    <t xml:space="preserve">Jeder CCS-Ladepunkt zum Übernachtladen muss technisch eine Nennladeleistung von mindestens 150 kW (DC) dauerhaft abgeben können (höhere Leistungen sind zulässig).</t>
  </si>
  <si>
    <t xml:space="preserve">Kapitel: CCS-Übernachtladen
Fundstelle im PDF: Seite 5
Zuordnung prüfen (Komponente/Partner nicht eindeutig)</t>
  </si>
  <si>
    <t xml:space="preserve">ANF-1178</t>
  </si>
  <si>
    <t xml:space="preserve">§ 2.2.2 (3)</t>
  </si>
  <si>
    <t xml:space="preserve">Die Ladeleistung bemisst sich bei CCS an einer Spannung von 800 V und muss auch bei 920 V zur Verfügung stehen.</t>
  </si>
  <si>
    <t xml:space="preserve">ANF-1179</t>
  </si>
  <si>
    <t xml:space="preserve">§ 2.2.2 (6)</t>
  </si>
  <si>
    <t xml:space="preserve">Die Ladeeinrichtungen weisen eine hohe Energieeffizienz von mindestens 0,95 bei Nennleistung auf.</t>
  </si>
  <si>
    <t xml:space="preserve">Kapitel: CCS-Übernachtladen
Fundstelle im PDF: Seite 5</t>
  </si>
  <si>
    <t xml:space="preserve">ANF-1180</t>
  </si>
  <si>
    <t xml:space="preserve">§ 2.2.2 (7)</t>
  </si>
  <si>
    <t xml:space="preserve">Die Ladeeinrichtung kann in Abstimmung mit dem AG bidirektionales Laden mit Gleichstrom ermöglichen.</t>
  </si>
  <si>
    <t xml:space="preserve">ANF-1181</t>
  </si>
  <si>
    <t xml:space="preserve">§ 2.3 (1)</t>
  </si>
  <si>
    <t xml:space="preserve">Der Auftragnehmer ist verpflichtet ein intelligentes Energiemanagementsystem zur effizienten Nutzung vorhandener Netzkapazitäten und eine skalierbare, netzverträgliche Integration von Ladepunkten zu …</t>
  </si>
  <si>
    <t xml:space="preserve">Der Auftragnehmer ist verpflichtet ein intelligentes Energiemanagementsystem zur effizienten Nutzung vorhandener Netzkapazitäten und eine skalierbare, netzverträgliche Integration von Ladepunkten zu implementieren.</t>
  </si>
  <si>
    <t xml:space="preserve">Kapitel: Energiemanagementsystem (EMS)
Fundstelle im PDF: Seite 6
Zuordnung prüfen (Komponente/Partner nicht eindeutig)</t>
  </si>
  <si>
    <t xml:space="preserve">ANF-1182</t>
  </si>
  <si>
    <t xml:space="preserve">§ 2.3 (2)</t>
  </si>
  <si>
    <t xml:space="preserve">Das EMS muss in der Lage sein, eine dynamische Lastverteilung zu ermöglichen, um Ladepunkte bedarfsgerecht mit Leistung zu versorgen und ggf. gemeinsam genutzte Leistungseinheiten optimal zu nutzen …</t>
  </si>
  <si>
    <t xml:space="preserve">Das EMS muss in der Lage sein, eine dynamische Lastverteilung zu ermöglichen, um Ladepunkte bedarfsgerecht mit Leistung zu versorgen und ggf. gemeinsam genutzte Leistungseinheiten optimal zu nutzen und ggf. einen Batteriespeicher zu integrieren</t>
  </si>
  <si>
    <t xml:space="preserve">Kapitel: Energiemanagementsystem (EMS)
Fundstelle im PDF: Seite 6</t>
  </si>
  <si>
    <t xml:space="preserve">ANF-1183</t>
  </si>
  <si>
    <t xml:space="preserve">§ 2.3 (3)</t>
  </si>
  <si>
    <t xml:space="preserve">Das EMS muss über gängige Kommunikationsstandards/Schnittstellen wie Modbus TCP / RTU oder OCPP etc. verfügen.</t>
  </si>
  <si>
    <t xml:space="preserve">ANF-1184</t>
  </si>
  <si>
    <t xml:space="preserve">§ 2.3 (4)</t>
  </si>
  <si>
    <t xml:space="preserve">Durch die intelligente Steuerung der Ladeleistung muss verhindert werden, dass die Gesamtlast die Kapazität des Netzanschlusses überschreitet, um das System vor Abschaltungen oder Störungen zu …</t>
  </si>
  <si>
    <t xml:space="preserve">Durch die intelligente Steuerung der Ladeleistung muss verhindert werden, dass die Gesamtlast die Kapazität des Netzanschlusses überschreitet, um das System vor Abschaltungen oder Störungen zu schützen.</t>
  </si>
  <si>
    <t xml:space="preserve">ANF-1185</t>
  </si>
  <si>
    <t xml:space="preserve">§ 2.3 (5)</t>
  </si>
  <si>
    <t xml:space="preserve">Durch gezielte Verteilung oder zeitliche Verschiebung von Ladevorgängen sollen kritische Lastspitzen vermieden werden können</t>
  </si>
  <si>
    <t xml:space="preserve">ANF-1186</t>
  </si>
  <si>
    <t xml:space="preserve">§ 2.3 (6)</t>
  </si>
  <si>
    <t xml:space="preserve">Bei Ausfall oder Störung des EMS soll die Ladeinfrastruktur in einen sicheren Grundmodus1 wechseln, der eine Versorgung der Ladepunkte aufrechterhält.</t>
  </si>
  <si>
    <t xml:space="preserve">Bei Ausfall oder Störung des EMS soll die Ladeinfrastruktur in einen sicheren Grundmodus1 wechseln, der eine Versorgung der Ladepunkte aufrechterhält. Folgendes ist dabei zu beachten: o Im Falle eines Ausfalls wird die verbleibende Gesamtleistung statisch verteilt. Jeder Ladepunkt kann dabei maximal seine Nennleistung abrufen, während die Gesamtleistung weiterhin auf die verfügbare Netzanschlussleistung begrenzt bleibt. o Die Priorisierung der Ladepunkte kann durch den Auftragnehmer festgelegt werden, sofern dabei alle Anforderungen des Betreibervertrages vollständig erfüllt werden. 1 Die Gesamtleistung wird auf einen festgelegten Wert begrenzt, ohne dass eine intelligente Lastverteilung zwischen den Ladepunkten erfolgt.</t>
  </si>
  <si>
    <t xml:space="preserve">ANF-1187</t>
  </si>
  <si>
    <t xml:space="preserve">Die Länge der Ladekabel muss ausreichend dimensioniert werden, so dass alle gängigen</t>
  </si>
  <si>
    <t xml:space="preserve">Kapitel: Ladekabel und Stecker
Fundstelle im PDF: Seite 8</t>
  </si>
  <si>
    <t xml:space="preserve">ANF-1188</t>
  </si>
  <si>
    <t xml:space="preserve">Fahrzeugtypen der der Klassen N2 und N3 abhängig von Parkposition, Parkplatzgröße und spezifischer Lage der Ladebuchse im Fahrzeug (linke Fahrzeugseite) sicher und handhabbar geladen werden können.</t>
  </si>
  <si>
    <t xml:space="preserve">ANF-1189</t>
  </si>
  <si>
    <t xml:space="preserve">§ 3.1 (1)</t>
  </si>
  <si>
    <t xml:space="preserve">Der Auftragnehmer ist verpflichtet, MCS-Ladepunkte umgehend, gemäß des IEC TS 63379 Standard, spätestens ein Jahr nach Verabschiedung, entsprechend dem Standard auszustatten.</t>
  </si>
  <si>
    <t xml:space="preserve">Kapitel: MCS-Ladekabel und -Stecker
Fundstelle im PDF: Seite 8</t>
  </si>
  <si>
    <t xml:space="preserve">ANF-1190</t>
  </si>
  <si>
    <t xml:space="preserve">§ 3.1 (2)</t>
  </si>
  <si>
    <t xml:space="preserve">Der MCS-Ladepunkt befindet sich links neben dem Fahrzeug.</t>
  </si>
  <si>
    <t xml:space="preserve">ANF-1191</t>
  </si>
  <si>
    <t xml:space="preserve">§ 3.2 (1)</t>
  </si>
  <si>
    <t xml:space="preserve">CCS-Ladepunkte sind gemäß § 3 Abs. 3 LSV mit Kupplungen Combo 2 (CCS) gemäß DIN</t>
  </si>
  <si>
    <t xml:space="preserve">Kapitel: CCS-Ladekabel und -Stecker
Fundstelle im PDF: Seite 8</t>
  </si>
  <si>
    <t xml:space="preserve">ANF-1192</t>
  </si>
  <si>
    <t xml:space="preserve">§ 3.2 (2)</t>
  </si>
  <si>
    <t xml:space="preserve">Der CCS-Ladepunkt befindet sich links neben dem Fahrzeug, so dass Fahrzeuge mit der</t>
  </si>
  <si>
    <t xml:space="preserve">ANF-1193</t>
  </si>
  <si>
    <t xml:space="preserve">§ 3.2 (3)</t>
  </si>
  <si>
    <t xml:space="preserve">Ladebuchse auf der linken Fahrzeugseite grundsätzlich laden können.</t>
  </si>
  <si>
    <t xml:space="preserve">Ladebuchse auf der linken Fahrzeugseite grundsätzlich laden können. Das Laden von rechts ist nicht vorgesehen. Eine missbräuchliche Nutzung eines CCS-Ladepunktes zum</t>
  </si>
  <si>
    <t xml:space="preserve">ANF-1194</t>
  </si>
  <si>
    <t xml:space="preserve">§ 3.2 (4)</t>
  </si>
  <si>
    <t xml:space="preserve">Rechtsladen ist durch geeignete Maßnahmen, zum Beispiel durch Einbindung der</t>
  </si>
  <si>
    <t xml:space="preserve">ANF-1195</t>
  </si>
  <si>
    <t xml:space="preserve">§ 3.2 (5)</t>
  </si>
  <si>
    <t xml:space="preserve">Belegungsdetektion in die Freigabe des CCS-Ladepunkts, zu unterbinden.</t>
  </si>
  <si>
    <t xml:space="preserve">Belegungsdetektion / Ladeeinrichtung</t>
  </si>
  <si>
    <t xml:space="preserve">ANF-1196</t>
  </si>
  <si>
    <t xml:space="preserve">Das Display muss sowohl bei Tageslicht unter Sonneneinstrahlung als auch bei Dunkelheit gut ablesbar sein.</t>
  </si>
  <si>
    <t xml:space="preserve">Kapitel: Bedienelemente
Fundstelle im PDF: Seite 9</t>
  </si>
  <si>
    <t xml:space="preserve">ANF-1197</t>
  </si>
  <si>
    <t xml:space="preserve">Die Menüführung erfolgt mindestens in den Sprachen Deutsch und Englisch.</t>
  </si>
  <si>
    <t xml:space="preserve">Kapitel: Bedienelemente
Fundstelle im PDF: Seite 9
Zuordnung prüfen (Komponente/Partner nicht eindeutig)</t>
  </si>
  <si>
    <t xml:space="preserve">ANF-1198</t>
  </si>
  <si>
    <t xml:space="preserve">RFID-Multireader zum Lesen von allen gängigen und zukünftig erwartbaren Ladekarten von Fahrstromanbietern (z.B. unter Berücksichtigung VDE-AR-E 2532-100) zum Authentifizieren und Starten von …</t>
  </si>
  <si>
    <t xml:space="preserve">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t>
  </si>
  <si>
    <t xml:space="preserve">ANF-1199</t>
  </si>
  <si>
    <t xml:space="preserve">Ein Bezahlterminal kann auch zur Bezahlung von Ladevorgängen mehrerer MCS- bzw.</t>
  </si>
  <si>
    <t xml:space="preserve">Ein Bezahlterminal kann auch zur Bezahlung von Ladevorgängen mehrerer MCS- bzw. CCS-Ladeeinrichtungen bzw. -Ladepunkten dienen.</t>
  </si>
  <si>
    <t xml:space="preserve">ANF-1200</t>
  </si>
  <si>
    <t xml:space="preserve">§ 5 (1)</t>
  </si>
  <si>
    <t xml:space="preserve">Jede Ladeeinrichtung muss hardwareseitig für ISO 15118-20 Kommunikation (ausgenommen der Funktion „bidirektionales Laden“) vorbereitet sein.</t>
  </si>
  <si>
    <t xml:space="preserve">Kapitel: ISO 15118 und Software
Fundstelle im PDF: Seite 10</t>
  </si>
  <si>
    <t xml:space="preserve">ANF-1201</t>
  </si>
  <si>
    <t xml:space="preserve">§ 5 (2)</t>
  </si>
  <si>
    <t xml:space="preserve">Mögliche Hardwarenachrüstungen in vorstehendem Kontext müssen umgehend, spätestens ein Jahr nach Verabschiedung des verbindlichen Standards zur Authentifizierung auf Kosten des Auftragnehmers …</t>
  </si>
  <si>
    <t xml:space="preserve">Mögliche Hardwarenachrüstungen in vorstehendem Kontext müssen umgehend, spätestens ein Jahr nach Verabschiedung des verbindlichen Standards zur Authentifizierung auf Kosten des Auftragnehmers vorgenommen werden.</t>
  </si>
  <si>
    <t xml:space="preserve">ANF-1202</t>
  </si>
  <si>
    <t xml:space="preserve">§ 5 (3)</t>
  </si>
  <si>
    <t xml:space="preserve">Umsetzung von ISO 15118 „Plug and Charge“ muss mittels Softwareupdate möglich sein; die Software-Updatefähigkeit der Ladeeinrichtungen muss insofern sichergestellt sein.</t>
  </si>
  <si>
    <t xml:space="preserve">ANF-1203</t>
  </si>
  <si>
    <t xml:space="preserve">§ 5 (4)</t>
  </si>
  <si>
    <t xml:space="preserve">Verfügbare neue Software-Versionen des Herstellers der Ladeeinrichtung müssen unverzüglich installiert werden.</t>
  </si>
  <si>
    <t xml:space="preserve">Verfügbare neue Software-Versionen des Herstellers der Ladeeinrichtung müssen unverzüglich installiert werden. Sofern das Update nicht sicherheitsrelevant ist, kann der Installation eine angemessene, maximal 6-monatige, erfolgreiche Testphase vorausgehen.</t>
  </si>
  <si>
    <t xml:space="preserve">ANF-1204</t>
  </si>
  <si>
    <t xml:space="preserve">Jede MCS- bzw. CCS-Ladeeinrichtung muss jederzeit mit einem Backend über ein gängiges standardisiertes Protokoll (OCPP 1.6 oder höhere Versionen; DIN EN 63110) verbunden sein, um insbesondere:</t>
  </si>
  <si>
    <t xml:space="preserve">Kapitel: Backend-Anbindung
Fundstelle im PDF: Seite 11</t>
  </si>
  <si>
    <t xml:space="preserve">ANF-1205</t>
  </si>
  <si>
    <t xml:space="preserve">die Steuerung der Ladepunkte (Ladevorgänge starten, pausieren, beenden, abrechnen, entriegeln, gegebenenfalls reservieren etc.) zu ermöglichen,</t>
  </si>
  <si>
    <t xml:space="preserve">ANF-1206</t>
  </si>
  <si>
    <t xml:space="preserve">die Ladeeinrichtung bei Bedarf neu zu starten,</t>
  </si>
  <si>
    <t xml:space="preserve">ANF-1207</t>
  </si>
  <si>
    <t xml:space="preserve">die Ladeeinrichtung bzw. den Ladevorgang unmittelbar nach einem Fehlerfall bzw.</t>
  </si>
  <si>
    <t xml:space="preserve">die Ladeeinrichtung bzw. den Ladevorgang unmittelbar nach einem Fehlerfall bzw. Ladeabbruch falls zulässig automatisch neu zu starten,</t>
  </si>
  <si>
    <t xml:space="preserve">ANF-1208</t>
  </si>
  <si>
    <t xml:space="preserve">die Software der Ladeeinrichtung zu aktualisieren,</t>
  </si>
  <si>
    <t xml:space="preserve">ANF-1209</t>
  </si>
  <si>
    <t xml:space="preserve">§ 6 (6)</t>
  </si>
  <si>
    <t xml:space="preserve">ein System-Monitoring der Hardware-Komponenten zu ermöglichen (Störungsanalyse/ Ferndiagnose),</t>
  </si>
  <si>
    <t xml:space="preserve">ANF-1210</t>
  </si>
  <si>
    <t xml:space="preserve">§ 6 (7)</t>
  </si>
  <si>
    <t xml:space="preserve">die Zustandsdaten der Ladepunkte und gegebenenfalls des zugehörigen Ladeplatzes zu übermitteln,</t>
  </si>
  <si>
    <t xml:space="preserve">Kapitel: Backend-Anbindung
Fundstelle im PDF: Seite 11
Zuordnung prüfen (Komponente/Partner nicht eindeutig)</t>
  </si>
  <si>
    <t xml:space="preserve">ANF-1211</t>
  </si>
  <si>
    <t xml:space="preserve">§ 6 (8)</t>
  </si>
  <si>
    <t xml:space="preserve">die Information der Detektion (vgl. Kapitel 9) angebundenen Mobilitätsdienstleister und Betreibern von Online-Plattformen zur Darstellung von Statusinformationen zur Verfügung zu stellen.</t>
  </si>
  <si>
    <t xml:space="preserve">ANF-1212</t>
  </si>
  <si>
    <t xml:space="preserve">§ 6 (9)</t>
  </si>
  <si>
    <t xml:space="preserve">die Abwicklung des Durchleitungsmodells sicherzustellen.</t>
  </si>
  <si>
    <t xml:space="preserve">die Abwicklung des Durchleitungsmodells sicherzustellen. Bei Unterbrechung der Backend-Anbindung müssen Ladevorgänge trotzdem möglich sein.</t>
  </si>
  <si>
    <t xml:space="preserve">ANF-1213</t>
  </si>
  <si>
    <t xml:space="preserve">Die Menüführung der MCS- bzw. CCS-Ladeeinrichtung und des Bezahlterminals müssen:</t>
  </si>
  <si>
    <t xml:space="preserve">Kapitel: Menüführung/Bedienung
Fundstelle im PDF: Seite 12</t>
  </si>
  <si>
    <t xml:space="preserve">ANF-1214</t>
  </si>
  <si>
    <t xml:space="preserve">mindestens in deutscher und englischer Sprache erfolgen,</t>
  </si>
  <si>
    <t xml:space="preserve">Kapitel: Menüführung/Bedienung
Fundstelle im PDF: Seite 12
Zuordnung prüfen (Komponente/Partner nicht eindeutig)</t>
  </si>
  <si>
    <t xml:space="preserve">ANF-1215</t>
  </si>
  <si>
    <t xml:space="preserve">so einfach/intuitiv wie möglich sein,</t>
  </si>
  <si>
    <t xml:space="preserve">ANF-1216</t>
  </si>
  <si>
    <t xml:space="preserve">die Kosten für das Ad hoc-Laden eindeutig, transparent und unmittelbar nach Auswahl der Ad hoc-Ladeoption vor dem Start und Zahlen des Ladevorgangs anzeigen.</t>
  </si>
  <si>
    <t xml:space="preserve">die Kosten für das Ad hoc-Laden eindeutig, transparent und unmittelbar nach Auswahl der Ad hoc-Ladeoption vor dem Start und Zahlen des Ladevorgangs anzeigen. Dabei ist der Ad hoc-Preis pro kWh und das Blockadeentgelt als Preise pro Minute auszuweisen. Gibt es ein externes, separiertes Bezahlterminal, müssen die Kosten zusätzlich auf einem Display der MCS- / CCS-Ladeeinrichtung angezeigt werden,</t>
  </si>
  <si>
    <t xml:space="preserve">Dynamische Anzeige / Authentifizierungskomponente / Abrechnungskomponente / Ladeeinrichtung</t>
  </si>
  <si>
    <t xml:space="preserve">ANF-1217</t>
  </si>
  <si>
    <t xml:space="preserve">die Anforderungen der Preisangabenverordnung berücksichtigen und</t>
  </si>
  <si>
    <t xml:space="preserve">ANF-1218</t>
  </si>
  <si>
    <t xml:space="preserve">die Bedienung der Ladeeinrichtung/des Ladevorgangs muss auch per App von vertraglich angebundenen Mobilitätsdienstleistern möglichsein</t>
  </si>
  <si>
    <t xml:space="preserve">ANF-1219</t>
  </si>
  <si>
    <t xml:space="preserve">RFID-Token (Ladekarte etc.) von vertraglich angebundenen Mobilitätsdienstleister,</t>
  </si>
  <si>
    <t xml:space="preserve">Kapitel: Authentifizierungsoptionen
Fundstelle im PDF: Seite 13</t>
  </si>
  <si>
    <t xml:space="preserve">ANF-1220</t>
  </si>
  <si>
    <t xml:space="preserve">App von vertraglich angebundenen Mobilitätsdienstleister,</t>
  </si>
  <si>
    <t xml:space="preserve">ANF-1221</t>
  </si>
  <si>
    <t xml:space="preserve">Ad hoc-Laden ohne Registrierung und</t>
  </si>
  <si>
    <t xml:space="preserve">ANF-1222</t>
  </si>
  <si>
    <t xml:space="preserve">§ 8 (5)</t>
  </si>
  <si>
    <t xml:space="preserve">ISO 15118 (nach Verfügbarkeit – s. o. Abschnitt 7.).</t>
  </si>
  <si>
    <t xml:space="preserve">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</si>
  <si>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ANF-1223</t>
  </si>
  <si>
    <t xml:space="preserve">Schranken sind wie folgt zu betreiben: 1) Grundstellung: Beide Schranken sind bei Nichtbelegung des Ladeplatzes geschlossen.</t>
  </si>
  <si>
    <t xml:space="preserve">Schranken sind wie folgt zu betreiben: 1) Grundstellung: Beide Schranken sind bei Nichtbelegung des Ladeplatzes geschlossen. 2) Einfahrt: Die Einfahrtschranke öffnet sich nach erfolgreicher Authentifizierung und gewährt Zugang zum Ladeplatz. Sie bleibt während des gesamten</t>
  </si>
  <si>
    <t xml:space="preserve">Kapitel: Einfahrts- und Ausfahrtsschranken pro Ladeplatz
Fundstelle im PDF: Seite 15
Fundstelle im Bestand bereits belegt, Text weicht ab – bitte gegen die alte Zeile prüfen</t>
  </si>
  <si>
    <t xml:space="preserve">Schrankensteuerung / Authentifizierungskomponente</t>
  </si>
  <si>
    <t xml:space="preserve">ANF-1224</t>
  </si>
  <si>
    <t xml:space="preserve">Ladevorgangs geöffnet. 3) Ausfahrtsschaltung: Sobald der Lkw seine Parkposition auf dem Ladeplatz erreicht hat, öffnet sich die Ausfahrtsschranke.</t>
  </si>
  <si>
    <t xml:space="preserve">Ladevorgangs geöffnet. 3) Ausfahrtsschaltung: Sobald der Lkw seine Parkposition auf dem Ladeplatz erreicht hat, öffnet sich die Ausfahrtsschranke. 4) Verlassen des Ladeplatzes: Nach Abschluss des Ladevorgangs und dem</t>
  </si>
  <si>
    <t xml:space="preserve">ANF-1225</t>
  </si>
  <si>
    <t xml:space="preserve">Verlassen des Ladeplatzes schließt sich die Ausfahrtsschranke wieder.</t>
  </si>
  <si>
    <t xml:space="preserve">ANF-1226</t>
  </si>
  <si>
    <t xml:space="preserve">§ 10 (5)</t>
  </si>
  <si>
    <t xml:space="preserve">Zudem ist dafür zu sorgen, dass die Einfahrts- und Ausfahrtsschranken im Notfall geöffnet werden können.</t>
  </si>
  <si>
    <t xml:space="preserve">Kapitel: Einfahrts- und Ausfahrtsschranken pro Ladeplatz
Fundstelle im PDF: Seite 15</t>
  </si>
  <si>
    <t xml:space="preserve">ANF-1227</t>
  </si>
  <si>
    <t xml:space="preserve">Die Datenübermittlung erfolgt über eine Schnittstelle der Autobahn GmbH des Bundes.</t>
  </si>
  <si>
    <t xml:space="preserve">Die Datenübermittlung erfolgt über eine Schnittstelle der Autobahn GmbH des Bundes. Sämtliche Daten und Berichte sind entsprechend der im Folgenden beschriebenen Vorgaben an die Autobahn GmbH des Bundes, den Auftraggeber 2 (AG 2), zu übermitteln.</t>
  </si>
  <si>
    <t xml:space="preserve">Kapitel: Datenschnittstelle
Fundstelle im PDF: Seite 3
Zuordnung prüfen (Komponente/Partner nicht eindeutig)</t>
  </si>
  <si>
    <t xml:space="preserve">ANF-1228</t>
  </si>
  <si>
    <t xml:space="preserve">Die Datenübermittlung beginnt mit der erstmaligen Meldung der Betriebsfreigabe eines Standortes (siehe auch unter 2), frühestens jedoch drei Monate nach Bekanntgabe der Schnittstellendokumentation …</t>
  </si>
  <si>
    <t xml:space="preserve">Die Datenübermittlung beginnt mit der erstmaligen Meldung der Betriebsfreigabe eines Standortes (siehe auch unter 2), frühestens jedoch drei Monate nach Bekanntgabe der Schnittstellendokumentation durch die Autobahn GmbH des Bundes.</t>
  </si>
  <si>
    <t xml:space="preserve">Kapitel: Datenschnittstelle
Fundstelle im PDF: Seite 3</t>
  </si>
  <si>
    <t xml:space="preserve">ANF-1229</t>
  </si>
  <si>
    <t xml:space="preserve">Die übermittelten Daten können ganz oder teilweise offene Daten i.</t>
  </si>
  <si>
    <t xml:space="preserve">Die übermittelten Daten können ganz oder teilweise offene Daten i. S. v. § 12a EGovG sein. Datenübermittlungen über die Datenschnittstelle gelten im Sinne dieses Vertrags als Eigenerklärung des Auftragnehmers (AN).</t>
  </si>
  <si>
    <t xml:space="preserve">ANF-1230</t>
  </si>
  <si>
    <t xml:space="preserve">Zum Zweck der Datenübermittlung stellt die Autobahn GmbH des Bundes die Schnittstelle, eine RESTful API in Anlehnung an OCPI vollständig dokumentiert zur Verfügung.</t>
  </si>
  <si>
    <t xml:space="preserve">Zum Zweck der Datenübermittlung stellt die Autobahn GmbH des Bundes die Schnittstelle, eine RESTful API in Anlehnung an OCPI vollständig dokumentiert zur Verfügung. Die Schnittstellendokumentation wird als Open-API-Dokument (.yaml) nach Zuschlagserteilung vom AG 2 zur Verfügung gestellt.</t>
  </si>
  <si>
    <t xml:space="preserve">ANF-1231</t>
  </si>
  <si>
    <t xml:space="preserve">Datenfelder, die nicht dem OCPI-Standard entnommen sind, beginnen jeweils mit dem Präfix ab.</t>
  </si>
  <si>
    <t xml:space="preserve">ANF-1232</t>
  </si>
  <si>
    <t xml:space="preserve">Der AN ist verpflichtet, alle zu übermittelnden Daten entsprechend den Vorgaben in der Schnittstellendokumentation zu validieren.</t>
  </si>
  <si>
    <t xml:space="preserve">ANF-1233</t>
  </si>
  <si>
    <t xml:space="preserve">Der AG kann technische und inhaltliche Anpassungen an der Schnittstelle vornehmen und informiert den AN darüber in Textform und wird die neue Version als technische Spezifikation bereitstellen.</t>
  </si>
  <si>
    <t xml:space="preserve">Der AG kann technische und inhaltliche Anpassungen an der Schnittstelle vornehmen und informiert den AN darüber in Textform und wird die neue Version als technische Spezifikation bereitstellen. Der AN hat mit Ablauf des zweiten vollständigen Kalendermonats nach dieser Information die aktuelle Version der Schnittstelle zu verwenden.</t>
  </si>
  <si>
    <t xml:space="preserve">ANF-1234</t>
  </si>
  <si>
    <t xml:space="preserve">Der AN ist verpflichtet, die Sicherheit seiner datenliefernden Schnittstelle nach aktuellem Stand der Technik sicherzustellen.</t>
  </si>
  <si>
    <t xml:space="preserve">Der AN ist verpflichtet, die Sicherheit seiner datenliefernden Schnittstelle nach aktuellem Stand der Technik sicherzustellen. Dies umfasst zudem eine Authentifizierung (z. B. JWT-Token, OAuth 2.0). Der AG kann dies in eigenem Ermessen prüfen.</t>
  </si>
  <si>
    <t xml:space="preserve">ANF-1235</t>
  </si>
  <si>
    <t xml:space="preserve">§ 1 (9)</t>
  </si>
  <si>
    <t xml:space="preserve">Datenfelder, die Preisangaben enthalten, sind grundsätzlich mit dem Nettowert zu übermitteln.</t>
  </si>
  <si>
    <t xml:space="preserve">ANF-1236</t>
  </si>
  <si>
    <t xml:space="preserve">§ 2 (1)</t>
  </si>
  <si>
    <t xml:space="preserve">Die im Folgenden aufgelisteten Maßnahmen/Vorkommnisse sind unter Einhaltung der angegebenen Fristen an den Auftraggeber 2 zu übermitteln.</t>
  </si>
  <si>
    <t xml:space="preserve">Kapitel: Meldungen
Fundstelle im PDF: Seite 4
Zuordnung prüfen (Komponente/Partner nicht eindeutig)</t>
  </si>
  <si>
    <t xml:space="preserve">ANF-1237</t>
  </si>
  <si>
    <t xml:space="preserve">§ 2 (2)</t>
  </si>
  <si>
    <t xml:space="preserve">In der Schnittstellendokumentation sind alle technischen Spezifika für die Übermittlung der entsprechenden Daten definiert.</t>
  </si>
  <si>
    <t xml:space="preserve">In der Schnittstellendokumentation sind alle technischen Spezifika für die Übermittlung der entsprechenden Daten definiert. Lfd. Nr. Meldepflichtige/s Maß- Erläuterung Frist nahme/Vorkommnis Betriebsfreigabe Die Betriebsfreigabe ei- 24 Stunden nach erfolgter 2.1 ner Ladeeinrichtung ist Betriebsfreigabe unter Nennung der StandortID, der EVSEID, sowie des Datums der Betriebsfreigabe zu melden. Revisions-, Wartungs- Es sind ungeplante und - bei ungeplanten Au- 2.2 und Instandhaltungsar- geplante Außerbetriebs- ßerbetriebsetzungen beiten (Außerbetriebset- setzungen (die auch Re- 24 Stunden nach erzungen) visions-, Wartungs- und folgter Außerbetriebs-Instandhaltungsarbeiten setzung umfassen) mitzuteilen. - geplante Außerbetriebsetzungen gemäß dem Betriebs- und Wartungskonzept Stilllegung (dauerhafte Die Stilllegung einer La- 24 Stunden nach Außer-</t>
  </si>
  <si>
    <t xml:space="preserve">Kapitel: Meldungen
Fundstelle im PDF: Seite 4</t>
  </si>
  <si>
    <t xml:space="preserve">ANF-1238</t>
  </si>
  <si>
    <t xml:space="preserve">Angabe der StandortID, der EVSEID, des Datums der Stilllegung und des Grundes für die Stilllegung zu melden.</t>
  </si>
  <si>
    <t xml:space="preserve">Kapitel: Außerbetriebsetzung) deeinrichtung ist unter betriebsetzung
Fundstelle im PDF: Seite 4
Zuordnung prüfen (Komponente/Partner nicht eindeutig)</t>
  </si>
  <si>
    <t xml:space="preserve">ANF-1239</t>
  </si>
  <si>
    <t xml:space="preserve">Erneuerung Der Austausch von Hard- Eine Woche nach Ab- 2.4 ware oder Modernisie- schluss der Erneuerungsrungen sind unter An- maßnahme gabe der StandortID, der</t>
  </si>
  <si>
    <t xml:space="preserve">ANF-1240</t>
  </si>
  <si>
    <t xml:space="preserve">EVSEID, Nennung der erneuerten Komponenten sowie des Grundes für die Erneuerung,</t>
  </si>
  <si>
    <t xml:space="preserve">ANF-1241</t>
  </si>
  <si>
    <t xml:space="preserve">Erneuerungsmaßnahme zu melden.</t>
  </si>
  <si>
    <t xml:space="preserve">ANF-1242</t>
  </si>
  <si>
    <t xml:space="preserve">Der AN ist verpflichtet, dem AG 2 am siebten Werktag eines jeden Kalendermonats für den vorangegangenen Monat insgesamt drei Monatsberichte gemäß nachstehenden Maßgaben zu erstatten: • Monatsbericht …</t>
  </si>
  <si>
    <t xml:space="preserve">Der AN ist verpflichtet, dem AG 2 am siebten Werktag eines jeden Kalendermonats für den vorangegangenen Monat insgesamt drei Monatsberichte gemäß nachstehenden Maßgaben zu erstatten: • Monatsbericht Verfügbarkeit • Monatsbericht Kundenzufriedenheit sowie • Monatsbericht diskriminierungsfreier Zugang.</t>
  </si>
  <si>
    <t xml:space="preserve">Kapitel: Monatsberichte und Jahres-Report
Fundstelle im PDF: Seite 5</t>
  </si>
  <si>
    <t xml:space="preserve">ANF-1243</t>
  </si>
  <si>
    <t xml:space="preserve">§ 3 (3)</t>
  </si>
  <si>
    <t xml:space="preserve">Der AN ist zudem verpflichtet, mit dem Jahres-Report Kundenzufriedenheit die wesentlichen Beschwerden gemäß nachstehenden Maßgaben darzulegen.</t>
  </si>
  <si>
    <t xml:space="preserve">ANF-1244</t>
  </si>
  <si>
    <t xml:space="preserve">Der Monatsbericht Verfügbarkeit enthält folgende Informationen:</t>
  </si>
  <si>
    <t xml:space="preserve">Kapitel: Monatsbericht Verfügbarkeit
Fundstelle im PDF: Seite 5</t>
  </si>
  <si>
    <t xml:space="preserve">ANF-1245</t>
  </si>
  <si>
    <t xml:space="preserve">Ausfallminuten im Monat je Ladepunkt und je Störungskategorie1</t>
  </si>
  <si>
    <t xml:space="preserve">ANF-1246</t>
  </si>
  <si>
    <t xml:space="preserve">§ 3.1 (3)</t>
  </si>
  <si>
    <t xml:space="preserve">Ausfallminuten im Monat je Ladepunkt und je Störungskategorie, die nach Abschnitt 7 durch den AN nicht zu vertreten sind</t>
  </si>
  <si>
    <t xml:space="preserve">ANF-1247</t>
  </si>
  <si>
    <t xml:space="preserve">§ 3.1 (4)</t>
  </si>
  <si>
    <t xml:space="preserve">Begründung je nicht zu vertretendem Ausfall unter Angabe der diesbezüglichen Minuten/Monat</t>
  </si>
  <si>
    <t xml:space="preserve">ANF-1248</t>
  </si>
  <si>
    <t xml:space="preserve">§ 3.1 (5)</t>
  </si>
  <si>
    <t xml:space="preserve">Anzahl an Störungen im Monat je Ladepunkt und je Störungskategorie</t>
  </si>
  <si>
    <t xml:space="preserve">ANF-1249</t>
  </si>
  <si>
    <t xml:space="preserve">§ 3.1 (6)</t>
  </si>
  <si>
    <t xml:space="preserve">Datum und Uhrzeit des Bekanntwerdens jeder Störung je Ladepunkt</t>
  </si>
  <si>
    <t xml:space="preserve">ANF-1250</t>
  </si>
  <si>
    <t xml:space="preserve">§ 3.1 (7)</t>
  </si>
  <si>
    <t xml:space="preserve">Datum und Uhrzeit jeder Störungsbehebung je Ladepunkt</t>
  </si>
  <si>
    <t xml:space="preserve">ANF-1251</t>
  </si>
  <si>
    <t xml:space="preserve">§ 3.1 (8)</t>
  </si>
  <si>
    <t xml:space="preserve">Summe Downtime des Backends in Minuten</t>
  </si>
  <si>
    <t xml:space="preserve">ANF-1252</t>
  </si>
  <si>
    <t xml:space="preserve">§ 3.1 (9)</t>
  </si>
  <si>
    <t xml:space="preserve">Summe abgegebener Energiemenge pro Monat je Ladepunkt, die gemäß § 23 Abs.</t>
  </si>
  <si>
    <t xml:space="preserve">Summe abgegebener Energiemenge pro Monat je Ladepunkt, die gemäß § 23 Abs. 5 des Vertrags aufgrund von Kulanz oder aufgrund fehlender Authentifizierung des Nutzers ohne Verrechnung an den Ladenutzer abgegeben wurde Datenfeld Beschreibung ab_location_id Standort-ID (autobahnspezifische Kennung) ab_period Zeitraum (Monat und Jahr) ab_evse_uid Ladepunkt-ID ab_failure_category Störungskategorie ab_downtime Ausfallminuten je Ladepunkt und Störungskategorie 1 Störungskategorien: Schaden (z. B. Vandalismus); Hardwarefehler Ladeeinrichtung; Softwarefehler Ladeeinrichtung; Ausfälle Dritter (z. B. Authentifizierungs- und Abrechnungssystem); Netzwerk-/Verbindungsfehler; Stromausfall, Fehler Backend, Strecken-/Standortsperrung, Sonstiges. Datenfeld Beschreibung ab_downtime_contractor_not_responsible Ausfallzeiten je Ladepunkt und Störungskategorie (nicht durch den AN zu vertreten) ab_reason_contractor_not_responsible Begründung für Ausfälle, die nicht durch AN zu vertreten sind ab_total_faults Anzahl an Störungen pro Ladepunkt ab_emergence_date Datum und Uhrzeit des Bekanntwerdens jeder Störung oder des Schadens ab_fix_date Datum und Uhrzeit jeder Störungs- oder Schadensbehebung ab_total_electric_power_free Summe kostenlos abgegebener Energiemenge in kWh je Ladepunkt ab_total_reservations Anzahl Reservierungen je Ladepunkt ab_total_reservations_cancelled Anzahl stornierter Reservierungen je Ladepunkt ab_reservations_no-show Anzahl nicht eingehaltener Reservierungen je Ladepunkt</t>
  </si>
  <si>
    <t xml:space="preserve">Authentifizierungskomponente / OCPI Buchungskalender / Monitoring / Ladeeinrichtung</t>
  </si>
  <si>
    <t xml:space="preserve">ANF-1253</t>
  </si>
  <si>
    <t xml:space="preserve">Der Monatsbericht Kundenzufriedenheit enthält folgende Informationen:</t>
  </si>
  <si>
    <t xml:space="preserve">Kapitel: Monatsbericht Kundenzufriedenheit
Fundstelle im PDF: Seite 6</t>
  </si>
  <si>
    <t xml:space="preserve">ANF-1254</t>
  </si>
  <si>
    <t xml:space="preserve">Anzahl Kundenbeschwerden je Standort</t>
  </si>
  <si>
    <t xml:space="preserve">ANF-1255</t>
  </si>
  <si>
    <t xml:space="preserve">Anzahl Anrufe Kundenhotline je Standort</t>
  </si>
  <si>
    <t xml:space="preserve">ANF-1256</t>
  </si>
  <si>
    <t xml:space="preserve">FCR – First Call Resolution Rate</t>
  </si>
  <si>
    <t xml:space="preserve">ANF-1257</t>
  </si>
  <si>
    <t xml:space="preserve">ASA – Average Speed of Answer in Sekunden Datenfeld Beschreibung ab_location_id Standort-ID (autobahnspezifische Kennung) ab_period Zeitraum (Monat und Jahr) ab_total_complaints Anzahl …</t>
  </si>
  <si>
    <t xml:space="preserve">ASA – Average Speed of Answer in Sekunden Datenfeld Beschreibung ab_location_id Standort-ID (autobahnspezifische Kennung) ab_period Zeitraum (Monat und Jahr) ab_total_complaints Anzahl Kundenbeschwerden je Standort ab_total_calls Anzahl Anrufe Kundenhotline je Standort ab_fcr_rate FCR – First Call Resolution Rate ab_asa Average Speed of Answer in Sekunden</t>
  </si>
  <si>
    <t xml:space="preserve">ANF-1258</t>
  </si>
  <si>
    <t xml:space="preserve">§ 3.3 (1)</t>
  </si>
  <si>
    <t xml:space="preserve">Betreiber erfassen Beschwerden und andere Nachrichten zur Kundenzufriedenheit über ein leicht zugängliches System Ihrer Wahl.</t>
  </si>
  <si>
    <t xml:space="preserve">Betreiber erfassen Beschwerden und andere Nachrichten zur Kundenzufriedenheit über ein leicht zugängliches System Ihrer Wahl. Jährlich zum Ende des ersten Quartals stellen Betreiber einen</t>
  </si>
  <si>
    <t xml:space="preserve">Kapitel: Jahres-Report Kundenzufriedenheit
Fundstelle im PDF: Seite 6
Zuordnung prüfen (Komponente/Partner nicht eindeutig)</t>
  </si>
  <si>
    <t xml:space="preserve">ANF-1259</t>
  </si>
  <si>
    <t xml:space="preserve">§ 3.3 (2)</t>
  </si>
  <si>
    <t xml:space="preserve">Jahres-Report Kundenzufriedenheit für das vorangegangene Jahr zur Verfügung, in dem die wesentlichen Beschwerden insbesondere nach folgenden Kategorien sortiert zusammenfassend dargelegt werden</t>
  </si>
  <si>
    <t xml:space="preserve">ANF-1260</t>
  </si>
  <si>
    <t xml:space="preserve">§ 3.3 (3)</t>
  </si>
  <si>
    <t xml:space="preserve">I. Ladevorgang nicht möglich a.</t>
  </si>
  <si>
    <t xml:space="preserve">I. Ladevorgang nicht möglich a. Alle Ladeplätze belegt durch ladende eLKW b. Ladevorgang nicht möglich, obwohl Status „available“ c. Blockierung der Stellfläche durch nicht ladende Fahrzeuge d. Ladehindernisse auf Grund geometrischer Hindernisse e. Wettereinflüsse</t>
  </si>
  <si>
    <t xml:space="preserve">ANF-1261</t>
  </si>
  <si>
    <t xml:space="preserve">§ 3.3 (4)</t>
  </si>
  <si>
    <t xml:space="preserve">II. Sicherheit am Ladeplatz</t>
  </si>
  <si>
    <t xml:space="preserve">ANF-1262</t>
  </si>
  <si>
    <t xml:space="preserve">§ 3.3 (5)</t>
  </si>
  <si>
    <t xml:space="preserve">III. Erreichbarkeit und Problembehebung durch die Kundenhotline</t>
  </si>
  <si>
    <t xml:space="preserve">ANF-1263</t>
  </si>
  <si>
    <t xml:space="preserve">§ 3.3 (6)</t>
  </si>
  <si>
    <t xml:space="preserve">IV. Komfort am Standort a.</t>
  </si>
  <si>
    <t xml:space="preserve">IV. Komfort am Standort a. Sauberkeit &amp; Geruchsbelästigungen b. Versorgung &amp; Ausstattung c. Ruhe</t>
  </si>
  <si>
    <t xml:space="preserve">ANF-1264</t>
  </si>
  <si>
    <t xml:space="preserve">§ 3.3 (7)</t>
  </si>
  <si>
    <t xml:space="preserve">Weitere Kategorien oder Änderungen können rechtzeitig bekannt gemacht werden.</t>
  </si>
  <si>
    <t xml:space="preserve">ANF-1265</t>
  </si>
  <si>
    <t xml:space="preserve">§ 3.3 (8)</t>
  </si>
  <si>
    <t xml:space="preserve">Der Bericht ist als pdf-Dokument an den AG zu übermitteln und sollte 20 Seiten nicht überschreiten.</t>
  </si>
  <si>
    <t xml:space="preserve">ANF-1266</t>
  </si>
  <si>
    <t xml:space="preserve">§ 3.4 (1)</t>
  </si>
  <si>
    <t xml:space="preserve">Der Monatsbericht diskriminierungsfreier Zugang enthält folgende Informationen: a) Vertragsbasiertes EMP-Laden Je Standort und Mobilitätsanbieter (bzw.</t>
  </si>
  <si>
    <t xml:space="preserve">Der Monatsbericht diskriminierungsfreier Zugang enthält folgende Informationen: a) Vertragsbasiertes EMP-Laden Je Standort und Mobilitätsanbieter (bzw. Mobilitätsanbieterverbund):</t>
  </si>
  <si>
    <t xml:space="preserve">Kapitel: Monatsbericht diskriminierungsfreier Zugang
Fundstelle im PDF: Seite 7</t>
  </si>
  <si>
    <t xml:space="preserve">ANF-1267</t>
  </si>
  <si>
    <t xml:space="preserve">§ 3.4 (2)</t>
  </si>
  <si>
    <t xml:space="preserve">Höhe der Zugangsentgelte in ct/kWh</t>
  </si>
  <si>
    <t xml:space="preserve">ANF-1268</t>
  </si>
  <si>
    <t xml:space="preserve">§ 3.4 (3)</t>
  </si>
  <si>
    <t xml:space="preserve">Höhe des Infrastrukturentgelts in ct/kWh (Bestandteil des Zugangsentgelt)</t>
  </si>
  <si>
    <t xml:space="preserve">ANF-1269</t>
  </si>
  <si>
    <t xml:space="preserve">§ 3.4 (4)</t>
  </si>
  <si>
    <t xml:space="preserve">gegebenenfalls Höhe weiterer Entgelte</t>
  </si>
  <si>
    <t xml:space="preserve">ANF-1270</t>
  </si>
  <si>
    <t xml:space="preserve">§ 3.4 (5)</t>
  </si>
  <si>
    <t xml:space="preserve">Art der vertraglichen Grundlage (z. B. bilateraler Vertrag, Roaming-Vertrag)</t>
  </si>
  <si>
    <t xml:space="preserve">ANF-1271</t>
  </si>
  <si>
    <t xml:space="preserve">§ 3.4 (6)</t>
  </si>
  <si>
    <t xml:space="preserve">gegebenenfalls Begründung unterschiedlicher Zugangsentgelte.</t>
  </si>
  <si>
    <t xml:space="preserve">gegebenenfalls Begründung unterschiedlicher Zugangsentgelte. Soweit der AN zugleich Mobilitätsanbieter ist, gibt der AN zusätzlich die gefragten Angaben zu dem Zugangsentgelt an, das er gegenüber sich selbst – in seiner Rolle als Mobilitätsanbieter – berechnet. Datenfeld Beschreibung ab_location_id Standort-ID (autobahnspezifische Kennung) ab_period Zeitraum (Monat und Jahr) ab_provider_group BDEW-Mobilitätsanbieter ab_cost Höhe der Zugangsentgelte in ct/kWh ab_additional_cost Höhe weiterer Entgelte ab_additional_cost_description Erklärung zu zusätzlichen Kosten ab_period_of_validity_from Beginn Zeitraum der Gültigkeit ab_period_of_validity_to Ende Zeitraum der Gültigkeit ab_contractual_basis Art der vertraglichen Grundlage ab_reason_different_costs Begründung unterschiedlicher Zugangsentgelte b) Ad-hoc-Ladetarife Je Standort bzgl. des Ad-hoc-Ladetarifs, den der AN gegenüber Endkunden betreibt:</t>
  </si>
  <si>
    <t xml:space="preserve">Authentifizierungskomponente / Abrechnungskomponente / Monitoring</t>
  </si>
  <si>
    <t xml:space="preserve">ANF-1272</t>
  </si>
  <si>
    <t xml:space="preserve">§ 3.4 (7)</t>
  </si>
  <si>
    <t xml:space="preserve">Höhe des Zugangsentgelt in ct/kWh (Ladepreis)</t>
  </si>
  <si>
    <t xml:space="preserve">ANF-1273</t>
  </si>
  <si>
    <t xml:space="preserve">§ 3.4 (10)</t>
  </si>
  <si>
    <t xml:space="preserve">Zeitraum der Gültigkeit Datenfeld Beschreibung ab_location_id Standort-ID (autobahnspezifische Kennung) ab_period Zeitraum (Monat und Jahr) ab_cost Höhe der Zugangsentgelte in ct/kWh …</t>
  </si>
  <si>
    <t xml:space="preserve">Zeitraum der Gültigkeit Datenfeld Beschreibung ab_location_id Standort-ID (autobahnspezifische Kennung) ab_period Zeitraum (Monat und Jahr) ab_cost Höhe der Zugangsentgelte in ct/kWh ab_additional_cost Höhe weiterer Entgelte ab_additional_cost_description Erklärung zu zusätzlichen Kosten ab_period_of_validity_from Beginn Zeitraum der Gültigkeit ab_period_of_validity_to Ende Zeitraum der Gültigkeit c) Laden mittels Durchleitung Je Standort und Mobilitätsanbieter (Stromanbieter):</t>
  </si>
  <si>
    <t xml:space="preserve">ANF-1274</t>
  </si>
  <si>
    <t xml:space="preserve">§ 3.4 (11)</t>
  </si>
  <si>
    <t xml:space="preserve">Höhe der Zugangsentgelte in ct/kWh bestehend aus Infrastrukturentgelt, Netzentgelt (nur Arbeitspreis), Abgaben und Umlagen (exkl.</t>
  </si>
  <si>
    <t xml:space="preserve">Höhe der Zugangsentgelte in ct/kWh bestehend aus Infrastrukturentgelt, Netzentgelt (nur Arbeitspreis), Abgaben und Umlagen (exkl. Strom)</t>
  </si>
  <si>
    <t xml:space="preserve">ANF-1275</t>
  </si>
  <si>
    <t xml:space="preserve">§ 3.4 (12)</t>
  </si>
  <si>
    <t xml:space="preserve">Höhe des Infrastrukturentgelts in ct/kWh</t>
  </si>
  <si>
    <t xml:space="preserve">ANF-1276</t>
  </si>
  <si>
    <t xml:space="preserve">Der AN ist verpflichtet, der vom AG benannten Stelle der Autobahn GmbH des Bundes gemäß nachstehender Maßgabe die definierten Datensätze zu ermitteln.</t>
  </si>
  <si>
    <t xml:space="preserve">Kapitel: Near-Realtime-Datenanbindung
Fundstelle im PDF: Seite 10
Zuordnung prüfen (Komponente/Partner nicht eindeutig)</t>
  </si>
  <si>
    <t xml:space="preserve">ANF-1277</t>
  </si>
  <si>
    <t xml:space="preserve">In der Schnittstellendokumentation (siehe Kapitel 1) sind alle technischen Spezifika für die Übermittlung der Daten definiert.</t>
  </si>
  <si>
    <t xml:space="preserve">In der Schnittstellendokumentation (siehe Kapitel 1) sind alle technischen Spezifika für die Übermittlung der Daten definiert. Mindestanforderungen an Lfd. Nr. Information Erläuterung die Datensätze Standortinformationen Standortinformationen wer- Datenfelder, die ein Standort- 4.1 den gebündelt als Standort- datensatz mindestens entdaten übermittelt. hält, sind in Kapitel 5 a) auf-Bei Änderung (on change) geführt sind die Daten erneut zu übermitteln. Ladepunkt- und Statusin- Ladepunkt- und Statusinfor- Datenfelder, die ein Lade- 4.2 formationen mationen werden gebündelt punktdatensatz mindestens als Ladepunkt- und Statusda- enthält, sind in Kapitel 5 b) ten übermittelt. aufgeführt Die Übermittlung erfolgt bei Änderung (on Change), bei den Statusdaten mindestens aber jede Stunde. Steckvorrichtungsinforma- Steckvorrichtungsinformatio- Datenfelder, die ein Steck- 4.3 tionen nen werden gebündelt als vorrichtungsdatensatz min-Steckvorrichtungsdaten über- destens enthält, sind in Kapimittelt. tel 5 c) aufgeführt Die Übermittlung erfolgt bei Änderung (on Change), Daten der Ladevorgänge Die Übermittlung der Daten Datenfelder, die ein Ladevor- 4.4 zu abgeschlossenen Lade- gangdatensatz mindestens vorgängen2 erfolgt in Form enthält, sind in Kapitel 5 d) von Ladevorgangsdaten. aufgeführt Die Datenübermittlung erfolgt mindestens einmal täglich gesammelt. 2 Abgeschlossene Ladevorgänge sind solche mit einem Start- und Endzeitpunkt.</t>
  </si>
  <si>
    <t xml:space="preserve">Kapitel: Near-Realtime-Datenanbindung
Fundstelle im PDF: Seite 10</t>
  </si>
  <si>
    <t xml:space="preserve">ANF-1278</t>
  </si>
  <si>
    <t xml:space="preserve">Datenfeld Beschreibung ab_location_id StandortID (Autobahnspezifische Rastanlagenkennung) ab_operator_location_id StandortID des Betreibers party_id ID des Ladesäulenbetreibers name Bezeichnung …</t>
  </si>
  <si>
    <t xml:space="preserve">Datenfeld Beschreibung ab_location_id StandortID (Autobahnspezifische Rastanlagenkennung) ab_operator_location_id StandortID des Betreibers party_id ID des Ladesäulenbetreibers name Bezeichnung address Straße und Hausnummer city Stadt postal_code Postleitzahl country_code Land country ISO-Ländercode, in dem sich der Standort befindet state Staat oder Provinz des Ortes coordinates Breitengrad, Längengrad in Dezimalformat related_locations Geografische Lage der für den Nutzer relevanten Punkte evses s. Ladepunktdaten je Ladepunkt (EVSE IDs) Liste der EVSEs, die zu diesem Standort gehören operator Betreiber owner Besitzer b) Ladepunktdaten</t>
  </si>
  <si>
    <t xml:space="preserve">Kapitel: Spezifikation der zu übermittelnden Daten
Fundstelle im PDF: Seite 11</t>
  </si>
  <si>
    <t xml:space="preserve">ANF-1279</t>
  </si>
  <si>
    <t xml:space="preserve">Datenfeld Beschreibung country_code ISO-Ländercode des Ladesäulenbetreibers party_id ID des Ladesäulenbetreibers id ID des Ladevorgangs start_date_time Start-Zeitstempel end_date_time …</t>
  </si>
  <si>
    <t xml:space="preserve">Datenfeld Beschreibung country_code ISO-Ländercode des Ladesäulenbetreibers party_id ID des Ladesäulenbetreibers id ID des Ladevorgangs start_date_time Start-Zeitstempel end_date_time Ende-Zeitstempel ab_counter_status_start Zählerstand in kWh ab_counter_status_stop Zählerstand in kWh ab_ema_id Country Code und Provider ID (ohne personenbezogene Daten)</t>
  </si>
  <si>
    <t xml:space="preserve">ANF-1280</t>
  </si>
  <si>
    <t xml:space="preserve">§ 5 (5)</t>
  </si>
  <si>
    <t xml:space="preserve">Datenfeld Beschreibung ab_location_id Standort ID, an welcher der Ladevorgang stattfindet evse_id EVSE ID connector_id Connector-ID ab_tariffs Liste der relevanten Tarifelemente inkl. definierter …</t>
  </si>
  <si>
    <t xml:space="preserve">Datenfeld Beschreibung ab_location_id Standort ID, an welcher der Ladevorgang stattfindet evse_id EVSE ID connector_id Connector-ID ab_tariffs Liste der relevanten Tarifelemente inkl. definierter Tarif-Objekte ab_tariffType Unterscheidung, ob ad hoc, vertragsbasiert oder mit Durchleitungsmodell geladen wurde: [ADD_HOC_PAYMENT, PROFILE_CHEAP, PROFILE_FAST, PRO-</t>
  </si>
  <si>
    <t xml:space="preserve">ANF-1281</t>
  </si>
  <si>
    <t xml:space="preserve">§ 5 (6)</t>
  </si>
  <si>
    <t xml:space="preserve">FILE_GREEN, REGULAR, BRING_YOUR_OWN_POWER, NON-</t>
  </si>
  <si>
    <t xml:space="preserve">Kapitel: Spezifikation der zu übermittelnden Daten
Fundstelle im PDF: Seite 11
Zuordnung prüfen (Komponente/Partner nicht eindeutig)</t>
  </si>
  <si>
    <t xml:space="preserve">ANF-1282</t>
  </si>
  <si>
    <t xml:space="preserve">§ 5 (7)</t>
  </si>
  <si>
    <t xml:space="preserve">BILLABLE] currency ISO 4217-Code der für diese Sitzung verwendeten Währung charging_periods Liste der Ladeabschnitte, aus denen dieser Ladevorgang besteht.</t>
  </si>
  <si>
    <t xml:space="preserve">BILLABLE] currency ISO 4217-Code der für diese Sitzung verwendeten Währung charging_periods Liste der Ladeabschnitte, aus denen dieser Ladevorgang besteht. Ein</t>
  </si>
  <si>
    <t xml:space="preserve">ANF-1283</t>
  </si>
  <si>
    <t xml:space="preserve">§ 5 (8)</t>
  </si>
  <si>
    <t xml:space="preserve">Ladevorgang besteht aus ein oder mehreren Abschnitten, wobei jeder</t>
  </si>
  <si>
    <t xml:space="preserve">ANF-1284</t>
  </si>
  <si>
    <t xml:space="preserve">§ 5 (9)</t>
  </si>
  <si>
    <t xml:space="preserve">Abschnitt einen anderen relevanten Tarif hat.</t>
  </si>
  <si>
    <t xml:space="preserve">Abschnitt einen anderen relevanten Tarif hat. Für Ladekurven zusätzlich dimensions, type “Energy” mit übermitteln. total_cost Gesamtkosten des Ladevorgangs (€) total_parking_cost Gesamtsumme aller mit dem Parken dieser Transaktion verbundenen</t>
  </si>
  <si>
    <t xml:space="preserve">ANF-1285</t>
  </si>
  <si>
    <t xml:space="preserve">§ 5 (10)</t>
  </si>
  <si>
    <t xml:space="preserve">Kosten, einschließlich Festpreisbestandteilen (€) total_reservation_cost Gesamtsumme aller Kosten im Zusammenhang mit der Reservierung eines Ladepunkts, einschließlich Festpreisbestandteilen (€) …</t>
  </si>
  <si>
    <t xml:space="preserve">Kosten, einschließlich Festpreisbestandteilen (€) total_reservation_cost Gesamtsumme aller Kosten im Zusammenhang mit der Reservierung eines Ladepunkts, einschließlich Festpreisbestandteilen (€) ab_automatic_restart_ti- Zeitstempel von automatischen Neustartvorgängen bei Ladeabbrümestamp chen ab_automatic_restart_count Gesamtzahl der automatischen Neustartvorgänge ab_total_energy Geladene Energiemenge (kWh) ab_total_time Ladezeit (Sekunden) ab_total_parking_time Einsteckzeit (nicht ladend) ab_reason Grund Beendigung des Ladevorgangs</t>
  </si>
  <si>
    <t xml:space="preserve">ANF-1286</t>
  </si>
  <si>
    <t xml:space="preserve">§ 6.1 (1)</t>
  </si>
  <si>
    <t xml:space="preserve">Der AN ist dafür verantwortlich, dass die E-Lkw-Schnellladeinfrastruktur den jeweils geltenden gesetzlichen und untergesetzlichen Vorgaben sowie den anerkannten Regeln der Technik entspricht.</t>
  </si>
  <si>
    <t xml:space="preserve">Der AN ist dafür verantwortlich, dass die E-Lkw-Schnellladeinfrastruktur den jeweils geltenden gesetzlichen und untergesetzlichen Vorgaben sowie den anerkannten Regeln der Technik entspricht.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t>
  </si>
  <si>
    <t xml:space="preserve">Kapitel: Allgemeine Anforderungen
Fundstelle im PDF: Seite 14
Zuordnung prüfen (Komponente/Partner nicht eindeutig)</t>
  </si>
  <si>
    <t xml:space="preserve">ANF-1287</t>
  </si>
  <si>
    <t xml:space="preserve">§ 6.1 (2)</t>
  </si>
  <si>
    <t xml:space="preserve">Der AN hat die erforderlichen wiederkehrenden Prüfungen zu veranlassen und zu belegen, die notwendige Unterweisung des Personals sowie die Auslegung der jeweiligen Betriebsanweisungen sicherzustellen.</t>
  </si>
  <si>
    <t xml:space="preserve">Der AN hat die erforderlichen wiederkehrenden Prüfungen zu veranlassen und zu belegen, die notwendige Unterweisung des Personals sowie die Auslegung der jeweiligen Betriebsanweisungen sicherzustellen. Die Häufigkeit der Überwachungen ergibt sich aus den Rechts- und Verwaltungsvorschriften.</t>
  </si>
  <si>
    <t xml:space="preserve">ANF-1288</t>
  </si>
  <si>
    <t xml:space="preserve">§ 6.1 (3)</t>
  </si>
  <si>
    <t xml:space="preserve">Grundsätzlich sind alle vom AN durchzuführenden Wartungs- und Instandsetzungsarbeiten mit dem AG abzustimmen.</t>
  </si>
  <si>
    <t xml:space="preserve">Grundsätzlich sind alle vom AN durchzuführenden Wartungs- und Instandsetzungsarbeiten mit dem AG abzustimmen. Es gelten die Bestimmungen des Kapitels 4.9 der Vertragsanlage 4: Leistungsbeschreibung Errichtung.</t>
  </si>
  <si>
    <t xml:space="preserve">ANF-1289</t>
  </si>
  <si>
    <t xml:space="preserve">§ 6.2 (1)</t>
  </si>
  <si>
    <t xml:space="preserve">Weiterhin obliegen dem AN alle Aufgaben zur Erfüllung der Verkehrssicherungspflichten hinsichtlich der E-Lkw-Schnellladeinfrastruktur nebst sonstigen vom Betreiber errichteten baulichen</t>
  </si>
  <si>
    <t xml:space="preserve">Kapitel: Verkehrssicherungspflicht
Fundstelle im PDF: Seite 15
Zuordnung prüfen (Komponente/Partner nicht eindeutig)</t>
  </si>
  <si>
    <t xml:space="preserve">ANF-1290</t>
  </si>
  <si>
    <t xml:space="preserve">§ 6.2 (2)</t>
  </si>
  <si>
    <t xml:space="preserve">Elementen wie z. B.</t>
  </si>
  <si>
    <t xml:space="preserve">Elementen wie z. B. Pfosten, Schutzbügel, Zaunanlagen, Pflasterflächen.</t>
  </si>
  <si>
    <t xml:space="preserve">ANF-1291</t>
  </si>
  <si>
    <t xml:space="preserve">§ 6.2 (3)</t>
  </si>
  <si>
    <t xml:space="preserve">Dem AG obliegen die Pflichten aus dem „Leistungsheft für den Straßenbetrieb auf Bundesfernstraßen“ auf den bundeseigenen Verkehrsflächen (siehe Vertragsanlage 11: Leistungsheft für den Straßenbetrieb …</t>
  </si>
  <si>
    <t xml:space="preserve">Dem AG obliegen die Pflichten aus dem „Leistungsheft für den Straßenbetrieb auf Bundesfernstraßen“ auf den bundeseigenen Verkehrsflächen (siehe Vertragsanlage 11: Leistungsheft für den Straßenbetrieb auf Bundesfernstraßen).</t>
  </si>
  <si>
    <t xml:space="preserve">Kapitel: Verkehrssicherungspflicht
Fundstelle im PDF: Seite 15</t>
  </si>
  <si>
    <t xml:space="preserve">ANF-1292</t>
  </si>
  <si>
    <t xml:space="preserve">§ 6.2 (4)</t>
  </si>
  <si>
    <t xml:space="preserve">Die Verantwortlichkeiten für die Durchführung des Betriebsdienstes, Instandhaltungen sowie der</t>
  </si>
  <si>
    <t xml:space="preserve">ANF-1293</t>
  </si>
  <si>
    <t xml:space="preserve">§ 6.2 (5)</t>
  </si>
  <si>
    <t xml:space="preserve">Wahrnehmung der Verkehrssicherungspflicht sind in der nachfolgenden Tabelle definiert:</t>
  </si>
  <si>
    <t xml:space="preserve">ANF-1294</t>
  </si>
  <si>
    <t xml:space="preserve">§ 6.2 (6)</t>
  </si>
  <si>
    <t xml:space="preserve">Bereich Betriebs- Verkehrssiche- Instandhaldienst rungspflicht tung</t>
  </si>
  <si>
    <t xml:space="preserve">ANF-1295</t>
  </si>
  <si>
    <t xml:space="preserve">§ 6.2 (7)</t>
  </si>
  <si>
    <t xml:space="preserve">E-Parkstände AG AG AG / AN3</t>
  </si>
  <si>
    <t xml:space="preserve">ANF-1296</t>
  </si>
  <si>
    <t xml:space="preserve">§ 6.2 (8)</t>
  </si>
  <si>
    <t xml:space="preserve">Gehwege (wichtige Verbindungen gemäß Leis- AG AG AG / AN3 tungsheft des Bundes)</t>
  </si>
  <si>
    <t xml:space="preserve">ANF-1297</t>
  </si>
  <si>
    <t xml:space="preserve">§ 6.2 (9)</t>
  </si>
  <si>
    <t xml:space="preserve">Trafo- u. Übergabestationen / Leis-</t>
  </si>
  <si>
    <t xml:space="preserve">ANF-1298</t>
  </si>
  <si>
    <t xml:space="preserve">§ 6.2 (10)</t>
  </si>
  <si>
    <t xml:space="preserve">AN AN / AG4 AN tungseinheiten</t>
  </si>
  <si>
    <t xml:space="preserve">ANF-1299</t>
  </si>
  <si>
    <t xml:space="preserve">§ 6.2 (11)</t>
  </si>
  <si>
    <t xml:space="preserve">Ladeinseln inkl. Ladesäulen AN AN / AG4 AN</t>
  </si>
  <si>
    <t xml:space="preserve">ANF-1300</t>
  </si>
  <si>
    <t xml:space="preserve">§ 6.2 (12)</t>
  </si>
  <si>
    <t xml:space="preserve">Parkstände (alt Diesel) AG AG AG</t>
  </si>
  <si>
    <t xml:space="preserve">ANF-1301</t>
  </si>
  <si>
    <t xml:space="preserve">§ 6.2 (13)</t>
  </si>
  <si>
    <t xml:space="preserve">Der AN stellt sicher, dass autorisierte Personen des AG jederzeit Zugang zu allen durch Schranken, automatische Poller oder sonstige physische Zufahrtsbeschränkungen gesicherten Bereichen erhalten.</t>
  </si>
  <si>
    <t xml:space="preserve">Der AN stellt sicher, dass autorisierte Personen des AG jederzeit Zugang zu allen durch Schranken, automatische Poller oder sonstige physische Zufahrtsbeschränkungen gesicherten Bereichen erhalten. Der AN hat die hierfür erforderlichen organisatorischen und technischen Abstimmungen mit den zuständigen Außenstellen des AG rechtzeitig vor Aufnahme des Betriebes durchzuführen und geeignete Zugriffsmittel bereitzustellen.</t>
  </si>
  <si>
    <t xml:space="preserve">ANF-1302</t>
  </si>
  <si>
    <t xml:space="preserve">§ 6.2 (14)</t>
  </si>
  <si>
    <t xml:space="preserve">Der AG führt im Rahmen der allgemeinen Streckenbefahrung Inaugenscheinnahmen der E-Lkw-</t>
  </si>
  <si>
    <t xml:space="preserve">ANF-1303</t>
  </si>
  <si>
    <t xml:space="preserve">§ 6.2 (15)</t>
  </si>
  <si>
    <t xml:space="preserve">Schnellladeinfrastruktur durch und macht den AN gegebenenfalls auf Handlungsbedarfe aufmerksam.</t>
  </si>
  <si>
    <t xml:space="preserve">Schnellladeinfrastruktur durch und macht den AN gegebenenfalls auf Handlungsbedarfe aufmerksam. Veränderungen oder Schäden an der E-Lkw-Schnellladeinfrastruktur, mit Einfluss auf 3 Nach Leistungspflichten gemäß Betreibervertrag 4 Im Zuge regelmäßiger Streckenbefahrungen informiert der AG den AN bei identifizierten Handlungsbedarfen die Verkehrssicherheit hat der AN unverzüglich zu beseitigen bzw. instand zu setzen. Der AN hat diese Veränderungen oder Schäden dem AG unverzüglich zu melden und die Beseitigung der</t>
  </si>
  <si>
    <t xml:space="preserve">ANF-1304</t>
  </si>
  <si>
    <t xml:space="preserve">§ 6.3 (1)</t>
  </si>
  <si>
    <t xml:space="preserve">Der AN ist verantwortlich für die Instandhaltung aller von ihm hergestellten Komponenten am</t>
  </si>
  <si>
    <t xml:space="preserve">Kapitel: Instandhaltung
Fundstelle im PDF: Seite 17
Zuordnung prüfen (Komponente/Partner nicht eindeutig)</t>
  </si>
  <si>
    <t xml:space="preserve">ANF-1305</t>
  </si>
  <si>
    <t xml:space="preserve">§ 6.3 (2)</t>
  </si>
  <si>
    <t xml:space="preserve">Standort. Dies umfasst die Ladeinfrastruktur und darüber hinaus auch alle vom AN neu hergestellten Beschilderungen, welche nach Vertragsanlage 4: Leistungsbeschreibung Errichtung errichtet wurden.</t>
  </si>
  <si>
    <t xml:space="preserve">Standort. Dies umfasst die Ladeinfrastruktur und darüber hinaus auch alle vom AN neu hergestellten Beschilderungen, welche nach Vertragsanlage 4: Leistungsbeschreibung Errichtung errichtet wurden. Der AN hat zu gewährleisten, dass die Ladeeinrichtung während des Vertragszeitraums, gemäß den nähren Vorgaben des Vertrages technisch betriebsbereit und funktionsfähig ist. Dauerhaft nicht mehr betriebsbereite und funktionstüchtige Bestandteile der E-Lkw-</t>
  </si>
  <si>
    <t xml:space="preserve">Kapitel: Instandhaltung
Fundstelle im PDF: Seite 17</t>
  </si>
  <si>
    <t xml:space="preserve">Aplitronic / tbd</t>
  </si>
  <si>
    <t xml:space="preserve">Beschilderung / Ladeeinrichtung</t>
  </si>
  <si>
    <t xml:space="preserve">ANF-1306</t>
  </si>
  <si>
    <t xml:space="preserve">§ 6.3 (3)</t>
  </si>
  <si>
    <t xml:space="preserve">Schnellladeinfrastruktur sind vom AN zu ersetzen.</t>
  </si>
  <si>
    <t xml:space="preserve">ANF-1307</t>
  </si>
  <si>
    <t xml:space="preserve">§ 6.3 (4)</t>
  </si>
  <si>
    <t xml:space="preserve">Der AN hat notwendige Instandsetzungsarbeiten, auch die durch Vandalismus und Vegetation notwendigen, an den von ihm errichteten Ladeinfrastruktur nebst sonstigen vom Betreiber errichteten baulichen …</t>
  </si>
  <si>
    <t xml:space="preserve">Der AN hat notwendige Instandsetzungsarbeiten, auch die durch Vandalismus und Vegetation notwendigen, an den von ihm errichteten Ladeinfrastruktur nebst sonstigen vom Betreiber errichteten baulichen Elementen innerhalb der vertraglich vorgesehenen Zeiträume durchzuführen. Die</t>
  </si>
  <si>
    <t xml:space="preserve">ANF-1308</t>
  </si>
  <si>
    <t xml:space="preserve">§ 6.3 (5)</t>
  </si>
  <si>
    <t xml:space="preserve">Zuständigkeit der Pflege aller Grünflächen liegt beim AG.</t>
  </si>
  <si>
    <t xml:space="preserve">ANF-1309</t>
  </si>
  <si>
    <t xml:space="preserve">§ 6.3 (6)</t>
  </si>
  <si>
    <t xml:space="preserve">Aufgabe des AN sind alle aufgrund gesetzlicher Vorgaben notwendigen Inspektionen und Prüfungen.</t>
  </si>
  <si>
    <t xml:space="preserve">Aufgabe des AN sind alle aufgrund gesetzlicher Vorgaben notwendigen Inspektionen und Prüfungen. Der AN ist verpflichtet, im Rahmen der durch ihn zu gewährleistenden Instandhaltung der elektrotechnischen Anlagen (Ladeinfrastruktur) während der Betriebsphase, die vom Gesetzgeber vorgeschriebenen Prüfungen und Leistungen nach DIN 31051 durch entsprechend legitimiertes Personal durchführen zu lassen. Es steht dem AN frei, auf eigene Rechnung unabhängige</t>
  </si>
  <si>
    <t xml:space="preserve">ANF-1310</t>
  </si>
  <si>
    <t xml:space="preserve">§ 6.3 (7)</t>
  </si>
  <si>
    <t xml:space="preserve">Dritte mit der Bereitstellung von Gutachten und die Durchführung von Prüfungen zu beauftragen, um die Einhaltung der entsprechenden Normen und Richtlinien für die Komponenten und die gesamte Anlage …</t>
  </si>
  <si>
    <t xml:space="preserve">Dritte mit der Bereitstellung von Gutachten und die Durchführung von Prüfungen zu beauftragen, um die Einhaltung der entsprechenden Normen und Richtlinien für die Komponenten und die gesamte Anlage dadurch zu bestätigen.</t>
  </si>
  <si>
    <t xml:space="preserve">ANF-1311</t>
  </si>
  <si>
    <t xml:space="preserve">§ 6.3 (8)</t>
  </si>
  <si>
    <t xml:space="preserve">Wiederkehrende Prüfungen elektrischer Anlagen und Betriebsmittel sind nach der Deutschen Gesetzlichen Unfallversicherung (DGUV) entsprechend den üblichen Anforderungen an die Elektrofachkraft …</t>
  </si>
  <si>
    <t xml:space="preserve">Wiederkehrende Prüfungen elektrischer Anlagen und Betriebsmittel sind nach der Deutschen Gesetzlichen Unfallversicherung (DGUV) entsprechend den üblichen Anforderungen an die Elektrofachkraft hinsichtlich der jeweiligen Prüfaufgabe zu erfüllen. Für die Prüfungen gemäß § 14 BetrSichV muss sie als „zur Prüfung befähigte Person“ (§ 2 BetrSichV) beauftragt werden.</t>
  </si>
  <si>
    <t xml:space="preserve">ANF-1312</t>
  </si>
  <si>
    <t xml:space="preserve">§ 6.3 (9)</t>
  </si>
  <si>
    <t xml:space="preserve">Sowohl die Legitimation des Prüfingenieurs als auch die jeweiligen Prüfprotokolle und Gutachten sind dem AG im vorgegebenen Turnus zu übermitteln.</t>
  </si>
  <si>
    <t xml:space="preserve">Sowohl die Legitimation des Prüfingenieurs als auch die jeweiligen Prüfprotokolle und Gutachten sind dem AG im vorgegebenen Turnus zu übermitteln. Neben den technischen Anlagen sind insbesondere die Dächer regelmäßig zu warten und durch geeignete Maßnahmen instand zu halten.</t>
  </si>
  <si>
    <t xml:space="preserve">ANF-1313</t>
  </si>
  <si>
    <t xml:space="preserve">§ 6.3 (10)</t>
  </si>
  <si>
    <t xml:space="preserve">Hierzu zählt insbesondere auch die bedarfsgerechte Reinigung (mindestens einmal im Jahr) der</t>
  </si>
  <si>
    <t xml:space="preserve">ANF-1314</t>
  </si>
  <si>
    <t xml:space="preserve">§ 6.3 (11)</t>
  </si>
  <si>
    <t xml:space="preserve">Anlage zur Regenentwässerung und die Prüfung nach DIN 1076 „Ingenieurbauwerke im Zuge von Straßen und Wegen – Überwachung und Prüfung“.</t>
  </si>
  <si>
    <t xml:space="preserve">ANF-1315</t>
  </si>
  <si>
    <t xml:space="preserve">§ 6.4 (1)</t>
  </si>
  <si>
    <t xml:space="preserve">Der AN hat ein Wartungs- und Instandhaltungskonzept insbesondere nach gesetzlichen und Herstellervorgaben zu entwickeln, das für jeden Rastanlage die geplanten Wartungs- und Instandhaltungszeiten …</t>
  </si>
  <si>
    <t xml:space="preserve">Der AN hat ein Wartungs- und Instandhaltungskonzept insbesondere nach gesetzlichen und Herstellervorgaben zu entwickeln, das für jeden Rastanlage die geplanten Wartungs- und Instandhaltungszeiten sowie etwaige geplante Erneuerungen von Anlagenteilen umfasst. Die geplanten</t>
  </si>
  <si>
    <t xml:space="preserve">Kapitel: Wartungs- und Instandhaltungskonzept
Fundstelle im PDF: Seite 17</t>
  </si>
  <si>
    <t xml:space="preserve">ANF-1316</t>
  </si>
  <si>
    <t xml:space="preserve">§ 6.4 (2)</t>
  </si>
  <si>
    <t xml:space="preserve">Wartungs- und Instandhaltungszeiten, die für einen Ausfall der Ladeinfrastruktur sorgen, dürfen jährlich sechs Stunden pro Rastanlage nicht überschreiten.</t>
  </si>
  <si>
    <t xml:space="preserve">Wartungs- und Instandhaltungszeiten, die für einen Ausfall der Ladeinfrastruktur sorgen, dürfen jährlich sechs Stunden pro Rastanlage nicht überschreiten. Das Konzept ist vom AN regelmäßig fortzuschreiben und dem AG zu übermitteln. Die Parteien werden hierzu eine Vorgehensweise vereinbaren. Auf Grundlage dieses (fortgeschriebenen) Konzepts erfolgen Mitteilungen des AN an den AG betreffend den Status der Ladeeinrichtungen gemäß den diesbezüglichen Vorgaben der Kapitel 4 und 5. Des Weiteren ist das (fortgeschriebene) Wartungs- und Instandhaltungskonzept im Rahmen der vertraglichen Regelungen zur Verfügbarkeit von Standorten heranzuziehen.</t>
  </si>
  <si>
    <t xml:space="preserve">ANF-1317</t>
  </si>
  <si>
    <t xml:space="preserve">§ 6.4 (3)</t>
  </si>
  <si>
    <t xml:space="preserve">Darüber hinaus sind alle Betriebs- sowie laufenden Kosten, der Verbindung der Kundenanlage mit dem Netzanschluss die für den (bis zur Eigentumsgrenze des Anschlusses an das öffentliche</t>
  </si>
  <si>
    <t xml:space="preserve">ANF-1318</t>
  </si>
  <si>
    <t xml:space="preserve">§ 6.4 (4)</t>
  </si>
  <si>
    <t xml:space="preserve">Versorgungsnetz) innerhalb der Vertragslaufzeit anfallen, vom AN zu tragen.</t>
  </si>
  <si>
    <t xml:space="preserve">Kapitel: Wartungs- und Instandhaltungskonzept
Fundstelle im PDF: Seite 17
Zuordnung prüfen (Komponente/Partner nicht eindeutig)</t>
  </si>
  <si>
    <t xml:space="preserve">ANF-1319</t>
  </si>
  <si>
    <t xml:space="preserve">§ 6.5 (1)</t>
  </si>
  <si>
    <t xml:space="preserve">Der AG überprüft in regelmäßigen Abständen, dass der AN sämtlichen vertraglichen Verpflichtungen nachkommt sowie insbesondere, dass die Vorgaben zur Sicherheit und Ordnung des Standorts (§ 4 FStrG) …</t>
  </si>
  <si>
    <t xml:space="preserve">Der AG überprüft in regelmäßigen Abständen, dass der AN sämtlichen vertraglichen Verpflichtungen nachkommt sowie insbesondere, dass die Vorgaben zur Sicherheit und Ordnung des Standorts (§ 4 FStrG) nach der Betriebsfreigabe eingehalten werden. Der AN hat im Rahmen der Überprüfung eine Mitwirkungspflicht und eventuell im Vorfeld erforderliche Vorbereitungen zu treffen. Bestandteil der in der Regel jährlich von dem AG durchgeführten Prüfungen sind:</t>
  </si>
  <si>
    <t xml:space="preserve">Kapitel: Regelmäßige Prüfung
Fundstelle im PDF: Seite 18</t>
  </si>
  <si>
    <t xml:space="preserve">ANF-1320</t>
  </si>
  <si>
    <t xml:space="preserve">§ 6.5 (2)</t>
  </si>
  <si>
    <t xml:space="preserve">Kontrolle regelmäßige Wartung und Kontrolle der E-Lkw-Schnellladeinfrastruktur (Einhaltung Wartungskonzepts),</t>
  </si>
  <si>
    <t xml:space="preserve">Kapitel: Regelmäßige Prüfung
Fundstelle im PDF: Seite 18
Zuordnung prüfen (Komponente/Partner nicht eindeutig)</t>
  </si>
  <si>
    <t xml:space="preserve">ANF-1321</t>
  </si>
  <si>
    <t xml:space="preserve">§ 6.5 (3)</t>
  </si>
  <si>
    <t xml:space="preserve">Kontrolle Sicherheit und Ordnung, o Arbeits- und Gesundheitsschutz o Brandschutz / Brandschutzeinrichtungen o Gerätesicherheit /Sicherheit der Anlagen o Sicherheit elektrische Anlagen o Sichtprüfung …</t>
  </si>
  <si>
    <t xml:space="preserve">Kontrolle Sicherheit und Ordnung, o Arbeits- und Gesundheitsschutz o Brandschutz / Brandschutzeinrichtungen o Gerätesicherheit /Sicherheit der Anlagen o Sicherheit elektrische Anlagen o Sichtprüfung baulicher Teile inkl. Überdachung o Standsicherheit o Umweltbelange o Verkehrssicherheit, Beschilderung/Markierung, Verkehrsführung o Auswertung Unfallgeschehen</t>
  </si>
  <si>
    <t xml:space="preserve">ANF-1322</t>
  </si>
  <si>
    <t xml:space="preserve">§ 6.5 (4)</t>
  </si>
  <si>
    <t xml:space="preserve">Kontrolle Einhaltung Zweck- und Nutzungsbestimmungen.</t>
  </si>
  <si>
    <t xml:space="preserve">Kontrolle Einhaltung Zweck- und Nutzungsbestimmungen. Die Prüfung erfolgt durch Einsichtnahme in die Belege und durch Begehungen. Die notwendigen Unterlagen werden durch den AN digital zur Verfügung gestellt.</t>
  </si>
  <si>
    <t xml:space="preserve">ANF-1323</t>
  </si>
  <si>
    <t xml:space="preserve">Es werden für die Zwecke der Pönale nach § 27 Abs.</t>
  </si>
  <si>
    <t xml:space="preserve">Es werden für die Zwecke der Pönale nach § 27 Abs. 2 des Vertrags im Falle von bestimmten</t>
  </si>
  <si>
    <t xml:space="preserve">Kapitel: Verfügbarkeit
Fundstelle im PDF: Seite 19</t>
  </si>
  <si>
    <t xml:space="preserve">ANF-1324</t>
  </si>
  <si>
    <t xml:space="preserve">Einschränkungen der technischen Verfügbarkeit von Ladepunkten anhand von Statusmeldungen</t>
  </si>
  <si>
    <t xml:space="preserve">ANF-1325</t>
  </si>
  <si>
    <t xml:space="preserve">Ausfallzeiten der einzelnen Ladepunkte ermittelt, die in Abhängigkeit von ihrer Dauer und dem</t>
  </si>
  <si>
    <t xml:space="preserve">Kapitel: Verfügbarkeit
Fundstelle im PDF: Seite 19
Zuordnung prüfen (Komponente/Partner nicht eindeutig)</t>
  </si>
  <si>
    <t xml:space="preserve">ANF-1326</t>
  </si>
  <si>
    <t xml:space="preserve">Erreichen bestimmter Schwellen zum Ansatz einer Pönale führen.</t>
  </si>
  <si>
    <t xml:space="preserve">Erreichen bestimmter Schwellen zum Ansatz einer Pönale führen. Die Ermittlung der Ausfallzeiten und der damit verbundenen Pönalen erfolgt je Ladepunkt wie folgt: (1) Jede angefangene Minute eines Zeitraums, für den eine Statusmeldung gemäß Zeile „status“ der Tabelle unter Kapitel 4 „Ladepunktdaten“ einen der folgenden Werte annimmt:</t>
  </si>
  <si>
    <t xml:space="preserve">Pönalisierungssystem / Monitoring</t>
  </si>
  <si>
    <t xml:space="preserve">ANF-1327</t>
  </si>
  <si>
    <t xml:space="preserve">INOPERATIVE (mit Ausnahme der in (5) dargelegten Voraussetzungen) wird als Ausfallzeit gewertet, wobei jede angefangene Minute der Ausfallzeit als „Ausfallminute“ definiert wird.</t>
  </si>
  <si>
    <t xml:space="preserve">INOPERATIVE (mit Ausnahme der in (5) dargelegten Voraussetzungen) wird als Ausfallzeit gewertet, wobei jede angefangene Minute der Ausfallzeit als „Ausfallminute“ definiert wird. (2) Dabei besteht der Status im Sinne der vorstehenden Ziff. (1) so lange, bis die Meldung des Status „AVAILABLE“, RESERVED, oder „CHARGING“, erfolgt. (3) Statusmeldungen nach Ziff. (1), die demnach zu einer Ausfallzeit von zusammenhängend fünf oder mehr vollen Zeitminuten führen (längere Störungen), werden, soweit sie an einem Kalendertag einzeln oder kumuliert die Dauer von 15 Minuten überschreiten (Toleranzschwelle), mit einer Pönale von EUR 1 pro Ausfallminute belegt. (4) Statusmeldungen nach Ziff. (1), die demnach zu einer Ausfallzeit von zusammenhängend weniger als fünf vollen Zeitminuten führen (kurzzeitige Störungen), werden wie folgt mit einer Pönale belegt: a. Wenn die Summe der Ausfallzeiten infolge von kurzzeitigen Störungen im Sinne dieser Ziff. (4) an einem Kalendertag eine Dauer von 15 Minuten nicht überschreitet, fällt keine Pönale an. b. Wenn die Summe der Ausfallzeiten infolge von kurzzeitigen Störungen im Sinne dieser Ziff. (4) an einem Kalendertag eine Dauer von 15 Minuten überschreitet, fällt für den überschreitenden Zeitraum eine Pönale von EUR 1 pro Ausfallminute an. (5) Geplante Ausfallminuten bleiben in dem im Wartungs- und Instandhaltungskonzept vorgesehenen Umfang außer Betracht, wobei die Vorgaben an das Wartungs- und Instandhaltungskonzept nach Ziff. (6) einzuhalten sind. Zeiten der Begutachtung durch</t>
  </si>
  <si>
    <t xml:space="preserve">ANF-1328</t>
  </si>
  <si>
    <t xml:space="preserve">Prüforganisationen gemäß Ziff. 6 bleiben ebenfalls außer Betracht.</t>
  </si>
  <si>
    <t xml:space="preserve">Prüforganisationen gemäß Ziff. 6 bleiben ebenfalls außer Betracht. Diese Zeiten sind mit dem Status INOPERATIVE gemäß Zeile „status“ der Tabelle unter Ziff. 4 „Ladepunktdaten“ zu kennzeichnen. Unberührt bleiben zudem die Regelungen betreffend die Berechtigung des AN zur Darlegung eines Nichtvertretenmüssens nach § 27 Abs. 4 des Vertrags mit der Folge, dass insoweit Ausfallminuten bei der Berechnung einer Pönale außer Betracht bleiben. (6) Der AN kann für die Zwecke der Ziff. (5) im Rahmen des Monatsberichts nach Ziff. 3 anhand einer Einordnung der Ausfallzeiten in die Störungskategorien im Monatsbericht</t>
  </si>
  <si>
    <t xml:space="preserve">ANF-1329</t>
  </si>
  <si>
    <t xml:space="preserve">Verfügbarkeit darlegen, inwieweit Ausfallzeiten als geplante Ausfallzeiten gemäß Wartungs- und Instandhaltungskonzept oder als Zeiten der Begutachtung durch Prüforganisationen zu qualifizieren sind …</t>
  </si>
  <si>
    <t xml:space="preserve">Verfügbarkeit darlegen, inwieweit Ausfallzeiten als geplante Ausfallzeiten gemäß Wartungs- und Instandhaltungskonzept oder als Zeiten der Begutachtung durch Prüforganisationen zu qualifizieren sind oder auf nicht vom AN zu vertretende Umstände zurückzuführen sind. Im Rahmen der quartalsmäßigen Abrechnung und Rechnungsstellung nach § 45 Abs. 6 und § 46 Abs. 4 des Vertrags weist der AN die Ausfallzeiten, die nach vorstehenden Bestimmungen nicht zu Pönalen führen, entsprechend aus. AG und AN werden sich auf ein geeignetes Daten- und Berichtsformat für die Darlegungen und Abrechnungen verständigen mit dem Ziel, für beide Parteien einen möglichst hohen Grad an</t>
  </si>
  <si>
    <t xml:space="preserve">ANF-1330</t>
  </si>
  <si>
    <t xml:space="preserve">Automatisierung zu erreichen. (7) Der AG ist berechtigt, die Darlegungen des AN zu überprüfen.</t>
  </si>
  <si>
    <t xml:space="preserve">Automatisierung zu erreichen. (7) Der AG ist berechtigt, die Darlegungen des AN zu überprüfen. Hierbei kann er unter anderem Nutzermeldungen sowie die Ergebnisse eigener Kontrollen heranziehen. Legt der</t>
  </si>
  <si>
    <t xml:space="preserve">ANF-1331</t>
  </si>
  <si>
    <t xml:space="preserve">AG nachvollziehbar dar, dass die technische Verfügbarkeit eines Ladepunktes für einen bestimmten Zeitraum beeinträchtigt war, ohne dass diese bereits von den Statusmeldungen gemäß Ziff.</t>
  </si>
  <si>
    <t xml:space="preserve">AG nachvollziehbar dar, dass die technische Verfügbarkeit eines Ladepunktes für einen bestimmten Zeitraum beeinträchtigt war, ohne dass diese bereits von den Statusmeldungen gemäß Ziff. (1) erfasst wurde, so ist der AG berechtigt, eine Einbeziehung der betreffenden Zeiträume in die Berechnung der Pönale nach Ziff. (3) und (4) zu verlangen.</t>
  </si>
  <si>
    <t xml:space="preserve">ANF-1332</t>
  </si>
  <si>
    <t xml:space="preserve">Dieser Vertrag regelt die Zusammenarbeit und die gegenseitigen Rechte und Pflichten der Vertragsparteien im Zusammenhang mit dem Zugang des Mobilitätsdienstleisters zu den vom Ladepunktbetreiber …</t>
  </si>
  <si>
    <t xml:space="preserve">Dieser Vertrag regelt die Zusammenarbeit und die gegenseitigen Rechte und Pflichten der Vertragsparteien im Zusammenhang mit dem Zugang des Mobilitätsdienstleisters zu den vom Ladepunktbetreiber betriebenen Standorten zur Belieferung von Kunden im Wege des Durchleitungsmodells.</t>
  </si>
  <si>
    <t xml:space="preserve">Kapitel: Vertragsgegenstand
Fundstelle im PDF: Seite 4</t>
  </si>
  <si>
    <t xml:space="preserve">ANF-1333</t>
  </si>
  <si>
    <t xml:space="preserve">Sollten Regelungen dieses Vertrags zwingenden gesetzlichen Vorschriften widersprechen, gelten vorrangig die gesetzlichen Vorschriften.</t>
  </si>
  <si>
    <t xml:space="preserve">ANF-1334</t>
  </si>
  <si>
    <t xml:space="preserve">Der Ladepunktbetreiber gewährt dem Mobilitätsdienstleister Zugang zur Ladeinfrastruktur an den von ihm betriebenen Standorten zum Zwecke der Entnahme von Strommengen für Kunden des …</t>
  </si>
  <si>
    <t xml:space="preserve">Der Ladepunktbetreiber gewährt dem Mobilitätsdienstleister Zugang zur Ladeinfrastruktur an den von ihm betriebenen Standorten zum Zwecke der Entnahme von Strommengen für Kunden des Mobilitätsdienstleisters im Wege des Durchleitungsmodells. Ist aufgrund nicht ausreichender Netzanschlusskapazität an dem Standort die Durchführung eines Lademanagements durch den Ladepunktbetreiber erforderlich, so beinhaltet der Zugang zur Ladeinfrastruktur nach Satz 1 auch die Durchführung eines diskriminierungsfreien Lademanagements in Bezug auf die Ladevorgänge an dem Standort.</t>
  </si>
  <si>
    <t xml:space="preserve">Kapitel: Zugang zur Ladeinfrastruktur
Fundstelle im PDF: Seite 4</t>
  </si>
  <si>
    <t xml:space="preserve">ANF-1335</t>
  </si>
  <si>
    <t xml:space="preserve">Die Gewährung des Zugangs zur Ladeeinrichtung erfolgt auf Grundlage und unter den Voraussetzungen einer bilateralen Vereinbarung zwischen Ladepunktbetreiber und Mobilitätsdienstleister über den …</t>
  </si>
  <si>
    <t xml:space="preserve">Die Gewährung des Zugangs zur Ladeeinrichtung erfolgt auf Grundlage und unter den Voraussetzungen einer bilateralen Vereinbarung zwischen Ladepunktbetreiber und Mobilitätsdienstleister über den Zugang zur Ladeinfrastruktur (mit bilanzieller Bereitstellung der entnommenen Strommengen durch den Ladepunktbetreiber) oder eines durch eine E-Roaming-Plattform, an die Ladepunktbetreiber und der Mobilitätsdienstleister angebunden sind, vermittelten Zugangsrechtes.</t>
  </si>
  <si>
    <t xml:space="preserve">ANF-1336</t>
  </si>
  <si>
    <t xml:space="preserve">§ 2 (3)</t>
  </si>
  <si>
    <t xml:space="preserve">Im Verhältnis zum Netzbetreiber setzt die Gewährung des Zugangs zur Ladeeinrichtung – neben den Anforderungen nach Absatz 4 – einen gültigen Netzanschlussvertrag mit ausreichender Entnahmekapazität …</t>
  </si>
  <si>
    <t xml:space="preserve">Im Verhältnis zum Netzbetreiber setzt die Gewährung des Zugangs zur Ladeeinrichtung – neben den Anforderungen nach Absatz 4 – einen gültigen Netzanschlussvertrag mit ausreichender Entnahmekapazität zwischen dem Netzbetreiber und dem Ladepunktbetreiber sowie einen gültigen Anschlussnutzungsvertrag voraus. Der Ladepunktbetreiber schließt den zur Gewährung des Zugangs zur Ladeeinrichtung erforderlichen Netzanschlussvertrag sowie den Anschlussnutzungsvertrag.</t>
  </si>
  <si>
    <t xml:space="preserve">ANF-1337</t>
  </si>
  <si>
    <t xml:space="preserve">§ 2 (4)</t>
  </si>
  <si>
    <t xml:space="preserve">Der Ladepunktbetreiber ist verpflichtet, alle erforderlichen Maßnahmen insbesondere gegenüber dem Bilanzkreiskoordinator und dem Verteilnetzbetreiber zur Ermöglichung der Nutzung der …</t>
  </si>
  <si>
    <t xml:space="preserve">Der Ladepunktbetreiber ist verpflichtet, alle erforderlichen Maßnahmen insbesondere gegenüber dem Bilanzkreiskoordinator und dem Verteilnetzbetreiber zur Ermöglichung der Nutzung der Ladeinfrastruktur im Wege des Durchleitungsmodells zu unternehmen. Hierzu gehören vorbehaltlich späterer abweichender regulierungsbehördlicher oder gesetzlicher Vorgaben: a) Die Einrichtung eines regelzonenweiten Bilanzierungsgebietes in jeder Regelzone, in der ein Standort betrieben wird beim jeweiligen Bilanzkreiskoordinator unter Verwendung der Marktpartner-ID. Der Ladepunktbetreiber ist für dieses Bilanzierungsgebiet wirtschaftlich verantwortlich. b) Die Mitteilung eines Bilanzkreises gegenüber dem Bilanzkreiskoordinator, in den etwaige Deltamengen gebucht werden können. c) Die Meldung der Marktlokationen, an denen das Laden im Wege des Durchleitungsmodells möglich ist.</t>
  </si>
  <si>
    <t xml:space="preserve">ANF-1338</t>
  </si>
  <si>
    <t xml:space="preserve">§ 2 (5)</t>
  </si>
  <si>
    <t xml:space="preserve">Hat der Ladepunktbetreiber für die Umsetzung des Durchleitungsmodells einen Nachunternehmer beauftragt und stellt dieser seine Tätigkeit ein oder erfolgt eine außerordentliche Kündigung, ist der …</t>
  </si>
  <si>
    <t xml:space="preserve">Hat der Ladepunktbetreiber für die Umsetzung des Durchleitungsmodells einen Nachunternehmer beauftragt und stellt dieser seine Tätigkeit ein oder erfolgt eine außerordentliche Kündigung, ist der Ladepunktbetreiber von der Verpflichtung zur Gewährung des Zugangs zur Ladeeinrichtung befreit, bis sich der Ladepunktbetreiber einen neuen Dienstleister zu angemessenen wirtschaftlichen und rechtlichen Bedingungen nehmen kann oder er die Umsetzung selber gewährleisten kann, längstens jedoch für einen Zeitraum von 6 Monaten. Der Ladepunktbetreiber wird dem Mobilitätsdienstleister die Aussetzung und Wiederaufnahme des Durchleitungsmodells nach diesem Absatz unverzüglich schriftlich anzeigen.</t>
  </si>
  <si>
    <t xml:space="preserve">ANF-1339</t>
  </si>
  <si>
    <t xml:space="preserve">Die vom Kunden des Mobilitätsdienstleisters im Wege des Durchleitungsmodells entnommenen Strommengen werden dem Mobilitätsdienstleister über mindestens eine standortübergreifende virtuelle …</t>
  </si>
  <si>
    <t xml:space="preserve">Die vom Kunden des Mobilitätsdienstleisters im Wege des Durchleitungsmodells entnommenen Strommengen werden dem Mobilitätsdienstleister über mindestens eine standortübergreifende virtuelle Marktlokationsidentifikationsnummer (nachfolgend virtuelle MaLo-ID) zugeordnet. Die virtuelle MaLo-ID wird vom Ladepunktbetreiber erstellt und dem Mobilitätsdienstleister zur eindeutigen Kennzeichnung während der Laufzeit dieses Vertrags dauerhaft zugeordnet.</t>
  </si>
  <si>
    <t xml:space="preserve">Kapitel: Bilanzielle Zuordnung
Fundstelle im PDF: Seite 5</t>
  </si>
  <si>
    <t xml:space="preserve">ANF-1340</t>
  </si>
  <si>
    <t xml:space="preserve">Die virtuelle MaLo-ID muss in ein vertraglich begründetes Bilanzkreissystem einbezogen und jeweils eindeutig und zu jedem Zeitpunkt in jeder Regelzone, in der der Ladepunktbetreiber einen Standort …</t>
  </si>
  <si>
    <t xml:space="preserve">Die virtuelle MaLo-ID muss in ein vertraglich begründetes Bilanzkreissystem einbezogen und jeweils eindeutig und zu jedem Zeitpunkt in jeder Regelzone, in der der Ladepunktbetreiber einen Standort betreibt, vollständig einem Bilanzkreis zugeordnet sein.</t>
  </si>
  <si>
    <t xml:space="preserve">Kapitel: Bilanzielle Zuordnung
Fundstelle im PDF: Seite 5
Zuordnung prüfen (Komponente/Partner nicht eindeutig)</t>
  </si>
  <si>
    <t xml:space="preserve">ANF-1341</t>
  </si>
  <si>
    <t xml:space="preserve">Die bilanzielle Zuordnung von entnommenen Energiemengen zur virtuellen MaLo-ID erfolgt frühestens einen Werktag nach Erstellung der virtuellen MaLo-ID und Zuordnung zu dem vom Mobilitätsdienstleister …</t>
  </si>
  <si>
    <t xml:space="preserve">Die bilanzielle Zuordnung von entnommenen Energiemengen zur virtuellen MaLo-ID erfolgt frühestens einen Werktag nach Erstellung der virtuellen MaLo-ID und Zuordnung zu dem vom Mobilitätsdienstleister nach Absatz 4 mitgeteilten Bilanzkreis.</t>
  </si>
  <si>
    <t xml:space="preserve">ANF-1342</t>
  </si>
  <si>
    <t xml:space="preserve">§ 3 (4)</t>
  </si>
  <si>
    <t xml:space="preserve">Dem Ladepunktbetreiber ist mit Vertragsschluss für jede Regelzone, in der der Ladepunktnetzbetreiber aktiv ist, der Bilanzkreis mitzuteilen, dem die virtuelle MaLo-ID zuzuordnen ist.</t>
  </si>
  <si>
    <t xml:space="preserve">Dem Ladepunktbetreiber ist mit Vertragsschluss für jede Regelzone, in der der Ladepunktnetzbetreiber aktiv ist, der Bilanzkreis mitzuteilen, dem die virtuelle MaLo-ID zuzuordnen ist. Der Mobilitätsdienstleister ist berechtigt, mit einer Vorlauffrist von vierzehn Werktagen jeweils zum Monatsersten neue Bilanzkreise zu benennen.</t>
  </si>
  <si>
    <t xml:space="preserve">ANF-1343</t>
  </si>
  <si>
    <t xml:space="preserve">§ 3 (5)</t>
  </si>
  <si>
    <t xml:space="preserve">Voraussetzung für den Vertragsschluss ist das wirksame Bestehen der betreffenden Bilanzkreise im Zeitpunkt des Vertragsschlusses.</t>
  </si>
  <si>
    <t xml:space="preserve">Voraussetzung für den Vertragsschluss ist das wirksame Bestehen der betreffenden Bilanzkreise im Zeitpunkt des Vertragsschlusses. Ist der Mobilitätsdienstleister nicht selbst Bilanzkreisverantwortlicher der benannten Bilanzkreise, ist zudem der vorherige Abschluss einer Zuordnungsvereinbarung zwischen Ladepunktbetreiber und Bilanzkreisverantwortlichem (Anhang: Zuordnungsvereinbarung) erforderlich. Der Mobilitätsdienstleister stellt den Ladepunktbetreiber von Haftungsansprüchen Dritter frei, die daraus resultieren, dass zugesicherte Vollmachten des Bilanzkreisverantwortlichen tatsächlich nicht oder nicht rechtswirksam vorliegen.</t>
  </si>
  <si>
    <t xml:space="preserve">ANF-1344</t>
  </si>
  <si>
    <t xml:space="preserve">§ 3 (6)</t>
  </si>
  <si>
    <t xml:space="preserve">Der Mobilitätsdienstleister ist verpflichtet, den Ladepunktbetreiber über eine Kündigung des Bilanzkreisvertrags zu dem benannten Bilanzkreis unverzüglich zu informieren.</t>
  </si>
  <si>
    <t xml:space="preserve">ANF-1345</t>
  </si>
  <si>
    <t xml:space="preserve">Die Abwicklung des Zugangs zur Ladeinfrastruktur für die virtuelle Marktlokation des Mobilitätsdienstleisters in der besonderen Ausgestaltung des Durchleitungsmodells erfolgt unter Anwendung a) der …</t>
  </si>
  <si>
    <t xml:space="preserve">Die Abwicklung des Zugangs zur Ladeinfrastruktur für die virtuelle Marktlokation des Mobilitätsdienstleisters in der besonderen Ausgestaltung des Durchleitungsmodells erfolgt unter Anwendung a) der vom BDEW Bundesverband der Energie- und Wasserwirtschaft e. V. veröffentlichten „Anwendungshilfe zum Modell 2 zur ladevorgangsscharfen bilanziellen Energiemengenzuordnungsmöglichkeit“ in der jeweils geltenden Fassung, b) der von der Bundesnetzagentur erlassenen „Festlegung einheitlicher Geschäftsprozesse und Datenformate zur Abwicklung der Belieferung von Kunden mit Elektrizität - GPKE“ (BK6-06-009) in jeweils geltender Fassung sowie c)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t>
  </si>
  <si>
    <t xml:space="preserve">Kapitel: Geschäftsprozesse und Datenaustausch, Ansprechpartner
Fundstelle im PDF: Seite 6</t>
  </si>
  <si>
    <t xml:space="preserve">ANF-1346</t>
  </si>
  <si>
    <t xml:space="preserve">Sofern gesetzlich zwingende oder aufgrund Gesetz erlassene Vorgaben keine andere Form der Kommunikation vorschreiben, erfolgt der Datenaustauch nach diesem Vertrag via E-Mail.</t>
  </si>
  <si>
    <t xml:space="preserve">Sofern gesetzlich zwingende oder aufgrund Gesetz erlassene Vorgaben keine andere Form der Kommunikation vorschreiben, erfolgt der Datenaustauch nach diesem Vertrag via E-Mail. Ladepunktbetreiber und Mobilitätsdienstleister benennen sich hierzu mit Vertragsschluss Ansprechpartner mit Kontaktdaten (Telefonnummer, E-Mail-Adresse etc.). Die Ansprechpartner- und Kontaktdatenliste des Ladepunktbetreibers ist dem Vertrag als Anhang: Ansprechpartner beigefügt. Über Änderungen bei den Ansprechpartnern und/oder Kontaktdaten werden sich die Vertragsparteien gegenseitig unverzüglich in Textform informieren.</t>
  </si>
  <si>
    <t xml:space="preserve">Kapitel: Geschäftsprozesse und Datenaustausch, Ansprechpartner
Fundstelle im PDF: Seite 6
Zuordnung prüfen (Komponente/Partner nicht eindeutig)</t>
  </si>
  <si>
    <t xml:space="preserve">ANF-1347</t>
  </si>
  <si>
    <t xml:space="preserve">Der Mobilitätsdienstleister ist verpflichtet, für die gesamten ihm nach § 3 Abs.</t>
  </si>
  <si>
    <t xml:space="preserve">Der Mobilitätsdienstleister ist verpflichtet, für die gesamten ihm nach § 3 Abs. 1 bilanziell zugeordneten Strommengen Herkunftsnachweise gemäß § 3 Nr. 29 EEG beim Herkunftsnachweisregister des Umweltbundesamtes zu entwerten. Die Entwertung der Herkunftsnachweise ist jährlich, bezogen auf ein Kalenderjahr bis Ende Januar des Folgejahres gegenüber dem Ladepunktbetreiber mittels Vorlage des Registerausdrucks nachzuweisen.</t>
  </si>
  <si>
    <t xml:space="preserve">Kapitel: Entwertung von Herkunftsnachweisen
Fundstelle im PDF: Seite 6
Zuordnung prüfen (Komponente/Partner nicht eindeutig)</t>
  </si>
  <si>
    <t xml:space="preserve">ANF-1348</t>
  </si>
  <si>
    <t xml:space="preserve">Zur Feststellung der dem Mobilitätsanbieter zuzurechnenden Energiemenge wird vom Ladepunktbetreiber eine ladevorgangsscharfe viertelstundengenaue bilanzielle Energiemengenzuordnung vorgenommen.</t>
  </si>
  <si>
    <t xml:space="preserve">Zur Feststellung der dem Mobilitätsanbieter zuzurechnenden Energiemenge wird vom Ladepunktbetreiber eine ladevorgangsscharfe viertelstundengenaue bilanzielle Energiemengenzuordnung vorgenommen. Innerhalb einer Viertelstunde können mehrere Kunden verschiedener Mobilitätsdienstleister laden. Dem Mobilitätsdienstleister werden über seine virtuelle MaLo-ID dann nur die Entnahmen seiner Kunden in der jeweiligen Viertelstunde zugeordnet.</t>
  </si>
  <si>
    <t xml:space="preserve">Kapitel: Ermittlung Zeitreihen
Fundstelle im PDF: Seite 7
Zuordnung prüfen (Komponente/Partner nicht eindeutig)</t>
  </si>
  <si>
    <t xml:space="preserve">ANF-1349</t>
  </si>
  <si>
    <t xml:space="preserve">Die Ermittlung der Energiemengen, die der virtuellen MaLo-ID des Mobilitätsdienstleisters bilanziell zugeordnet werden, erfolgt anhand der in den Charge Detail Records gespeicherten Energiemengen, …</t>
  </si>
  <si>
    <t xml:space="preserve">Die Ermittlung der Energiemengen, die der virtuellen MaLo-ID des Mobilitätsdienstleisters bilanziell zugeordnet werden, erfolgt anhand der in den Charge Detail Records gespeicherten Energiemengen, die dem Mobilitätsdienstleister aufgrund erfolgter Kundenauthentifizierung zuzurechnen sind. Die Charge Detail Records enthalten neben der Start- und Endzeit des Ladevorgangs</t>
  </si>
  <si>
    <t xml:space="preserve">Kapitel: Ermittlung Zeitreihen
Fundstelle im PDF: Seite 7</t>
  </si>
  <si>
    <t xml:space="preserve">ANF-1350</t>
  </si>
  <si>
    <t xml:space="preserve">§ 6 (2) u</t>
  </si>
  <si>
    <t xml:space="preserve">a. den Standort sowie die innerhalb einer Viertelstunde geladenen Energiemengen.</t>
  </si>
  <si>
    <t xml:space="preserve">ANF-1351</t>
  </si>
  <si>
    <t xml:space="preserve">Der Mobilitätsdienstleister zahlt für die Gewährung des Zugangs im Rahmen des Durchleitungsmodells ein Zugangsentgelt, das sich aus den folgenden Preisbestandteilen in der jeweils geltenden Höhe …</t>
  </si>
  <si>
    <t xml:space="preserve">Der Mobilitätsdienstleister zahlt für die Gewährung des Zugangs im Rahmen des Durchleitungsmodells ein Zugangsentgelt, das sich aus den folgenden Preisbestandteilen in der jeweils geltenden Höhe zusammensetzt. a) Infrastrukturentgelt Das Infrastrukturentgelt ist ein Entgelt für die Nutzung eines Ladepunktes je abgegebener kWh Ladestrom. Die Höhe des Infrastrukturentgelts wird von der Autobahn GmbH festgesetzt und kann von dieser zum Beginn eines Quartals angepasst werden. Der Ladepunktbetreiber ist berechtigt bzw. bei Senkungen verpflichtet, eine Anpassung des Infrastrukturentgelts nach Maßgabe von Absatz 4 an den Mobilitätsdienstleister weiterzugeben. b) Ausgleichszahlung für die Kosten für Verlustenergie nach Absatz 2 c) Netzentgelte des jeweiligen Anschlussnetzbetreibers (nur Arbeitspreis) In diesen sind die Kosten für die Inanspruchnahme der vorgelagerten Netzebenen sowie gegebenenfalls für Blindstrom enthalten. Der Leistungspreis der Netzentgelte ist vom Mobilitätsdienstleister nicht zu zahlen; er ist Teil der Kalkulation des Infrastrukturentgelts. d) Konzessionsabgabe e) KWKG-Umlage f) Aufschlag für besondere Netznutzung (bestehend aus der § 19 StromNEV-Umlage inkl. Wasserstoffumlage und dem Aufschlag für besondere einspeiseseitige Netznutzung g) Offshore-Netzumlage h) Umsatzsteuer Die Entrichtung der Stromsteuer für die von den Kunden des Mobilitätsdienstleisters geladenen Mengen obliegt dem Mobilitätsdienstleister. Soweit die Entrichtung der Stromsteuer dem Ladepunktbetreiber obliegt, erhöht sich das Zugangsentgelt um die Stromsteuer in der jeweils geltenden Höhe.</t>
  </si>
  <si>
    <t xml:space="preserve">Kapitel: Entgelte
Fundstelle im PDF: Seite 7</t>
  </si>
  <si>
    <t xml:space="preserve">ANF-1352</t>
  </si>
  <si>
    <t xml:space="preserve">Wird der Betrieb von Ladepunkten oder die Abgabe von Ladestrom nach Vertragsschluss mit zusätzlichen, in Absatz 1 nicht genannten Steuern oder Abgaben belegt, ist der Ladepunktbetreiber berechtigt, …</t>
  </si>
  <si>
    <t xml:space="preserve">Wird der Betrieb von Ladepunkten oder die Abgabe von Ladestrom nach Vertragsschluss mit zusätzlichen, in Absatz 1 nicht genannten Steuern oder Abgaben belegt, ist der Ladepunktbetreiber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t>
  </si>
  <si>
    <t xml:space="preserve">Kapitel: Entgelte
Fundstelle im PDF: Seite 7
Zuordnung prüfen (Komponente/Partner nicht eindeutig)</t>
  </si>
  <si>
    <t xml:space="preserve">ANF-1353</t>
  </si>
  <si>
    <t xml:space="preserve">Der Ladepunktbetreiber kann die Höhe des Infrastrukturentgelts nach Absatz 1 a) während der Laufzeit des Vertrags mit einer Frist von einem Monat auf den Beginn eines Quartals schriftlich mit Wirkung …</t>
  </si>
  <si>
    <t xml:space="preserve">Der Ladepunktbetreiber kann die Höhe des Infrastrukturentgelts nach Absatz 1 a) während der Laufzeit des Vertrags mit einer Frist von einem Monat auf den Beginn eines Quartals schriftlich mit Wirkung gegenüber dem Mobilitätsdienstleister anpassen. Eine Anpassung gegenüber dem Mobilitätsdienstleister erfolgt ausschließlich aufgrund einer Anpassung des Infrastrukturentgelts seitens der Autobahn GmbH gegenüber dem Ladepunktbetreiber.</t>
  </si>
  <si>
    <t xml:space="preserve">ANF-1354</t>
  </si>
  <si>
    <t xml:space="preserve">Alle Entgelte unterliegen dem im Liefer- oder Leistungszeitpunkt jeweils gültigen gesetzlichen Umsatzsteuersatz.</t>
  </si>
  <si>
    <t xml:space="preserve">ANF-1355</t>
  </si>
  <si>
    <t xml:space="preserve">Der Ladepunktbetreiber teilt dem Mobilitätsdienstleister die jeweils geltende Höhe eines zu zahlenden Zugangsentgelts auf Anfrage mit.</t>
  </si>
  <si>
    <t xml:space="preserve">ANF-1356</t>
  </si>
  <si>
    <t xml:space="preserve">Die Abrechnung der Entgelte des Ladepunktbetreibers erfolgt im Rahmen des Vertrags, mit dem dem Mobilitätsdienstleister das Zugangsrecht für seine Kunden eingeräumt wird (§ 2 Abs.</t>
  </si>
  <si>
    <t xml:space="preserve">Die Abrechnung der Entgelte des Ladepunktbetreibers erfolgt im Rahmen des Vertrags, mit dem dem Mobilitätsdienstleister das Zugangsrecht für seine Kunden eingeräumt wird (§ 2 Abs. 2).</t>
  </si>
  <si>
    <t xml:space="preserve">ANF-1357</t>
  </si>
  <si>
    <t xml:space="preserve">Der Ladepunktbetreiber ist berechtigt, nach Ablauf einer maximalen Nutzungszeit vom Mobilitätsdienstleister ein Blockadeentgelt in der in Absatz 6 genannten Höhe zu verlangen.</t>
  </si>
  <si>
    <t xml:space="preserve">Der Ladepunktbetreiber ist berechtigt, nach Ablauf einer maximalen Nutzungszeit vom Mobilitätsdienstleister ein Blockadeentgelt in der in Absatz 6 genannten Höhe zu verlangen. Die maximale Nutzungszeit beginnt mit Beginn des Ladevorgangs und beträgt a) bei MCS-Ladepunkten und CCS-Ladepunkten zum Zwischenladen 1 Stunde b) bei CCS-Ladepunkten zum Übernachtladen und MCS- oder CCS-Ladepunkte zum Zwischenladen, die zum Übernachtladen freigegeben wurden, 12 Stunden.</t>
  </si>
  <si>
    <t xml:space="preserve">Kapitel: Start- und zeitabhängige Entgelte; Nutzungsdauer; Mindestabnahmemenge bei Über-
Fundstelle im PDF: Seite 8
Fundstelle im Bestand bereits belegt, Text weicht ab – bitte gegen die alte Zeile prüfen</t>
  </si>
  <si>
    <t xml:space="preserve">ANF-1358</t>
  </si>
  <si>
    <t xml:space="preserve">Der Ladepunktbetreiber kann die maximalen Nutzungszeiten in Zeiten geringer Auslastung verlängern.</t>
  </si>
  <si>
    <t xml:space="preserve">Der Ladepunktbetreiber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Mobilitätsdienstleister zusätzlich eine Karenzzeit zum Verlassen des Ladeplatzes von 5 Minuten einzuräumen, nach deren Ablauf erst ein Blockadeentgelt erhoben werden darf.</t>
  </si>
  <si>
    <t xml:space="preserve">Kapitel: Start- und zeitabhängige Entgelte; Nutzungsdauer; Mindestabnahmemenge bei Über-
Fundstelle im PDF: Seite 8</t>
  </si>
  <si>
    <t xml:space="preserve">ANF-1359</t>
  </si>
  <si>
    <t xml:space="preserve">Hat der Mobilitätsdienstleister einen Ladepunkt reserviert, so endet die maximale Nutzungszeit mit dem Ablauf des reservierten Zeitraums, auch wenn der Ladeplatz erst später belegt wurde, es sei …</t>
  </si>
  <si>
    <t xml:space="preserve">Hat der Mobilitätsdienstleister einen Ladepunkt reserviert, so endet die maximale Nutzungszeit mit dem Ablauf des reservierten Zeitraums, auch wenn der Ladeplatz erst später belegt wurde, es sei denn, der Ladepunktbetreiber räumt ihm eine längere maximale Nutzungszeit ein.</t>
  </si>
  <si>
    <t xml:space="preserve">ANF-1360</t>
  </si>
  <si>
    <t xml:space="preserve">§ 8 (6)</t>
  </si>
  <si>
    <t xml:space="preserve">Die Höhe des Blockadeentgelts beträgt bei MCS-Ladepunkten und bei CCS-Ladepunkten zum Zwischenladen 0,50 €/Minute und bei CCS-Ladepunkten bzw.</t>
  </si>
  <si>
    <t xml:space="preserve">Die Höhe des Blockadeentgelts beträgt bei MCS-Ladepunkten und bei CCS-Ladepunkten zum Zwischenladen 0,50 €/Minute und bei CCS-Ladepunkten bzw. CCS- und MCS- Ladepunkten zum Zwischenladen, während des Zeitraums, für den sie zum Übernachtladen freigegeben wurden, 0,15 €/Minute.</t>
  </si>
  <si>
    <t xml:space="preserve">ANF-1361</t>
  </si>
  <si>
    <t xml:space="preserve">§ 8 (7)</t>
  </si>
  <si>
    <t xml:space="preserve">Der Ladepunktbetreiber kann die Höhe des Blockadeentgelts nach Absatz 6 und die maximalen Nutzungszeiten bzw.</t>
  </si>
  <si>
    <t xml:space="preserve">Der Ladepunktbetreiber kann die Höhe des Blockadeentgelts nach Absatz 6 und die maximalen Nutzungszeiten bzw. Sperrzeiten für die Erhebung eines Blockadeentgeltes nach den Absätzen 1 bis 3 während der Laufzeit des Vertrags mit einer Frist von zwei Monaten auf den Beginn eines Quartals schriftlich mit Wirkung gegenüber dem Mobilitätsdienstleister anpassen. Eine Anpassung der Höhe der Blockadeentgelte setzt im Verhältnis des Ladepunktbetreibers zur Autobahn GmbH die Zustimmung der Autobahn GmbH voraus.</t>
  </si>
  <si>
    <t xml:space="preserve">ANF-1362</t>
  </si>
  <si>
    <t xml:space="preserve">§ 8 (8)</t>
  </si>
  <si>
    <t xml:space="preserve">Die Mindestmenge für jeden Übernachtladevorgang beträgt 150 kWh, dies gilt auch für MCS- und CCS-Ladepunkte, die vom Ladepunktbetreiber zum Übernachtladen freigegeben werden.</t>
  </si>
  <si>
    <t xml:space="preserve">Die Mindestmenge für jeden Übernachtladevorgang beträgt 150 kWh, dies gilt auch für MCS- und CCS-Ladepunkte, die vom Ladepunktbetreiber zum Übernachtladen freigegeben werden. Wird die Mindestabnahmemenge von einem Endnutzer nicht erreicht, so ist der Mobilitätsdienstleister verpflichtet, an den Ladepunktbetreiber eine Entschädigung zu zahlen. Die Höhe der Entschädigung richtet sich nach der Differenz zwischen der tatsächlich abgenommenen Strommenge und der vorgesehenen Mindestabnahmemenge. Die Entschädigung beträgt 30 ct/kWh.</t>
  </si>
  <si>
    <t xml:space="preserve">ANF-1363</t>
  </si>
  <si>
    <t xml:space="preserve">§ 8 (9)</t>
  </si>
  <si>
    <t xml:space="preserve">Der Ladepunktbetreiber kann die Höhe der Entschädigung nach Absatz 1 mit einer Vorlaufzeit von sechs Wochen schriftlich mit Wirkung gegenüber dem Mobilitätsdienstleister anpassen.</t>
  </si>
  <si>
    <t xml:space="preserve">Der Ladepunktbetreiber kann die Höhe der Entschädigung nach Absatz 1 mit einer Vorlaufzeit von sechs Wochen schriftlich mit Wirkung gegenüber dem Mobilitätsdienstleister anpassen. Eine Anpassung gegenüber dem Mobilitätsdienstleister erfolgt ausschließlich im Fall einer Vereinbarung über die Anpassung zwischen dem Ladepunktbetreiber und der Autobahn GmbH.</t>
  </si>
  <si>
    <t xml:space="preserve">ANF-1364</t>
  </si>
  <si>
    <t xml:space="preserve">Dieser Vertrag tritt am […] [alternativ: mit Unterzeichnung] in Kraft.</t>
  </si>
  <si>
    <t xml:space="preserve">Kapitel: Kündigung
Fundstelle im PDF: Seite 9</t>
  </si>
  <si>
    <t xml:space="preserve">ANF-1365</t>
  </si>
  <si>
    <t xml:space="preserve">Beide Vertragsparteien können den Vertrag mit einer Frist von einem Monat zum Ende eines Kalendermonats kündigen, der Ladepunktbetreiber jedoch nur, soweit eine Pflicht zur Gewährung des Zugangs zur …</t>
  </si>
  <si>
    <t xml:space="preserve">Beide Vertragsparteien können den Vertrag mit einer Frist von einem Monat zum Ende eines Kalendermonats kündigen, der Ladepunktbetreiber jedoch nur, soweit eine Pflicht zur Gewährung des Zugangs zur Ladeinfrastruktur auf der Grundlage des Betreibervertrags nicht oder nicht mehr besteht oder gleichzeitig mit der Kündigung der Abschluss eines neuen Vertrags zur Gewährung des Zugangs zur Ladeinfrastruktur angeboten wird, der den Anforderungen des Betreibervertrags entspricht.</t>
  </si>
  <si>
    <t xml:space="preserve">Kapitel: Kündigung
Fundstelle im PDF: Seite 9
Zuordnung prüfen (Komponente/Partner nicht eindeutig)</t>
  </si>
  <si>
    <t xml:space="preserve">ANF-1366</t>
  </si>
  <si>
    <t xml:space="preserve">Mit Wirksamwerden der Kündigung endet das Recht des Mobilitätsdienstleisters zur Nutzung der Ladeinfrastruktur unmittelbar, sonstige Rechte und Pflichten aus dem Netznutzungsverhältnis enden mit …</t>
  </si>
  <si>
    <t xml:space="preserve">Mit Wirksamwerden der Kündigung endet das Recht des Mobilitätsdienstleisters zur Nutzung der Ladeinfrastruktur unmittelbar, sonstige Rechte und Pflichten aus dem Netznutzungsverhältnis enden mit Begleichung sämtlicher Forderungen.</t>
  </si>
  <si>
    <t xml:space="preserve">ANF-1367</t>
  </si>
  <si>
    <t xml:space="preserve">Beide Vertragsparteien können diesen Vertrag fristlos aus wichtigem Grund kündigen.</t>
  </si>
  <si>
    <t xml:space="preserve">Beide Vertragsparteien können diesen Vertrag fristlos aus wichtigem Grund kündigen. Ein wichtiger Grund liegt insbesondere vor, wenn a) ein vom Mobilitätsdienstleister nach § 3 Abs. 4 benannter Bilanzkreis geschlossen wurde, b) gegen wesentliche Bestimmungen dieses Vertrags wiederholt trotz Abmahnung unter Androhung des Entzugs des Zugangs zur Ladeinfrastruktur schwerwiegend verstoßen wird, c) der Mobilitätsdienstleister seiner gegebenenfalls aufgrund bilateraler Vereinbarung bestehenden Verpflichtung zur Vorauszahlung nicht, nicht vollständig oder nicht fristgerecht nachkommt, d) wenn der Ladepunktbetreiber aufgrund bilateraler Vereinbarung eine Vorauszahlung verlangen kann, aber Umstände vorliegen, die die konkrete Besorgnis begründen, dass die Vorauszahlung nicht geleistet wird, oder e) wenn der Betreibervertrag aus wichtigem Grund gekündigt wird.</t>
  </si>
  <si>
    <t xml:space="preserve">ANF-1368</t>
  </si>
  <si>
    <t xml:space="preserve">Die Kündigung bedarf der Schriftform (keine E-Mail).</t>
  </si>
  <si>
    <t xml:space="preserve">ANF-1369</t>
  </si>
  <si>
    <t xml:space="preserve">Die Vertragsparteien werden die im Zusammenhang mit der Durchführung dieses Vertrags erhobenen, übermittelten oder zugänglich gemachten Daten unter Beachtung der gesetzlichen und …</t>
  </si>
  <si>
    <t xml:space="preserve">Die Vertragsparteien werden die im Zusammenhang mit der Durchführung dieses Vertrags erhobenen, übermittelten oder zugänglich gemachten Daten unter Beachtung der gesetzlichen und datenschutzrechtlichen Bestimmungen vertraulich behandeln. Die Vertragsparteien sind berechtigt, Verbrauchs-, Abrechnungs- und Vertragsdaten, insbesondere für die Erfassung, Bilanzierung und Abrechnung der Energielieferungen sowie der Netznutzung, an Dritte in dem Umfang weiterzugeben, wie dies zur ordnungsgemäßen technischen und kommerziellen Abwicklung der jeweiligen Pflichten erforderlich ist. Diese Regelungen schließen eine Weitergabe an Behörden und Gerichte im Rahmen der gesetzlichen Vorgaben nicht aus.</t>
  </si>
  <si>
    <t xml:space="preserve">Kapitel: Vertraulichkeit und Verarbeitung personenbezogener Daten
Fundstelle im PDF: Seite 10</t>
  </si>
  <si>
    <t xml:space="preserve">ANF-1370</t>
  </si>
  <si>
    <t xml:space="preserve">Informationen zur Verarbeitung personenbezogener Daten können unter www… [bitte ergänzen: Internetadresse oder Formulierung anpassen] eingesehen und beim Ladepunktbetreiber angefordert werden …</t>
  </si>
  <si>
    <t xml:space="preserve">Informationen zur Verarbeitung personenbezogener Daten können unter www… [bitte ergänzen: Internetadresse oder Formulierung anpassen] eingesehen und beim Ladepunktbetreiber angefordert werden [alternativ zur letzten Variante: und sind als Anlage beigefügt].</t>
  </si>
  <si>
    <t xml:space="preserve">Kapitel: Vertraulichkeit und Verarbeitung personenbezogener Daten
Fundstelle im PDF: Seite 10
Zuordnung prüfen (Komponente/Partner nicht eindeutig)</t>
  </si>
  <si>
    <t xml:space="preserve">ANF-1371</t>
  </si>
  <si>
    <t xml:space="preserve">Ladepunktbetreiber und Mobilitätsdienstleister verpflichten sich, die der jeweils anderen Vertragspartei nach Art.</t>
  </si>
  <si>
    <t xml:space="preserve">Ladepunktbetreiber und Mobilitätsdienstleister verpflichten sich, die der jeweils anderen Vertragspartei nach Art. 13 und/oder Art. 14 DS-GVO obliegenden Informationspflichten gegenüber den eigenen Mitarbeitern, Erfüllungsgehilfen und Dienstleistern (betroffene Personen) zu erfüllen, wenn im Rahmen der Vertragserfüllung, zur Durchführung vorvertraglicher Maßnahmen, zur Erfüllung einer rechtlichen Verpflichtung oder zur Wahrung berechtigter Interessen a) personenbezogene Daten betroffener Personen von einer Vertragspartei an die jeweils andere Vertragspartei weitergeben werden und/oder b) betroffene Personen auf Veranlassung der einen Vertragspartei die jeweils andere Vertragspartei kontaktieren. Hierfür verwendet die Vertragspartei, die die personenbezogenen Daten weitergibt bzw. auf deren Veranlassung die Kontaktaufnahme erfolgt, das ihr von der anderen Vertragspartei zur Verfügung gestellte Informationsblatt. Eine Vertragspartei ist nicht verpflichtet, das ihr von der anderen Vertragspartei zur Verfügung gestellte Informationsblatt vor der Aushändigung an die betroffenen Personen zu prüfen. Sie ist weiterhin nicht berechtigt, dieses ohne vorherige Zustimmung zu ändern. Es obliegt ausschließlich der zur Information verpflichteten Vertragspartei, der anderen Vertragspartei ein den jeweils geltenden rechtlichen Anforderungen entsprechendes Informationsblatt zur Verfügung zu stellen und dieses bei Bedarf auch während der Vertragslaufzeit zu aktualisieren.</t>
  </si>
  <si>
    <t xml:space="preserve">ANF-1372</t>
  </si>
  <si>
    <t xml:space="preserve">§ 11</t>
  </si>
  <si>
    <t xml:space="preserve">Die Regelungen des Vertrags und der Anlagen beruhen auf den gesetzlichen und sonstigen Rahmenbedingungen zum Zeitpunkt des Vertragsschlusses (z.</t>
  </si>
  <si>
    <t xml:space="preserve">Die Regelungen des Vertrags und der Anlagen beruhen auf den gesetzlichen und sonstigen Rahmenbedingungen zum Zeitpunkt des Vertragsschlusses (z. B. AFIR, EnWG, MsbG, StromNZV, StromNEV und ARegV sowie höchstrichterlicher Rechtsprechung und Entscheidungen der Regulierungsbehörden). Das vertragliche Äquivalenzverhältnis kann nach Vertragsschluss durch unvorhersehbare Änderungen der gesetzlichen oder sonstigen Rahmenbedingungen (z. B. durch Gesetzesänderungen, sofern deren konkreter Inhalt nicht bereits – etwa in der Phase zwischen dem Abschluss des förmlichen Gesetzgebungsverfahrens und dem Inkrafttreten – absehbar war), die der Ladepunktbetreiber nicht veranlasst und auf die er auch keinen Einfluss hat, in nicht unbedeutendem Maße gestört werden. Ebenso kann nach Vertragsschluss eine im Vertrag entstandene Lücke nicht unerhebliche Schwierigkeiten bei der Durchführung des Vertrags entstehen lassen (etwa, wenn die Rechtsprechung eine Klausel für unwirksam erklärt), die nur durch eine Anpassung oder Ergänzung zu beseitigen sind. In solchen Fällen ist der Ladepunktbetreiber verpflichtet, den Vertrag und die Anlagen unverzüglich insoweit anzupassen und/oder zu ergänzen, als es die Wiederherstellung des Äquivalenzverhältnisses von Leistung und Gegenleistung und/oder der Ausgleich entstandener Vertragslücken zur zumutbaren Fort- und Durchführung des Vertragsverhältnisses erforderlich macht (z. B. mangels gesetzlicher Überleitungsbestimmungen). Anpassungen des Vertrags und/oder der Anlagen sind nur zum Monatsersten möglich. Die Anpassung wird nur wirksam, wenn der Ladepunktbetreiber dem Mobilitätsdienstleister die Anpassung spätestens sechs Wochen vor dem geplanten Wirksamwerden in Schriftform mitteilt. In diesem Fall hat der Mobilitätsdienstleister das Recht, den Vertrag ohne Einhaltung einer Kündigungsfrist zum Zeitpunkt des Wirksamwerdens der Vertragsanpassung zu kündigen. Hierauf wird der Mobilitätsdienstleister vom Ladepunktbetreiber in der Mitteilung gesondert hingewiesen.</t>
  </si>
  <si>
    <t xml:space="preserve">Kapitel: Anpassung des Vertrags
Fundstelle im PDF: Seite 10
Zuordnung prüfen (Komponente/Partner nicht eindeutig)</t>
  </si>
  <si>
    <t xml:space="preserve">ANF-1373</t>
  </si>
  <si>
    <t xml:space="preserve">§ 12</t>
  </si>
  <si>
    <t xml:space="preserve">Die Vertragsparteien sind berechtigt, die Rechte und Pflichten aus dem Vertrag als Gesamtheit auf einen personell, technisch und wirtschaftlich leistungsfähigen Dritten zu übertragen.</t>
  </si>
  <si>
    <t xml:space="preserve">Die Vertragsparteien sind berechtigt, die Rechte und Pflichten aus dem Vertrag als Gesamtheit auf einen personell, technisch und wirtschaftlich leistungsfähigen Dritten zu übertragen. Eine Übertragung nach Satz 1 ist der jeweils anderen Vertragspartei rechtzeitig im Voraus mitzuteilen. In diesem Fall hat die andere Vertragspartei das Recht, den Vertrag ohne Einhaltung einer Kündigungsfrist zum Zeitpunkt des Wirksamwerdens der Übertragung zu kündigen. Hierauf wird die andere Vertragspartei von der übertragenden Vertragspartei in der Mitteilung gesondert hingewiesen. Das Recht zur Abtretung von Forderungen nach § 398 BGB sowie eine gesetzliche Rechtsnachfolge, insbesondere bei Übertragungen i. S. d. UmwG oder in Fällen der rechtlichen Entflechtung des Netzbetriebs nach § 7 EnWG, bleiben von dieser Ziffer unberührt.</t>
  </si>
  <si>
    <t xml:space="preserve">Kapitel: Übertragung des Vertrags
Fundstelle im PDF: Seite 11</t>
  </si>
  <si>
    <t xml:space="preserve">ANF-1374</t>
  </si>
  <si>
    <t xml:space="preserve">§ 13</t>
  </si>
  <si>
    <t xml:space="preserve">Der ausschließliche Gerichtsstand ist der [Sitz des Ladepunktbetreibers].</t>
  </si>
  <si>
    <t xml:space="preserve">Kapitel: Gerichtsstand
Fundstelle im PDF: Seite 11
Zuordnung prüfen (Komponente/Partner nicht eindeutig)</t>
  </si>
  <si>
    <t xml:space="preserve">ANF-1375</t>
  </si>
  <si>
    <t xml:space="preserve">§ 14 (1)</t>
  </si>
  <si>
    <t xml:space="preserve">Die Regelungen dieses Vertrags sind abschließend.</t>
  </si>
  <si>
    <t xml:space="preserve">Die Regelungen dieses Vertrags sind abschließend. Mündliche Nebenabreden bestehen nicht.</t>
  </si>
  <si>
    <t xml:space="preserve">Kapitel: Schlussbestimmungen
Fundstelle im PDF: Seite 11</t>
  </si>
  <si>
    <t xml:space="preserve">ANF-1376</t>
  </si>
  <si>
    <t xml:space="preserve">§ 14 (2)</t>
  </si>
  <si>
    <t xml:space="preserve">Sollten einzelne Bestimmungen des Vertrags unwirksam oder undurchführbar sein oder werden, so bleibt der Vertrag im Übrigen wirksam.</t>
  </si>
  <si>
    <t xml:space="preserve">ANF-1377</t>
  </si>
  <si>
    <t xml:space="preserve">Gegenstand der Vereinbarung 1.1. Diese Vereinbarung regelt die Rechte und Pflichten der Vertragsparteien im Zusammenhang mit der bilanziellen Zuordnung von Energiemengen, die an den von dem …</t>
  </si>
  <si>
    <t xml:space="preserve">Gegenstand der Vereinbarung 1.1. Diese Vereinbarung regelt die Rechte und Pflichten der Vertragsparteien im Zusammenhang mit der bilanziellen Zuordnung von Energiemengen, die an den von dem Ladepunktbetreiber betriebenen Standorten im Wege des Durchleitungsmodells entnommen werden und dem Bilanzkreis des Bilanzkreisverantwortlichen zugeordnet werden. Der Bilanzkreis wurde vom Mobilitätsdienstleister für die Entnahmen seiner Endnutzer in der Regelzone […] benannt.</t>
  </si>
  <si>
    <t xml:space="preserve">Kapitel: Anhänge
Fundstelle im PDF: Seite 12</t>
  </si>
  <si>
    <t xml:space="preserve">ANF-1378</t>
  </si>
  <si>
    <t xml:space="preserve">Zuordnungsermächtigung 2.1. Der Bilanzkreisverantwortliche gestattet dem Ladepunktbetreiber die bilanzielle Zuordnung von entnommenen Energiemengen, die dem Mobilitätsdienstleister [bitte einfügen] …</t>
  </si>
  <si>
    <t xml:space="preserve">Zuordnungsermächtigung 2.1. Der Bilanzkreisverantwortliche gestattet dem Ladepunktbetreiber die bilanzielle Zuordnung von entnommenen Energiemengen, die dem Mobilitätsdienstleister [bitte einfügen] über seine virtuelle(n) Marktlokations-ID (im Folgenden virtuelle MaLo-ID) zugerechnet werden. Die bilanzielle Zuordnung erfolgt unter Anwendung 2.1.1. der vom BDEW Bundesverband der Energie- und Wasserwirtschaft e. V. veröffentlichten „Anwendungshilfe zum Modell 2 zur ladevorgangsscharfen bilanziellen Energiemengenzuordnungsmöglichkeit“ in der jeweils geltenden Fassung, 2.1.2. der von der Bundesnetzagentur erlassenen „Festlegung einheitlicher Geschäftsprozesse und Datenformate zur Abwicklung der Belieferung von Kunden mit Elektrizität - GPKE“ (BK6-06-009) in jeweils geltender Fassung sowie 2.1.3.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 2.2. Soweit ein elektronischer Datenaustausch zwischen den Vertragsparteien nach Maßgabe der vorgenannten Festlegungen durchzuführen ist, so erfolgt dieser in Anwendung von verbändeübergreifend erarbeiteten Spezifikationen der Expertengruppe „EDI@Energy“, soweit diese zuvor Gegenstand einer durch die Bundesnetzagentur begleiteten Konsultation waren und im Anschluss durch die Bundesnetzagentur veröffentlicht worden sind. Bei der Auslegung sind auch die von EDI@Energy veröffentlichten Fehlerkorrekturen zu berücksichtigen.</t>
  </si>
  <si>
    <t xml:space="preserve">Kapitel: Anhänge
Fundstelle im PDF: Seite 12
Zuordnung prüfen (Komponente/Partner nicht eindeutig)</t>
  </si>
  <si>
    <t xml:space="preserve">ANF-1379</t>
  </si>
  <si>
    <t xml:space="preserve">Mitwirkung am Datenclearing gemäß MaBiS 3.1. Die Vertragsparteien verpflichten sich, an der Bilanzkreisabrechnung nach Maßgabe der MaBiS mitzuwirken, unter Beachtung der zur weiteren Ausgestaltung …</t>
  </si>
  <si>
    <t xml:space="preserve">Mitwirkung am Datenclearing gemäß MaBiS 3.1. Die Vertragsparteien verpflichten sich, an der Bilanzkreisabrechnung nach Maßgabe der MaBiS mitzuwirken, unter Beachtung der zur weiteren Ausgestaltung verbändeübergreifend und unter Begleitung durch die Bundesnetzagentur erarbeiteten Spezifikationen in jeweils aktueller Fassung sowie der von der Bundesnetzagentur hierzu veröffentlichten Mitteilungen. 3.2. Hinsichtlich des Clearings der vom Verteilnetzbetreiber bereitzustellenden bilanzierungswirksamen Daten gilt insbesondere: Legt eine der Vertragsparteien konkrete Anhaltspunkte dar, die Anlass zur Prüfung und gegebenenfalls Korrektur von Daten oder zur Übermittlung einer veränderten Prüfungsmitteilung in Bezug auf Daten geben, so hat die jeweils andere Vertragspartei unverzüglich die erforderlichen Schritte im Rahmen des Clearings zu ergreifen.</t>
  </si>
  <si>
    <t xml:space="preserve">ANF-1380</t>
  </si>
  <si>
    <t xml:space="preserve">§ 15 (4)</t>
  </si>
  <si>
    <t xml:space="preserve">Laufzeit und Kündigung 4.1. Diese Vereinbarung tritt am [bitte einfügen] in Kraft und läuft auf unbestimmte Zeit.</t>
  </si>
  <si>
    <t xml:space="preserve">Laufzeit und Kündigung 4.1. Diese Vereinbarung tritt am [bitte einfügen] in Kraft und läuft auf unbestimmte Zeit. Eine separat zuvor geschlossene Zuordnungsvereinbarung tritt zu diesem Zeitpunkt außer Kraft. Die Zuordnungsvereinbarung besteht aber so lange fort, bis der den betreffenden Bilanzkreis innehabende Bilanzkreisverantwortliche für sämtliche den Bilanzkreis nutzenden Mobilitätsdienstleister die ausgegebene Zuordnungsvereinbarung gegenüber dem Ladepunktbetreiber wirksam nach MaBiS widerrufen hat und die Bilanzkreisabrechnung für alle virtuellen Marktlokationen, die diesem Bilanzkreis zugeordnet waren, abgeschlossen ist. 4.2. Diese Vereinbarung kann ungeachtet der vorstehenden Ziffer auch von beiden Vertragsparteien gesondert in Textform gekündigt werden. Die Kündigung ist jeweils zum Ersten eines Monats unter Einhaltung einer Kündigungsfrist von zwei Monaten möglich. Ansprüche zwischen den Vertragsparteien, die während der Laufzeit dieses Vertrags entstanden sind, bleiben von der Beendigung dieses Vertrags unberührt.</t>
  </si>
  <si>
    <t xml:space="preserve">ANF-1381</t>
  </si>
  <si>
    <t xml:space="preserve">§ 15 (5)</t>
  </si>
  <si>
    <t xml:space="preserve">Schlussbestimmungen 5.1. Rechte und Pflichten aus dieser Vereinbarung können mit Zustimmung der jeweils anderen Partei auf einen Dritten übertragen werden.</t>
  </si>
  <si>
    <t xml:space="preserve">Schlussbestimmungen 5.1. Rechte und Pflichten aus dieser Vereinbarung können mit Zustimmung der jeweils anderen Partei auf einen Dritten übertragen werden. Die Zustimmung darf nicht verweigert werden, sofern die technische und wirtschaftliche Leistungsfähigkeit des eintretenden Dritten gewährleistet ist. Eine Zustimmung ist ausnahmsweise nicht erforderlich bei der Übertragung von Rechten und Pflichten auf ein mit der jeweiligen Vertragspartei verbundenes Unternehmen i. S. d. §§ 15 ff. AktG. In den Fällen der Gesamtrechtsnachfolge, insbesondere nach Umwandlungsrecht, gelten anstelle des Vorstehenden die gesetzlichen Bestimmungen. 5.2. Sollten einzelne Bestimmungen der Zuordnungsvereinbarung unwirksam oder undurchführbar sein oder werden, so bleibt die Vereinbarung im Übrigen davon unberührt. Die Vertragsparteien verpflichten sich, bis zum Inkrafttreten einer regulierungsbehördlich festgelegten Nachfolgefassung die unwirksamen oder undurchführbaren Bestimmungen durch andere, ihrem wirtschaftlichen Erfolg möglichst gleichkommende zu ersetzen. 5.3. Die in Ziffer 2 genannten Festlegungen und Anwendungshilfen in ihrer jeweils gültigen Fassung und die dazu veröffentlichten Mitteilungen gehen etwa entgegenstehenden Regelungen dieser Vereinbarung vor. 5.4. Die Vertragsparteien werden die im Zusammenhang mit der Durchführung dieser Vereinbarung erhobenen, übermittelten oder zugänglich gemachten personenbezogenen Daten vertraulich behandeln. Dies gilt namentlich hinsichtlich der Beachtung von § 6a EnWG und der einschlägigen datenschutzrechtlichen Bestimmungen. Die Vertragsparteien sind berechtigt, Verbrauchs-, Abrechnungs- und Vertragsdaten an Dritte in dem Umfang weiterzugeben, wie dies zur ordnungsgemäßen technischen und kommerziellen Abwicklung der jeweiligen Pflichten erforderlich ist. Diese Regelungen schließen eine Weitergabe an Behörden und Gerichte im Rahmen der gesetzlichen Vorgaben nicht aus. 5.5. Mit Wirksamwerden dieser Vereinbarung werden bis zu diesem Zeitpunkt zwischen den Vertragsparteien bestehende Vereinbarungen über die Abwicklung der Bilanzkreisabrechnung unwirksam. 5.6. Für den Vertragsschluss ist die Textform ausreichend. 5.7. Änderungen oder Ergänzungen der Vereinbarung bedürfen zu ihrer Wirksamkeit der Textform. Gleiches gilt für die Änderung dieser Klausel. 5.8. Der Gerichtsstand ist der Sitz des Ladepunktbetreibers. 5.9. Änderungen der Anlage werden sich die Vertragsparteien unverzüglich in Textform mitteilen.</t>
  </si>
  <si>
    <t xml:space="preserve">ANF-1382</t>
  </si>
  <si>
    <t xml:space="preserve">§ 15 (6)</t>
  </si>
  <si>
    <t xml:space="preserve">Ansprechpartner und Marktpartner Identifikationsnummer Als Ansprechpartner sind folgende Personen benannt: Ansprechpartner auf Seiten des Ladepunktbetreibers: ______________ Tel.: ______________ …</t>
  </si>
  <si>
    <t xml:space="preserve">Ansprechpartner und Marktpartner 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Bilanzkreisverantwortlichen: ______________ Tel.: ______________ E-Mail: ______________ Marktpartner-Identifikationsnummer ______________ ........................, den ............................ ..........................., den .............................. ....................................................... …….......................................................... (Ladepunktbetreiber) (Bilanzkreisverantwortlicher) Anhang: Ansprechpartner und Marktpartner-Identifikationsnummer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Mobilitätsdienstleisters: ______________ Tel.: ______________ E-Mail: ______________ Soweit der Mobilitätsdienstleister auch Bilanzkreisverantwortlicher ist: Marktpartner-Identifikationsnummer ______________</t>
  </si>
  <si>
    <t xml:space="preserve">Filter – Anforderungen gezielt anzeigen</t>
  </si>
  <si>
    <t xml:space="preserve">Auswahllisten (Grundlage der Dropdowns)</t>
  </si>
  <si>
    <t xml:space="preserve">Auswahl in den gelben Feldern treffen; die Liste unten aktualisiert sich sofort. „(alle)“ lässt das Feld unberücksichtigt. Komponente und Partner suchen als Teiltext, finden also auch Mehrfachzuordnungen. Gepflegt wird weiterhin nur im Register „Anforderungen“.</t>
  </si>
  <si>
    <t xml:space="preserve">(alle)</t>
  </si>
  <si>
    <t xml:space="preserve">Komponente</t>
  </si>
  <si>
    <t xml:space="preserve">Suchbegriff</t>
  </si>
  <si>
    <t xml:space="preserve">Rang</t>
  </si>
  <si>
    <t xml:space="preserve">Suchbegriff wirkt auf Kernaussage und Originaltext</t>
  </si>
  <si>
    <t xml:space="preserve">Treffer</t>
  </si>
  <si>
    <t xml:space="preserve">WWL</t>
  </si>
  <si>
    <t xml:space="preserve">Angezeigt werden die ersten 300 Treffer. Bei mehr Treffern die Auswahl weiter eingrenzen.</t>
  </si>
  <si>
    <t xml:space="preserve">Originaltext</t>
  </si>
  <si>
    <t xml:space="preserve">Auswertung – Anforderungen</t>
  </si>
  <si>
    <t xml:space="preserve">Automatische Auswertung des Statusprozesses erfasst → bewertet → erfüllt bzw. trifft nicht zu – inklusive Bieterfragenkatalog.</t>
  </si>
  <si>
    <t xml:space="preserve">Erfüllungsgrad = erfüllte Anforderungen / anwendbare Anforderungen (Status „trifft nicht zu“ wird aus dem Nenner ausgeschlossen).</t>
  </si>
  <si>
    <t xml:space="preserve">1  Nach Themenfeld</t>
  </si>
  <si>
    <t xml:space="preserve">Merkmal</t>
  </si>
  <si>
    <t xml:space="preserve">Gesamt</t>
  </si>
  <si>
    <t xml:space="preserve">2  Nach Partner</t>
  </si>
  <si>
    <t xml:space="preserve">3  Nach Komponente</t>
  </si>
  <si>
    <t xml:space="preserve">4  Nach Dokument</t>
  </si>
  <si>
    <t xml:space="preserve">5  Gesamtstatus</t>
  </si>
  <si>
    <t xml:space="preserve">Anforderungen</t>
  </si>
  <si>
    <t xml:space="preserve">Anteil</t>
  </si>
  <si>
    <t xml:space="preserve">6  Vollständigkeit Erfüllung / Nachweis</t>
  </si>
  <si>
    <t xml:space="preserve">Prüfung</t>
  </si>
  <si>
    <t xml:space="preserve">Hinweis</t>
  </si>
  <si>
    <t xml:space="preserve">Erfüllt + Datum + Nachweis</t>
  </si>
  <si>
    <t xml:space="preserve">vollständig dokumentiert</t>
  </si>
  <si>
    <t xml:space="preserve">Datum in „Erfüllt am“ ergänzen</t>
  </si>
  <si>
    <t xml:space="preserve">Nachweis oder kurze Notiz ergänzen</t>
  </si>
  <si>
    <t xml:space="preserve">Begründung in „Nachweis / Notiz“ ergänzen</t>
  </si>
  <si>
    <t xml:space="preserve">Anwendbare Anforderungen</t>
  </si>
  <si>
    <t xml:space="preserve">Gesamt abzüglich „trifft nicht zu“</t>
  </si>
  <si>
    <t xml:space="preserve">Offene Zuordnung Komponente</t>
  </si>
  <si>
    <t xml:space="preserve">Komponente fachlich zuordnen</t>
  </si>
  <si>
    <t xml:space="preserve">Offene Zuordnung Partner</t>
  </si>
  <si>
    <t xml:space="preserve">Partner fachlich zuordnen</t>
  </si>
  <si>
    <t xml:space="preserve">Komponenten &amp; Schnittstellen</t>
  </si>
  <si>
    <t xml:space="preserve">Struktur Vergabeeinheit → Partner → Art → Komponente. Anzahl und Status der Anforderungen werden automatisch aus dem Register „Anforderungen“ abgeleitet.</t>
  </si>
  <si>
    <t xml:space="preserve">Statuslogik: erfasst hat Vorrang vor bewertet; erst wenn keine offenen Vorstufen mehr vorhanden sind, wird erfüllt bzw. trifft nicht zu angezeigt. Nur die Felder Vergabeeinheit, Partner, Art, Komponente und Bemerkung werden gepflegt – alles Übrige rechnet sich selbst.</t>
  </si>
  <si>
    <t xml:space="preserve">Vergabeeinheit</t>
  </si>
  <si>
    <t xml:space="preserve">Art</t>
  </si>
  <si>
    <t xml:space="preserve">Bemerkung / Schnittstelle</t>
  </si>
  <si>
    <t xml:space="preserve">LIS</t>
  </si>
  <si>
    <t xml:space="preserve">SmartInfra</t>
  </si>
  <si>
    <t xml:space="preserve">AUP</t>
  </si>
  <si>
    <t xml:space="preserve">CAME</t>
  </si>
  <si>
    <t xml:space="preserve">Schnittstelle</t>
  </si>
  <si>
    <t xml:space="preserve">Schnittstelle: zählt Anforderungen, die alle genannten Komponenten betreffen.</t>
  </si>
  <si>
    <t xml:space="preserve">Das Organigramm liegt im eigenen Reiter „Organigramm“. Es rechnet vollständig aus dieser Tabelle.</t>
  </si>
  <si>
    <t xml:space="preserve">Organigramm – Vergabe- und Komponentenstruktur</t>
  </si>
  <si>
    <t xml:space="preserve">SmartInfra → Vergabeeinheit → Partner → Art → Komponente. Jede Box ist mit einer Formelzelle in Spalte Z verknüpft und aktualisiert sich automatisch aus dem Reiter „Komponenten“. Gepflegt wird ausschließlich dort.</t>
  </si>
  <si>
    <t xml:space="preserve">Textquellen der Boxen (Formeln – bitte nicht löschen)</t>
  </si>
  <si>
    <t xml:space="preserve">Statusansicht – dieselbe Struktur, Farbe folgt dem Komponentenstatus</t>
  </si>
  <si>
    <t xml:space="preserve">Legende Statusfarben</t>
  </si>
  <si>
    <t xml:space="preserve">keine Anforderungen</t>
  </si>
  <si>
    <t xml:space="preserve">Lesehilfe – Anforderungen</t>
  </si>
  <si>
    <t xml:space="preserve">So wird die vereinfachte Anforderungsdatei verwendet</t>
  </si>
  <si>
    <t xml:space="preserve">Zweck</t>
  </si>
  <si>
    <t xml:space="preserve">Die Mappe bündelt die Anforderungen aus der Ausschreibung und verfolgt ihren fachlichen Status bis zur Erfüllung.</t>
  </si>
  <si>
    <t xml:space="preserve">Zentrales Arbeitsregister. Hier werden Status, Erfüllungsdatum sowie Nachweis / Notiz gepflegt.</t>
  </si>
  <si>
    <t xml:space="preserve">Komponenten</t>
  </si>
  <si>
    <t xml:space="preserve">Zeigt automatisch, wie viele Anforderungen an einer Komponente bzw. Schnittstelle hängen und welchen zusammengefassten Status sie hat.</t>
  </si>
  <si>
    <t xml:space="preserve">Auswertung</t>
  </si>
  <si>
    <t xml:space="preserve">Automatische Auswertung nach Themenfeld, Partner, Komponente, Dokument und Gesamtstatus.</t>
  </si>
  <si>
    <t xml:space="preserve">Cockpit</t>
  </si>
  <si>
    <t xml:space="preserve">Kompakte Kennzahlen zu Status, Erfüllungsgrad und fehlender Erfüllungsdokumentation.</t>
  </si>
  <si>
    <t xml:space="preserve">Anzeigekonzept</t>
  </si>
  <si>
    <t xml:space="preserve">Wurde aus dieser Mappe entfernt und steht als separate Excel-Datei zur Verfügung.</t>
  </si>
  <si>
    <t xml:space="preserve">Status „erfasst“</t>
  </si>
  <si>
    <t xml:space="preserve">Die Anforderung ist aufgenommen, wurde aber noch nicht abschließend fachlich bewertet.</t>
  </si>
  <si>
    <t xml:space="preserve">Status „bewertet“</t>
  </si>
  <si>
    <t xml:space="preserve">Status ist das steuernde Feld: erfasst → bewertet → erfüllt oder „trifft nicht zu“. Der Status bestimmt, welche Dokumentation erforderlich ist.</t>
  </si>
  <si>
    <t xml:space="preserve">Status „erfüllt“</t>
  </si>
  <si>
    <t xml:space="preserve">„Erfüllt am“ ist ein normales Datumsfeld ohne Dropdown. Es wird nur bei Status „erfüllt“ befüllt und enthält das tatsächliche Erfüllungsdatum.</t>
  </si>
  <si>
    <t xml:space="preserve">Status „trifft nicht zu“</t>
  </si>
  <si>
    <t xml:space="preserve">„Nachweis / Notiz“ gehört direkt zum Status: bei „erfüllt“ dient es als Nachweis/Prüfnotiz; bei „trifft nicht zu“ dokumentiert es die Begründung.</t>
  </si>
  <si>
    <t xml:space="preserve">Die drei Felder Status + Erfüllt am + Nachweis / Notiz bilden gemeinsam den Erfüllungsblock. Fehlende oder widersprüchliche Eingaben werden farblich markiert.</t>
  </si>
  <si>
    <t xml:space="preserve">Kurzer Nachweis, Link-/Dokumenthinweis, Prüfergebnis oder Begründung, warum die Anforderung nicht zutrifft.</t>
  </si>
  <si>
    <t xml:space="preserve">Komponentenstatus</t>
  </si>
  <si>
    <t xml:space="preserve">Der Status wird automatisch aus den zugeordneten Anforderungen abgeleitet. Solange mindestens eine Anforderung erst erfasst oder bewertet ist, bleibt die Komponente entsprechend offen.</t>
  </si>
  <si>
    <t xml:space="preserve">Erfüllte Anforderungen geteilt durch alle anwendbaren Anforderungen; „trifft nicht zu“ wird nicht als offene Anforderung gewertet.</t>
  </si>
  <si>
    <t xml:space="preserve">Neue Anforderung</t>
  </si>
  <si>
    <t xml:space="preserve">Neue Zeile unterhalb des Registers ergänzen und eine eindeutige ANF-ID vergeben. Status zunächst auf „erfasst“ setzen.</t>
  </si>
  <si>
    <t xml:space="preserve">Der Ausschreibungstext bleibt unverändert. Eigene Hinweise gehören in „Bemerkung / Klärung“ oder „Nachweis / Notiz“.</t>
  </si>
  <si>
    <t xml:space="preserve">Der vollständige Bieterfragenkatalog (Stand 13.05.2026) ist als Dokument „Bieterfragenkatalog“ direkt im Register „Anforderungen“ enthalten – eine Frage je Zeile. Die Fundstelle nennt Fragennummer und Seite im PDF.</t>
  </si>
  <si>
    <t xml:space="preserve">Kurze fachliche Zusammenfassung aus Frage und Antwort des Auftraggebers. Sie gibt die Antwort nicht verschärft wieder; eine reine Klarstellung bleibt eine Klarstellung. Die Originalfrage steht in Spalte F, die Originalantwort in Spalte N.</t>
  </si>
  <si>
    <t xml:space="preserve">Bieterfrage-Nr. / Antwort</t>
  </si>
  <si>
    <t xml:space="preserve">Zwei neue Spalten am Ende der Tabelle: die Nummer der Bieterfrage und die vollständige Originalantwort des Auftraggebers.</t>
  </si>
  <si>
    <t xml:space="preserve">Kennzeichnet Partner- oder Komponentenzuordnungen, die sich aus den vorliegenden Unterlagen nicht eindeutig ergeben. Bewusst offen gelassen statt geraten – diese Felder sind gelb markiert.</t>
  </si>
  <si>
    <t xml:space="preserve">Die Vergabeeinheit ist in keiner der vorliegenden Quellen benannt und steht daher überall auf „Zuordnung prüfen“. Sobald sie im Register „Komponenten“ eingetragen wird, gruppiert sich das Organigramm automatisch neu.</t>
  </si>
  <si>
    <t xml:space="preserve">Organigramm</t>
  </si>
  <si>
    <t xml:space="preserve">Im Register „Komponenten“ unterhalb der Tabelle: SmartInfra → Vergabeeinheit → Partner → Art → Komponente, gezeichnet mit Excel-Zeichenobjekten. Die Beschriftung jeder Box ist über die Bearbeitungsleiste mit einer Formelzelle in Spalte M verknüpft und aktualisiert sich automatisch. Die Boxenanordnung selbst ist fest; kommen Komponenten hinzu oder ändert sich die Gruppierung, muss sie neu erzeugt werden.</t>
  </si>
  <si>
    <t xml:space="preserve">Statusansicht</t>
  </si>
  <si>
    <t xml:space="preserve">Unterhalb des Organigramms, gleiche Hierarchie in Zellen. Sie färbt sich über bedingte Formatierung automatisch nach dem Komponentenstatus und passt sich auch einer Umsortierung der Tabelle ohne Nacharbeit an.</t>
  </si>
  <si>
    <t xml:space="preserve">Filter</t>
  </si>
  <si>
    <t xml:space="preserve">Eigener Reiter zum gezielten Anzeigen: Status, Dokument, Themenfeld, Komponente, Partner und Freitext. Die Trefferliste rechnet sich aus dem Register und wird dort nicht gepflegt.</t>
  </si>
</sst>
</file>

<file path=xl/styles.xml><?xml version="1.0" encoding="utf-8"?>
<styleSheet xmlns="http://schemas.openxmlformats.org/spreadsheetml/2006/main">
  <numFmts count="6">
    <numFmt numFmtId="164" formatCode="General"/>
    <numFmt numFmtId="165" formatCode="0"/>
    <numFmt numFmtId="166" formatCode="0%"/>
    <numFmt numFmtId="167" formatCode="0\ %"/>
    <numFmt numFmtId="168" formatCode="dd\.mm\.yyyy"/>
    <numFmt numFmtId="169" formatCode="General"/>
  </numFmts>
  <fonts count="52">
    <font>
      <sz val="11"/>
      <color theme="1"/>
      <name val="Calibri"/>
      <family val="0"/>
      <charset val="1"/>
    </font>
    <font>
      <sz val="10"/>
      <name val="Arial"/>
      <family val="0"/>
    </font>
    <font>
      <sz val="10"/>
      <name val="Arial"/>
      <family val="0"/>
    </font>
    <font>
      <sz val="10"/>
      <name val="Arial"/>
      <family val="0"/>
    </font>
    <font>
      <b val="true"/>
      <sz val="18"/>
      <color rgb="FFFFFFFF"/>
      <name val="Arial"/>
      <family val="2"/>
      <charset val="1"/>
    </font>
    <font>
      <sz val="10"/>
      <color rgb="FF555555"/>
      <name val="Arial"/>
      <family val="2"/>
      <charset val="1"/>
    </font>
    <font>
      <i val="true"/>
      <sz val="9"/>
      <color rgb="FF555555"/>
      <name val="Arial"/>
      <family val="2"/>
      <charset val="1"/>
    </font>
    <font>
      <b val="true"/>
      <sz val="10"/>
      <color rgb="FFFFFFFF"/>
      <name val="Arial"/>
      <family val="2"/>
      <charset val="1"/>
    </font>
    <font>
      <b val="true"/>
      <sz val="10"/>
      <color rgb="FF000000"/>
      <name val="Arial"/>
      <family val="2"/>
      <charset val="1"/>
    </font>
    <font>
      <sz val="10"/>
      <color rgb="FF000000"/>
      <name val="Arial"/>
      <family val="2"/>
      <charset val="1"/>
    </font>
    <font>
      <sz val="10"/>
      <color theme="1"/>
      <name val="Calibri"/>
      <family val="2"/>
      <charset val="1"/>
    </font>
    <font>
      <b val="true"/>
      <sz val="10"/>
      <color theme="1"/>
      <name val="Calibri"/>
      <family val="2"/>
      <charset val="1"/>
    </font>
    <font>
      <b val="true"/>
      <sz val="18"/>
      <color rgb="FF000000"/>
      <name val="Calibri"/>
      <family val="2"/>
    </font>
    <font>
      <sz val="10"/>
      <color rgb="FF000000"/>
      <name val="Calibri"/>
      <family val="2"/>
    </font>
    <font>
      <b val="true"/>
      <sz val="18"/>
      <color rgb="FFFFFFFF"/>
      <name val="Calibri"/>
      <family val="2"/>
      <charset val="1"/>
    </font>
    <font>
      <sz val="10"/>
      <color rgb="FF555555"/>
      <name val="Calibri"/>
      <family val="2"/>
      <charset val="1"/>
    </font>
    <font>
      <b val="true"/>
      <sz val="11"/>
      <color rgb="FF1F4E78"/>
      <name val="Calibri"/>
      <family val="2"/>
      <charset val="1"/>
    </font>
    <font>
      <b val="true"/>
      <sz val="11"/>
      <color rgb="FFFFFFFF"/>
      <name val="Calibri"/>
      <family val="2"/>
      <charset val="1"/>
    </font>
    <font>
      <b val="true"/>
      <sz val="10"/>
      <color rgb="FFFFFFFF"/>
      <name val="Calibri"/>
      <family val="2"/>
      <charset val="1"/>
    </font>
    <font>
      <sz val="10"/>
      <name val="Calibri"/>
      <family val="2"/>
      <charset val="1"/>
    </font>
    <font>
      <b val="true"/>
      <sz val="16"/>
      <color rgb="FF1F3864"/>
      <name val="Arial"/>
      <family val="0"/>
      <charset val="1"/>
    </font>
    <font>
      <b val="true"/>
      <sz val="9"/>
      <color rgb="FF808080"/>
      <name val="Arial"/>
      <family val="0"/>
      <charset val="1"/>
    </font>
    <font>
      <sz val="9"/>
      <color rgb="FF808080"/>
      <name val="Arial"/>
      <family val="0"/>
      <charset val="1"/>
    </font>
    <font>
      <sz val="8"/>
      <color rgb="FF808080"/>
      <name val="Arial"/>
      <family val="0"/>
      <charset val="1"/>
    </font>
    <font>
      <b val="true"/>
      <sz val="9"/>
      <color rgb="FF1F4E78"/>
      <name val="Arial"/>
      <family val="0"/>
      <charset val="1"/>
    </font>
    <font>
      <sz val="10"/>
      <name val="Arial"/>
      <family val="0"/>
      <charset val="1"/>
    </font>
    <font>
      <i val="true"/>
      <sz val="8"/>
      <color rgb="FF808080"/>
      <name val="Arial"/>
      <family val="0"/>
      <charset val="1"/>
    </font>
    <font>
      <b val="true"/>
      <sz val="14"/>
      <color rgb="FF1F3864"/>
      <name val="Arial"/>
      <family val="0"/>
      <charset val="1"/>
    </font>
    <font>
      <b val="true"/>
      <sz val="10"/>
      <name val="Arial"/>
      <family val="0"/>
      <charset val="1"/>
    </font>
    <font>
      <b val="true"/>
      <sz val="10"/>
      <color rgb="FFFFFFFF"/>
      <name val="Arial"/>
      <family val="0"/>
      <charset val="1"/>
    </font>
    <font>
      <sz val="9"/>
      <name val="Arial"/>
      <family val="0"/>
      <charset val="1"/>
    </font>
    <font>
      <sz val="11"/>
      <color theme="1"/>
      <name val="Calibri"/>
      <family val="2"/>
      <charset val="1"/>
    </font>
    <font>
      <b val="true"/>
      <sz val="11"/>
      <color rgb="FFFFFFFF"/>
      <name val="Arial"/>
      <family val="2"/>
      <charset val="1"/>
    </font>
    <font>
      <b val="true"/>
      <sz val="16"/>
      <color rgb="FF1F3864"/>
      <name val="Arial"/>
      <family val="2"/>
      <charset val="1"/>
    </font>
    <font>
      <sz val="10"/>
      <color rgb="FF595959"/>
      <name val="Arial"/>
      <family val="2"/>
      <charset val="1"/>
    </font>
    <font>
      <sz val="9"/>
      <color rgb="FF808080"/>
      <name val="Arial"/>
      <family val="2"/>
      <charset val="1"/>
    </font>
    <font>
      <sz val="10"/>
      <name val="Arial"/>
      <family val="2"/>
      <charset val="1"/>
    </font>
    <font>
      <b val="true"/>
      <sz val="10"/>
      <name val="Arial"/>
      <family val="2"/>
      <charset val="1"/>
    </font>
    <font>
      <i val="true"/>
      <sz val="10"/>
      <color rgb="FF808080"/>
      <name val="Arial"/>
      <family val="0"/>
      <charset val="1"/>
    </font>
    <font>
      <b val="true"/>
      <sz val="9"/>
      <color rgb="FF808080"/>
      <name val="Arial"/>
      <family val="2"/>
      <charset val="1"/>
    </font>
    <font>
      <b val="true"/>
      <sz val="12"/>
      <color rgb="FF1F3864"/>
      <name val="Arial"/>
      <family val="2"/>
      <charset val="1"/>
    </font>
    <font>
      <b val="true"/>
      <sz val="9"/>
      <color rgb="FFFFFFFF"/>
      <name val="Arial"/>
      <family val="2"/>
      <charset val="1"/>
    </font>
    <font>
      <sz val="9"/>
      <color rgb="FF000000"/>
      <name val="Arial"/>
      <family val="2"/>
      <charset val="1"/>
    </font>
    <font>
      <b val="true"/>
      <sz val="10"/>
      <color rgb="FF1F3864"/>
      <name val="Arial"/>
      <family val="2"/>
      <charset val="1"/>
    </font>
    <font>
      <sz val="9"/>
      <name val="Arial"/>
      <family val="2"/>
      <charset val="1"/>
    </font>
    <font>
      <b val="true"/>
      <sz val="12"/>
      <color rgb="FF1F3864"/>
      <name val="Arial"/>
      <family val="0"/>
      <charset val="1"/>
    </font>
    <font>
      <b val="true"/>
      <sz val="9"/>
      <color rgb="FFFFFFFF"/>
      <name val="Arial"/>
      <family val="0"/>
      <charset val="1"/>
    </font>
    <font>
      <sz val="9"/>
      <color rgb="FF000000"/>
      <name val="Arial"/>
      <family val="0"/>
      <charset val="1"/>
    </font>
    <font>
      <b val="true"/>
      <sz val="10"/>
      <color rgb="FF1F3864"/>
      <name val="Arial"/>
      <family val="0"/>
      <charset val="1"/>
    </font>
    <font>
      <i val="true"/>
      <sz val="10"/>
      <color rgb="FF555555"/>
      <name val="Arial"/>
      <family val="2"/>
      <charset val="1"/>
    </font>
    <font>
      <b val="true"/>
      <sz val="10"/>
      <color rgb="FF1F4E78"/>
      <name val="Arial"/>
      <family val="2"/>
      <charset val="1"/>
    </font>
    <font>
      <b val="true"/>
      <sz val="11"/>
      <color rgb="FF1F3A63"/>
      <name val="Calibri"/>
      <family val="2"/>
      <charset val="1"/>
    </font>
  </fonts>
  <fills count="16">
    <fill>
      <patternFill patternType="none"/>
    </fill>
    <fill>
      <patternFill patternType="gray125"/>
    </fill>
    <fill>
      <patternFill patternType="solid">
        <fgColor rgb="FF1F4E78"/>
        <bgColor rgb="FF274B7A"/>
      </patternFill>
    </fill>
    <fill>
      <patternFill patternType="solid">
        <fgColor rgb="FFF5F7FA"/>
        <bgColor rgb="FFF2F2F2"/>
      </patternFill>
    </fill>
    <fill>
      <patternFill patternType="solid">
        <fgColor rgb="FFE2EFDA"/>
        <bgColor rgb="FFE2F0D9"/>
      </patternFill>
    </fill>
    <fill>
      <patternFill patternType="solid">
        <fgColor rgb="FFFCE4D6"/>
        <bgColor rgb="FFFFF2CC"/>
      </patternFill>
    </fill>
    <fill>
      <patternFill patternType="solid">
        <fgColor rgb="FFE2F0D9"/>
        <bgColor rgb="FFE2EFDA"/>
      </patternFill>
    </fill>
    <fill>
      <patternFill patternType="solid">
        <fgColor rgb="FFD9E2F3"/>
        <bgColor rgb="FFD9EAF7"/>
      </patternFill>
    </fill>
    <fill>
      <patternFill patternType="solid">
        <fgColor rgb="FF274B7A"/>
        <bgColor rgb="FF1F4E78"/>
      </patternFill>
    </fill>
    <fill>
      <patternFill patternType="solid">
        <fgColor rgb="FFFFF2CC"/>
        <bgColor rgb="FFFCE4D6"/>
      </patternFill>
    </fill>
    <fill>
      <patternFill patternType="solid">
        <fgColor rgb="FFF2F2F2"/>
        <bgColor rgb="FFF5F7FA"/>
      </patternFill>
    </fill>
    <fill>
      <patternFill patternType="solid">
        <fgColor rgb="FF1F3A63"/>
        <bgColor rgb="FF1F3864"/>
      </patternFill>
    </fill>
    <fill>
      <patternFill patternType="solid">
        <fgColor rgb="FFFFFFFF"/>
        <bgColor rgb="FFF5F7FA"/>
      </patternFill>
    </fill>
    <fill>
      <patternFill patternType="solid">
        <fgColor rgb="FFE7E6E6"/>
        <bgColor rgb="FFE2EFDA"/>
      </patternFill>
    </fill>
    <fill>
      <patternFill patternType="solid">
        <fgColor rgb="FFD9EAF7"/>
        <bgColor rgb="FFD9E2F3"/>
      </patternFill>
    </fill>
    <fill>
      <patternFill patternType="solid">
        <fgColor rgb="FFD9D9D9"/>
        <bgColor rgb="FFD9E2F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5" fontId="9" fillId="6" borderId="1" xfId="0" applyFont="true" applyBorder="true" applyAlignment="true" applyProtection="false">
      <alignment horizontal="center"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67" fontId="8" fillId="5" borderId="1" xfId="0" applyFont="true" applyBorder="true" applyAlignment="true" applyProtection="false">
      <alignment horizontal="center" vertical="center" textRotation="0" wrapText="true" indent="0" shrinkToFit="false"/>
      <protection locked="true" hidden="false"/>
    </xf>
    <xf numFmtId="164" fontId="10" fillId="6" borderId="0" xfId="0" applyFont="true" applyBorder="false" applyAlignment="true" applyProtection="false">
      <alignment horizontal="general" vertical="center" textRotation="0" wrapText="true" indent="0" shrinkToFit="false"/>
      <protection locked="true" hidden="false"/>
    </xf>
    <xf numFmtId="166" fontId="10" fillId="6" borderId="0" xfId="0" applyFont="true" applyBorder="false" applyAlignment="true" applyProtection="false">
      <alignment horizontal="general" vertical="center" textRotation="0" wrapText="true" indent="0" shrinkToFit="false"/>
      <protection locked="true" hidden="false"/>
    </xf>
    <xf numFmtId="164" fontId="11" fillId="6" borderId="0" xfId="0" applyFont="true" applyBorder="false" applyAlignment="true" applyProtection="false">
      <alignment horizontal="general" vertical="center" textRotation="0" wrapText="true" indent="0" shrinkToFit="false"/>
      <protection locked="true" hidden="false"/>
    </xf>
    <xf numFmtId="166" fontId="11" fillId="6" borderId="0" xfId="0" applyFont="true" applyBorder="false" applyAlignment="true" applyProtection="false">
      <alignment horizontal="general" vertical="center" textRotation="0" wrapText="true" indent="0" shrinkToFit="false"/>
      <protection locked="true" hidden="false"/>
    </xf>
    <xf numFmtId="165" fontId="11" fillId="6"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4" fillId="2" borderId="0" xfId="0" applyFont="true" applyBorder="false" applyAlignment="true" applyProtection="false">
      <alignment horizontal="general" vertical="center" textRotation="0" wrapText="tru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true" indent="0" shrinkToFit="false"/>
      <protection locked="true" hidden="false"/>
    </xf>
    <xf numFmtId="164" fontId="16" fillId="7" borderId="0" xfId="0" applyFont="true" applyBorder="true" applyAlignment="true" applyProtection="false">
      <alignment horizontal="center" vertical="center" textRotation="0" wrapText="false" indent="0" shrinkToFit="false"/>
      <protection locked="true" hidden="false"/>
    </xf>
    <xf numFmtId="164" fontId="17" fillId="8" borderId="0"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9" fillId="9" borderId="0" xfId="0" applyFont="true" applyBorder="false" applyAlignment="true" applyProtection="false">
      <alignment horizontal="general" vertical="top" textRotation="0" wrapText="true" indent="0" shrinkToFit="false"/>
      <protection locked="true" hidden="false"/>
    </xf>
    <xf numFmtId="168" fontId="19"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true" applyAlignment="true" applyProtection="false">
      <alignment horizontal="general" vertical="center"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9" borderId="1" xfId="0" applyFont="true" applyBorder="true" applyAlignment="true" applyProtection="false">
      <alignment horizontal="general" vertical="center"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9" fontId="28"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true" applyAlignment="false" applyProtection="false">
      <alignment horizontal="general" vertical="bottom" textRotation="0" wrapText="false" indent="0" shrinkToFit="false"/>
      <protection locked="true" hidden="false"/>
    </xf>
    <xf numFmtId="164" fontId="29" fillId="2" borderId="1" xfId="0" applyFont="true" applyBorder="true" applyAlignment="true" applyProtection="false">
      <alignment horizontal="center" vertical="center" textRotation="0" wrapText="true" indent="0" shrinkToFit="false"/>
      <protection locked="true" hidden="false"/>
    </xf>
    <xf numFmtId="164" fontId="30" fillId="0" borderId="1" xfId="0" applyFont="true" applyBorder="true" applyAlignment="true" applyProtection="false">
      <alignment horizontal="general" vertical="top" textRotation="0" wrapText="true" indent="0" shrinkToFit="false"/>
      <protection locked="true" hidden="false"/>
    </xf>
    <xf numFmtId="168" fontId="30" fillId="0"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31" fillId="0" borderId="0" xfId="0" applyFont="true" applyBorder="false" applyAlignment="true" applyProtection="false">
      <alignment horizontal="general" vertical="bottom" textRotation="0" wrapText="true" indent="0" shrinkToFit="false"/>
      <protection locked="true" hidden="false"/>
    </xf>
    <xf numFmtId="164" fontId="32" fillId="8" borderId="1"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general" vertical="bottom" textRotation="0" wrapText="true" indent="0" shrinkToFit="false"/>
      <protection locked="true" hidden="false"/>
    </xf>
    <xf numFmtId="169" fontId="8" fillId="10" borderId="1" xfId="0" applyFont="true" applyBorder="true" applyAlignment="true" applyProtection="false">
      <alignment horizontal="center" vertical="bottom" textRotation="0" wrapText="true" indent="0" shrinkToFit="false"/>
      <protection locked="true" hidden="false"/>
    </xf>
    <xf numFmtId="166" fontId="8" fillId="10"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center" vertical="bottom" textRotation="0" wrapText="true" indent="0" shrinkToFit="false"/>
      <protection locked="true" hidden="false"/>
    </xf>
    <xf numFmtId="167" fontId="9" fillId="10" borderId="1" xfId="0" applyFont="true" applyBorder="true" applyAlignment="true" applyProtection="false">
      <alignment horizontal="center" vertical="bottom" textRotation="0" wrapText="true" indent="0" shrinkToFit="false"/>
      <protection locked="true" hidden="false"/>
    </xf>
    <xf numFmtId="166" fontId="31" fillId="0" borderId="0" xfId="0" applyFont="true" applyBorder="false" applyAlignment="true" applyProtection="false">
      <alignment horizontal="general" vertical="bottom" textRotation="0" wrapText="true" indent="0" shrinkToFit="false"/>
      <protection locked="true" hidden="false"/>
    </xf>
    <xf numFmtId="164" fontId="17" fillId="8" borderId="0" xfId="0" applyFont="true" applyBorder="false" applyAlignment="true" applyProtection="false">
      <alignment horizontal="general" vertical="bottom" textRotation="0" wrapText="true" indent="0" shrinkToFit="false"/>
      <protection locked="true" hidden="false"/>
    </xf>
    <xf numFmtId="164" fontId="17" fillId="11" borderId="0" xfId="0" applyFont="true" applyBorder="false" applyAlignment="true" applyProtection="false">
      <alignment horizontal="general" vertical="bottom" textRotation="0" wrapText="true" indent="0" shrinkToFit="false"/>
      <protection locked="true" hidden="false"/>
    </xf>
    <xf numFmtId="166" fontId="31"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true" indent="0" shrinkToFit="false"/>
      <protection locked="true" hidden="false"/>
    </xf>
    <xf numFmtId="164" fontId="34" fillId="0" borderId="0" xfId="0" applyFont="true" applyBorder="true" applyAlignment="true" applyProtection="false">
      <alignment horizontal="general" vertical="center" textRotation="0" wrapText="true" indent="0" shrinkToFit="false"/>
      <protection locked="true" hidden="false"/>
    </xf>
    <xf numFmtId="164" fontId="35" fillId="0" borderId="0"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36" fillId="10" borderId="1" xfId="0" applyFont="true" applyBorder="true" applyAlignment="true" applyProtection="false">
      <alignment horizontal="left" vertical="center" textRotation="0" wrapText="true" indent="0" shrinkToFit="false"/>
      <protection locked="true" hidden="false"/>
    </xf>
    <xf numFmtId="169" fontId="36" fillId="12" borderId="1" xfId="0" applyFont="true" applyBorder="true" applyAlignment="true" applyProtection="false">
      <alignment horizontal="center" vertical="center" textRotation="0" wrapText="true" indent="0" shrinkToFit="false"/>
      <protection locked="true" hidden="false"/>
    </xf>
    <xf numFmtId="164" fontId="37" fillId="12" borderId="1" xfId="0" applyFont="true" applyBorder="true" applyAlignment="true" applyProtection="false">
      <alignment horizontal="center" vertical="center" textRotation="0" wrapText="true" indent="0" shrinkToFit="false"/>
      <protection locked="true" hidden="false"/>
    </xf>
    <xf numFmtId="164" fontId="36" fillId="12" borderId="1" xfId="0" applyFont="true" applyBorder="true" applyAlignment="true" applyProtection="false">
      <alignment horizontal="left" vertical="center" textRotation="0" wrapText="true" indent="0" shrinkToFit="false"/>
      <protection locked="true" hidden="false"/>
    </xf>
    <xf numFmtId="164" fontId="36" fillId="0" borderId="0" xfId="0" applyFont="true" applyBorder="false" applyAlignment="true" applyProtection="false">
      <alignment horizontal="left" vertical="center" textRotation="0" wrapText="tru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center" textRotation="0" wrapText="true" indent="0" shrinkToFit="false"/>
      <protection locked="true" hidden="false"/>
    </xf>
    <xf numFmtId="164" fontId="23" fillId="0" borderId="0" xfId="0" applyFont="true" applyBorder="false" applyAlignment="true" applyProtection="false">
      <alignment horizontal="general" vertical="center" textRotation="0" wrapText="tru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1" fillId="0" borderId="1" xfId="0" applyFont="true" applyBorder="true" applyAlignment="true" applyProtection="false">
      <alignment horizontal="center" vertical="center" textRotation="0" wrapText="true" indent="0" shrinkToFit="false"/>
      <protection locked="true" hidden="false"/>
    </xf>
    <xf numFmtId="164" fontId="42" fillId="0" borderId="1" xfId="0" applyFont="true" applyBorder="true" applyAlignment="true" applyProtection="false">
      <alignment horizontal="center" vertical="center" textRotation="0" wrapText="true" indent="0" shrinkToFit="false"/>
      <protection locked="true" hidden="false"/>
    </xf>
    <xf numFmtId="164" fontId="42" fillId="0" borderId="1" xfId="0" applyFont="true" applyBorder="true" applyAlignment="true" applyProtection="false">
      <alignment horizontal="left" vertical="center" textRotation="0" wrapText="tru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4" fillId="13" borderId="1" xfId="0" applyFont="true" applyBorder="true" applyAlignment="true" applyProtection="false">
      <alignment horizontal="center" vertical="center" textRotation="0" wrapText="false" indent="0" shrinkToFit="false"/>
      <protection locked="true" hidden="false"/>
    </xf>
    <xf numFmtId="164" fontId="44" fillId="14" borderId="1" xfId="0" applyFont="true" applyBorder="true" applyAlignment="true" applyProtection="false">
      <alignment horizontal="center" vertical="center" textRotation="0" wrapText="false" indent="0" shrinkToFit="false"/>
      <protection locked="true" hidden="false"/>
    </xf>
    <xf numFmtId="164" fontId="44" fillId="6" borderId="1" xfId="0" applyFont="true" applyBorder="true" applyAlignment="true" applyProtection="false">
      <alignment horizontal="center" vertical="center" textRotation="0" wrapText="false" indent="0" shrinkToFit="false"/>
      <protection locked="true" hidden="false"/>
    </xf>
    <xf numFmtId="164" fontId="44" fillId="15" borderId="1" xfId="0" applyFont="true" applyBorder="true" applyAlignment="true" applyProtection="false">
      <alignment horizontal="center" vertical="center" textRotation="0" wrapText="false" indent="0" shrinkToFit="false"/>
      <protection locked="true" hidden="false"/>
    </xf>
    <xf numFmtId="164" fontId="44" fillId="10" borderId="1" xfId="0" applyFont="true" applyBorder="tru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45" fillId="0" borderId="0" xfId="0" applyFont="true" applyBorder="true" applyAlignment="true" applyProtection="false">
      <alignment horizontal="general" vertical="bottom" textRotation="0" wrapText="false" indent="0" shrinkToFit="false"/>
      <protection locked="true" hidden="false"/>
    </xf>
    <xf numFmtId="164" fontId="46" fillId="0" borderId="1" xfId="0" applyFont="true" applyBorder="true" applyAlignment="true" applyProtection="false">
      <alignment horizontal="center" vertical="center" textRotation="0" wrapText="true" indent="0" shrinkToFit="false"/>
      <protection locked="true" hidden="false"/>
    </xf>
    <xf numFmtId="164" fontId="47" fillId="0" borderId="1" xfId="0" applyFont="true" applyBorder="true" applyAlignment="true" applyProtection="false">
      <alignment horizontal="center" vertical="center" textRotation="0" wrapText="true" indent="0" shrinkToFit="false"/>
      <protection locked="true" hidden="false"/>
    </xf>
    <xf numFmtId="164" fontId="47" fillId="0" borderId="1" xfId="0" applyFont="true" applyBorder="true" applyAlignment="true" applyProtection="false">
      <alignment horizontal="left" vertical="center" textRotation="0" wrapText="tru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30" fillId="13" borderId="1" xfId="0" applyFont="true" applyBorder="true" applyAlignment="true" applyProtection="false">
      <alignment horizontal="center" vertical="center" textRotation="0" wrapText="false" indent="0" shrinkToFit="false"/>
      <protection locked="true" hidden="false"/>
    </xf>
    <xf numFmtId="164" fontId="30" fillId="14" borderId="1" xfId="0" applyFont="true" applyBorder="true" applyAlignment="true" applyProtection="false">
      <alignment horizontal="center" vertical="center" textRotation="0" wrapText="false" indent="0" shrinkToFit="false"/>
      <protection locked="true" hidden="false"/>
    </xf>
    <xf numFmtId="164" fontId="30" fillId="6" borderId="1" xfId="0" applyFont="true" applyBorder="true" applyAlignment="true" applyProtection="false">
      <alignment horizontal="center" vertical="center" textRotation="0" wrapText="false" indent="0" shrinkToFit="false"/>
      <protection locked="true" hidden="false"/>
    </xf>
    <xf numFmtId="164" fontId="30" fillId="15" borderId="1" xfId="0" applyFont="true" applyBorder="true" applyAlignment="true" applyProtection="false">
      <alignment horizontal="center" vertical="center" textRotation="0" wrapText="false" indent="0" shrinkToFit="false"/>
      <protection locked="true" hidden="false"/>
    </xf>
    <xf numFmtId="164" fontId="30" fillId="10" borderId="1" xfId="0" applyFont="true" applyBorder="true" applyAlignment="true" applyProtection="false">
      <alignment horizontal="center" vertical="center" textRotation="0" wrapText="false" indent="0" shrinkToFit="false"/>
      <protection locked="true" hidden="false"/>
    </xf>
    <xf numFmtId="164" fontId="49" fillId="3" borderId="0" xfId="0" applyFont="true" applyBorder="true" applyAlignment="true" applyProtection="false">
      <alignment horizontal="general" vertical="bottom" textRotation="0" wrapText="false" indent="0" shrinkToFit="false"/>
      <protection locked="true" hidden="false"/>
    </xf>
    <xf numFmtId="164" fontId="50" fillId="7"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51"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0">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D9D9D9"/>
          <bgColor rgb="FF000000"/>
        </patternFill>
      </fill>
    </dxf>
    <dxf>
      <fill>
        <patternFill patternType="solid">
          <fgColor rgb="FFD9EAF7"/>
          <bgColor rgb="FF000000"/>
        </patternFill>
      </fill>
    </dxf>
    <dxf>
      <fill>
        <patternFill patternType="solid">
          <fgColor rgb="FFE2F0D9"/>
          <bgColor rgb="FF000000"/>
        </patternFill>
      </fill>
    </dxf>
    <dxf>
      <fill>
        <patternFill patternType="solid">
          <fgColor rgb="FFE7E6E6"/>
          <bgColor rgb="FF000000"/>
        </patternFill>
      </fill>
    </dxf>
    <dxf>
      <fill>
        <patternFill patternType="solid">
          <fgColor rgb="FF006100"/>
          <bgColor rgb="FF000000"/>
        </patternFill>
      </fill>
    </dxf>
    <dxf>
      <fill>
        <patternFill patternType="solid">
          <fgColor rgb="FF666666"/>
          <bgColor rgb="FF000000"/>
        </patternFill>
      </fill>
    </dxf>
    <dxf>
      <fill>
        <patternFill patternType="solid">
          <fgColor rgb="FFFCE4D6"/>
          <bgColor rgb="FF000000"/>
        </patternFill>
      </fill>
    </dxf>
    <dxf>
      <fill>
        <patternFill patternType="solid">
          <fgColor rgb="FF9C5700"/>
          <bgColor rgb="FF000000"/>
        </patternFill>
      </fill>
    </dxf>
    <dxf>
      <fill>
        <patternFill patternType="solid">
          <fgColor rgb="FFF4CCCC"/>
          <bgColor rgb="FF000000"/>
        </patternFill>
      </fill>
    </dxf>
    <dxf>
      <fill>
        <patternFill patternType="solid">
          <fgColor rgb="FF9C0006"/>
          <bgColor rgb="FF000000"/>
        </patternFill>
      </fill>
    </dxf>
    <dxf>
      <fill>
        <patternFill>
          <bgColor rgb="FFE7E6E6"/>
        </patternFill>
      </fill>
    </dxf>
    <dxf>
      <fill>
        <patternFill>
          <bgColor rgb="FFD9EAF7"/>
        </patternFill>
      </fill>
    </dxf>
    <dxf>
      <font>
        <b val="1"/>
        <color rgb="FF006100"/>
      </font>
      <fill>
        <patternFill>
          <bgColor rgb="FFE2F0D9"/>
        </patternFill>
      </fill>
    </dxf>
    <dxf>
      <font>
        <color rgb="FF666666"/>
      </font>
      <fill>
        <patternFill>
          <bgColor rgb="FFD9D9D9"/>
        </patternFill>
      </fill>
    </dxf>
    <dxf>
      <font>
        <b val="1"/>
        <color rgb="FF9C0006"/>
      </font>
      <fill>
        <patternFill>
          <bgColor rgb="FFF4CCCC"/>
        </patternFill>
      </fill>
    </dxf>
    <dxf>
      <fill>
        <patternFill>
          <bgColor rgb="FFE2F0D9"/>
        </patternFill>
      </fill>
    </dxf>
    <dxf>
      <font>
        <color rgb="FF9C5700"/>
      </font>
      <fill>
        <patternFill>
          <bgColor rgb="FFFCE4D6"/>
        </patternFill>
      </fill>
    </dxf>
    <dxf>
      <font>
        <color rgb="FF7F6000"/>
      </font>
      <fill>
        <patternFill>
          <bgColor rgb="FFFFF2CC"/>
        </patternFill>
      </fill>
    </dxf>
    <dxf>
      <fill>
        <patternFill patternType="solid">
          <fgColor rgb="FF000000"/>
          <bgColor rgb="FF000000"/>
        </patternFill>
      </fill>
    </dxf>
    <dxf>
      <font>
        <color rgb="FF777777"/>
      </font>
      <fill>
        <patternFill>
          <bgColor rgb="FFF2F2F2"/>
        </patternFill>
      </fill>
    </dxf>
    <dxf>
      <font>
        <b val="1"/>
        <color rgb="FFFFFFFF"/>
      </font>
      <fill>
        <patternFill>
          <bgColor rgb="FF1F4E78"/>
        </patternFill>
      </fill>
    </dxf>
    <dxf>
      <font>
        <b val="1"/>
        <color rgb="FFFFFFFF"/>
      </font>
      <fill>
        <patternFill>
          <bgColor rgb="FF2E75B6"/>
        </patternFill>
      </fill>
    </dxf>
    <dxf>
      <font>
        <b val="1"/>
        <color rgb="FF1F3864"/>
      </font>
      <fill>
        <patternFill>
          <bgColor rgb="FFBDD7EE"/>
        </patternFill>
      </fill>
    </dxf>
    <dxf>
      <font>
        <color rgb="FF404040"/>
      </font>
      <fill>
        <patternFill>
          <bgColor rgb="FFE7E6E6"/>
        </patternFill>
      </fill>
    </dxf>
    <dxf>
      <font>
        <color rgb="FF1F3864"/>
      </font>
      <fill>
        <patternFill>
          <bgColor rgb="FFD9EAF7"/>
        </patternFill>
      </fill>
    </dxf>
  </dxfs>
  <colors>
    <indexedColors>
      <rgbColor rgb="FF000000"/>
      <rgbColor rgb="FFFFFFFF"/>
      <rgbColor rgb="FFFF0000"/>
      <rgbColor rgb="FF00FF00"/>
      <rgbColor rgb="FF0000FF"/>
      <rgbColor rgb="FFE7E6E6"/>
      <rgbColor rgb="FFFF00FF"/>
      <rgbColor rgb="FF00FFFF"/>
      <rgbColor rgb="FF9C0006"/>
      <rgbColor rgb="FF006100"/>
      <rgbColor rgb="FF000080"/>
      <rgbColor rgb="FF7F6000"/>
      <rgbColor rgb="FF800080"/>
      <rgbColor rgb="FF274B7A"/>
      <rgbColor rgb="FFBFBFBF"/>
      <rgbColor rgb="FF808080"/>
      <rgbColor rgb="FF777777"/>
      <rgbColor rgb="FF595959"/>
      <rgbColor rgb="FFFFF2CC"/>
      <rgbColor rgb="FFD9EAF7"/>
      <rgbColor rgb="FF660066"/>
      <rgbColor rgb="FFFF8080"/>
      <rgbColor rgb="FF1F4E78"/>
      <rgbColor rgb="FFBDD7EE"/>
      <rgbColor rgb="FF000080"/>
      <rgbColor rgb="FFFF00FF"/>
      <rgbColor rgb="FFF2F2F2"/>
      <rgbColor rgb="FF00FFFF"/>
      <rgbColor rgb="FF800080"/>
      <rgbColor rgb="FF800000"/>
      <rgbColor rgb="FF008080"/>
      <rgbColor rgb="FF0000FF"/>
      <rgbColor rgb="FF00CCFF"/>
      <rgbColor rgb="FFE2EFDA"/>
      <rgbColor rgb="FFE2F0D9"/>
      <rgbColor rgb="FFFCE4D6"/>
      <rgbColor rgb="FFCCCCCC"/>
      <rgbColor rgb="FFD9E2F3"/>
      <rgbColor rgb="FFD9D9D9"/>
      <rgbColor rgb="FFF4CCCC"/>
      <rgbColor rgb="FF2E75B6"/>
      <rgbColor rgb="FF33CCCC"/>
      <rgbColor rgb="FF99CC00"/>
      <rgbColor rgb="FFF5F7FA"/>
      <rgbColor rgb="FFFF9900"/>
      <rgbColor rgb="FFFF6600"/>
      <rgbColor rgb="FF666666"/>
      <rgbColor rgb="FF878787"/>
      <rgbColor rgb="FF1F3864"/>
      <rgbColor rgb="FF4F81BD"/>
      <rgbColor rgb="FF003300"/>
      <rgbColor rgb="FF555555"/>
      <rgbColor rgb="FF9C5700"/>
      <rgbColor rgb="FF993366"/>
      <rgbColor rgb="FF1F3A63"/>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 Id="rIdCustom1" Type="http://schemas.openxmlformats.org/officeDocument/2006/relationships/customXml" Target="../customXml/item1.xml"/><Relationship Id="rIdCustom2" Type="http://schemas.openxmlformats.org/officeDocument/2006/relationships/customXml" Target="../customXml/item2.xml"/><Relationship Id="rIdCustom3"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Gesamtstatus Anforderungen</a:t>
            </a:r>
          </a:p>
        </c:rich>
      </c:tx>
      <c:overlay val="0"/>
      <c:spPr>
        <a:noFill/>
        <a:ln w="0">
          <a:noFill/>
        </a:ln>
      </c:spPr>
    </c:title>
    <c:autoTitleDeleted val="0"/>
    <c:plotArea>
      <c:barChart>
        <c:barDir val="col"/>
        <c:grouping val="clustered"/>
        <c:varyColors val="0"/>
        <c:ser>
          <c:idx val="0"/>
          <c:order val="0"/>
          <c:tx>
            <c:strRef>
              <c:f>"Anforderungen"</c:f>
              <c:strCache>
                <c:ptCount val="1"/>
                <c:pt idx="0">
                  <c:v>Anforderungen</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Auswertung!$A$58:$A$61</c:f>
              <c:strCache>
                <c:ptCount val="4"/>
                <c:pt idx="0">
                  <c:v>Bieterfragenkatalog</c:v>
                </c:pt>
                <c:pt idx="1">
                  <c:v>Vertragsanlage 10</c:v>
                </c:pt>
                <c:pt idx="2">
                  <c:v>Vertragsanlage 4</c:v>
                </c:pt>
                <c:pt idx="3">
                  <c:v>Vertragsanlage 6</c:v>
                </c:pt>
              </c:strCache>
            </c:strRef>
          </c:cat>
          <c:val>
            <c:numRef>
              <c:f>Auswertung!$B$58:$B$61</c:f>
              <c:numCache>
                <c:formatCode>General</c:formatCode>
                <c:ptCount val="4"/>
                <c:pt idx="0">
                  <c:v>663</c:v>
                </c:pt>
                <c:pt idx="1">
                  <c:v>107</c:v>
                </c:pt>
                <c:pt idx="2">
                  <c:v>7</c:v>
                </c:pt>
                <c:pt idx="3">
                  <c:v>82</c:v>
                </c:pt>
              </c:numCache>
            </c:numRef>
          </c:val>
        </c:ser>
        <c:gapWidth val="150"/>
        <c:overlap val="0"/>
        <c:axId val="16164646"/>
        <c:axId val="10790906"/>
      </c:barChart>
      <c:catAx>
        <c:axId val="16164646"/>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10790906"/>
        <c:crosses val="autoZero"/>
        <c:auto val="1"/>
        <c:lblAlgn val="ctr"/>
        <c:lblOffset val="100"/>
        <c:noMultiLvlLbl val="0"/>
      </c:catAx>
      <c:valAx>
        <c:axId val="10790906"/>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16164646"/>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Anforderungen nach Themenfeld</a:t>
            </a:r>
          </a:p>
        </c:rich>
      </c:tx>
      <c:overlay val="0"/>
      <c:spPr>
        <a:noFill/>
        <a:ln w="0">
          <a:noFill/>
        </a:ln>
      </c:spPr>
    </c:title>
    <c:autoTitleDeleted val="0"/>
    <c:plotArea>
      <c:barChart>
        <c:barDir val="col"/>
        <c:grouping val="clustered"/>
        <c:varyColors val="0"/>
        <c:ser>
          <c:idx val="0"/>
          <c:order val="0"/>
          <c:tx>
            <c:strRef>
              <c:f>"Gesamt"</c:f>
              <c:strCache>
                <c:ptCount val="1"/>
                <c:pt idx="0">
                  <c:v>Gesamt</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Auswertung!$A$7:$A$15</c:f>
              <c:strCache>
                <c:ptCount val="9"/>
                <c:pt idx="0">
                  <c:v>Anzeige &amp; Beschilderung</c:v>
                </c:pt>
                <c:pt idx="1">
                  <c:v>Authentifizierung &amp; Zugang</c:v>
                </c:pt>
                <c:pt idx="2">
                  <c:v>Bau &amp; Dokumentation</c:v>
                </c:pt>
                <c:pt idx="3">
                  <c:v>Belegungsdetektion</c:v>
                </c:pt>
                <c:pt idx="4">
                  <c:v>Betrieb &amp; Auslastung</c:v>
                </c:pt>
                <c:pt idx="5">
                  <c:v>Flächen &amp; Genehmigungen</c:v>
                </c:pt>
                <c:pt idx="6">
                  <c:v>Monitoring &amp; Reporting</c:v>
                </c:pt>
                <c:pt idx="7">
                  <c:v>Netzanschluss &amp; Energie</c:v>
                </c:pt>
                <c:pt idx="8">
                  <c:v>Nutzungszeit &amp; Entgelte</c:v>
                </c:pt>
              </c:strCache>
            </c:strRef>
          </c:cat>
          <c:val>
            <c:numRef>
              <c:f>Auswertung!$B$7:$B$15</c:f>
              <c:numCache>
                <c:formatCode>General</c:formatCode>
                <c:ptCount val="9"/>
                <c:pt idx="0">
                  <c:v>14</c:v>
                </c:pt>
                <c:pt idx="1">
                  <c:v>51</c:v>
                </c:pt>
                <c:pt idx="2">
                  <c:v>98</c:v>
                </c:pt>
                <c:pt idx="3">
                  <c:v>4</c:v>
                </c:pt>
                <c:pt idx="4">
                  <c:v>76</c:v>
                </c:pt>
                <c:pt idx="5">
                  <c:v>94</c:v>
                </c:pt>
                <c:pt idx="6">
                  <c:v>34</c:v>
                </c:pt>
                <c:pt idx="7">
                  <c:v>228</c:v>
                </c:pt>
                <c:pt idx="8">
                  <c:v>44</c:v>
                </c:pt>
              </c:numCache>
            </c:numRef>
          </c:val>
        </c:ser>
        <c:gapWidth val="150"/>
        <c:overlap val="0"/>
        <c:axId val="57916415"/>
        <c:axId val="39329694"/>
      </c:barChart>
      <c:catAx>
        <c:axId val="57916415"/>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39329694"/>
        <c:crosses val="autoZero"/>
        <c:auto val="1"/>
        <c:lblAlgn val="ctr"/>
        <c:lblOffset val="100"/>
        <c:noMultiLvlLbl val="0"/>
      </c:catAx>
      <c:valAx>
        <c:axId val="39329694"/>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57916415"/>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4</xdr:row>
      <xdr:rowOff>0</xdr:rowOff>
    </xdr:from>
    <xdr:to>
      <xdr:col>9</xdr:col>
      <xdr:colOff>812520</xdr:colOff>
      <xdr:row>17</xdr:row>
      <xdr:rowOff>187560</xdr:rowOff>
    </xdr:to>
    <xdr:graphicFrame>
      <xdr:nvGraphicFramePr>
        <xdr:cNvPr id="0" name="Chart 1"/>
        <xdr:cNvGraphicFramePr/>
      </xdr:nvGraphicFramePr>
      <xdr:xfrm>
        <a:off x="5435640" y="866880"/>
        <a:ext cx="5689440" cy="2664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17</xdr:col>
      <xdr:colOff>360</xdr:colOff>
      <xdr:row>19</xdr:row>
      <xdr:rowOff>16560</xdr:rowOff>
    </xdr:to>
    <xdr:graphicFrame>
      <xdr:nvGraphicFramePr>
        <xdr:cNvPr id="1" name="Chart 2"/>
        <xdr:cNvGraphicFramePr/>
      </xdr:nvGraphicFramePr>
      <xdr:xfrm>
        <a:off x="11125080" y="866880"/>
        <a:ext cx="5690160" cy="30074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5753100" y="793750"/>
    <xdr:ext cx="2857500" cy="495300"/>
    <xdr:sp macro="" textlink="Organigramm!$Z$4">
      <xdr:nvSpPr>
        <xdr:cNvPr id="2" name="Organigramm 2"/>
        <xdr:cNvSpPr/>
      </xdr:nvSpPr>
      <xdr:spPr>
        <a:xfrm>
          <a:off x="5753100" y="793750"/>
          <a:ext cx="2857500" cy="495300"/>
        </a:xfrm>
        <a:prstGeom prst="roundRect">
          <a:avLst>
            <a:gd name="adj" fmla="val 8000"/>
          </a:avLst>
        </a:prstGeom>
        <a:solidFill>
          <a:srgbClr val="1F3864"/>
        </a:solidFill>
        <a:ln w="9525">
          <a:solidFill>
            <a:srgbClr val="1F4E78"/>
          </a:solidFill>
        </a:ln>
      </xdr:spPr>
      <xdr:txBody>
        <a:bodyPr vertOverflow="overflow" horzOverflow="overflow" wrap="square" lIns="27432" tIns="9144" rIns="27432" bIns="9144" anchor="ctr"/>
        <a:lstStyle/>
        <a:p>
          <a:pPr algn="ctr"/>
          <a:fld id="{00003DDE-1B1B-4E4E-9A9A-000000033232}" type="TxLink">
            <a:rPr lang="de-DE" sz="900" b="1">
              <a:solidFill>
                <a:srgbClr val="FFFFFF"/>
              </a:solidFill>
              <a:latin typeface="Arial"/>
            </a:rPr>
            <a:pPr algn="ctr"/>
            <a:t>SMARTINFRA
18 Komponenten / Schnittstellen</a:t>
          </a:fld>
        </a:p>
      </xdr:txBody>
    </xdr:sp>
    <xdr:clientData/>
  </xdr:absoluteAnchor>
  <xdr:absoluteAnchor>
    <xdr:pos x="-228600" y="1612899"/>
    <xdr:ext cx="2476500" cy="457200"/>
    <xdr:sp macro="" textlink="Organigramm!$Z$5">
      <xdr:nvSpPr>
        <xdr:cNvPr id="3" name="Organigramm 3"/>
        <xdr:cNvSpPr/>
      </xdr:nvSpPr>
      <xdr:spPr>
        <a:xfrm>
          <a:off x="-2286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5CCD-1B1B-4E4E-9A9A-00000004CB4B}" type="TxLink">
            <a:rPr lang="de-DE" sz="900" b="1">
              <a:solidFill>
                <a:srgbClr val="FFFFFF"/>
              </a:solidFill>
              <a:latin typeface="Arial"/>
            </a:rPr>
            <a:pPr algn="ctr"/>
            <a:t>LIS
1 Komponente</a:t>
          </a:fld>
        </a:p>
      </xdr:txBody>
    </xdr:sp>
    <xdr:clientData/>
  </xdr:absoluteAnchor>
  <xdr:absoluteAnchor>
    <xdr:pos x="1828800" y="1612899"/>
    <xdr:ext cx="2476500" cy="457200"/>
    <xdr:sp macro="" textlink="Organigramm!$Z$6">
      <xdr:nvSpPr>
        <xdr:cNvPr id="4" name="Organigramm 4"/>
        <xdr:cNvSpPr/>
      </xdr:nvSpPr>
      <xdr:spPr>
        <a:xfrm>
          <a:off x="18288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7BBC-1B1B-4E4E-9A9A-000000066464}" type="TxLink">
            <a:rPr lang="de-DE" sz="900" b="1">
              <a:solidFill>
                <a:srgbClr val="FFFFFF"/>
              </a:solidFill>
              <a:latin typeface="Arial"/>
            </a:rPr>
            <a:pPr algn="ctr"/>
            <a:t>WWL
4 Komponenten</a:t>
          </a:fld>
        </a:p>
      </xdr:txBody>
    </xdr:sp>
    <xdr:clientData/>
  </xdr:absoluteAnchor>
  <xdr:absoluteAnchor>
    <xdr:pos x="5943600" y="1612899"/>
    <xdr:ext cx="2476500" cy="457200"/>
    <xdr:sp macro="" textlink="Organigramm!$Z$7">
      <xdr:nvSpPr>
        <xdr:cNvPr id="5" name="Organigramm 5"/>
        <xdr:cNvSpPr/>
      </xdr:nvSpPr>
      <xdr:spPr>
        <a:xfrm>
          <a:off x="59436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9AAB-1B1B-4E4E-9A9A-00000007FD7D}" type="TxLink">
            <a:rPr lang="de-DE" sz="900" b="1">
              <a:solidFill>
                <a:srgbClr val="FFFFFF"/>
              </a:solidFill>
              <a:latin typeface="Arial"/>
            </a:rPr>
            <a:pPr algn="ctr"/>
            <a:t>SmartInfra
8 Komponenten</a:t>
          </a:fld>
        </a:p>
      </xdr:txBody>
    </xdr:sp>
    <xdr:clientData/>
  </xdr:absoluteAnchor>
  <xdr:absoluteAnchor>
    <xdr:pos x="10058400" y="1612899"/>
    <xdr:ext cx="2476500" cy="457200"/>
    <xdr:sp macro="" textlink="Organigramm!$Z$8">
      <xdr:nvSpPr>
        <xdr:cNvPr id="6" name="Organigramm 6"/>
        <xdr:cNvSpPr/>
      </xdr:nvSpPr>
      <xdr:spPr>
        <a:xfrm>
          <a:off x="100584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B99A-1B1B-4E4E-9A9A-000000099696}" type="TxLink">
            <a:rPr lang="de-DE" sz="900" b="1">
              <a:solidFill>
                <a:srgbClr val="FFFFFF"/>
              </a:solidFill>
              <a:latin typeface="Arial"/>
            </a:rPr>
            <a:pPr algn="ctr"/>
            <a:t>AUP
1 Komponente</a:t>
          </a:fld>
        </a:p>
      </xdr:txBody>
    </xdr:sp>
    <xdr:clientData/>
  </xdr:absoluteAnchor>
  <xdr:absoluteAnchor>
    <xdr:pos x="12115800" y="1612899"/>
    <xdr:ext cx="2476500" cy="457200"/>
    <xdr:sp macro="" textlink="Organigramm!$Z$9">
      <xdr:nvSpPr>
        <xdr:cNvPr id="7" name="Organigramm 7"/>
        <xdr:cNvSpPr/>
      </xdr:nvSpPr>
      <xdr:spPr>
        <a:xfrm>
          <a:off x="12115800" y="1612899"/>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D889-1B1B-4E4E-9A9A-0000000B2FAF}" type="TxLink">
            <a:rPr lang="de-DE" sz="900" b="1">
              <a:solidFill>
                <a:srgbClr val="FFFFFF"/>
              </a:solidFill>
              <a:latin typeface="Arial"/>
            </a:rPr>
            <a:pPr algn="ctr"/>
            <a:t>Zuordnung prüfen
4 Komponenten</a:t>
          </a:fld>
        </a:p>
      </xdr:txBody>
    </xdr:sp>
    <xdr:clientData/>
  </xdr:absoluteAnchor>
  <xdr:absoluteAnchor>
    <xdr:pos x="57150" y="2374900"/>
    <xdr:ext cx="1905000" cy="457200"/>
    <xdr:sp macro="" textlink="Organigramm!$Z$10">
      <xdr:nvSpPr>
        <xdr:cNvPr id="8" name="Organigramm 8"/>
        <xdr:cNvSpPr/>
      </xdr:nvSpPr>
      <xdr:spPr>
        <a:xfrm>
          <a:off x="571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0F778-1B1B-4E4E-9A9A-0000000CC8C8}" type="TxLink">
            <a:rPr lang="de-DE" sz="900" b="1">
              <a:solidFill>
                <a:srgbClr val="FFFFFF"/>
              </a:solidFill>
              <a:latin typeface="Arial"/>
            </a:rPr>
            <a:pPr algn="ctr"/>
            <a:t>Alpitronic
1 Komponente</a:t>
          </a:fld>
        </a:p>
      </xdr:txBody>
    </xdr:sp>
    <xdr:clientData/>
  </xdr:absoluteAnchor>
  <xdr:absoluteAnchor>
    <xdr:pos x="2114550" y="2374900"/>
    <xdr:ext cx="1905000" cy="457200"/>
    <xdr:sp macro="" textlink="Organigramm!$Z$11">
      <xdr:nvSpPr>
        <xdr:cNvPr id="9" name="Organigramm 9"/>
        <xdr:cNvSpPr/>
      </xdr:nvSpPr>
      <xdr:spPr>
        <a:xfrm>
          <a:off x="21145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1667-1B1B-4E4E-9A9A-0000000E61E1}" type="TxLink">
            <a:rPr lang="de-DE" sz="900" b="1">
              <a:solidFill>
                <a:srgbClr val="FFFFFF"/>
              </a:solidFill>
              <a:latin typeface="Arial"/>
            </a:rPr>
            <a:pPr algn="ctr"/>
            <a:t>eRound
4 Komponenten</a:t>
          </a:fld>
        </a:p>
      </xdr:txBody>
    </xdr:sp>
    <xdr:clientData/>
  </xdr:absoluteAnchor>
  <xdr:absoluteAnchor>
    <xdr:pos x="4171950" y="2374900"/>
    <xdr:ext cx="1905000" cy="457200"/>
    <xdr:sp macro="" textlink="Organigramm!$Z$12">
      <xdr:nvSpPr>
        <xdr:cNvPr id="10" name="Organigramm 10"/>
        <xdr:cNvSpPr/>
      </xdr:nvSpPr>
      <xdr:spPr>
        <a:xfrm>
          <a:off x="41719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3556-1B1B-4E4E-9A9A-0000000FFAFA}" type="TxLink">
            <a:rPr lang="de-DE" sz="900" b="1">
              <a:solidFill>
                <a:srgbClr val="FFFFFF"/>
              </a:solidFill>
              <a:latin typeface="Arial"/>
            </a:rPr>
            <a:pPr algn="ctr"/>
            <a:t>Reservierungsplattform
2 Komponenten</a:t>
          </a:fld>
        </a:p>
      </xdr:txBody>
    </xdr:sp>
    <xdr:clientData/>
  </xdr:absoluteAnchor>
  <xdr:absoluteAnchor>
    <xdr:pos x="6229350" y="2374900"/>
    <xdr:ext cx="1905000" cy="457200"/>
    <xdr:sp macro="" textlink="Organigramm!$Z$13">
      <xdr:nvSpPr>
        <xdr:cNvPr id="11" name="Organigramm 11"/>
        <xdr:cNvSpPr/>
      </xdr:nvSpPr>
      <xdr:spPr>
        <a:xfrm>
          <a:off x="62293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5445-1B1B-4E4E-9A9A-000000119413}" type="TxLink">
            <a:rPr lang="de-DE" sz="900" b="1">
              <a:solidFill>
                <a:srgbClr val="FFFFFF"/>
              </a:solidFill>
              <a:latin typeface="Arial"/>
            </a:rPr>
            <a:pPr algn="ctr"/>
            <a:t>SCS
5 Komponenten</a:t>
          </a:fld>
        </a:p>
      </xdr:txBody>
    </xdr:sp>
    <xdr:clientData/>
  </xdr:absoluteAnchor>
  <xdr:absoluteAnchor>
    <xdr:pos x="8286750" y="2374900"/>
    <xdr:ext cx="1905000" cy="457200"/>
    <xdr:sp macro="" textlink="Organigramm!$Z$14">
      <xdr:nvSpPr>
        <xdr:cNvPr id="12" name="Organigramm 12"/>
        <xdr:cNvSpPr/>
      </xdr:nvSpPr>
      <xdr:spPr>
        <a:xfrm>
          <a:off x="82867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7334-1B1B-4E4E-9A9A-000000132D2C}" type="TxLink">
            <a:rPr lang="de-DE" sz="900" b="1">
              <a:solidFill>
                <a:srgbClr val="FFFFFF"/>
              </a:solidFill>
              <a:latin typeface="Arial"/>
            </a:rPr>
            <a:pPr algn="ctr"/>
            <a:t>CAME
1 Komponente</a:t>
          </a:fld>
        </a:p>
      </xdr:txBody>
    </xdr:sp>
    <xdr:clientData/>
  </xdr:absoluteAnchor>
  <xdr:absoluteAnchor>
    <xdr:pos x="10344150" y="2374900"/>
    <xdr:ext cx="1905000" cy="457200"/>
    <xdr:sp macro="" textlink="Organigramm!$Z$15">
      <xdr:nvSpPr>
        <xdr:cNvPr id="13" name="Organigramm 13"/>
        <xdr:cNvSpPr/>
      </xdr:nvSpPr>
      <xdr:spPr>
        <a:xfrm>
          <a:off x="103441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9223-1B1B-4E4E-9A9A-00000014C645}" type="TxLink">
            <a:rPr lang="de-DE" sz="900" b="1">
              <a:solidFill>
                <a:srgbClr val="FFFFFF"/>
              </a:solidFill>
              <a:latin typeface="Arial"/>
            </a:rPr>
            <a:pPr algn="ctr"/>
            <a:t>tbd
1 Komponente</a:t>
          </a:fld>
        </a:p>
      </xdr:txBody>
    </xdr:sp>
    <xdr:clientData/>
  </xdr:absoluteAnchor>
  <xdr:absoluteAnchor>
    <xdr:pos x="12401550" y="2374900"/>
    <xdr:ext cx="1905000" cy="457200"/>
    <xdr:sp macro="" textlink="Organigramm!$Z$16">
      <xdr:nvSpPr>
        <xdr:cNvPr id="14" name="Organigramm 14"/>
        <xdr:cNvSpPr/>
      </xdr:nvSpPr>
      <xdr:spPr>
        <a:xfrm>
          <a:off x="12401550" y="237490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B112-1B1B-4E4E-9A9A-000000165F5E}" type="TxLink">
            <a:rPr lang="de-DE" sz="900" b="1">
              <a:solidFill>
                <a:srgbClr val="FFFFFF"/>
              </a:solidFill>
              <a:latin typeface="Arial"/>
            </a:rPr>
            <a:pPr algn="ctr"/>
            <a:t>eRound / SCS
4 Komponenten</a:t>
          </a:fld>
        </a:p>
      </xdr:txBody>
    </xdr:sp>
    <xdr:clientData/>
  </xdr:absoluteAnchor>
  <xdr:absoluteAnchor>
    <xdr:pos x="247650" y="3136900"/>
    <xdr:ext cx="1524000" cy="304800"/>
    <xdr:sp macro="" textlink="Organigramm!$Z$17">
      <xdr:nvSpPr>
        <xdr:cNvPr id="15" name="Organigramm 15"/>
        <xdr:cNvSpPr/>
      </xdr:nvSpPr>
      <xdr:spPr>
        <a:xfrm>
          <a:off x="2476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D001-1B1B-4E4E-9A9A-00000017F877}" type="TxLink">
            <a:rPr lang="de-DE" sz="800" b="1">
              <a:solidFill>
                <a:srgbClr val="1F3864"/>
              </a:solidFill>
              <a:latin typeface="Arial"/>
            </a:rPr>
            <a:pPr algn="ctr"/>
            <a:t>Komponente
1 Eintrag</a:t>
          </a:fld>
        </a:p>
      </xdr:txBody>
    </xdr:sp>
    <xdr:clientData/>
  </xdr:absoluteAnchor>
  <xdr:absoluteAnchor>
    <xdr:pos x="2305050" y="3136900"/>
    <xdr:ext cx="1524000" cy="304800"/>
    <xdr:sp macro="" textlink="Organigramm!$Z$18">
      <xdr:nvSpPr>
        <xdr:cNvPr id="16" name="Organigramm 16"/>
        <xdr:cNvSpPr/>
      </xdr:nvSpPr>
      <xdr:spPr>
        <a:xfrm>
          <a:off x="23050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EEF0-1B1B-4E4E-9A9A-000000199190}" type="TxLink">
            <a:rPr lang="de-DE" sz="800" b="1">
              <a:solidFill>
                <a:srgbClr val="1F3864"/>
              </a:solidFill>
              <a:latin typeface="Arial"/>
            </a:rPr>
            <a:pPr algn="ctr"/>
            <a:t>Komponente
4 Einträge</a:t>
          </a:fld>
        </a:p>
      </xdr:txBody>
    </xdr:sp>
    <xdr:clientData/>
  </xdr:absoluteAnchor>
  <xdr:absoluteAnchor>
    <xdr:pos x="4362450" y="3136900"/>
    <xdr:ext cx="1524000" cy="304800"/>
    <xdr:sp macro="" textlink="Organigramm!$Z$19">
      <xdr:nvSpPr>
        <xdr:cNvPr id="17" name="Organigramm 17"/>
        <xdr:cNvSpPr/>
      </xdr:nvSpPr>
      <xdr:spPr>
        <a:xfrm>
          <a:off x="43624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0DDF-1B1B-4E4E-9A9A-0000001B2AA9}" type="TxLink">
            <a:rPr lang="de-DE" sz="800" b="1">
              <a:solidFill>
                <a:srgbClr val="1F3864"/>
              </a:solidFill>
              <a:latin typeface="Arial"/>
            </a:rPr>
            <a:pPr algn="ctr"/>
            <a:t>Komponente
2 Einträge</a:t>
          </a:fld>
        </a:p>
      </xdr:txBody>
    </xdr:sp>
    <xdr:clientData/>
  </xdr:absoluteAnchor>
  <xdr:absoluteAnchor>
    <xdr:pos x="6419850" y="3136900"/>
    <xdr:ext cx="1524000" cy="304800"/>
    <xdr:sp macro="" textlink="Organigramm!$Z$20">
      <xdr:nvSpPr>
        <xdr:cNvPr id="18" name="Organigramm 18"/>
        <xdr:cNvSpPr/>
      </xdr:nvSpPr>
      <xdr:spPr>
        <a:xfrm>
          <a:off x="64198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2CCE-1B1B-4E4E-9A9A-0000001CC3C2}" type="TxLink">
            <a:rPr lang="de-DE" sz="800" b="1">
              <a:solidFill>
                <a:srgbClr val="1F3864"/>
              </a:solidFill>
              <a:latin typeface="Arial"/>
            </a:rPr>
            <a:pPr algn="ctr"/>
            <a:t>Komponente
5 Einträge</a:t>
          </a:fld>
        </a:p>
      </xdr:txBody>
    </xdr:sp>
    <xdr:clientData/>
  </xdr:absoluteAnchor>
  <xdr:absoluteAnchor>
    <xdr:pos x="8477250" y="3136900"/>
    <xdr:ext cx="1524000" cy="304800"/>
    <xdr:sp macro="" textlink="Organigramm!$Z$21">
      <xdr:nvSpPr>
        <xdr:cNvPr id="19" name="Organigramm 19"/>
        <xdr:cNvSpPr/>
      </xdr:nvSpPr>
      <xdr:spPr>
        <a:xfrm>
          <a:off x="84772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4BBD-1B1B-4E4E-9A9A-0000001E5CDB}" type="TxLink">
            <a:rPr lang="de-DE" sz="800" b="1">
              <a:solidFill>
                <a:srgbClr val="1F3864"/>
              </a:solidFill>
              <a:latin typeface="Arial"/>
            </a:rPr>
            <a:pPr algn="ctr"/>
            <a:t>Komponente
1 Eintrag</a:t>
          </a:fld>
        </a:p>
      </xdr:txBody>
    </xdr:sp>
    <xdr:clientData/>
  </xdr:absoluteAnchor>
  <xdr:absoluteAnchor>
    <xdr:pos x="10534650" y="3136900"/>
    <xdr:ext cx="1524000" cy="304800"/>
    <xdr:sp macro="" textlink="Organigramm!$Z$22">
      <xdr:nvSpPr>
        <xdr:cNvPr id="20" name="Organigramm 20"/>
        <xdr:cNvSpPr/>
      </xdr:nvSpPr>
      <xdr:spPr>
        <a:xfrm>
          <a:off x="105346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6AAC-1B1B-4E4E-9A9A-0000001FF5F4}" type="TxLink">
            <a:rPr lang="de-DE" sz="800" b="1">
              <a:solidFill>
                <a:srgbClr val="1F3864"/>
              </a:solidFill>
              <a:latin typeface="Arial"/>
            </a:rPr>
            <a:pPr algn="ctr"/>
            <a:t>Komponente
1 Eintrag</a:t>
          </a:fld>
        </a:p>
      </xdr:txBody>
    </xdr:sp>
    <xdr:clientData/>
  </xdr:absoluteAnchor>
  <xdr:absoluteAnchor>
    <xdr:pos x="12592050" y="3136900"/>
    <xdr:ext cx="1524000" cy="304800"/>
    <xdr:sp macro="" textlink="Organigramm!$Z$23">
      <xdr:nvSpPr>
        <xdr:cNvPr id="21" name="Organigramm 21"/>
        <xdr:cNvSpPr/>
      </xdr:nvSpPr>
      <xdr:spPr>
        <a:xfrm>
          <a:off x="12592050" y="313690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899B-1B1B-4E4E-9A9A-000000218F0D}" type="TxLink">
            <a:rPr lang="de-DE" sz="800" b="1">
              <a:solidFill>
                <a:srgbClr val="1F3864"/>
              </a:solidFill>
              <a:latin typeface="Arial"/>
            </a:rPr>
            <a:pPr algn="ctr"/>
            <a:t>Schnittstelle
4 Einträge</a:t>
          </a:fld>
        </a:p>
      </xdr:txBody>
    </xdr:sp>
    <xdr:clientData/>
  </xdr:absoluteAnchor>
  <xdr:absoluteAnchor>
    <xdr:pos x="285750" y="3670300"/>
    <xdr:ext cx="1676400" cy="666750"/>
    <xdr:sp macro="" textlink="Organigramm!$Z$24">
      <xdr:nvSpPr>
        <xdr:cNvPr id="22" name="Organigramm 22"/>
        <xdr:cNvSpPr/>
      </xdr:nvSpPr>
      <xdr:spPr>
        <a:xfrm>
          <a:off x="2857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A88A-1B1B-4E4E-9A9A-000000232826}" type="TxLink">
            <a:rPr lang="de-DE" sz="800" b="0">
              <a:solidFill>
                <a:srgbClr val="404040"/>
              </a:solidFill>
              <a:latin typeface="Arial"/>
            </a:rPr>
            <a:pPr algn="ctr"/>
            <a:t>Ladeeinrichtung
171 Anforderungen · 0/171 erfüllt
Status: erfasst</a:t>
          </a:fld>
        </a:p>
      </xdr:txBody>
    </xdr:sp>
    <xdr:clientData/>
  </xdr:absoluteAnchor>
  <xdr:absoluteAnchor>
    <xdr:pos x="2343150" y="3670300"/>
    <xdr:ext cx="1676400" cy="666750"/>
    <xdr:sp macro="" textlink="Organigramm!$Z$25">
      <xdr:nvSpPr>
        <xdr:cNvPr id="23" name="Organigramm 23"/>
        <xdr:cNvSpPr/>
      </xdr:nvSpPr>
      <xdr:spPr>
        <a:xfrm>
          <a:off x="23431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C779-1B1B-4E4E-9A9A-00000024C13F}" type="TxLink">
            <a:rPr lang="de-DE" sz="800" b="0">
              <a:solidFill>
                <a:srgbClr val="404040"/>
              </a:solidFill>
              <a:latin typeface="Arial"/>
            </a:rPr>
            <a:pPr algn="ctr"/>
            <a:t>Abrechnungskomponente
50 Anforderungen · 0/50 erfüllt
Status: erfasst</a:t>
          </a:fld>
        </a:p>
      </xdr:txBody>
    </xdr:sp>
    <xdr:clientData/>
  </xdr:absoluteAnchor>
  <xdr:absoluteAnchor>
    <xdr:pos x="2343150" y="4432300"/>
    <xdr:ext cx="1676400" cy="666750"/>
    <xdr:sp macro="" textlink="Organigramm!$Z$26">
      <xdr:nvSpPr>
        <xdr:cNvPr id="24" name="Organigramm 24"/>
        <xdr:cNvSpPr/>
      </xdr:nvSpPr>
      <xdr:spPr>
        <a:xfrm>
          <a:off x="23431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E668-1B1B-4E4E-9A9A-000000265A58}" type="TxLink">
            <a:rPr lang="de-DE" sz="800" b="0">
              <a:solidFill>
                <a:srgbClr val="404040"/>
              </a:solidFill>
              <a:latin typeface="Arial"/>
            </a:rPr>
            <a:pPr algn="ctr"/>
            <a:t>Authentifizierungskomponente
66 Anforderungen · 2/66 erfüllt
Status: erfasst</a:t>
          </a:fld>
        </a:p>
      </xdr:txBody>
    </xdr:sp>
    <xdr:clientData/>
  </xdr:absoluteAnchor>
  <xdr:absoluteAnchor>
    <xdr:pos x="2343150" y="5194299"/>
    <xdr:ext cx="1676400" cy="666750"/>
    <xdr:sp macro="" textlink="Organigramm!$Z$27">
      <xdr:nvSpPr>
        <xdr:cNvPr id="25" name="Organigramm 25"/>
        <xdr:cNvSpPr/>
      </xdr:nvSpPr>
      <xdr:spPr>
        <a:xfrm>
          <a:off x="2343150" y="5194299"/>
          <a:ext cx="1676400" cy="666750"/>
        </a:xfrm>
        <a:prstGeom prst="roundRect">
          <a:avLst>
            <a:gd name="adj" fmla="val 8000"/>
          </a:avLst>
        </a:prstGeom>
        <a:solidFill>
          <a:srgbClr val="D9D9D9"/>
        </a:solidFill>
        <a:ln w="9525">
          <a:solidFill>
            <a:srgbClr val="1F4E78"/>
          </a:solidFill>
        </a:ln>
      </xdr:spPr>
      <xdr:txBody>
        <a:bodyPr vertOverflow="overflow" horzOverflow="overflow" wrap="square" lIns="27432" tIns="9144" rIns="27432" bIns="9144" anchor="ctr"/>
        <a:lstStyle/>
        <a:p>
          <a:pPr algn="ctr"/>
          <a:fld id="{00030557-1B1B-4E4E-9A9A-00000027F371}" type="TxLink">
            <a:rPr lang="de-DE" sz="800" b="0">
              <a:solidFill>
                <a:srgbClr val="666666"/>
              </a:solidFill>
              <a:latin typeface="Arial"/>
            </a:rPr>
            <a:pPr algn="ctr"/>
            <a:t>Monitoring
44 Anforderungen · 0/44 erfüllt
Status: trifft nicht zu</a:t>
          </a:fld>
        </a:p>
      </xdr:txBody>
    </xdr:sp>
    <xdr:clientData/>
  </xdr:absoluteAnchor>
  <xdr:absoluteAnchor>
    <xdr:pos x="2343150" y="5956299"/>
    <xdr:ext cx="1676400" cy="666750"/>
    <xdr:sp macro="" textlink="Organigramm!$Z$28">
      <xdr:nvSpPr>
        <xdr:cNvPr id="26" name="Organigramm 26"/>
        <xdr:cNvSpPr/>
      </xdr:nvSpPr>
      <xdr:spPr>
        <a:xfrm>
          <a:off x="2343150" y="5956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2446-1B1B-4E4E-9A9A-000000298C8A}" type="TxLink">
            <a:rPr lang="de-DE" sz="800" b="0">
              <a:solidFill>
                <a:srgbClr val="404040"/>
              </a:solidFill>
              <a:latin typeface="Arial"/>
            </a:rPr>
            <a:pPr algn="ctr"/>
            <a:t>OCPI Buchungskalender
102 Anforderungen · 1/102 erfüllt
Status: erfasst</a:t>
          </a:fld>
        </a:p>
      </xdr:txBody>
    </xdr:sp>
    <xdr:clientData/>
  </xdr:absoluteAnchor>
  <xdr:absoluteAnchor>
    <xdr:pos x="4400550" y="3670300"/>
    <xdr:ext cx="1676400" cy="666750"/>
    <xdr:sp macro="" textlink="Organigramm!$Z$29">
      <xdr:nvSpPr>
        <xdr:cNvPr id="27" name="Organigramm 27"/>
        <xdr:cNvSpPr/>
      </xdr:nvSpPr>
      <xdr:spPr>
        <a:xfrm>
          <a:off x="4400550" y="3670300"/>
          <a:ext cx="1676400" cy="666750"/>
        </a:xfrm>
        <a:prstGeom prst="roundRect">
          <a:avLst>
            <a:gd name="adj" fmla="val 8000"/>
          </a:avLst>
        </a:prstGeom>
        <a:solidFill>
          <a:srgbClr val="D9EAF7"/>
        </a:solidFill>
        <a:ln w="9525">
          <a:solidFill>
            <a:srgbClr val="1F4E78"/>
          </a:solidFill>
        </a:ln>
      </xdr:spPr>
      <xdr:txBody>
        <a:bodyPr vertOverflow="overflow" horzOverflow="overflow" wrap="square" lIns="27432" tIns="9144" rIns="27432" bIns="9144" anchor="ctr"/>
        <a:lstStyle/>
        <a:p>
          <a:pPr algn="ctr"/>
          <a:fld id="{00034335-1B1B-4E4E-9A9A-0000002B25A3}" type="TxLink">
            <a:rPr lang="de-DE" sz="800" b="0">
              <a:solidFill>
                <a:srgbClr val="1F3864"/>
              </a:solidFill>
              <a:latin typeface="Arial"/>
            </a:rPr>
            <a:pPr algn="ctr"/>
            <a:t>Anbindung
3 Anforderungen · 0/3 erfüllt
Status: bewertet</a:t>
          </a:fld>
        </a:p>
      </xdr:txBody>
    </xdr:sp>
    <xdr:clientData/>
  </xdr:absoluteAnchor>
  <xdr:absoluteAnchor>
    <xdr:pos x="4400550" y="4432300"/>
    <xdr:ext cx="1676400" cy="666750"/>
    <xdr:sp macro="" textlink="Organigramm!$Z$30">
      <xdr:nvSpPr>
        <xdr:cNvPr id="28" name="Organigramm 28"/>
        <xdr:cNvSpPr/>
      </xdr:nvSpPr>
      <xdr:spPr>
        <a:xfrm>
          <a:off x="44005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6224-1B1B-4E4E-9A9A-0000002CBEBC}" type="TxLink">
            <a:rPr lang="de-DE" sz="800" b="0">
              <a:solidFill>
                <a:srgbClr val="404040"/>
              </a:solidFill>
              <a:latin typeface="Arial"/>
            </a:rPr>
            <a:pPr algn="ctr"/>
            <a:t>Reservierungsplattform
12 Anforderungen · 0/12 erfüllt
Status: erfasst</a:t>
          </a:fld>
        </a:p>
      </xdr:txBody>
    </xdr:sp>
    <xdr:clientData/>
  </xdr:absoluteAnchor>
  <xdr:absoluteAnchor>
    <xdr:pos x="6457950" y="3670300"/>
    <xdr:ext cx="1676400" cy="666750"/>
    <xdr:sp macro="" textlink="Organigramm!$Z$31">
      <xdr:nvSpPr>
        <xdr:cNvPr id="29" name="Organigramm 29"/>
        <xdr:cNvSpPr/>
      </xdr:nvSpPr>
      <xdr:spPr>
        <a:xfrm>
          <a:off x="64579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8113-1B1B-4E4E-9A9A-0000002E57D5}" type="TxLink">
            <a:rPr lang="de-DE" sz="800" b="0">
              <a:solidFill>
                <a:srgbClr val="404040"/>
              </a:solidFill>
              <a:latin typeface="Arial"/>
            </a:rPr>
            <a:pPr algn="ctr"/>
            <a:t>Belegungsdetektion
5 Anforderungen · 1/5 erfüllt
Status: erfasst</a:t>
          </a:fld>
        </a:p>
      </xdr:txBody>
    </xdr:sp>
    <xdr:clientData/>
  </xdr:absoluteAnchor>
  <xdr:absoluteAnchor>
    <xdr:pos x="6457950" y="4432300"/>
    <xdr:ext cx="1676400" cy="666750"/>
    <xdr:sp macro="" textlink="Organigramm!$Z$32">
      <xdr:nvSpPr>
        <xdr:cNvPr id="30" name="Organigramm 30"/>
        <xdr:cNvSpPr/>
      </xdr:nvSpPr>
      <xdr:spPr>
        <a:xfrm>
          <a:off x="64579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A002-1B1B-4E4E-9A9A-0000002FF0EE}" type="TxLink">
            <a:rPr lang="de-DE" sz="800" b="0">
              <a:solidFill>
                <a:srgbClr val="404040"/>
              </a:solidFill>
              <a:latin typeface="Arial"/>
            </a:rPr>
            <a:pPr algn="ctr"/>
            <a:t>Dynamische Anzeige
12 Anforderungen · 2/12 erfüllt
Status: erfasst</a:t>
          </a:fld>
        </a:p>
      </xdr:txBody>
    </xdr:sp>
    <xdr:clientData/>
  </xdr:absoluteAnchor>
  <xdr:absoluteAnchor>
    <xdr:pos x="6457950" y="5194299"/>
    <xdr:ext cx="1676400" cy="666750"/>
    <xdr:sp macro="" textlink="Organigramm!$Z$33">
      <xdr:nvSpPr>
        <xdr:cNvPr id="31" name="Organigramm 31"/>
        <xdr:cNvSpPr/>
      </xdr:nvSpPr>
      <xdr:spPr>
        <a:xfrm>
          <a:off x="6457950" y="5194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BEF1-1B1B-4E4E-9A9A-000000318A07}" type="TxLink">
            <a:rPr lang="de-DE" sz="800" b="0">
              <a:solidFill>
                <a:srgbClr val="404040"/>
              </a:solidFill>
              <a:latin typeface="Arial"/>
            </a:rPr>
            <a:pPr algn="ctr"/>
            <a:t>Kennzeichenerfassung
8 Anforderungen · 0/8 erfüllt
Status: erfasst</a:t>
          </a:fld>
        </a:p>
      </xdr:txBody>
    </xdr:sp>
    <xdr:clientData/>
  </xdr:absoluteAnchor>
  <xdr:absoluteAnchor>
    <xdr:pos x="6457950" y="5956299"/>
    <xdr:ext cx="1676400" cy="666750"/>
    <xdr:sp macro="" textlink="Organigramm!$Z$34">
      <xdr:nvSpPr>
        <xdr:cNvPr id="32" name="Organigramm 32"/>
        <xdr:cNvSpPr/>
      </xdr:nvSpPr>
      <xdr:spPr>
        <a:xfrm>
          <a:off x="6457950" y="5956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DDE0-1B1B-4E4E-9A9A-000000332320}" type="TxLink">
            <a:rPr lang="de-DE" sz="800" b="0">
              <a:solidFill>
                <a:srgbClr val="404040"/>
              </a:solidFill>
              <a:latin typeface="Arial"/>
            </a:rPr>
            <a:pPr algn="ctr"/>
            <a:t>Pönalisierungssystem
35 Anforderungen · 0/35 erfüllt
Status: erfasst</a:t>
          </a:fld>
        </a:p>
      </xdr:txBody>
    </xdr:sp>
    <xdr:clientData/>
  </xdr:absoluteAnchor>
  <xdr:absoluteAnchor>
    <xdr:pos x="6457950" y="6718299"/>
    <xdr:ext cx="1676400" cy="666750"/>
    <xdr:sp macro="" textlink="Organigramm!$Z$35">
      <xdr:nvSpPr>
        <xdr:cNvPr id="33" name="Organigramm 33"/>
        <xdr:cNvSpPr/>
      </xdr:nvSpPr>
      <xdr:spPr>
        <a:xfrm>
          <a:off x="6457950" y="6718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FCCF-1B1B-4E4E-9A9A-00000034BC39}" type="TxLink">
            <a:rPr lang="de-DE" sz="800" b="0">
              <a:solidFill>
                <a:srgbClr val="404040"/>
              </a:solidFill>
              <a:latin typeface="Arial"/>
            </a:rPr>
            <a:pPr algn="ctr"/>
            <a:t>Schrankensteuerung
25 Anforderungen · 4/25 erfüllt
Status: erfasst</a:t>
          </a:fld>
        </a:p>
      </xdr:txBody>
    </xdr:sp>
    <xdr:clientData/>
  </xdr:absoluteAnchor>
  <xdr:absoluteAnchor>
    <xdr:pos x="8515350" y="3670300"/>
    <xdr:ext cx="1676400" cy="666750"/>
    <xdr:sp macro="" textlink="Organigramm!$Z$36">
      <xdr:nvSpPr>
        <xdr:cNvPr id="34" name="Organigramm 34"/>
        <xdr:cNvSpPr/>
      </xdr:nvSpPr>
      <xdr:spPr>
        <a:xfrm>
          <a:off x="8515350" y="3670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1BBE-1B1B-4E4E-9A9A-000000365552}" type="TxLink">
            <a:rPr lang="de-DE" sz="800" b="0">
              <a:solidFill>
                <a:srgbClr val="404040"/>
              </a:solidFill>
              <a:latin typeface="Arial"/>
            </a:rPr>
            <a:pPr algn="ctr"/>
            <a:t>Schrankenanlage
23 Anforderungen · 2/23 erfüllt
Status: erfasst</a:t>
          </a:fld>
        </a:p>
      </xdr:txBody>
    </xdr:sp>
    <xdr:clientData/>
  </xdr:absoluteAnchor>
  <xdr:absoluteAnchor>
    <xdr:pos x="10572750" y="3670300"/>
    <xdr:ext cx="1676400" cy="666750"/>
    <xdr:sp macro="" textlink="Organigramm!$Z$37">
      <xdr:nvSpPr>
        <xdr:cNvPr id="35" name="Organigramm 35"/>
        <xdr:cNvSpPr/>
      </xdr:nvSpPr>
      <xdr:spPr>
        <a:xfrm>
          <a:off x="10572750" y="3670300"/>
          <a:ext cx="1676400" cy="666750"/>
        </a:xfrm>
        <a:prstGeom prst="roundRect">
          <a:avLst>
            <a:gd name="adj" fmla="val 8000"/>
          </a:avLst>
        </a:prstGeom>
        <a:solidFill>
          <a:srgbClr val="D9D9D9"/>
        </a:solidFill>
        <a:ln w="9525">
          <a:solidFill>
            <a:srgbClr val="1F4E78"/>
          </a:solidFill>
        </a:ln>
      </xdr:spPr>
      <xdr:txBody>
        <a:bodyPr vertOverflow="overflow" horzOverflow="overflow" wrap="square" lIns="27432" tIns="9144" rIns="27432" bIns="9144" anchor="ctr"/>
        <a:lstStyle/>
        <a:p>
          <a:pPr algn="ctr"/>
          <a:fld id="{00043AAD-1B1B-4E4E-9A9A-00000037EE6B}" type="TxLink">
            <a:rPr lang="de-DE" sz="800" b="0">
              <a:solidFill>
                <a:srgbClr val="666666"/>
              </a:solidFill>
              <a:latin typeface="Arial"/>
            </a:rPr>
            <a:pPr algn="ctr"/>
            <a:t>Beschilderung
11 Anforderungen · 0/11 erfüllt
Status: trifft nicht zu</a:t>
          </a:fld>
        </a:p>
      </xdr:txBody>
    </xdr:sp>
    <xdr:clientData/>
  </xdr:absoluteAnchor>
  <xdr:absoluteAnchor>
    <xdr:pos x="12630150" y="3670300"/>
    <xdr:ext cx="1676400" cy="666750"/>
    <xdr:sp macro="" textlink="Organigramm!$Z$38">
      <xdr:nvSpPr>
        <xdr:cNvPr id="36" name="Organigramm 36"/>
        <xdr:cNvSpPr/>
      </xdr:nvSpPr>
      <xdr:spPr>
        <a:xfrm>
          <a:off x="12630150" y="3670300"/>
          <a:ext cx="1676400" cy="666750"/>
        </a:xfrm>
        <a:prstGeom prst="roundRect">
          <a:avLst>
            <a:gd name="adj" fmla="val 8000"/>
          </a:avLst>
        </a:prstGeom>
        <a:solidFill>
          <a:srgbClr val="D9D9D9"/>
        </a:solidFill>
        <a:ln w="9525">
          <a:solidFill>
            <a:srgbClr val="1F4E78"/>
          </a:solidFill>
        </a:ln>
      </xdr:spPr>
      <xdr:txBody>
        <a:bodyPr vertOverflow="overflow" horzOverflow="overflow" wrap="square" lIns="27432" tIns="9144" rIns="27432" bIns="9144" anchor="ctr"/>
        <a:lstStyle/>
        <a:p>
          <a:pPr algn="ctr"/>
          <a:fld id="{0004599C-1B1B-4E4E-9A9A-000000398784}" type="TxLink">
            <a:rPr lang="de-DE" sz="700" b="0">
              <a:solidFill>
                <a:srgbClr val="666666"/>
              </a:solidFill>
              <a:latin typeface="Arial"/>
            </a:rPr>
            <a:pPr algn="ctr"/>
            <a:t>OCPI Buchungskalender / Abrechnungskomponente / Belegungsdetektion / Pönalisierungssystem
1 Anforderung · 0/1 erfüllt
Status: trifft nicht zu</a:t>
          </a:fld>
        </a:p>
      </xdr:txBody>
    </xdr:sp>
    <xdr:clientData/>
  </xdr:absoluteAnchor>
  <xdr:absoluteAnchor>
    <xdr:pos x="12630150" y="4432300"/>
    <xdr:ext cx="1676400" cy="666750"/>
    <xdr:sp macro="" textlink="Organigramm!$Z$39">
      <xdr:nvSpPr>
        <xdr:cNvPr id="37" name="Organigramm 37"/>
        <xdr:cNvSpPr/>
      </xdr:nvSpPr>
      <xdr:spPr>
        <a:xfrm>
          <a:off x="12630150" y="443230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788B-1B1B-4E4E-9A9A-0000003B209D}" type="TxLink">
            <a:rPr lang="de-DE" sz="800" b="0">
              <a:solidFill>
                <a:srgbClr val="404040"/>
              </a:solidFill>
              <a:latin typeface="Arial"/>
            </a:rPr>
            <a:pPr algn="ctr"/>
            <a:t>OCPI Buchungskalender / Dynamische Anzeige
5 Anforderungen · 1/5 erfüllt
Status: erfasst</a:t>
          </a:fld>
        </a:p>
      </xdr:txBody>
    </xdr:sp>
    <xdr:clientData/>
  </xdr:absoluteAnchor>
  <xdr:absoluteAnchor>
    <xdr:pos x="12630150" y="5194299"/>
    <xdr:ext cx="1676400" cy="666750"/>
    <xdr:sp macro="" textlink="Organigramm!$Z$40">
      <xdr:nvSpPr>
        <xdr:cNvPr id="38" name="Organigramm 38"/>
        <xdr:cNvSpPr/>
      </xdr:nvSpPr>
      <xdr:spPr>
        <a:xfrm>
          <a:off x="12630150" y="5194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977A-1B1B-4E4E-9A9A-0000003CB9B6}" type="TxLink">
            <a:rPr lang="de-DE" sz="700" b="0">
              <a:solidFill>
                <a:srgbClr val="404040"/>
              </a:solidFill>
              <a:latin typeface="Arial"/>
            </a:rPr>
            <a:pPr algn="ctr"/>
            <a:t>OCPI Buchungskalender / Kennzeichenerfassung / Pönalisierungssystem
2 Anforderungen · 0/2 erfüllt
Status: erfasst</a:t>
          </a:fld>
        </a:p>
      </xdr:txBody>
    </xdr:sp>
    <xdr:clientData/>
  </xdr:absoluteAnchor>
  <xdr:absoluteAnchor>
    <xdr:pos x="12630150" y="5956299"/>
    <xdr:ext cx="1676400" cy="666750"/>
    <xdr:sp macro="" textlink="Organigramm!$Z$41">
      <xdr:nvSpPr>
        <xdr:cNvPr id="39" name="Organigramm 39"/>
        <xdr:cNvSpPr/>
      </xdr:nvSpPr>
      <xdr:spPr>
        <a:xfrm>
          <a:off x="12630150" y="5956299"/>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B669-1B1B-4E4E-9A9A-0000003E52CF}" type="TxLink">
            <a:rPr lang="de-DE" sz="700" b="0">
              <a:solidFill>
                <a:srgbClr val="404040"/>
              </a:solidFill>
              <a:latin typeface="Arial"/>
            </a:rPr>
            <a:pPr algn="ctr"/>
            <a:t>Authentifizierungskomponente / Schrankensteuerung
8 Anforderungen · 1/8 erfüllt
Status: erfasst</a:t>
          </a:fld>
        </a:p>
      </xdr:txBody>
    </xdr:sp>
    <xdr:clientData/>
  </xdr:absoluteAnchor>
  <xdr:absoluteAnchor>
    <xdr:pos x="7172325" y="1289049"/>
    <xdr:ext cx="19050" cy="161925"/>
    <xdr:sp macro="">
      <xdr:nvSpPr>
        <xdr:cNvPr id="40" name="Verbinder 40"/>
        <xdr:cNvSpPr/>
      </xdr:nvSpPr>
      <xdr:spPr>
        <a:xfrm>
          <a:off x="7172325" y="1289049"/>
          <a:ext cx="19050" cy="161925"/>
        </a:xfrm>
        <a:prstGeom prst="rect">
          <a:avLst/>
        </a:prstGeom>
        <a:solidFill>
          <a:srgbClr val="8EA9DB"/>
        </a:solidFill>
        <a:ln>
          <a:noFill/>
        </a:ln>
      </xdr:spPr>
      <xdr:txBody>
        <a:bodyPr/>
        <a:lstStyle/>
        <a:p>
          <a:endParaRPr lang="de-DE"/>
        </a:p>
      </xdr:txBody>
    </xdr:sp>
    <xdr:clientData/>
  </xdr:absoluteAnchor>
  <xdr:absoluteAnchor>
    <xdr:pos x="1009650" y="1441449"/>
    <xdr:ext cx="12344400" cy="19050"/>
    <xdr:sp macro="">
      <xdr:nvSpPr>
        <xdr:cNvPr id="41" name="Verbinder 41"/>
        <xdr:cNvSpPr/>
      </xdr:nvSpPr>
      <xdr:spPr>
        <a:xfrm>
          <a:off x="1009650" y="1441449"/>
          <a:ext cx="12344400" cy="19050"/>
        </a:xfrm>
        <a:prstGeom prst="rect">
          <a:avLst/>
        </a:prstGeom>
        <a:solidFill>
          <a:srgbClr val="8EA9DB"/>
        </a:solidFill>
        <a:ln>
          <a:noFill/>
        </a:ln>
      </xdr:spPr>
      <xdr:txBody>
        <a:bodyPr/>
        <a:lstStyle/>
        <a:p>
          <a:endParaRPr lang="de-DE"/>
        </a:p>
      </xdr:txBody>
    </xdr:sp>
    <xdr:clientData/>
  </xdr:absoluteAnchor>
  <xdr:absoluteAnchor>
    <xdr:pos x="1000125" y="1450974"/>
    <xdr:ext cx="19050" cy="161925"/>
    <xdr:sp macro="">
      <xdr:nvSpPr>
        <xdr:cNvPr id="42" name="Verbinder 42"/>
        <xdr:cNvSpPr/>
      </xdr:nvSpPr>
      <xdr:spPr>
        <a:xfrm>
          <a:off x="1000125" y="1450974"/>
          <a:ext cx="19050" cy="161925"/>
        </a:xfrm>
        <a:prstGeom prst="rect">
          <a:avLst/>
        </a:prstGeom>
        <a:solidFill>
          <a:srgbClr val="8EA9DB"/>
        </a:solidFill>
        <a:ln>
          <a:noFill/>
        </a:ln>
      </xdr:spPr>
      <xdr:txBody>
        <a:bodyPr/>
        <a:lstStyle/>
        <a:p>
          <a:endParaRPr lang="de-DE"/>
        </a:p>
      </xdr:txBody>
    </xdr:sp>
    <xdr:clientData/>
  </xdr:absoluteAnchor>
  <xdr:absoluteAnchor>
    <xdr:pos x="3057525" y="1450974"/>
    <xdr:ext cx="19050" cy="161925"/>
    <xdr:sp macro="">
      <xdr:nvSpPr>
        <xdr:cNvPr id="43" name="Verbinder 43"/>
        <xdr:cNvSpPr/>
      </xdr:nvSpPr>
      <xdr:spPr>
        <a:xfrm>
          <a:off x="3057525" y="1450974"/>
          <a:ext cx="19050" cy="161925"/>
        </a:xfrm>
        <a:prstGeom prst="rect">
          <a:avLst/>
        </a:prstGeom>
        <a:solidFill>
          <a:srgbClr val="8EA9DB"/>
        </a:solidFill>
        <a:ln>
          <a:noFill/>
        </a:ln>
      </xdr:spPr>
      <xdr:txBody>
        <a:bodyPr/>
        <a:lstStyle/>
        <a:p>
          <a:endParaRPr lang="de-DE"/>
        </a:p>
      </xdr:txBody>
    </xdr:sp>
    <xdr:clientData/>
  </xdr:absoluteAnchor>
  <xdr:absoluteAnchor>
    <xdr:pos x="7172325" y="1450974"/>
    <xdr:ext cx="19050" cy="161925"/>
    <xdr:sp macro="">
      <xdr:nvSpPr>
        <xdr:cNvPr id="44" name="Verbinder 44"/>
        <xdr:cNvSpPr/>
      </xdr:nvSpPr>
      <xdr:spPr>
        <a:xfrm>
          <a:off x="7172325" y="1450974"/>
          <a:ext cx="19050" cy="161925"/>
        </a:xfrm>
        <a:prstGeom prst="rect">
          <a:avLst/>
        </a:prstGeom>
        <a:solidFill>
          <a:srgbClr val="8EA9DB"/>
        </a:solidFill>
        <a:ln>
          <a:noFill/>
        </a:ln>
      </xdr:spPr>
      <xdr:txBody>
        <a:bodyPr/>
        <a:lstStyle/>
        <a:p>
          <a:endParaRPr lang="de-DE"/>
        </a:p>
      </xdr:txBody>
    </xdr:sp>
    <xdr:clientData/>
  </xdr:absoluteAnchor>
  <xdr:absoluteAnchor>
    <xdr:pos x="11287125" y="1450974"/>
    <xdr:ext cx="19050" cy="161925"/>
    <xdr:sp macro="">
      <xdr:nvSpPr>
        <xdr:cNvPr id="45" name="Verbinder 45"/>
        <xdr:cNvSpPr/>
      </xdr:nvSpPr>
      <xdr:spPr>
        <a:xfrm>
          <a:off x="11287125" y="1450974"/>
          <a:ext cx="19050" cy="161925"/>
        </a:xfrm>
        <a:prstGeom prst="rect">
          <a:avLst/>
        </a:prstGeom>
        <a:solidFill>
          <a:srgbClr val="8EA9DB"/>
        </a:solidFill>
        <a:ln>
          <a:noFill/>
        </a:ln>
      </xdr:spPr>
      <xdr:txBody>
        <a:bodyPr/>
        <a:lstStyle/>
        <a:p>
          <a:endParaRPr lang="de-DE"/>
        </a:p>
      </xdr:txBody>
    </xdr:sp>
    <xdr:clientData/>
  </xdr:absoluteAnchor>
  <xdr:absoluteAnchor>
    <xdr:pos x="13344525" y="1450974"/>
    <xdr:ext cx="19050" cy="161925"/>
    <xdr:sp macro="">
      <xdr:nvSpPr>
        <xdr:cNvPr id="46" name="Verbinder 46"/>
        <xdr:cNvSpPr/>
      </xdr:nvSpPr>
      <xdr:spPr>
        <a:xfrm>
          <a:off x="13344525" y="1450974"/>
          <a:ext cx="19050" cy="161925"/>
        </a:xfrm>
        <a:prstGeom prst="rect">
          <a:avLst/>
        </a:prstGeom>
        <a:solidFill>
          <a:srgbClr val="8EA9DB"/>
        </a:solidFill>
        <a:ln>
          <a:noFill/>
        </a:ln>
      </xdr:spPr>
      <xdr:txBody>
        <a:bodyPr/>
        <a:lstStyle/>
        <a:p>
          <a:endParaRPr lang="de-DE"/>
        </a:p>
      </xdr:txBody>
    </xdr:sp>
    <xdr:clientData/>
  </xdr:absoluteAnchor>
  <xdr:absoluteAnchor>
    <xdr:pos x="1000125" y="2070099"/>
    <xdr:ext cx="19050" cy="152400"/>
    <xdr:sp macro="">
      <xdr:nvSpPr>
        <xdr:cNvPr id="47" name="Verbinder 47"/>
        <xdr:cNvSpPr/>
      </xdr:nvSpPr>
      <xdr:spPr>
        <a:xfrm>
          <a:off x="1000125" y="2070099"/>
          <a:ext cx="19050" cy="152400"/>
        </a:xfrm>
        <a:prstGeom prst="rect">
          <a:avLst/>
        </a:prstGeom>
        <a:solidFill>
          <a:srgbClr val="8EA9DB"/>
        </a:solidFill>
        <a:ln>
          <a:noFill/>
        </a:ln>
      </xdr:spPr>
      <xdr:txBody>
        <a:bodyPr/>
        <a:lstStyle/>
        <a:p>
          <a:endParaRPr lang="de-DE"/>
        </a:p>
      </xdr:txBody>
    </xdr:sp>
    <xdr:clientData/>
  </xdr:absoluteAnchor>
  <xdr:absoluteAnchor>
    <xdr:pos x="1000125" y="2222500"/>
    <xdr:ext cx="19050" cy="152400"/>
    <xdr:sp macro="">
      <xdr:nvSpPr>
        <xdr:cNvPr id="48" name="Verbinder 48"/>
        <xdr:cNvSpPr/>
      </xdr:nvSpPr>
      <xdr:spPr>
        <a:xfrm>
          <a:off x="1000125" y="2222500"/>
          <a:ext cx="19050" cy="152400"/>
        </a:xfrm>
        <a:prstGeom prst="rect">
          <a:avLst/>
        </a:prstGeom>
        <a:solidFill>
          <a:srgbClr val="8EA9DB"/>
        </a:solidFill>
        <a:ln>
          <a:noFill/>
        </a:ln>
      </xdr:spPr>
      <xdr:txBody>
        <a:bodyPr/>
        <a:lstStyle/>
        <a:p>
          <a:endParaRPr lang="de-DE"/>
        </a:p>
      </xdr:txBody>
    </xdr:sp>
    <xdr:clientData/>
  </xdr:absoluteAnchor>
  <xdr:absoluteAnchor>
    <xdr:pos x="3057525" y="2070099"/>
    <xdr:ext cx="19050" cy="152400"/>
    <xdr:sp macro="">
      <xdr:nvSpPr>
        <xdr:cNvPr id="49" name="Verbinder 49"/>
        <xdr:cNvSpPr/>
      </xdr:nvSpPr>
      <xdr:spPr>
        <a:xfrm>
          <a:off x="3057525" y="2070099"/>
          <a:ext cx="19050" cy="152400"/>
        </a:xfrm>
        <a:prstGeom prst="rect">
          <a:avLst/>
        </a:prstGeom>
        <a:solidFill>
          <a:srgbClr val="8EA9DB"/>
        </a:solidFill>
        <a:ln>
          <a:noFill/>
        </a:ln>
      </xdr:spPr>
      <xdr:txBody>
        <a:bodyPr/>
        <a:lstStyle/>
        <a:p>
          <a:endParaRPr lang="de-DE"/>
        </a:p>
      </xdr:txBody>
    </xdr:sp>
    <xdr:clientData/>
  </xdr:absoluteAnchor>
  <xdr:absoluteAnchor>
    <xdr:pos x="3057525" y="2222500"/>
    <xdr:ext cx="19050" cy="152400"/>
    <xdr:sp macro="">
      <xdr:nvSpPr>
        <xdr:cNvPr id="50" name="Verbinder 50"/>
        <xdr:cNvSpPr/>
      </xdr:nvSpPr>
      <xdr:spPr>
        <a:xfrm>
          <a:off x="3057525" y="2222500"/>
          <a:ext cx="19050" cy="152400"/>
        </a:xfrm>
        <a:prstGeom prst="rect">
          <a:avLst/>
        </a:prstGeom>
        <a:solidFill>
          <a:srgbClr val="8EA9DB"/>
        </a:solidFill>
        <a:ln>
          <a:noFill/>
        </a:ln>
      </xdr:spPr>
      <xdr:txBody>
        <a:bodyPr/>
        <a:lstStyle/>
        <a:p>
          <a:endParaRPr lang="de-DE"/>
        </a:p>
      </xdr:txBody>
    </xdr:sp>
    <xdr:clientData/>
  </xdr:absoluteAnchor>
  <xdr:absoluteAnchor>
    <xdr:pos x="7172325" y="2070099"/>
    <xdr:ext cx="19050" cy="152400"/>
    <xdr:sp macro="">
      <xdr:nvSpPr>
        <xdr:cNvPr id="51" name="Verbinder 51"/>
        <xdr:cNvSpPr/>
      </xdr:nvSpPr>
      <xdr:spPr>
        <a:xfrm>
          <a:off x="7172325" y="2070099"/>
          <a:ext cx="19050" cy="152400"/>
        </a:xfrm>
        <a:prstGeom prst="rect">
          <a:avLst/>
        </a:prstGeom>
        <a:solidFill>
          <a:srgbClr val="8EA9DB"/>
        </a:solidFill>
        <a:ln>
          <a:noFill/>
        </a:ln>
      </xdr:spPr>
      <xdr:txBody>
        <a:bodyPr/>
        <a:lstStyle/>
        <a:p>
          <a:endParaRPr lang="de-DE"/>
        </a:p>
      </xdr:txBody>
    </xdr:sp>
    <xdr:clientData/>
  </xdr:absoluteAnchor>
  <xdr:absoluteAnchor>
    <xdr:pos x="5124450" y="2212975"/>
    <xdr:ext cx="4114800" cy="19050"/>
    <xdr:sp macro="">
      <xdr:nvSpPr>
        <xdr:cNvPr id="52" name="Verbinder 52"/>
        <xdr:cNvSpPr/>
      </xdr:nvSpPr>
      <xdr:spPr>
        <a:xfrm>
          <a:off x="5124450" y="2212975"/>
          <a:ext cx="4114800" cy="19050"/>
        </a:xfrm>
        <a:prstGeom prst="rect">
          <a:avLst/>
        </a:prstGeom>
        <a:solidFill>
          <a:srgbClr val="8EA9DB"/>
        </a:solidFill>
        <a:ln>
          <a:noFill/>
        </a:ln>
      </xdr:spPr>
      <xdr:txBody>
        <a:bodyPr/>
        <a:lstStyle/>
        <a:p>
          <a:endParaRPr lang="de-DE"/>
        </a:p>
      </xdr:txBody>
    </xdr:sp>
    <xdr:clientData/>
  </xdr:absoluteAnchor>
  <xdr:absoluteAnchor>
    <xdr:pos x="5114925" y="2222500"/>
    <xdr:ext cx="19050" cy="152400"/>
    <xdr:sp macro="">
      <xdr:nvSpPr>
        <xdr:cNvPr id="53" name="Verbinder 53"/>
        <xdr:cNvSpPr/>
      </xdr:nvSpPr>
      <xdr:spPr>
        <a:xfrm>
          <a:off x="5114925" y="2222500"/>
          <a:ext cx="19050" cy="152400"/>
        </a:xfrm>
        <a:prstGeom prst="rect">
          <a:avLst/>
        </a:prstGeom>
        <a:solidFill>
          <a:srgbClr val="8EA9DB"/>
        </a:solidFill>
        <a:ln>
          <a:noFill/>
        </a:ln>
      </xdr:spPr>
      <xdr:txBody>
        <a:bodyPr/>
        <a:lstStyle/>
        <a:p>
          <a:endParaRPr lang="de-DE"/>
        </a:p>
      </xdr:txBody>
    </xdr:sp>
    <xdr:clientData/>
  </xdr:absoluteAnchor>
  <xdr:absoluteAnchor>
    <xdr:pos x="7172325" y="2222500"/>
    <xdr:ext cx="19050" cy="152400"/>
    <xdr:sp macro="">
      <xdr:nvSpPr>
        <xdr:cNvPr id="54" name="Verbinder 54"/>
        <xdr:cNvSpPr/>
      </xdr:nvSpPr>
      <xdr:spPr>
        <a:xfrm>
          <a:off x="7172325" y="2222500"/>
          <a:ext cx="19050" cy="152400"/>
        </a:xfrm>
        <a:prstGeom prst="rect">
          <a:avLst/>
        </a:prstGeom>
        <a:solidFill>
          <a:srgbClr val="8EA9DB"/>
        </a:solidFill>
        <a:ln>
          <a:noFill/>
        </a:ln>
      </xdr:spPr>
      <xdr:txBody>
        <a:bodyPr/>
        <a:lstStyle/>
        <a:p>
          <a:endParaRPr lang="de-DE"/>
        </a:p>
      </xdr:txBody>
    </xdr:sp>
    <xdr:clientData/>
  </xdr:absoluteAnchor>
  <xdr:absoluteAnchor>
    <xdr:pos x="9229725" y="2222500"/>
    <xdr:ext cx="19050" cy="152400"/>
    <xdr:sp macro="">
      <xdr:nvSpPr>
        <xdr:cNvPr id="55" name="Verbinder 55"/>
        <xdr:cNvSpPr/>
      </xdr:nvSpPr>
      <xdr:spPr>
        <a:xfrm>
          <a:off x="9229725" y="2222500"/>
          <a:ext cx="19050" cy="152400"/>
        </a:xfrm>
        <a:prstGeom prst="rect">
          <a:avLst/>
        </a:prstGeom>
        <a:solidFill>
          <a:srgbClr val="8EA9DB"/>
        </a:solidFill>
        <a:ln>
          <a:noFill/>
        </a:ln>
      </xdr:spPr>
      <xdr:txBody>
        <a:bodyPr/>
        <a:lstStyle/>
        <a:p>
          <a:endParaRPr lang="de-DE"/>
        </a:p>
      </xdr:txBody>
    </xdr:sp>
    <xdr:clientData/>
  </xdr:absoluteAnchor>
  <xdr:absoluteAnchor>
    <xdr:pos x="11287125" y="2070099"/>
    <xdr:ext cx="19050" cy="152400"/>
    <xdr:sp macro="">
      <xdr:nvSpPr>
        <xdr:cNvPr id="56" name="Verbinder 56"/>
        <xdr:cNvSpPr/>
      </xdr:nvSpPr>
      <xdr:spPr>
        <a:xfrm>
          <a:off x="11287125" y="2070099"/>
          <a:ext cx="19050" cy="152400"/>
        </a:xfrm>
        <a:prstGeom prst="rect">
          <a:avLst/>
        </a:prstGeom>
        <a:solidFill>
          <a:srgbClr val="8EA9DB"/>
        </a:solidFill>
        <a:ln>
          <a:noFill/>
        </a:ln>
      </xdr:spPr>
      <xdr:txBody>
        <a:bodyPr/>
        <a:lstStyle/>
        <a:p>
          <a:endParaRPr lang="de-DE"/>
        </a:p>
      </xdr:txBody>
    </xdr:sp>
    <xdr:clientData/>
  </xdr:absoluteAnchor>
  <xdr:absoluteAnchor>
    <xdr:pos x="11287125" y="2222500"/>
    <xdr:ext cx="19050" cy="152400"/>
    <xdr:sp macro="">
      <xdr:nvSpPr>
        <xdr:cNvPr id="57" name="Verbinder 57"/>
        <xdr:cNvSpPr/>
      </xdr:nvSpPr>
      <xdr:spPr>
        <a:xfrm>
          <a:off x="11287125" y="2222500"/>
          <a:ext cx="19050" cy="152400"/>
        </a:xfrm>
        <a:prstGeom prst="rect">
          <a:avLst/>
        </a:prstGeom>
        <a:solidFill>
          <a:srgbClr val="8EA9DB"/>
        </a:solidFill>
        <a:ln>
          <a:noFill/>
        </a:ln>
      </xdr:spPr>
      <xdr:txBody>
        <a:bodyPr/>
        <a:lstStyle/>
        <a:p>
          <a:endParaRPr lang="de-DE"/>
        </a:p>
      </xdr:txBody>
    </xdr:sp>
    <xdr:clientData/>
  </xdr:absoluteAnchor>
  <xdr:absoluteAnchor>
    <xdr:pos x="13344525" y="2070099"/>
    <xdr:ext cx="19050" cy="152400"/>
    <xdr:sp macro="">
      <xdr:nvSpPr>
        <xdr:cNvPr id="58" name="Verbinder 58"/>
        <xdr:cNvSpPr/>
      </xdr:nvSpPr>
      <xdr:spPr>
        <a:xfrm>
          <a:off x="13344525" y="2070099"/>
          <a:ext cx="19050" cy="152400"/>
        </a:xfrm>
        <a:prstGeom prst="rect">
          <a:avLst/>
        </a:prstGeom>
        <a:solidFill>
          <a:srgbClr val="8EA9DB"/>
        </a:solidFill>
        <a:ln>
          <a:noFill/>
        </a:ln>
      </xdr:spPr>
      <xdr:txBody>
        <a:bodyPr/>
        <a:lstStyle/>
        <a:p>
          <a:endParaRPr lang="de-DE"/>
        </a:p>
      </xdr:txBody>
    </xdr:sp>
    <xdr:clientData/>
  </xdr:absoluteAnchor>
  <xdr:absoluteAnchor>
    <xdr:pos x="13344525" y="2222500"/>
    <xdr:ext cx="19050" cy="152400"/>
    <xdr:sp macro="">
      <xdr:nvSpPr>
        <xdr:cNvPr id="59" name="Verbinder 59"/>
        <xdr:cNvSpPr/>
      </xdr:nvSpPr>
      <xdr:spPr>
        <a:xfrm>
          <a:off x="13344525" y="2222500"/>
          <a:ext cx="19050" cy="152400"/>
        </a:xfrm>
        <a:prstGeom prst="rect">
          <a:avLst/>
        </a:prstGeom>
        <a:solidFill>
          <a:srgbClr val="8EA9DB"/>
        </a:solidFill>
        <a:ln>
          <a:noFill/>
        </a:ln>
      </xdr:spPr>
      <xdr:txBody>
        <a:bodyPr/>
        <a:lstStyle/>
        <a:p>
          <a:endParaRPr lang="de-DE"/>
        </a:p>
      </xdr:txBody>
    </xdr:sp>
    <xdr:clientData/>
  </xdr:absoluteAnchor>
  <xdr:absoluteAnchor>
    <xdr:pos x="1000125" y="2832100"/>
    <xdr:ext cx="19050" cy="152400"/>
    <xdr:sp macro="">
      <xdr:nvSpPr>
        <xdr:cNvPr id="60" name="Verbinder 60"/>
        <xdr:cNvSpPr/>
      </xdr:nvSpPr>
      <xdr:spPr>
        <a:xfrm>
          <a:off x="1000125" y="2832100"/>
          <a:ext cx="19050" cy="152400"/>
        </a:xfrm>
        <a:prstGeom prst="rect">
          <a:avLst/>
        </a:prstGeom>
        <a:solidFill>
          <a:srgbClr val="8EA9DB"/>
        </a:solidFill>
        <a:ln>
          <a:noFill/>
        </a:ln>
      </xdr:spPr>
      <xdr:txBody>
        <a:bodyPr/>
        <a:lstStyle/>
        <a:p>
          <a:endParaRPr lang="de-DE"/>
        </a:p>
      </xdr:txBody>
    </xdr:sp>
    <xdr:clientData/>
  </xdr:absoluteAnchor>
  <xdr:absoluteAnchor>
    <xdr:pos x="1000125" y="2984500"/>
    <xdr:ext cx="19050" cy="152400"/>
    <xdr:sp macro="">
      <xdr:nvSpPr>
        <xdr:cNvPr id="61" name="Verbinder 61"/>
        <xdr:cNvSpPr/>
      </xdr:nvSpPr>
      <xdr:spPr>
        <a:xfrm>
          <a:off x="1000125" y="2984500"/>
          <a:ext cx="19050" cy="152400"/>
        </a:xfrm>
        <a:prstGeom prst="rect">
          <a:avLst/>
        </a:prstGeom>
        <a:solidFill>
          <a:srgbClr val="8EA9DB"/>
        </a:solidFill>
        <a:ln>
          <a:noFill/>
        </a:ln>
      </xdr:spPr>
      <xdr:txBody>
        <a:bodyPr/>
        <a:lstStyle/>
        <a:p>
          <a:endParaRPr lang="de-DE"/>
        </a:p>
      </xdr:txBody>
    </xdr:sp>
    <xdr:clientData/>
  </xdr:absoluteAnchor>
  <xdr:absoluteAnchor>
    <xdr:pos x="3057525" y="2832100"/>
    <xdr:ext cx="19050" cy="152400"/>
    <xdr:sp macro="">
      <xdr:nvSpPr>
        <xdr:cNvPr id="62" name="Verbinder 62"/>
        <xdr:cNvSpPr/>
      </xdr:nvSpPr>
      <xdr:spPr>
        <a:xfrm>
          <a:off x="3057525" y="2832100"/>
          <a:ext cx="19050" cy="152400"/>
        </a:xfrm>
        <a:prstGeom prst="rect">
          <a:avLst/>
        </a:prstGeom>
        <a:solidFill>
          <a:srgbClr val="8EA9DB"/>
        </a:solidFill>
        <a:ln>
          <a:noFill/>
        </a:ln>
      </xdr:spPr>
      <xdr:txBody>
        <a:bodyPr/>
        <a:lstStyle/>
        <a:p>
          <a:endParaRPr lang="de-DE"/>
        </a:p>
      </xdr:txBody>
    </xdr:sp>
    <xdr:clientData/>
  </xdr:absoluteAnchor>
  <xdr:absoluteAnchor>
    <xdr:pos x="3057525" y="2984500"/>
    <xdr:ext cx="19050" cy="152400"/>
    <xdr:sp macro="">
      <xdr:nvSpPr>
        <xdr:cNvPr id="63" name="Verbinder 63"/>
        <xdr:cNvSpPr/>
      </xdr:nvSpPr>
      <xdr:spPr>
        <a:xfrm>
          <a:off x="3057525" y="2984500"/>
          <a:ext cx="19050" cy="152400"/>
        </a:xfrm>
        <a:prstGeom prst="rect">
          <a:avLst/>
        </a:prstGeom>
        <a:solidFill>
          <a:srgbClr val="8EA9DB"/>
        </a:solidFill>
        <a:ln>
          <a:noFill/>
        </a:ln>
      </xdr:spPr>
      <xdr:txBody>
        <a:bodyPr/>
        <a:lstStyle/>
        <a:p>
          <a:endParaRPr lang="de-DE"/>
        </a:p>
      </xdr:txBody>
    </xdr:sp>
    <xdr:clientData/>
  </xdr:absoluteAnchor>
  <xdr:absoluteAnchor>
    <xdr:pos x="5114925" y="2832100"/>
    <xdr:ext cx="19050" cy="152400"/>
    <xdr:sp macro="">
      <xdr:nvSpPr>
        <xdr:cNvPr id="64" name="Verbinder 64"/>
        <xdr:cNvSpPr/>
      </xdr:nvSpPr>
      <xdr:spPr>
        <a:xfrm>
          <a:off x="5114925" y="2832100"/>
          <a:ext cx="19050" cy="152400"/>
        </a:xfrm>
        <a:prstGeom prst="rect">
          <a:avLst/>
        </a:prstGeom>
        <a:solidFill>
          <a:srgbClr val="8EA9DB"/>
        </a:solidFill>
        <a:ln>
          <a:noFill/>
        </a:ln>
      </xdr:spPr>
      <xdr:txBody>
        <a:bodyPr/>
        <a:lstStyle/>
        <a:p>
          <a:endParaRPr lang="de-DE"/>
        </a:p>
      </xdr:txBody>
    </xdr:sp>
    <xdr:clientData/>
  </xdr:absoluteAnchor>
  <xdr:absoluteAnchor>
    <xdr:pos x="5114925" y="2984500"/>
    <xdr:ext cx="19050" cy="152400"/>
    <xdr:sp macro="">
      <xdr:nvSpPr>
        <xdr:cNvPr id="65" name="Verbinder 65"/>
        <xdr:cNvSpPr/>
      </xdr:nvSpPr>
      <xdr:spPr>
        <a:xfrm>
          <a:off x="5114925" y="2984500"/>
          <a:ext cx="19050" cy="152400"/>
        </a:xfrm>
        <a:prstGeom prst="rect">
          <a:avLst/>
        </a:prstGeom>
        <a:solidFill>
          <a:srgbClr val="8EA9DB"/>
        </a:solidFill>
        <a:ln>
          <a:noFill/>
        </a:ln>
      </xdr:spPr>
      <xdr:txBody>
        <a:bodyPr/>
        <a:lstStyle/>
        <a:p>
          <a:endParaRPr lang="de-DE"/>
        </a:p>
      </xdr:txBody>
    </xdr:sp>
    <xdr:clientData/>
  </xdr:absoluteAnchor>
  <xdr:absoluteAnchor>
    <xdr:pos x="7172325" y="2832100"/>
    <xdr:ext cx="19050" cy="152400"/>
    <xdr:sp macro="">
      <xdr:nvSpPr>
        <xdr:cNvPr id="66" name="Verbinder 66"/>
        <xdr:cNvSpPr/>
      </xdr:nvSpPr>
      <xdr:spPr>
        <a:xfrm>
          <a:off x="7172325" y="2832100"/>
          <a:ext cx="19050" cy="152400"/>
        </a:xfrm>
        <a:prstGeom prst="rect">
          <a:avLst/>
        </a:prstGeom>
        <a:solidFill>
          <a:srgbClr val="8EA9DB"/>
        </a:solidFill>
        <a:ln>
          <a:noFill/>
        </a:ln>
      </xdr:spPr>
      <xdr:txBody>
        <a:bodyPr/>
        <a:lstStyle/>
        <a:p>
          <a:endParaRPr lang="de-DE"/>
        </a:p>
      </xdr:txBody>
    </xdr:sp>
    <xdr:clientData/>
  </xdr:absoluteAnchor>
  <xdr:absoluteAnchor>
    <xdr:pos x="7172325" y="2984500"/>
    <xdr:ext cx="19050" cy="152400"/>
    <xdr:sp macro="">
      <xdr:nvSpPr>
        <xdr:cNvPr id="67" name="Verbinder 67"/>
        <xdr:cNvSpPr/>
      </xdr:nvSpPr>
      <xdr:spPr>
        <a:xfrm>
          <a:off x="7172325" y="2984500"/>
          <a:ext cx="19050" cy="152400"/>
        </a:xfrm>
        <a:prstGeom prst="rect">
          <a:avLst/>
        </a:prstGeom>
        <a:solidFill>
          <a:srgbClr val="8EA9DB"/>
        </a:solidFill>
        <a:ln>
          <a:noFill/>
        </a:ln>
      </xdr:spPr>
      <xdr:txBody>
        <a:bodyPr/>
        <a:lstStyle/>
        <a:p>
          <a:endParaRPr lang="de-DE"/>
        </a:p>
      </xdr:txBody>
    </xdr:sp>
    <xdr:clientData/>
  </xdr:absoluteAnchor>
  <xdr:absoluteAnchor>
    <xdr:pos x="9229725" y="2832100"/>
    <xdr:ext cx="19050" cy="152400"/>
    <xdr:sp macro="">
      <xdr:nvSpPr>
        <xdr:cNvPr id="68" name="Verbinder 68"/>
        <xdr:cNvSpPr/>
      </xdr:nvSpPr>
      <xdr:spPr>
        <a:xfrm>
          <a:off x="9229725" y="2832100"/>
          <a:ext cx="19050" cy="152400"/>
        </a:xfrm>
        <a:prstGeom prst="rect">
          <a:avLst/>
        </a:prstGeom>
        <a:solidFill>
          <a:srgbClr val="8EA9DB"/>
        </a:solidFill>
        <a:ln>
          <a:noFill/>
        </a:ln>
      </xdr:spPr>
      <xdr:txBody>
        <a:bodyPr/>
        <a:lstStyle/>
        <a:p>
          <a:endParaRPr lang="de-DE"/>
        </a:p>
      </xdr:txBody>
    </xdr:sp>
    <xdr:clientData/>
  </xdr:absoluteAnchor>
  <xdr:absoluteAnchor>
    <xdr:pos x="9229725" y="2984500"/>
    <xdr:ext cx="19050" cy="152400"/>
    <xdr:sp macro="">
      <xdr:nvSpPr>
        <xdr:cNvPr id="69" name="Verbinder 69"/>
        <xdr:cNvSpPr/>
      </xdr:nvSpPr>
      <xdr:spPr>
        <a:xfrm>
          <a:off x="9229725" y="2984500"/>
          <a:ext cx="19050" cy="152400"/>
        </a:xfrm>
        <a:prstGeom prst="rect">
          <a:avLst/>
        </a:prstGeom>
        <a:solidFill>
          <a:srgbClr val="8EA9DB"/>
        </a:solidFill>
        <a:ln>
          <a:noFill/>
        </a:ln>
      </xdr:spPr>
      <xdr:txBody>
        <a:bodyPr/>
        <a:lstStyle/>
        <a:p>
          <a:endParaRPr lang="de-DE"/>
        </a:p>
      </xdr:txBody>
    </xdr:sp>
    <xdr:clientData/>
  </xdr:absoluteAnchor>
  <xdr:absoluteAnchor>
    <xdr:pos x="11287125" y="2832100"/>
    <xdr:ext cx="19050" cy="152400"/>
    <xdr:sp macro="">
      <xdr:nvSpPr>
        <xdr:cNvPr id="70" name="Verbinder 70"/>
        <xdr:cNvSpPr/>
      </xdr:nvSpPr>
      <xdr:spPr>
        <a:xfrm>
          <a:off x="11287125" y="2832100"/>
          <a:ext cx="19050" cy="152400"/>
        </a:xfrm>
        <a:prstGeom prst="rect">
          <a:avLst/>
        </a:prstGeom>
        <a:solidFill>
          <a:srgbClr val="8EA9DB"/>
        </a:solidFill>
        <a:ln>
          <a:noFill/>
        </a:ln>
      </xdr:spPr>
      <xdr:txBody>
        <a:bodyPr/>
        <a:lstStyle/>
        <a:p>
          <a:endParaRPr lang="de-DE"/>
        </a:p>
      </xdr:txBody>
    </xdr:sp>
    <xdr:clientData/>
  </xdr:absoluteAnchor>
  <xdr:absoluteAnchor>
    <xdr:pos x="11287125" y="2984500"/>
    <xdr:ext cx="19050" cy="152400"/>
    <xdr:sp macro="">
      <xdr:nvSpPr>
        <xdr:cNvPr id="71" name="Verbinder 71"/>
        <xdr:cNvSpPr/>
      </xdr:nvSpPr>
      <xdr:spPr>
        <a:xfrm>
          <a:off x="11287125" y="2984500"/>
          <a:ext cx="19050" cy="152400"/>
        </a:xfrm>
        <a:prstGeom prst="rect">
          <a:avLst/>
        </a:prstGeom>
        <a:solidFill>
          <a:srgbClr val="8EA9DB"/>
        </a:solidFill>
        <a:ln>
          <a:noFill/>
        </a:ln>
      </xdr:spPr>
      <xdr:txBody>
        <a:bodyPr/>
        <a:lstStyle/>
        <a:p>
          <a:endParaRPr lang="de-DE"/>
        </a:p>
      </xdr:txBody>
    </xdr:sp>
    <xdr:clientData/>
  </xdr:absoluteAnchor>
  <xdr:absoluteAnchor>
    <xdr:pos x="13344525" y="2832100"/>
    <xdr:ext cx="19050" cy="152400"/>
    <xdr:sp macro="">
      <xdr:nvSpPr>
        <xdr:cNvPr id="72" name="Verbinder 72"/>
        <xdr:cNvSpPr/>
      </xdr:nvSpPr>
      <xdr:spPr>
        <a:xfrm>
          <a:off x="13344525" y="2832100"/>
          <a:ext cx="19050" cy="152400"/>
        </a:xfrm>
        <a:prstGeom prst="rect">
          <a:avLst/>
        </a:prstGeom>
        <a:solidFill>
          <a:srgbClr val="8EA9DB"/>
        </a:solidFill>
        <a:ln>
          <a:noFill/>
        </a:ln>
      </xdr:spPr>
      <xdr:txBody>
        <a:bodyPr/>
        <a:lstStyle/>
        <a:p>
          <a:endParaRPr lang="de-DE"/>
        </a:p>
      </xdr:txBody>
    </xdr:sp>
    <xdr:clientData/>
  </xdr:absoluteAnchor>
  <xdr:absoluteAnchor>
    <xdr:pos x="13344525" y="2984500"/>
    <xdr:ext cx="19050" cy="152400"/>
    <xdr:sp macro="">
      <xdr:nvSpPr>
        <xdr:cNvPr id="73" name="Verbinder 73"/>
        <xdr:cNvSpPr/>
      </xdr:nvSpPr>
      <xdr:spPr>
        <a:xfrm>
          <a:off x="13344525" y="2984500"/>
          <a:ext cx="19050" cy="152400"/>
        </a:xfrm>
        <a:prstGeom prst="rect">
          <a:avLst/>
        </a:prstGeom>
        <a:solidFill>
          <a:srgbClr val="8EA9DB"/>
        </a:solidFill>
        <a:ln>
          <a:noFill/>
        </a:ln>
      </xdr:spPr>
      <xdr:txBody>
        <a:bodyPr/>
        <a:lstStyle/>
        <a:p>
          <a:endParaRPr lang="de-DE"/>
        </a:p>
      </xdr:txBody>
    </xdr:sp>
    <xdr:clientData/>
  </xdr:absoluteAnchor>
  <xdr:absoluteAnchor>
    <xdr:pos x="161925" y="3441700"/>
    <xdr:ext cx="19050" cy="561975"/>
    <xdr:sp macro="">
      <xdr:nvSpPr>
        <xdr:cNvPr id="74" name="Verbinder 74"/>
        <xdr:cNvSpPr/>
      </xdr:nvSpPr>
      <xdr:spPr>
        <a:xfrm>
          <a:off x="161925" y="3441700"/>
          <a:ext cx="19050" cy="561975"/>
        </a:xfrm>
        <a:prstGeom prst="rect">
          <a:avLst/>
        </a:prstGeom>
        <a:solidFill>
          <a:srgbClr val="8EA9DB"/>
        </a:solidFill>
        <a:ln>
          <a:noFill/>
        </a:ln>
      </xdr:spPr>
      <xdr:txBody>
        <a:bodyPr/>
        <a:lstStyle/>
        <a:p>
          <a:endParaRPr lang="de-DE"/>
        </a:p>
      </xdr:txBody>
    </xdr:sp>
    <xdr:clientData/>
  </xdr:absoluteAnchor>
  <xdr:absoluteAnchor>
    <xdr:pos x="171450" y="3994150"/>
    <xdr:ext cx="114300" cy="19050"/>
    <xdr:sp macro="">
      <xdr:nvSpPr>
        <xdr:cNvPr id="75" name="Verbinder 75"/>
        <xdr:cNvSpPr/>
      </xdr:nvSpPr>
      <xdr:spPr>
        <a:xfrm>
          <a:off x="171450" y="3994150"/>
          <a:ext cx="114300" cy="19050"/>
        </a:xfrm>
        <a:prstGeom prst="rect">
          <a:avLst/>
        </a:prstGeom>
        <a:solidFill>
          <a:srgbClr val="8EA9DB"/>
        </a:solidFill>
        <a:ln>
          <a:noFill/>
        </a:ln>
      </xdr:spPr>
      <xdr:txBody>
        <a:bodyPr/>
        <a:lstStyle/>
        <a:p>
          <a:endParaRPr lang="de-DE"/>
        </a:p>
      </xdr:txBody>
    </xdr:sp>
    <xdr:clientData/>
  </xdr:absoluteAnchor>
  <xdr:absoluteAnchor>
    <xdr:pos x="2219325" y="3441700"/>
    <xdr:ext cx="19050" cy="2847974"/>
    <xdr:sp macro="">
      <xdr:nvSpPr>
        <xdr:cNvPr id="76" name="Verbinder 76"/>
        <xdr:cNvSpPr/>
      </xdr:nvSpPr>
      <xdr:spPr>
        <a:xfrm>
          <a:off x="2219325" y="3441700"/>
          <a:ext cx="19050" cy="2847974"/>
        </a:xfrm>
        <a:prstGeom prst="rect">
          <a:avLst/>
        </a:prstGeom>
        <a:solidFill>
          <a:srgbClr val="8EA9DB"/>
        </a:solidFill>
        <a:ln>
          <a:noFill/>
        </a:ln>
      </xdr:spPr>
      <xdr:txBody>
        <a:bodyPr/>
        <a:lstStyle/>
        <a:p>
          <a:endParaRPr lang="de-DE"/>
        </a:p>
      </xdr:txBody>
    </xdr:sp>
    <xdr:clientData/>
  </xdr:absoluteAnchor>
  <xdr:absoluteAnchor>
    <xdr:pos x="2228850" y="3994150"/>
    <xdr:ext cx="114300" cy="19050"/>
    <xdr:sp macro="">
      <xdr:nvSpPr>
        <xdr:cNvPr id="77" name="Verbinder 77"/>
        <xdr:cNvSpPr/>
      </xdr:nvSpPr>
      <xdr:spPr>
        <a:xfrm>
          <a:off x="2228850" y="3994150"/>
          <a:ext cx="114300" cy="19050"/>
        </a:xfrm>
        <a:prstGeom prst="rect">
          <a:avLst/>
        </a:prstGeom>
        <a:solidFill>
          <a:srgbClr val="8EA9DB"/>
        </a:solidFill>
        <a:ln>
          <a:noFill/>
        </a:ln>
      </xdr:spPr>
      <xdr:txBody>
        <a:bodyPr/>
        <a:lstStyle/>
        <a:p>
          <a:endParaRPr lang="de-DE"/>
        </a:p>
      </xdr:txBody>
    </xdr:sp>
    <xdr:clientData/>
  </xdr:absoluteAnchor>
  <xdr:absoluteAnchor>
    <xdr:pos x="2228850" y="4756150"/>
    <xdr:ext cx="114300" cy="19050"/>
    <xdr:sp macro="">
      <xdr:nvSpPr>
        <xdr:cNvPr id="78" name="Verbinder 78"/>
        <xdr:cNvSpPr/>
      </xdr:nvSpPr>
      <xdr:spPr>
        <a:xfrm>
          <a:off x="2228850" y="4756150"/>
          <a:ext cx="114300" cy="19050"/>
        </a:xfrm>
        <a:prstGeom prst="rect">
          <a:avLst/>
        </a:prstGeom>
        <a:solidFill>
          <a:srgbClr val="8EA9DB"/>
        </a:solidFill>
        <a:ln>
          <a:noFill/>
        </a:ln>
      </xdr:spPr>
      <xdr:txBody>
        <a:bodyPr/>
        <a:lstStyle/>
        <a:p>
          <a:endParaRPr lang="de-DE"/>
        </a:p>
      </xdr:txBody>
    </xdr:sp>
    <xdr:clientData/>
  </xdr:absoluteAnchor>
  <xdr:absoluteAnchor>
    <xdr:pos x="2228850" y="5518149"/>
    <xdr:ext cx="114300" cy="19050"/>
    <xdr:sp macro="">
      <xdr:nvSpPr>
        <xdr:cNvPr id="79" name="Verbinder 79"/>
        <xdr:cNvSpPr/>
      </xdr:nvSpPr>
      <xdr:spPr>
        <a:xfrm>
          <a:off x="2228850" y="5518149"/>
          <a:ext cx="114300" cy="19050"/>
        </a:xfrm>
        <a:prstGeom prst="rect">
          <a:avLst/>
        </a:prstGeom>
        <a:solidFill>
          <a:srgbClr val="8EA9DB"/>
        </a:solidFill>
        <a:ln>
          <a:noFill/>
        </a:ln>
      </xdr:spPr>
      <xdr:txBody>
        <a:bodyPr/>
        <a:lstStyle/>
        <a:p>
          <a:endParaRPr lang="de-DE"/>
        </a:p>
      </xdr:txBody>
    </xdr:sp>
    <xdr:clientData/>
  </xdr:absoluteAnchor>
  <xdr:absoluteAnchor>
    <xdr:pos x="2228850" y="6280149"/>
    <xdr:ext cx="114300" cy="19050"/>
    <xdr:sp macro="">
      <xdr:nvSpPr>
        <xdr:cNvPr id="80" name="Verbinder 80"/>
        <xdr:cNvSpPr/>
      </xdr:nvSpPr>
      <xdr:spPr>
        <a:xfrm>
          <a:off x="2228850" y="6280149"/>
          <a:ext cx="114300" cy="19050"/>
        </a:xfrm>
        <a:prstGeom prst="rect">
          <a:avLst/>
        </a:prstGeom>
        <a:solidFill>
          <a:srgbClr val="8EA9DB"/>
        </a:solidFill>
        <a:ln>
          <a:noFill/>
        </a:ln>
      </xdr:spPr>
      <xdr:txBody>
        <a:bodyPr/>
        <a:lstStyle/>
        <a:p>
          <a:endParaRPr lang="de-DE"/>
        </a:p>
      </xdr:txBody>
    </xdr:sp>
    <xdr:clientData/>
  </xdr:absoluteAnchor>
  <xdr:absoluteAnchor>
    <xdr:pos x="4276725" y="3441700"/>
    <xdr:ext cx="19050" cy="1323975"/>
    <xdr:sp macro="">
      <xdr:nvSpPr>
        <xdr:cNvPr id="81" name="Verbinder 81"/>
        <xdr:cNvSpPr/>
      </xdr:nvSpPr>
      <xdr:spPr>
        <a:xfrm>
          <a:off x="4276725" y="3441700"/>
          <a:ext cx="19050" cy="1323975"/>
        </a:xfrm>
        <a:prstGeom prst="rect">
          <a:avLst/>
        </a:prstGeom>
        <a:solidFill>
          <a:srgbClr val="8EA9DB"/>
        </a:solidFill>
        <a:ln>
          <a:noFill/>
        </a:ln>
      </xdr:spPr>
      <xdr:txBody>
        <a:bodyPr/>
        <a:lstStyle/>
        <a:p>
          <a:endParaRPr lang="de-DE"/>
        </a:p>
      </xdr:txBody>
    </xdr:sp>
    <xdr:clientData/>
  </xdr:absoluteAnchor>
  <xdr:absoluteAnchor>
    <xdr:pos x="4286250" y="3994150"/>
    <xdr:ext cx="114300" cy="19050"/>
    <xdr:sp macro="">
      <xdr:nvSpPr>
        <xdr:cNvPr id="82" name="Verbinder 82"/>
        <xdr:cNvSpPr/>
      </xdr:nvSpPr>
      <xdr:spPr>
        <a:xfrm>
          <a:off x="4286250" y="3994150"/>
          <a:ext cx="114300" cy="19050"/>
        </a:xfrm>
        <a:prstGeom prst="rect">
          <a:avLst/>
        </a:prstGeom>
        <a:solidFill>
          <a:srgbClr val="8EA9DB"/>
        </a:solidFill>
        <a:ln>
          <a:noFill/>
        </a:ln>
      </xdr:spPr>
      <xdr:txBody>
        <a:bodyPr/>
        <a:lstStyle/>
        <a:p>
          <a:endParaRPr lang="de-DE"/>
        </a:p>
      </xdr:txBody>
    </xdr:sp>
    <xdr:clientData/>
  </xdr:absoluteAnchor>
  <xdr:absoluteAnchor>
    <xdr:pos x="4286250" y="4756150"/>
    <xdr:ext cx="114300" cy="19050"/>
    <xdr:sp macro="">
      <xdr:nvSpPr>
        <xdr:cNvPr id="83" name="Verbinder 83"/>
        <xdr:cNvSpPr/>
      </xdr:nvSpPr>
      <xdr:spPr>
        <a:xfrm>
          <a:off x="4286250" y="4756150"/>
          <a:ext cx="114300" cy="19050"/>
        </a:xfrm>
        <a:prstGeom prst="rect">
          <a:avLst/>
        </a:prstGeom>
        <a:solidFill>
          <a:srgbClr val="8EA9DB"/>
        </a:solidFill>
        <a:ln>
          <a:noFill/>
        </a:ln>
      </xdr:spPr>
      <xdr:txBody>
        <a:bodyPr/>
        <a:lstStyle/>
        <a:p>
          <a:endParaRPr lang="de-DE"/>
        </a:p>
      </xdr:txBody>
    </xdr:sp>
    <xdr:clientData/>
  </xdr:absoluteAnchor>
  <xdr:absoluteAnchor>
    <xdr:pos x="6334125" y="3441700"/>
    <xdr:ext cx="19050" cy="3609974"/>
    <xdr:sp macro="">
      <xdr:nvSpPr>
        <xdr:cNvPr id="84" name="Verbinder 84"/>
        <xdr:cNvSpPr/>
      </xdr:nvSpPr>
      <xdr:spPr>
        <a:xfrm>
          <a:off x="6334125" y="3441700"/>
          <a:ext cx="19050" cy="3609974"/>
        </a:xfrm>
        <a:prstGeom prst="rect">
          <a:avLst/>
        </a:prstGeom>
        <a:solidFill>
          <a:srgbClr val="8EA9DB"/>
        </a:solidFill>
        <a:ln>
          <a:noFill/>
        </a:ln>
      </xdr:spPr>
      <xdr:txBody>
        <a:bodyPr/>
        <a:lstStyle/>
        <a:p>
          <a:endParaRPr lang="de-DE"/>
        </a:p>
      </xdr:txBody>
    </xdr:sp>
    <xdr:clientData/>
  </xdr:absoluteAnchor>
  <xdr:absoluteAnchor>
    <xdr:pos x="6343650" y="3994150"/>
    <xdr:ext cx="114300" cy="19050"/>
    <xdr:sp macro="">
      <xdr:nvSpPr>
        <xdr:cNvPr id="85" name="Verbinder 85"/>
        <xdr:cNvSpPr/>
      </xdr:nvSpPr>
      <xdr:spPr>
        <a:xfrm>
          <a:off x="6343650" y="3994150"/>
          <a:ext cx="114300" cy="19050"/>
        </a:xfrm>
        <a:prstGeom prst="rect">
          <a:avLst/>
        </a:prstGeom>
        <a:solidFill>
          <a:srgbClr val="8EA9DB"/>
        </a:solidFill>
        <a:ln>
          <a:noFill/>
        </a:ln>
      </xdr:spPr>
      <xdr:txBody>
        <a:bodyPr/>
        <a:lstStyle/>
        <a:p>
          <a:endParaRPr lang="de-DE"/>
        </a:p>
      </xdr:txBody>
    </xdr:sp>
    <xdr:clientData/>
  </xdr:absoluteAnchor>
  <xdr:absoluteAnchor>
    <xdr:pos x="6343650" y="4756150"/>
    <xdr:ext cx="114300" cy="19050"/>
    <xdr:sp macro="">
      <xdr:nvSpPr>
        <xdr:cNvPr id="86" name="Verbinder 86"/>
        <xdr:cNvSpPr/>
      </xdr:nvSpPr>
      <xdr:spPr>
        <a:xfrm>
          <a:off x="6343650" y="4756150"/>
          <a:ext cx="114300" cy="19050"/>
        </a:xfrm>
        <a:prstGeom prst="rect">
          <a:avLst/>
        </a:prstGeom>
        <a:solidFill>
          <a:srgbClr val="8EA9DB"/>
        </a:solidFill>
        <a:ln>
          <a:noFill/>
        </a:ln>
      </xdr:spPr>
      <xdr:txBody>
        <a:bodyPr/>
        <a:lstStyle/>
        <a:p>
          <a:endParaRPr lang="de-DE"/>
        </a:p>
      </xdr:txBody>
    </xdr:sp>
    <xdr:clientData/>
  </xdr:absoluteAnchor>
  <xdr:absoluteAnchor>
    <xdr:pos x="6343650" y="5518149"/>
    <xdr:ext cx="114300" cy="19050"/>
    <xdr:sp macro="">
      <xdr:nvSpPr>
        <xdr:cNvPr id="87" name="Verbinder 87"/>
        <xdr:cNvSpPr/>
      </xdr:nvSpPr>
      <xdr:spPr>
        <a:xfrm>
          <a:off x="6343650" y="5518149"/>
          <a:ext cx="114300" cy="19050"/>
        </a:xfrm>
        <a:prstGeom prst="rect">
          <a:avLst/>
        </a:prstGeom>
        <a:solidFill>
          <a:srgbClr val="8EA9DB"/>
        </a:solidFill>
        <a:ln>
          <a:noFill/>
        </a:ln>
      </xdr:spPr>
      <xdr:txBody>
        <a:bodyPr/>
        <a:lstStyle/>
        <a:p>
          <a:endParaRPr lang="de-DE"/>
        </a:p>
      </xdr:txBody>
    </xdr:sp>
    <xdr:clientData/>
  </xdr:absoluteAnchor>
  <xdr:absoluteAnchor>
    <xdr:pos x="6343650" y="6280149"/>
    <xdr:ext cx="114300" cy="19050"/>
    <xdr:sp macro="">
      <xdr:nvSpPr>
        <xdr:cNvPr id="88" name="Verbinder 88"/>
        <xdr:cNvSpPr/>
      </xdr:nvSpPr>
      <xdr:spPr>
        <a:xfrm>
          <a:off x="6343650" y="6280149"/>
          <a:ext cx="114300" cy="19050"/>
        </a:xfrm>
        <a:prstGeom prst="rect">
          <a:avLst/>
        </a:prstGeom>
        <a:solidFill>
          <a:srgbClr val="8EA9DB"/>
        </a:solidFill>
        <a:ln>
          <a:noFill/>
        </a:ln>
      </xdr:spPr>
      <xdr:txBody>
        <a:bodyPr/>
        <a:lstStyle/>
        <a:p>
          <a:endParaRPr lang="de-DE"/>
        </a:p>
      </xdr:txBody>
    </xdr:sp>
    <xdr:clientData/>
  </xdr:absoluteAnchor>
  <xdr:absoluteAnchor>
    <xdr:pos x="6343650" y="7042149"/>
    <xdr:ext cx="114300" cy="19050"/>
    <xdr:sp macro="">
      <xdr:nvSpPr>
        <xdr:cNvPr id="89" name="Verbinder 89"/>
        <xdr:cNvSpPr/>
      </xdr:nvSpPr>
      <xdr:spPr>
        <a:xfrm>
          <a:off x="6343650" y="7042149"/>
          <a:ext cx="114300" cy="19050"/>
        </a:xfrm>
        <a:prstGeom prst="rect">
          <a:avLst/>
        </a:prstGeom>
        <a:solidFill>
          <a:srgbClr val="8EA9DB"/>
        </a:solidFill>
        <a:ln>
          <a:noFill/>
        </a:ln>
      </xdr:spPr>
      <xdr:txBody>
        <a:bodyPr/>
        <a:lstStyle/>
        <a:p>
          <a:endParaRPr lang="de-DE"/>
        </a:p>
      </xdr:txBody>
    </xdr:sp>
    <xdr:clientData/>
  </xdr:absoluteAnchor>
  <xdr:absoluteAnchor>
    <xdr:pos x="8391525" y="3441700"/>
    <xdr:ext cx="19050" cy="561975"/>
    <xdr:sp macro="">
      <xdr:nvSpPr>
        <xdr:cNvPr id="90" name="Verbinder 90"/>
        <xdr:cNvSpPr/>
      </xdr:nvSpPr>
      <xdr:spPr>
        <a:xfrm>
          <a:off x="8391525" y="3441700"/>
          <a:ext cx="19050" cy="561975"/>
        </a:xfrm>
        <a:prstGeom prst="rect">
          <a:avLst/>
        </a:prstGeom>
        <a:solidFill>
          <a:srgbClr val="8EA9DB"/>
        </a:solidFill>
        <a:ln>
          <a:noFill/>
        </a:ln>
      </xdr:spPr>
      <xdr:txBody>
        <a:bodyPr/>
        <a:lstStyle/>
        <a:p>
          <a:endParaRPr lang="de-DE"/>
        </a:p>
      </xdr:txBody>
    </xdr:sp>
    <xdr:clientData/>
  </xdr:absoluteAnchor>
  <xdr:absoluteAnchor>
    <xdr:pos x="8401050" y="3994150"/>
    <xdr:ext cx="114300" cy="19050"/>
    <xdr:sp macro="">
      <xdr:nvSpPr>
        <xdr:cNvPr id="91" name="Verbinder 91"/>
        <xdr:cNvSpPr/>
      </xdr:nvSpPr>
      <xdr:spPr>
        <a:xfrm>
          <a:off x="8401050" y="3994150"/>
          <a:ext cx="114300" cy="19050"/>
        </a:xfrm>
        <a:prstGeom prst="rect">
          <a:avLst/>
        </a:prstGeom>
        <a:solidFill>
          <a:srgbClr val="8EA9DB"/>
        </a:solidFill>
        <a:ln>
          <a:noFill/>
        </a:ln>
      </xdr:spPr>
      <xdr:txBody>
        <a:bodyPr/>
        <a:lstStyle/>
        <a:p>
          <a:endParaRPr lang="de-DE"/>
        </a:p>
      </xdr:txBody>
    </xdr:sp>
    <xdr:clientData/>
  </xdr:absoluteAnchor>
  <xdr:absoluteAnchor>
    <xdr:pos x="10448925" y="3441700"/>
    <xdr:ext cx="19050" cy="561975"/>
    <xdr:sp macro="">
      <xdr:nvSpPr>
        <xdr:cNvPr id="92" name="Verbinder 92"/>
        <xdr:cNvSpPr/>
      </xdr:nvSpPr>
      <xdr:spPr>
        <a:xfrm>
          <a:off x="10448925" y="3441700"/>
          <a:ext cx="19050" cy="561975"/>
        </a:xfrm>
        <a:prstGeom prst="rect">
          <a:avLst/>
        </a:prstGeom>
        <a:solidFill>
          <a:srgbClr val="8EA9DB"/>
        </a:solidFill>
        <a:ln>
          <a:noFill/>
        </a:ln>
      </xdr:spPr>
      <xdr:txBody>
        <a:bodyPr/>
        <a:lstStyle/>
        <a:p>
          <a:endParaRPr lang="de-DE"/>
        </a:p>
      </xdr:txBody>
    </xdr:sp>
    <xdr:clientData/>
  </xdr:absoluteAnchor>
  <xdr:absoluteAnchor>
    <xdr:pos x="10458450" y="3994150"/>
    <xdr:ext cx="114300" cy="19050"/>
    <xdr:sp macro="">
      <xdr:nvSpPr>
        <xdr:cNvPr id="93" name="Verbinder 93"/>
        <xdr:cNvSpPr/>
      </xdr:nvSpPr>
      <xdr:spPr>
        <a:xfrm>
          <a:off x="10458450" y="3994150"/>
          <a:ext cx="114300" cy="19050"/>
        </a:xfrm>
        <a:prstGeom prst="rect">
          <a:avLst/>
        </a:prstGeom>
        <a:solidFill>
          <a:srgbClr val="8EA9DB"/>
        </a:solidFill>
        <a:ln>
          <a:noFill/>
        </a:ln>
      </xdr:spPr>
      <xdr:txBody>
        <a:bodyPr/>
        <a:lstStyle/>
        <a:p>
          <a:endParaRPr lang="de-DE"/>
        </a:p>
      </xdr:txBody>
    </xdr:sp>
    <xdr:clientData/>
  </xdr:absoluteAnchor>
  <xdr:absoluteAnchor>
    <xdr:pos x="12506325" y="3441700"/>
    <xdr:ext cx="19050" cy="2847974"/>
    <xdr:sp macro="">
      <xdr:nvSpPr>
        <xdr:cNvPr id="94" name="Verbinder 94"/>
        <xdr:cNvSpPr/>
      </xdr:nvSpPr>
      <xdr:spPr>
        <a:xfrm>
          <a:off x="12506325" y="3441700"/>
          <a:ext cx="19050" cy="2847974"/>
        </a:xfrm>
        <a:prstGeom prst="rect">
          <a:avLst/>
        </a:prstGeom>
        <a:solidFill>
          <a:srgbClr val="8EA9DB"/>
        </a:solidFill>
        <a:ln>
          <a:noFill/>
        </a:ln>
      </xdr:spPr>
      <xdr:txBody>
        <a:bodyPr/>
        <a:lstStyle/>
        <a:p>
          <a:endParaRPr lang="de-DE"/>
        </a:p>
      </xdr:txBody>
    </xdr:sp>
    <xdr:clientData/>
  </xdr:absoluteAnchor>
  <xdr:absoluteAnchor>
    <xdr:pos x="12515850" y="3994150"/>
    <xdr:ext cx="114300" cy="19050"/>
    <xdr:sp macro="">
      <xdr:nvSpPr>
        <xdr:cNvPr id="95" name="Verbinder 95"/>
        <xdr:cNvSpPr/>
      </xdr:nvSpPr>
      <xdr:spPr>
        <a:xfrm>
          <a:off x="12515850" y="3994150"/>
          <a:ext cx="114300" cy="19050"/>
        </a:xfrm>
        <a:prstGeom prst="rect">
          <a:avLst/>
        </a:prstGeom>
        <a:solidFill>
          <a:srgbClr val="8EA9DB"/>
        </a:solidFill>
        <a:ln>
          <a:noFill/>
        </a:ln>
      </xdr:spPr>
      <xdr:txBody>
        <a:bodyPr/>
        <a:lstStyle/>
        <a:p>
          <a:endParaRPr lang="de-DE"/>
        </a:p>
      </xdr:txBody>
    </xdr:sp>
    <xdr:clientData/>
  </xdr:absoluteAnchor>
  <xdr:absoluteAnchor>
    <xdr:pos x="12515850" y="4756150"/>
    <xdr:ext cx="114300" cy="19050"/>
    <xdr:sp macro="">
      <xdr:nvSpPr>
        <xdr:cNvPr id="96" name="Verbinder 96"/>
        <xdr:cNvSpPr/>
      </xdr:nvSpPr>
      <xdr:spPr>
        <a:xfrm>
          <a:off x="12515850" y="4756150"/>
          <a:ext cx="114300" cy="19050"/>
        </a:xfrm>
        <a:prstGeom prst="rect">
          <a:avLst/>
        </a:prstGeom>
        <a:solidFill>
          <a:srgbClr val="8EA9DB"/>
        </a:solidFill>
        <a:ln>
          <a:noFill/>
        </a:ln>
      </xdr:spPr>
      <xdr:txBody>
        <a:bodyPr/>
        <a:lstStyle/>
        <a:p>
          <a:endParaRPr lang="de-DE"/>
        </a:p>
      </xdr:txBody>
    </xdr:sp>
    <xdr:clientData/>
  </xdr:absoluteAnchor>
  <xdr:absoluteAnchor>
    <xdr:pos x="12515850" y="5518149"/>
    <xdr:ext cx="114300" cy="19050"/>
    <xdr:sp macro="">
      <xdr:nvSpPr>
        <xdr:cNvPr id="97" name="Verbinder 97"/>
        <xdr:cNvSpPr/>
      </xdr:nvSpPr>
      <xdr:spPr>
        <a:xfrm>
          <a:off x="12515850" y="5518149"/>
          <a:ext cx="114300" cy="19050"/>
        </a:xfrm>
        <a:prstGeom prst="rect">
          <a:avLst/>
        </a:prstGeom>
        <a:solidFill>
          <a:srgbClr val="8EA9DB"/>
        </a:solidFill>
        <a:ln>
          <a:noFill/>
        </a:ln>
      </xdr:spPr>
      <xdr:txBody>
        <a:bodyPr/>
        <a:lstStyle/>
        <a:p>
          <a:endParaRPr lang="de-DE"/>
        </a:p>
      </xdr:txBody>
    </xdr:sp>
    <xdr:clientData/>
  </xdr:absoluteAnchor>
  <xdr:absoluteAnchor>
    <xdr:pos x="12515850" y="6280149"/>
    <xdr:ext cx="114300" cy="19050"/>
    <xdr:sp macro="">
      <xdr:nvSpPr>
        <xdr:cNvPr id="98" name="Verbinder 98"/>
        <xdr:cNvSpPr/>
      </xdr:nvSpPr>
      <xdr:spPr>
        <a:xfrm>
          <a:off x="12515850" y="6280149"/>
          <a:ext cx="114300" cy="19050"/>
        </a:xfrm>
        <a:prstGeom prst="rect">
          <a:avLst/>
        </a:prstGeom>
        <a:solidFill>
          <a:srgbClr val="8EA9DB"/>
        </a:solidFill>
        <a:ln>
          <a:noFill/>
        </a:ln>
      </xdr:spPr>
      <xdr:txBody>
        <a:bodyPr/>
        <a:lstStyle/>
        <a:p>
          <a:endParaRPr lang="de-DE"/>
        </a:p>
      </xdr:txBody>
    </xdr:sp>
    <xdr:clientData/>
  </xdr:absoluteAnchor>
</xdr:wsDr>
</file>

<file path=xl/tables/table1.xml><?xml version="1.0" encoding="utf-8"?>
<table xmlns="http://schemas.openxmlformats.org/spreadsheetml/2006/main" id="1" name="Tabelle2" displayName="Tabelle2" ref="N5:N29" headerRowCount="1" totalsRowCount="0" totalsRowShown="0">
  <autoFilter ref="N5:N29"/>
  <tableColumns count="1">
    <tableColumn id="1" name="Partner"/>
  </tableColumns>
</table>
</file>

<file path=xl/tables/table2.xml><?xml version="1.0" encoding="utf-8"?>
<table xmlns="http://schemas.openxmlformats.org/spreadsheetml/2006/main" id="2" name="tblAnforderungen" displayName="tblAnforderungen" ref="B6:M1388" headerRowCount="1" totalsRowCount="0" totalsRowShown="0">
  <tableColumns count="12">
    <tableColumn id="1" name="ID"/>
    <tableColumn id="2" name="Dokument"/>
    <tableColumn id="3" name="Fundstelle"/>
    <tableColumn id="4" name="Themenfeld"/>
    <tableColumn id="5" name="Kernaussage"/>
    <tableColumn id="6" name="Anforderung / Frage (Originaltext)"/>
    <tableColumn id="7" name="Bemerkung"/>
    <tableColumn id="8" name="Partner"/>
    <tableColumn id="9" name="Komponente(n)"/>
    <tableColumn id="10" name="Status"/>
    <tableColumn id="11" name="Erfüllt am"/>
    <tableColumn id="12" name="Nachweis / Notiz"/>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standalone="yes"?>
<Relationships xmlns="http://schemas.openxmlformats.org/package/2006/relationships"><Relationship Id="rIdOrga"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T28" activeCellId="0" sqref="T28"/>
    </sheetView>
  </sheetViews>
  <sheetFormatPr defaultColWidth="9.14453125" defaultRowHeight="15" zeroHeight="false" outlineLevelRow="0" outlineLevelCol="0"/>
  <cols>
    <col collapsed="false" customWidth="true" hidden="false" outlineLevel="0" max="1" min="1" style="1" width="36"/>
    <col collapsed="false" customWidth="true" hidden="false" outlineLevel="0" max="2" min="2" style="1" width="16"/>
  </cols>
  <sheetData>
    <row r="1" customFormat="false" ht="23.25" hidden="false" customHeight="true" outlineLevel="0" collapsed="false">
      <c r="A1" s="2" t="s">
        <v>0</v>
      </c>
      <c r="B1" s="2"/>
      <c r="C1" s="2"/>
      <c r="D1" s="2"/>
      <c r="E1" s="2"/>
      <c r="F1" s="2"/>
      <c r="G1" s="2"/>
      <c r="H1" s="2"/>
      <c r="I1" s="2"/>
      <c r="J1" s="2"/>
      <c r="K1" s="2"/>
      <c r="L1" s="2"/>
      <c r="M1" s="2"/>
      <c r="N1" s="2"/>
      <c r="O1" s="2"/>
      <c r="P1" s="2"/>
      <c r="Q1" s="2"/>
    </row>
    <row r="2" customFormat="false" ht="15" hidden="false" customHeight="true" outlineLevel="0" collapsed="false">
      <c r="A2" s="3" t="s">
        <v>1</v>
      </c>
      <c r="B2" s="3"/>
      <c r="C2" s="3"/>
      <c r="D2" s="3"/>
      <c r="E2" s="3"/>
      <c r="F2" s="3"/>
      <c r="G2" s="3"/>
      <c r="H2" s="3"/>
      <c r="I2" s="3"/>
      <c r="J2" s="3"/>
      <c r="K2" s="3"/>
      <c r="L2" s="3"/>
      <c r="M2" s="3"/>
      <c r="N2" s="3"/>
      <c r="O2" s="3"/>
      <c r="P2" s="3"/>
      <c r="Q2" s="3"/>
    </row>
    <row r="3" customFormat="false" ht="15" hidden="false" customHeight="true" outlineLevel="0" collapsed="false">
      <c r="A3" s="4" t="s">
        <v>2</v>
      </c>
      <c r="B3" s="4"/>
      <c r="C3" s="4"/>
      <c r="D3" s="4"/>
      <c r="E3" s="4"/>
      <c r="F3" s="4"/>
      <c r="G3" s="4"/>
      <c r="H3" s="4"/>
      <c r="I3" s="4"/>
      <c r="J3" s="4"/>
      <c r="K3" s="4"/>
      <c r="L3" s="4"/>
      <c r="M3" s="4"/>
      <c r="N3" s="4"/>
      <c r="O3" s="4"/>
      <c r="P3" s="4"/>
      <c r="Q3" s="4"/>
    </row>
    <row r="5" customFormat="false" ht="15" hidden="false" customHeight="true" outlineLevel="0" collapsed="false">
      <c r="A5" s="5" t="s">
        <v>3</v>
      </c>
      <c r="B5" s="5" t="s">
        <v>4</v>
      </c>
    </row>
    <row r="6" customFormat="false" ht="15" hidden="false" customHeight="true" outlineLevel="0" collapsed="false">
      <c r="A6" s="6" t="s">
        <v>5</v>
      </c>
      <c r="B6" s="7" t="n">
        <f aca="false">COUNTA(Anforderungen!$B$7:$B$2000)</f>
        <v>1382</v>
      </c>
    </row>
    <row r="7" customFormat="false" ht="15" hidden="false" customHeight="true" outlineLevel="0" collapsed="false">
      <c r="A7" s="8" t="s">
        <v>6</v>
      </c>
      <c r="B7" s="9" t="n">
        <f aca="false">COUNTIF(Anforderungen!$K$7:$K$2000,"erfasst")</f>
        <v>50</v>
      </c>
    </row>
    <row r="8" customFormat="false" ht="15" hidden="false" customHeight="true" outlineLevel="0" collapsed="false">
      <c r="A8" s="10" t="s">
        <v>7</v>
      </c>
      <c r="B8" s="11" t="n">
        <f aca="false">COUNTIF(Anforderungen!$K$7:$K$2000,"bewertet")</f>
        <v>3</v>
      </c>
    </row>
    <row r="9" customFormat="false" ht="15" hidden="false" customHeight="true" outlineLevel="0" collapsed="false">
      <c r="A9" s="12" t="s">
        <v>8</v>
      </c>
      <c r="B9" s="13" t="n">
        <f aca="false">COUNTIF(Anforderungen!$K$7:$K$2000,"erfüllt")</f>
        <v>10</v>
      </c>
    </row>
    <row r="10" customFormat="false" ht="15" hidden="false" customHeight="true" outlineLevel="0" collapsed="false">
      <c r="A10" s="12" t="s">
        <v>9</v>
      </c>
      <c r="B10" s="13" t="n">
        <f aca="false">COUNTIFS(Anforderungen!$K$7:$K$2000,"erfüllt",Anforderungen!$L$7:$L$2000,"&lt;&gt;",Anforderungen!$M$7:$M$2000,"&lt;&gt;")</f>
        <v>10</v>
      </c>
    </row>
    <row r="11" customFormat="false" ht="15" hidden="false" customHeight="true" outlineLevel="0" collapsed="false">
      <c r="A11" s="10" t="s">
        <v>10</v>
      </c>
      <c r="B11" s="11" t="n">
        <f aca="false">COUNTIF(Anforderungen!$K$7:$K$2000,"trifft nicht zu")</f>
        <v>1319</v>
      </c>
    </row>
    <row r="12" customFormat="false" ht="15" hidden="false" customHeight="true" outlineLevel="0" collapsed="false">
      <c r="A12" s="10" t="s">
        <v>11</v>
      </c>
      <c r="B12" s="11" t="n">
        <f aca="false">COUNTIFS(Anforderungen!$K$7:$K$2000,"erfüllt",Anforderungen!$L$7:$L$2000,"")</f>
        <v>0</v>
      </c>
    </row>
    <row r="13" customFormat="false" ht="15" hidden="false" customHeight="true" outlineLevel="0" collapsed="false">
      <c r="A13" s="10" t="s">
        <v>12</v>
      </c>
      <c r="B13" s="14" t="n">
        <f aca="false">COUNTIFS(Anforderungen!$K$7:$K$2000,"erfüllt",Anforderungen!$M$7:$M$2000,"")</f>
        <v>0</v>
      </c>
    </row>
    <row r="14" customFormat="false" ht="15" hidden="false" customHeight="true" outlineLevel="0" collapsed="false">
      <c r="A14" s="8" t="s">
        <v>13</v>
      </c>
      <c r="B14" s="15" t="n">
        <f aca="false">COUNTIFS(Anforderungen!$K$7:$K$2000,"trifft nicht zu",Anforderungen!$M$7:$M$2000,"")</f>
        <v>2</v>
      </c>
    </row>
    <row r="15" customFormat="false" ht="15" hidden="false" customHeight="true" outlineLevel="0" collapsed="false">
      <c r="A15" s="16" t="s">
        <v>14</v>
      </c>
      <c r="B15" s="17" t="n">
        <f aca="false">IFERROR(COUNTIF(Anforderungen!$K$7:$K$2000,"erfüllt")/(COUNTA(Anforderungen!$B$7:$B$2000)-COUNTIF(Anforderungen!$K$7:$K$2000,"trifft nicht zu")),0)</f>
        <v>0.158730158730159</v>
      </c>
    </row>
    <row r="16" customFormat="false" ht="15" hidden="false" customHeight="true" outlineLevel="0" collapsed="false">
      <c r="A16" s="16" t="s">
        <v>15</v>
      </c>
      <c r="B16" s="17" t="n">
        <f aca="false">IFERROR(COUNTIFS(Anforderungen!$K$7:$K$2000,"erfüllt",Anforderungen!$L$7:$L$2000,"&lt;&gt;",Anforderungen!$M$7:$M$2000,"&lt;&gt;")/COUNTIF(Anforderungen!$K$7:$K$2000,"erfüllt"),0)</f>
        <v>1</v>
      </c>
    </row>
    <row r="17" customFormat="false" ht="15" hidden="false" customHeight="true" outlineLevel="0" collapsed="false">
      <c r="A17" s="18" t="s">
        <v>16</v>
      </c>
      <c r="B17" s="19" t="n">
        <f aca="false">COUNTIF(Komponenten!$J$6:$J$29,"erfüllt")</f>
        <v>0</v>
      </c>
    </row>
    <row r="18" customFormat="false" ht="15" hidden="false" customHeight="true" outlineLevel="0" collapsed="false">
      <c r="A18" s="18" t="s">
        <v>17</v>
      </c>
      <c r="B18" s="20" t="n">
        <f aca="false">COUNTIF(Anforderungen!$C$7:$C$2000,"Bieterfragenkatalog")</f>
        <v>663</v>
      </c>
    </row>
    <row r="19" customFormat="false" ht="25.5" hidden="false" customHeight="true" outlineLevel="0" collapsed="false">
      <c r="A19" s="18" t="s">
        <v>18</v>
      </c>
      <c r="B19" s="20" t="n">
        <f aca="false">COUNTIF(Anforderungen!$J$7:$J$2000,"Zuordnung prüfen")+COUNTIF(Anforderungen!$I$7:$I$2000,"Zuordnung prüfen")</f>
        <v>460</v>
      </c>
    </row>
  </sheetData>
  <mergeCells count="3">
    <mergeCell ref="A1:Q1"/>
    <mergeCell ref="A2:Q2"/>
    <mergeCell ref="A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G56" activePane="bottomLeft" state="frozen"/>
      <selection pane="topLeft" activeCell="A1" activeCellId="0" sqref="A1"/>
      <selection pane="bottomLeft" activeCell="G34" activeCellId="0" sqref="G34"/>
    </sheetView>
  </sheetViews>
  <sheetFormatPr defaultColWidth="9.14453125" defaultRowHeight="15" zeroHeight="false" outlineLevelRow="0" outlineLevelCol="0"/>
  <cols>
    <col collapsed="false" customWidth="true" hidden="false" outlineLevel="0" max="1" min="1" style="1" width="3.28"/>
    <col collapsed="false" customWidth="true" hidden="false" outlineLevel="0" max="2" min="2" style="1" width="9"/>
    <col collapsed="false" customWidth="true" hidden="false" outlineLevel="0" max="3" min="3" style="1" width="16.57"/>
    <col collapsed="false" customWidth="true" hidden="false" outlineLevel="0" max="4" min="4" style="1" width="13"/>
    <col collapsed="false" customWidth="true" hidden="false" outlineLevel="0" max="5" min="5" style="1" width="23.57"/>
    <col collapsed="false" customWidth="true" hidden="false" outlineLevel="0" max="6" min="6" style="1" width="45.71"/>
    <col collapsed="false" customWidth="true" hidden="false" outlineLevel="0" max="7" min="7" style="1" width="90.71"/>
    <col collapsed="false" customWidth="true" hidden="false" outlineLevel="0" max="8" min="8" style="1" width="45.71"/>
    <col collapsed="false" customWidth="true" hidden="false" outlineLevel="0" max="9" min="9" style="21" width="19.86"/>
    <col collapsed="false" customWidth="true" hidden="false" outlineLevel="0" max="10" min="10" style="1" width="34"/>
    <col collapsed="false" customWidth="true" hidden="false" outlineLevel="0" max="11" min="11" style="1" width="11.14"/>
    <col collapsed="false" customWidth="true" hidden="false" outlineLevel="0" max="12" min="12" style="1" width="14.29"/>
    <col collapsed="false" customWidth="true" hidden="false" outlineLevel="0" max="13" min="13" style="1" width="42"/>
    <col collapsed="false" customWidth="true" hidden="false" outlineLevel="0" max="14" min="14" style="1" width="255.71"/>
    <col collapsed="false" customWidth="true" hidden="false" outlineLevel="0" max="15" min="15" style="1" width="6.71"/>
    <col collapsed="false" customWidth="true" hidden="false" outlineLevel="0" max="16" min="16" style="21" width="255.71"/>
  </cols>
  <sheetData>
    <row r="1" customFormat="false" ht="30" hidden="false" customHeight="true" outlineLevel="0" collapsed="false">
      <c r="A1" s="22" t="s">
        <v>19</v>
      </c>
      <c r="B1" s="22"/>
      <c r="C1" s="22"/>
      <c r="D1" s="22"/>
      <c r="E1" s="22"/>
      <c r="F1" s="22"/>
      <c r="G1" s="22"/>
      <c r="H1" s="22"/>
      <c r="I1" s="23"/>
      <c r="J1" s="22"/>
      <c r="K1" s="22"/>
      <c r="L1" s="22"/>
      <c r="M1" s="22"/>
    </row>
    <row r="2" customFormat="false" ht="15" hidden="false" customHeight="true" outlineLevel="0" collapsed="false">
      <c r="A2" s="24" t="s">
        <v>20</v>
      </c>
      <c r="C2" s="25"/>
      <c r="D2" s="25"/>
      <c r="E2" s="25"/>
      <c r="F2" s="25"/>
      <c r="G2" s="25"/>
      <c r="H2" s="25"/>
      <c r="I2" s="25"/>
      <c r="J2" s="25"/>
      <c r="K2" s="25"/>
      <c r="L2" s="25"/>
      <c r="M2" s="25"/>
    </row>
    <row r="3" customFormat="false" ht="15" hidden="false" customHeight="true" outlineLevel="0" collapsed="false">
      <c r="A3" s="24" t="s">
        <v>21</v>
      </c>
      <c r="C3" s="25"/>
      <c r="D3" s="25"/>
      <c r="E3" s="25"/>
      <c r="F3" s="25"/>
      <c r="G3" s="25"/>
      <c r="H3" s="25"/>
      <c r="I3" s="25"/>
      <c r="J3" s="25"/>
      <c r="K3" s="25"/>
      <c r="L3" s="25"/>
      <c r="M3" s="25"/>
    </row>
    <row r="5" customFormat="false" ht="15" hidden="false" customHeight="true" outlineLevel="0" collapsed="false">
      <c r="B5" s="26" t="s">
        <v>22</v>
      </c>
      <c r="C5" s="26"/>
      <c r="D5" s="26"/>
      <c r="E5" s="26"/>
      <c r="F5" s="26"/>
      <c r="G5" s="26"/>
      <c r="H5" s="26"/>
      <c r="I5" s="26"/>
      <c r="J5" s="26"/>
      <c r="K5" s="27" t="s">
        <v>23</v>
      </c>
      <c r="L5" s="27"/>
      <c r="M5" s="27"/>
    </row>
    <row r="6" customFormat="false" ht="31.5" hidden="false" customHeight="true" outlineLevel="0" collapsed="false">
      <c r="B6" s="28" t="s">
        <v>24</v>
      </c>
      <c r="C6" s="28" t="s">
        <v>25</v>
      </c>
      <c r="D6" s="28" t="s">
        <v>26</v>
      </c>
      <c r="E6" s="28" t="s">
        <v>27</v>
      </c>
      <c r="F6" s="28" t="s">
        <v>28</v>
      </c>
      <c r="G6" s="28" t="s">
        <v>29</v>
      </c>
      <c r="H6" s="28" t="s">
        <v>30</v>
      </c>
      <c r="I6" s="28" t="s">
        <v>31</v>
      </c>
      <c r="J6" s="28" t="s">
        <v>32</v>
      </c>
      <c r="K6" s="28" t="s">
        <v>33</v>
      </c>
      <c r="L6" s="28" t="s">
        <v>34</v>
      </c>
      <c r="M6" s="28" t="s">
        <v>35</v>
      </c>
    </row>
    <row r="7" customFormat="false" ht="51" hidden="false" customHeight="true" outlineLevel="0" collapsed="false">
      <c r="B7" s="29" t="s">
        <v>36</v>
      </c>
      <c r="C7" s="29" t="s">
        <v>37</v>
      </c>
      <c r="D7" s="29" t="s">
        <v>38</v>
      </c>
      <c r="E7" s="29" t="s">
        <v>39</v>
      </c>
      <c r="F7" s="29" t="s">
        <v>40</v>
      </c>
      <c r="G7" s="29" t="s">
        <v>41</v>
      </c>
      <c r="H7" s="29"/>
      <c r="I7" s="29" t="s">
        <v>42</v>
      </c>
      <c r="J7" s="29" t="s">
        <v>43</v>
      </c>
      <c r="K7" s="30" t="s">
        <v>44</v>
      </c>
      <c r="L7" s="31"/>
      <c r="M7" s="32" t="s">
        <v>45</v>
      </c>
    </row>
    <row r="8" customFormat="false" ht="38.25" hidden="false" customHeight="true" outlineLevel="0" collapsed="false">
      <c r="B8" s="29" t="s">
        <v>46</v>
      </c>
      <c r="C8" s="29" t="s">
        <v>37</v>
      </c>
      <c r="D8" s="29" t="s">
        <v>47</v>
      </c>
      <c r="E8" s="29" t="s">
        <v>39</v>
      </c>
      <c r="F8" s="29" t="s">
        <v>48</v>
      </c>
      <c r="G8" s="29" t="s">
        <v>49</v>
      </c>
      <c r="H8" s="29"/>
      <c r="I8" s="29" t="s">
        <v>42</v>
      </c>
      <c r="J8" s="29" t="s">
        <v>43</v>
      </c>
      <c r="K8" s="30" t="s">
        <v>44</v>
      </c>
      <c r="L8" s="31"/>
      <c r="M8" s="29" t="s">
        <v>45</v>
      </c>
    </row>
    <row r="9" customFormat="false" ht="25.5" hidden="false" customHeight="true" outlineLevel="0" collapsed="false">
      <c r="B9" s="29" t="s">
        <v>50</v>
      </c>
      <c r="C9" s="29" t="s">
        <v>37</v>
      </c>
      <c r="D9" s="29" t="s">
        <v>51</v>
      </c>
      <c r="E9" s="29" t="s">
        <v>39</v>
      </c>
      <c r="F9" s="29" t="s">
        <v>48</v>
      </c>
      <c r="G9" s="29" t="s">
        <v>52</v>
      </c>
      <c r="H9" s="29"/>
      <c r="I9" s="29" t="s">
        <v>42</v>
      </c>
      <c r="J9" s="29" t="s">
        <v>53</v>
      </c>
      <c r="K9" s="30" t="s">
        <v>44</v>
      </c>
      <c r="L9" s="31"/>
      <c r="M9" s="29" t="s">
        <v>45</v>
      </c>
    </row>
    <row r="10" customFormat="false" ht="63.75" hidden="false" customHeight="true" outlineLevel="0" collapsed="false">
      <c r="B10" s="29" t="s">
        <v>54</v>
      </c>
      <c r="C10" s="29" t="s">
        <v>37</v>
      </c>
      <c r="D10" s="29" t="s">
        <v>55</v>
      </c>
      <c r="E10" s="29" t="s">
        <v>39</v>
      </c>
      <c r="F10" s="29" t="s">
        <v>56</v>
      </c>
      <c r="G10" s="29" t="s">
        <v>57</v>
      </c>
      <c r="H10" s="29"/>
      <c r="I10" s="29" t="s">
        <v>42</v>
      </c>
      <c r="J10" s="29" t="s">
        <v>43</v>
      </c>
      <c r="K10" s="30" t="s">
        <v>44</v>
      </c>
      <c r="L10" s="31"/>
      <c r="M10" s="29" t="s">
        <v>45</v>
      </c>
    </row>
    <row r="11" customFormat="false" ht="76.5" hidden="false" customHeight="true" outlineLevel="0" collapsed="false">
      <c r="B11" s="29" t="s">
        <v>58</v>
      </c>
      <c r="C11" s="29" t="s">
        <v>37</v>
      </c>
      <c r="D11" s="29" t="s">
        <v>59</v>
      </c>
      <c r="E11" s="29" t="s">
        <v>39</v>
      </c>
      <c r="F11" s="29" t="s">
        <v>60</v>
      </c>
      <c r="G11" s="29" t="s">
        <v>61</v>
      </c>
      <c r="H11" s="29"/>
      <c r="I11" s="29" t="s">
        <v>42</v>
      </c>
      <c r="J11" s="29" t="s">
        <v>43</v>
      </c>
      <c r="K11" s="30" t="s">
        <v>62</v>
      </c>
      <c r="L11" s="31"/>
      <c r="M11" s="29"/>
    </row>
    <row r="12" customFormat="false" ht="63.75" hidden="false" customHeight="true" outlineLevel="0" collapsed="false">
      <c r="B12" s="29" t="s">
        <v>63</v>
      </c>
      <c r="C12" s="29" t="s">
        <v>37</v>
      </c>
      <c r="D12" s="29" t="s">
        <v>64</v>
      </c>
      <c r="E12" s="29" t="s">
        <v>39</v>
      </c>
      <c r="F12" s="29" t="s">
        <v>65</v>
      </c>
      <c r="G12" s="29" t="s">
        <v>66</v>
      </c>
      <c r="H12" s="29"/>
      <c r="I12" s="29" t="s">
        <v>42</v>
      </c>
      <c r="J12" s="29" t="s">
        <v>67</v>
      </c>
      <c r="K12" s="30" t="s">
        <v>44</v>
      </c>
      <c r="L12" s="31"/>
      <c r="M12" s="29" t="s">
        <v>45</v>
      </c>
    </row>
    <row r="13" customFormat="false" ht="25.5" hidden="false" customHeight="true" outlineLevel="0" collapsed="false">
      <c r="B13" s="29" t="s">
        <v>68</v>
      </c>
      <c r="C13" s="29" t="s">
        <v>37</v>
      </c>
      <c r="D13" s="29" t="s">
        <v>69</v>
      </c>
      <c r="E13" s="29" t="s">
        <v>39</v>
      </c>
      <c r="F13" s="29" t="s">
        <v>70</v>
      </c>
      <c r="G13" s="29" t="s">
        <v>71</v>
      </c>
      <c r="H13" s="29"/>
      <c r="I13" s="29" t="s">
        <v>42</v>
      </c>
      <c r="J13" s="29" t="s">
        <v>43</v>
      </c>
      <c r="K13" s="30" t="s">
        <v>44</v>
      </c>
      <c r="L13" s="31"/>
      <c r="M13" s="29" t="s">
        <v>45</v>
      </c>
    </row>
    <row r="14" customFormat="false" ht="25.5" hidden="false" customHeight="true" outlineLevel="0" collapsed="false">
      <c r="B14" s="29" t="s">
        <v>72</v>
      </c>
      <c r="C14" s="29" t="s">
        <v>37</v>
      </c>
      <c r="D14" s="29" t="s">
        <v>73</v>
      </c>
      <c r="E14" s="29" t="s">
        <v>39</v>
      </c>
      <c r="F14" s="29" t="s">
        <v>74</v>
      </c>
      <c r="G14" s="29" t="s">
        <v>75</v>
      </c>
      <c r="H14" s="29"/>
      <c r="I14" s="29" t="s">
        <v>42</v>
      </c>
      <c r="J14" s="29" t="s">
        <v>43</v>
      </c>
      <c r="K14" s="30" t="s">
        <v>44</v>
      </c>
      <c r="L14" s="31"/>
      <c r="M14" s="29" t="s">
        <v>45</v>
      </c>
    </row>
    <row r="15" customFormat="false" ht="38.25" hidden="false" customHeight="true" outlineLevel="0" collapsed="false">
      <c r="B15" s="29" t="s">
        <v>76</v>
      </c>
      <c r="C15" s="29" t="s">
        <v>37</v>
      </c>
      <c r="D15" s="29" t="s">
        <v>77</v>
      </c>
      <c r="E15" s="29" t="s">
        <v>78</v>
      </c>
      <c r="F15" s="29" t="s">
        <v>79</v>
      </c>
      <c r="G15" s="29" t="s">
        <v>80</v>
      </c>
      <c r="H15" s="29" t="s">
        <v>81</v>
      </c>
      <c r="I15" s="29" t="s">
        <v>82</v>
      </c>
      <c r="J15" s="29" t="s">
        <v>83</v>
      </c>
      <c r="K15" s="30" t="s">
        <v>62</v>
      </c>
      <c r="L15" s="31"/>
      <c r="M15" s="29"/>
    </row>
    <row r="16" customFormat="false" ht="76.5" hidden="false" customHeight="true" outlineLevel="0" collapsed="false">
      <c r="B16" s="29" t="s">
        <v>84</v>
      </c>
      <c r="C16" s="29" t="s">
        <v>37</v>
      </c>
      <c r="D16" s="29" t="s">
        <v>85</v>
      </c>
      <c r="E16" s="29" t="s">
        <v>39</v>
      </c>
      <c r="F16" s="29" t="s">
        <v>86</v>
      </c>
      <c r="G16" s="29" t="s">
        <v>87</v>
      </c>
      <c r="H16" s="29" t="s">
        <v>88</v>
      </c>
      <c r="I16" s="29" t="s">
        <v>42</v>
      </c>
      <c r="J16" s="29" t="s">
        <v>43</v>
      </c>
      <c r="K16" s="30" t="s">
        <v>62</v>
      </c>
      <c r="L16" s="31"/>
      <c r="M16" s="29"/>
    </row>
    <row r="17" customFormat="false" ht="38.25" hidden="false" customHeight="true" outlineLevel="0" collapsed="false">
      <c r="B17" s="29" t="s">
        <v>89</v>
      </c>
      <c r="C17" s="29" t="s">
        <v>37</v>
      </c>
      <c r="D17" s="29" t="s">
        <v>90</v>
      </c>
      <c r="E17" s="29" t="s">
        <v>91</v>
      </c>
      <c r="F17" s="29" t="s">
        <v>92</v>
      </c>
      <c r="G17" s="29" t="s">
        <v>93</v>
      </c>
      <c r="H17" s="29" t="s">
        <v>94</v>
      </c>
      <c r="I17" s="29" t="s">
        <v>95</v>
      </c>
      <c r="J17" s="29" t="s">
        <v>96</v>
      </c>
      <c r="K17" s="30" t="s">
        <v>62</v>
      </c>
      <c r="L17" s="31"/>
      <c r="M17" s="29"/>
    </row>
    <row r="18" customFormat="false" ht="51" hidden="false" customHeight="true" outlineLevel="0" collapsed="false">
      <c r="B18" s="29" t="s">
        <v>97</v>
      </c>
      <c r="C18" s="29" t="s">
        <v>37</v>
      </c>
      <c r="D18" s="29" t="s">
        <v>98</v>
      </c>
      <c r="E18" s="29" t="s">
        <v>99</v>
      </c>
      <c r="F18" s="29" t="s">
        <v>100</v>
      </c>
      <c r="G18" s="29" t="s">
        <v>101</v>
      </c>
      <c r="H18" s="29" t="s">
        <v>102</v>
      </c>
      <c r="I18" s="29" t="s">
        <v>42</v>
      </c>
      <c r="J18" s="29" t="s">
        <v>43</v>
      </c>
      <c r="K18" s="30" t="s">
        <v>44</v>
      </c>
      <c r="L18" s="31"/>
      <c r="M18" s="29" t="s">
        <v>45</v>
      </c>
    </row>
    <row r="19" customFormat="false" ht="15" hidden="false" customHeight="true" outlineLevel="0" collapsed="false">
      <c r="B19" s="29" t="s">
        <v>103</v>
      </c>
      <c r="C19" s="29" t="s">
        <v>37</v>
      </c>
      <c r="D19" s="29" t="s">
        <v>104</v>
      </c>
      <c r="E19" s="29" t="s">
        <v>99</v>
      </c>
      <c r="F19" s="29" t="s">
        <v>105</v>
      </c>
      <c r="G19" s="29" t="s">
        <v>106</v>
      </c>
      <c r="H19" s="29" t="s">
        <v>102</v>
      </c>
      <c r="I19" s="29" t="s">
        <v>42</v>
      </c>
      <c r="J19" s="29" t="s">
        <v>43</v>
      </c>
      <c r="K19" s="30" t="s">
        <v>44</v>
      </c>
      <c r="L19" s="31"/>
      <c r="M19" s="29" t="s">
        <v>45</v>
      </c>
    </row>
    <row r="20" customFormat="false" ht="25.5" hidden="false" customHeight="true" outlineLevel="0" collapsed="false">
      <c r="B20" s="29" t="s">
        <v>107</v>
      </c>
      <c r="C20" s="29" t="s">
        <v>37</v>
      </c>
      <c r="D20" s="29" t="s">
        <v>108</v>
      </c>
      <c r="E20" s="29" t="s">
        <v>99</v>
      </c>
      <c r="F20" s="29" t="s">
        <v>109</v>
      </c>
      <c r="G20" s="29" t="s">
        <v>110</v>
      </c>
      <c r="H20" s="29" t="s">
        <v>102</v>
      </c>
      <c r="I20" s="29" t="s">
        <v>42</v>
      </c>
      <c r="J20" s="29" t="s">
        <v>43</v>
      </c>
      <c r="K20" s="30" t="s">
        <v>44</v>
      </c>
      <c r="L20" s="31"/>
      <c r="M20" s="29" t="s">
        <v>45</v>
      </c>
    </row>
    <row r="21" customFormat="false" ht="76.5" hidden="false" customHeight="true" outlineLevel="0" collapsed="false">
      <c r="B21" s="29" t="s">
        <v>111</v>
      </c>
      <c r="C21" s="29" t="s">
        <v>37</v>
      </c>
      <c r="D21" s="29" t="s">
        <v>112</v>
      </c>
      <c r="E21" s="29" t="s">
        <v>99</v>
      </c>
      <c r="F21" s="29" t="s">
        <v>113</v>
      </c>
      <c r="G21" s="29" t="s">
        <v>114</v>
      </c>
      <c r="H21" s="29" t="s">
        <v>115</v>
      </c>
      <c r="I21" s="29" t="s">
        <v>42</v>
      </c>
      <c r="J21" s="29" t="s">
        <v>43</v>
      </c>
      <c r="K21" s="30" t="s">
        <v>44</v>
      </c>
      <c r="L21" s="31"/>
      <c r="M21" s="29" t="s">
        <v>45</v>
      </c>
    </row>
    <row r="22" customFormat="false" ht="38.25" hidden="false" customHeight="true" outlineLevel="0" collapsed="false">
      <c r="B22" s="29" t="s">
        <v>116</v>
      </c>
      <c r="C22" s="29" t="s">
        <v>37</v>
      </c>
      <c r="D22" s="29" t="s">
        <v>117</v>
      </c>
      <c r="E22" s="29" t="s">
        <v>99</v>
      </c>
      <c r="F22" s="29" t="s">
        <v>118</v>
      </c>
      <c r="G22" s="29" t="s">
        <v>119</v>
      </c>
      <c r="H22" s="29"/>
      <c r="I22" s="29" t="s">
        <v>42</v>
      </c>
      <c r="J22" s="29" t="s">
        <v>43</v>
      </c>
      <c r="K22" s="30" t="s">
        <v>44</v>
      </c>
      <c r="L22" s="31"/>
      <c r="M22" s="29" t="s">
        <v>45</v>
      </c>
    </row>
    <row r="23" customFormat="false" ht="51" hidden="false" customHeight="true" outlineLevel="0" collapsed="false">
      <c r="B23" s="29" t="s">
        <v>120</v>
      </c>
      <c r="C23" s="29" t="s">
        <v>37</v>
      </c>
      <c r="D23" s="29" t="s">
        <v>121</v>
      </c>
      <c r="E23" s="29" t="s">
        <v>99</v>
      </c>
      <c r="F23" s="29" t="s">
        <v>122</v>
      </c>
      <c r="G23" s="29" t="s">
        <v>123</v>
      </c>
      <c r="H23" s="29"/>
      <c r="I23" s="29" t="s">
        <v>95</v>
      </c>
      <c r="J23" s="29" t="s">
        <v>124</v>
      </c>
      <c r="K23" s="30" t="s">
        <v>44</v>
      </c>
      <c r="L23" s="31"/>
      <c r="M23" s="29" t="s">
        <v>45</v>
      </c>
    </row>
    <row r="24" customFormat="false" ht="89.25" hidden="false" customHeight="true" outlineLevel="0" collapsed="false">
      <c r="B24" s="29" t="s">
        <v>125</v>
      </c>
      <c r="C24" s="29" t="s">
        <v>37</v>
      </c>
      <c r="D24" s="29" t="s">
        <v>126</v>
      </c>
      <c r="E24" s="29" t="s">
        <v>99</v>
      </c>
      <c r="F24" s="29" t="s">
        <v>127</v>
      </c>
      <c r="G24" s="29" t="s">
        <v>128</v>
      </c>
      <c r="H24" s="29" t="s">
        <v>129</v>
      </c>
      <c r="I24" s="29" t="s">
        <v>42</v>
      </c>
      <c r="J24" s="29" t="s">
        <v>43</v>
      </c>
      <c r="K24" s="30" t="s">
        <v>44</v>
      </c>
      <c r="L24" s="31"/>
      <c r="M24" s="29" t="s">
        <v>45</v>
      </c>
    </row>
    <row r="25" customFormat="false" ht="51" hidden="false" customHeight="true" outlineLevel="0" collapsed="false">
      <c r="B25" s="29" t="s">
        <v>130</v>
      </c>
      <c r="C25" s="29" t="s">
        <v>37</v>
      </c>
      <c r="D25" s="29" t="s">
        <v>131</v>
      </c>
      <c r="E25" s="29" t="s">
        <v>99</v>
      </c>
      <c r="F25" s="29" t="s">
        <v>132</v>
      </c>
      <c r="G25" s="29" t="s">
        <v>133</v>
      </c>
      <c r="H25" s="29"/>
      <c r="I25" s="29" t="s">
        <v>42</v>
      </c>
      <c r="J25" s="29" t="s">
        <v>67</v>
      </c>
      <c r="K25" s="30" t="s">
        <v>44</v>
      </c>
      <c r="L25" s="31"/>
      <c r="M25" s="29" t="s">
        <v>45</v>
      </c>
    </row>
    <row r="26" customFormat="false" ht="89.25" hidden="false" customHeight="true" outlineLevel="0" collapsed="false">
      <c r="B26" s="29" t="s">
        <v>134</v>
      </c>
      <c r="C26" s="29" t="s">
        <v>37</v>
      </c>
      <c r="D26" s="29" t="s">
        <v>135</v>
      </c>
      <c r="E26" s="29" t="s">
        <v>99</v>
      </c>
      <c r="F26" s="29" t="s">
        <v>136</v>
      </c>
      <c r="G26" s="29" t="s">
        <v>137</v>
      </c>
      <c r="H26" s="29"/>
      <c r="I26" s="29" t="s">
        <v>42</v>
      </c>
      <c r="J26" s="29" t="s">
        <v>67</v>
      </c>
      <c r="K26" s="30" t="s">
        <v>44</v>
      </c>
      <c r="L26" s="31"/>
      <c r="M26" s="29" t="s">
        <v>45</v>
      </c>
    </row>
    <row r="27" customFormat="false" ht="89.25" hidden="false" customHeight="true" outlineLevel="0" collapsed="false">
      <c r="B27" s="29" t="s">
        <v>138</v>
      </c>
      <c r="C27" s="29" t="s">
        <v>37</v>
      </c>
      <c r="D27" s="29" t="s">
        <v>139</v>
      </c>
      <c r="E27" s="29" t="s">
        <v>99</v>
      </c>
      <c r="F27" s="29" t="s">
        <v>140</v>
      </c>
      <c r="G27" s="29" t="s">
        <v>141</v>
      </c>
      <c r="H27" s="29"/>
      <c r="I27" s="29" t="s">
        <v>42</v>
      </c>
      <c r="J27" s="29" t="s">
        <v>67</v>
      </c>
      <c r="K27" s="30" t="s">
        <v>44</v>
      </c>
      <c r="L27" s="31"/>
      <c r="M27" s="29" t="s">
        <v>45</v>
      </c>
    </row>
    <row r="28" customFormat="false" ht="63.75" hidden="false" customHeight="true" outlineLevel="0" collapsed="false">
      <c r="B28" s="29" t="s">
        <v>142</v>
      </c>
      <c r="C28" s="29" t="s">
        <v>37</v>
      </c>
      <c r="D28" s="29" t="s">
        <v>143</v>
      </c>
      <c r="E28" s="29" t="s">
        <v>99</v>
      </c>
      <c r="F28" s="29" t="s">
        <v>144</v>
      </c>
      <c r="G28" s="29" t="s">
        <v>145</v>
      </c>
      <c r="H28" s="29" t="s">
        <v>146</v>
      </c>
      <c r="I28" s="29" t="s">
        <v>42</v>
      </c>
      <c r="J28" s="29" t="s">
        <v>147</v>
      </c>
      <c r="K28" s="30" t="s">
        <v>44</v>
      </c>
      <c r="L28" s="31" t="n">
        <v>46259</v>
      </c>
      <c r="M28" s="29" t="s">
        <v>148</v>
      </c>
    </row>
    <row r="29" customFormat="false" ht="63.75" hidden="false" customHeight="true" outlineLevel="0" collapsed="false">
      <c r="B29" s="29" t="s">
        <v>149</v>
      </c>
      <c r="C29" s="29" t="s">
        <v>37</v>
      </c>
      <c r="D29" s="29" t="s">
        <v>150</v>
      </c>
      <c r="E29" s="29" t="s">
        <v>151</v>
      </c>
      <c r="F29" s="29" t="s">
        <v>152</v>
      </c>
      <c r="G29" s="29" t="s">
        <v>153</v>
      </c>
      <c r="H29" s="29"/>
      <c r="I29" s="29" t="s">
        <v>154</v>
      </c>
      <c r="J29" s="29" t="s">
        <v>155</v>
      </c>
      <c r="K29" s="30" t="s">
        <v>44</v>
      </c>
      <c r="L29" s="31" t="n">
        <v>46260</v>
      </c>
      <c r="M29" s="29" t="s">
        <v>156</v>
      </c>
    </row>
    <row r="30" customFormat="false" ht="89.25" hidden="false" customHeight="true" outlineLevel="0" collapsed="false">
      <c r="B30" s="29" t="s">
        <v>157</v>
      </c>
      <c r="C30" s="29" t="s">
        <v>37</v>
      </c>
      <c r="D30" s="29" t="s">
        <v>158</v>
      </c>
      <c r="E30" s="29" t="s">
        <v>151</v>
      </c>
      <c r="F30" s="29" t="s">
        <v>159</v>
      </c>
      <c r="G30" s="29" t="s">
        <v>160</v>
      </c>
      <c r="H30" s="29" t="s">
        <v>161</v>
      </c>
      <c r="I30" s="29" t="s">
        <v>95</v>
      </c>
      <c r="J30" s="29" t="s">
        <v>162</v>
      </c>
      <c r="K30" s="30" t="s">
        <v>163</v>
      </c>
      <c r="L30" s="31" t="n">
        <v>46259</v>
      </c>
      <c r="M30" s="29" t="s">
        <v>164</v>
      </c>
    </row>
    <row r="31" customFormat="false" ht="25.5" hidden="false" customHeight="true" outlineLevel="0" collapsed="false">
      <c r="B31" s="29" t="s">
        <v>165</v>
      </c>
      <c r="C31" s="29" t="s">
        <v>37</v>
      </c>
      <c r="D31" s="29" t="s">
        <v>166</v>
      </c>
      <c r="E31" s="29" t="s">
        <v>39</v>
      </c>
      <c r="F31" s="29" t="s">
        <v>167</v>
      </c>
      <c r="G31" s="29" t="s">
        <v>168</v>
      </c>
      <c r="H31" s="29" t="s">
        <v>169</v>
      </c>
      <c r="I31" s="29" t="s">
        <v>170</v>
      </c>
      <c r="J31" s="29" t="s">
        <v>53</v>
      </c>
      <c r="K31" s="30" t="s">
        <v>171</v>
      </c>
      <c r="L31" s="31"/>
      <c r="M31" s="29"/>
    </row>
    <row r="32" customFormat="false" ht="15" hidden="false" customHeight="true" outlineLevel="0" collapsed="false">
      <c r="B32" s="29" t="s">
        <v>172</v>
      </c>
      <c r="C32" s="29" t="s">
        <v>173</v>
      </c>
      <c r="D32" s="29" t="s">
        <v>174</v>
      </c>
      <c r="E32" s="29" t="s">
        <v>78</v>
      </c>
      <c r="F32" s="29" t="s">
        <v>175</v>
      </c>
      <c r="G32" s="29" t="s">
        <v>176</v>
      </c>
      <c r="H32" s="29"/>
      <c r="I32" s="29" t="s">
        <v>82</v>
      </c>
      <c r="J32" s="29" t="s">
        <v>83</v>
      </c>
      <c r="K32" s="30" t="s">
        <v>62</v>
      </c>
      <c r="L32" s="31" t="n">
        <v>46259</v>
      </c>
      <c r="M32" s="29" t="s">
        <v>177</v>
      </c>
    </row>
    <row r="33" customFormat="false" ht="51" hidden="false" customHeight="true" outlineLevel="0" collapsed="false">
      <c r="B33" s="29" t="s">
        <v>178</v>
      </c>
      <c r="C33" s="29" t="s">
        <v>173</v>
      </c>
      <c r="D33" s="29" t="s">
        <v>179</v>
      </c>
      <c r="E33" s="29" t="s">
        <v>78</v>
      </c>
      <c r="F33" s="29" t="s">
        <v>180</v>
      </c>
      <c r="G33" s="29" t="s">
        <v>181</v>
      </c>
      <c r="H33" s="29" t="s">
        <v>182</v>
      </c>
      <c r="I33" s="29" t="s">
        <v>82</v>
      </c>
      <c r="J33" s="29" t="s">
        <v>83</v>
      </c>
      <c r="K33" s="30" t="s">
        <v>163</v>
      </c>
      <c r="L33" s="31" t="n">
        <v>46259</v>
      </c>
      <c r="M33" s="29" t="s">
        <v>183</v>
      </c>
    </row>
    <row r="34" customFormat="false" ht="216.75" hidden="false" customHeight="true" outlineLevel="0" collapsed="false">
      <c r="B34" s="29" t="s">
        <v>184</v>
      </c>
      <c r="C34" s="29" t="s">
        <v>173</v>
      </c>
      <c r="D34" s="29" t="s">
        <v>185</v>
      </c>
      <c r="E34" s="29" t="s">
        <v>186</v>
      </c>
      <c r="F34" s="29" t="s">
        <v>187</v>
      </c>
      <c r="G34" s="29" t="s">
        <v>188</v>
      </c>
      <c r="H34" s="29" t="s">
        <v>189</v>
      </c>
      <c r="I34" s="29" t="s">
        <v>95</v>
      </c>
      <c r="J34" s="29" t="s">
        <v>190</v>
      </c>
      <c r="K34" s="30" t="s">
        <v>163</v>
      </c>
      <c r="L34" s="31" t="n">
        <v>46259</v>
      </c>
      <c r="M34" s="29" t="s">
        <v>191</v>
      </c>
    </row>
    <row r="35" customFormat="false" ht="204" hidden="false" customHeight="true" outlineLevel="0" collapsed="false">
      <c r="B35" s="29" t="s">
        <v>192</v>
      </c>
      <c r="C35" s="29" t="s">
        <v>173</v>
      </c>
      <c r="D35" s="29" t="s">
        <v>193</v>
      </c>
      <c r="E35" s="29" t="s">
        <v>78</v>
      </c>
      <c r="F35" s="29"/>
      <c r="G35" s="29" t="s">
        <v>194</v>
      </c>
      <c r="H35" s="29" t="s">
        <v>195</v>
      </c>
      <c r="I35" s="29" t="s">
        <v>196</v>
      </c>
      <c r="J35" s="29" t="s">
        <v>83</v>
      </c>
      <c r="K35" s="30" t="s">
        <v>163</v>
      </c>
      <c r="L35" s="31" t="n">
        <v>46260</v>
      </c>
      <c r="M35" s="29" t="s">
        <v>197</v>
      </c>
    </row>
    <row r="36" customFormat="false" ht="331.5" hidden="false" customHeight="true" outlineLevel="0" collapsed="false">
      <c r="B36" s="29" t="s">
        <v>198</v>
      </c>
      <c r="C36" s="29" t="s">
        <v>173</v>
      </c>
      <c r="D36" s="29" t="s">
        <v>199</v>
      </c>
      <c r="E36" s="29" t="s">
        <v>78</v>
      </c>
      <c r="F36" s="29"/>
      <c r="G36" s="29" t="s">
        <v>200</v>
      </c>
      <c r="H36" s="29" t="s">
        <v>201</v>
      </c>
      <c r="I36" s="29" t="s">
        <v>170</v>
      </c>
      <c r="J36" s="29" t="s">
        <v>202</v>
      </c>
      <c r="K36" s="30" t="s">
        <v>44</v>
      </c>
      <c r="L36" s="31" t="n">
        <v>45894</v>
      </c>
      <c r="M36" s="29" t="s">
        <v>203</v>
      </c>
    </row>
    <row r="37" customFormat="false" ht="15" hidden="false" customHeight="true" outlineLevel="0" collapsed="false">
      <c r="B37" s="29" t="s">
        <v>204</v>
      </c>
      <c r="C37" s="29" t="s">
        <v>173</v>
      </c>
      <c r="D37" s="29" t="s">
        <v>205</v>
      </c>
      <c r="E37" s="29" t="s">
        <v>206</v>
      </c>
      <c r="F37" s="29"/>
      <c r="G37" s="29" t="s">
        <v>207</v>
      </c>
      <c r="H37" s="29" t="s">
        <v>208</v>
      </c>
      <c r="I37" s="29" t="s">
        <v>170</v>
      </c>
      <c r="J37" s="29" t="s">
        <v>202</v>
      </c>
      <c r="K37" s="30" t="s">
        <v>171</v>
      </c>
      <c r="L37" s="31"/>
      <c r="M37" s="29"/>
    </row>
    <row r="38" customFormat="false" ht="25.5" hidden="false" customHeight="true" outlineLevel="0" collapsed="false">
      <c r="B38" s="29" t="s">
        <v>209</v>
      </c>
      <c r="C38" s="29" t="s">
        <v>173</v>
      </c>
      <c r="D38" s="29" t="s">
        <v>210</v>
      </c>
      <c r="E38" s="29" t="s">
        <v>206</v>
      </c>
      <c r="F38" s="29"/>
      <c r="G38" s="29" t="s">
        <v>211</v>
      </c>
      <c r="H38" s="29" t="s">
        <v>212</v>
      </c>
      <c r="I38" s="29" t="s">
        <v>170</v>
      </c>
      <c r="J38" s="29" t="s">
        <v>202</v>
      </c>
      <c r="K38" s="30" t="s">
        <v>171</v>
      </c>
      <c r="L38" s="31"/>
      <c r="M38" s="29"/>
    </row>
    <row r="39" customFormat="false" ht="140.25" hidden="false" customHeight="true" outlineLevel="0" collapsed="false">
      <c r="B39" s="29" t="s">
        <v>213</v>
      </c>
      <c r="C39" s="29" t="s">
        <v>214</v>
      </c>
      <c r="D39" s="29" t="s">
        <v>215</v>
      </c>
      <c r="E39" s="29" t="s">
        <v>91</v>
      </c>
      <c r="F39" s="29" t="s">
        <v>216</v>
      </c>
      <c r="G39" s="29" t="s">
        <v>217</v>
      </c>
      <c r="H39" s="29" t="s">
        <v>218</v>
      </c>
      <c r="I39" s="29" t="s">
        <v>95</v>
      </c>
      <c r="J39" s="29" t="s">
        <v>96</v>
      </c>
      <c r="K39" s="30" t="s">
        <v>62</v>
      </c>
      <c r="L39" s="31"/>
      <c r="M39" s="29"/>
    </row>
    <row r="40" customFormat="false" ht="38.25" hidden="false" customHeight="true" outlineLevel="0" collapsed="false">
      <c r="B40" s="29" t="s">
        <v>219</v>
      </c>
      <c r="C40" s="29" t="s">
        <v>214</v>
      </c>
      <c r="D40" s="29" t="s">
        <v>220</v>
      </c>
      <c r="E40" s="29" t="s">
        <v>221</v>
      </c>
      <c r="F40" s="29" t="s">
        <v>222</v>
      </c>
      <c r="G40" s="29" t="s">
        <v>223</v>
      </c>
      <c r="H40" s="29" t="s">
        <v>224</v>
      </c>
      <c r="I40" s="29" t="s">
        <v>225</v>
      </c>
      <c r="J40" s="29" t="s">
        <v>221</v>
      </c>
      <c r="K40" s="30" t="s">
        <v>163</v>
      </c>
      <c r="L40" s="31" t="n">
        <v>46259</v>
      </c>
      <c r="M40" s="29" t="s">
        <v>226</v>
      </c>
    </row>
    <row r="41" customFormat="false" ht="51" hidden="false" customHeight="true" outlineLevel="0" collapsed="false">
      <c r="B41" s="29" t="s">
        <v>227</v>
      </c>
      <c r="C41" s="29" t="s">
        <v>214</v>
      </c>
      <c r="D41" s="29" t="s">
        <v>228</v>
      </c>
      <c r="E41" s="29" t="s">
        <v>221</v>
      </c>
      <c r="F41" s="29" t="s">
        <v>229</v>
      </c>
      <c r="G41" s="29" t="s">
        <v>230</v>
      </c>
      <c r="H41" s="29" t="s">
        <v>231</v>
      </c>
      <c r="I41" s="29" t="s">
        <v>95</v>
      </c>
      <c r="J41" s="29" t="s">
        <v>232</v>
      </c>
      <c r="K41" s="30" t="s">
        <v>62</v>
      </c>
      <c r="L41" s="31"/>
      <c r="M41" s="29"/>
    </row>
    <row r="42" customFormat="false" ht="38.25" hidden="false" customHeight="true" outlineLevel="0" collapsed="false">
      <c r="B42" s="29" t="s">
        <v>233</v>
      </c>
      <c r="C42" s="29" t="s">
        <v>214</v>
      </c>
      <c r="D42" s="29" t="s">
        <v>234</v>
      </c>
      <c r="E42" s="29" t="s">
        <v>78</v>
      </c>
      <c r="F42" s="29" t="s">
        <v>235</v>
      </c>
      <c r="G42" s="29" t="s">
        <v>236</v>
      </c>
      <c r="H42" s="29"/>
      <c r="I42" s="29" t="s">
        <v>82</v>
      </c>
      <c r="J42" s="29" t="s">
        <v>81</v>
      </c>
      <c r="K42" s="30" t="s">
        <v>163</v>
      </c>
      <c r="L42" s="31" t="n">
        <v>46259</v>
      </c>
      <c r="M42" s="29" t="s">
        <v>237</v>
      </c>
    </row>
    <row r="43" customFormat="false" ht="38.25" hidden="false" customHeight="true" outlineLevel="0" collapsed="false">
      <c r="B43" s="29" t="s">
        <v>238</v>
      </c>
      <c r="C43" s="29" t="s">
        <v>214</v>
      </c>
      <c r="D43" s="29" t="s">
        <v>239</v>
      </c>
      <c r="E43" s="29" t="s">
        <v>78</v>
      </c>
      <c r="F43" s="29" t="s">
        <v>240</v>
      </c>
      <c r="G43" s="29" t="s">
        <v>241</v>
      </c>
      <c r="H43" s="29" t="s">
        <v>242</v>
      </c>
      <c r="I43" s="29" t="s">
        <v>95</v>
      </c>
      <c r="J43" s="29" t="s">
        <v>96</v>
      </c>
      <c r="K43" s="30" t="s">
        <v>163</v>
      </c>
      <c r="L43" s="31" t="n">
        <v>46259</v>
      </c>
      <c r="M43" s="29" t="s">
        <v>243</v>
      </c>
    </row>
    <row r="44" customFormat="false" ht="25.5" hidden="false" customHeight="true" outlineLevel="0" collapsed="false">
      <c r="B44" s="29" t="s">
        <v>244</v>
      </c>
      <c r="C44" s="29" t="s">
        <v>214</v>
      </c>
      <c r="D44" s="29" t="s">
        <v>245</v>
      </c>
      <c r="E44" s="29" t="s">
        <v>78</v>
      </c>
      <c r="F44" s="29" t="s">
        <v>246</v>
      </c>
      <c r="G44" s="29" t="s">
        <v>247</v>
      </c>
      <c r="H44" s="29" t="s">
        <v>248</v>
      </c>
      <c r="I44" s="29" t="s">
        <v>225</v>
      </c>
      <c r="J44" s="29" t="s">
        <v>81</v>
      </c>
      <c r="K44" s="30" t="s">
        <v>163</v>
      </c>
      <c r="L44" s="31" t="n">
        <v>46259</v>
      </c>
      <c r="M44" s="29" t="s">
        <v>249</v>
      </c>
    </row>
    <row r="45" customFormat="false" ht="38.25" hidden="false" customHeight="true" outlineLevel="0" collapsed="false">
      <c r="B45" s="29" t="s">
        <v>250</v>
      </c>
      <c r="C45" s="29" t="s">
        <v>214</v>
      </c>
      <c r="D45" s="29" t="s">
        <v>251</v>
      </c>
      <c r="E45" s="29" t="s">
        <v>78</v>
      </c>
      <c r="F45" s="29" t="s">
        <v>252</v>
      </c>
      <c r="G45" s="29" t="s">
        <v>253</v>
      </c>
      <c r="H45" s="29" t="s">
        <v>254</v>
      </c>
      <c r="I45" s="29" t="s">
        <v>82</v>
      </c>
      <c r="J45" s="29" t="s">
        <v>81</v>
      </c>
      <c r="K45" s="30" t="s">
        <v>163</v>
      </c>
      <c r="L45" s="31" t="n">
        <v>46259</v>
      </c>
      <c r="M45" s="29" t="s">
        <v>255</v>
      </c>
    </row>
    <row r="46" customFormat="false" ht="165.75" hidden="false" customHeight="true" outlineLevel="0" collapsed="false">
      <c r="B46" s="29" t="s">
        <v>256</v>
      </c>
      <c r="C46" s="29" t="s">
        <v>214</v>
      </c>
      <c r="D46" s="29" t="s">
        <v>257</v>
      </c>
      <c r="E46" s="29" t="s">
        <v>186</v>
      </c>
      <c r="F46" s="29" t="s">
        <v>258</v>
      </c>
      <c r="G46" s="29" t="s">
        <v>259</v>
      </c>
      <c r="H46" s="29" t="s">
        <v>260</v>
      </c>
      <c r="I46" s="29" t="s">
        <v>42</v>
      </c>
      <c r="J46" s="29" t="s">
        <v>261</v>
      </c>
      <c r="K46" s="30" t="s">
        <v>163</v>
      </c>
      <c r="L46" s="31" t="n">
        <v>46259</v>
      </c>
      <c r="M46" s="29" t="s">
        <v>262</v>
      </c>
    </row>
    <row r="47" customFormat="false" ht="25.5" hidden="false" customHeight="true" outlineLevel="0" collapsed="false">
      <c r="B47" s="29" t="s">
        <v>263</v>
      </c>
      <c r="C47" s="29" t="s">
        <v>264</v>
      </c>
      <c r="D47" s="29" t="s">
        <v>265</v>
      </c>
      <c r="E47" s="29" t="s">
        <v>266</v>
      </c>
      <c r="F47" s="29" t="s">
        <v>267</v>
      </c>
      <c r="G47" s="29" t="s">
        <v>268</v>
      </c>
      <c r="H47" s="29" t="s">
        <v>269</v>
      </c>
      <c r="I47" s="29" t="s">
        <v>42</v>
      </c>
      <c r="J47" s="29" t="s">
        <v>270</v>
      </c>
      <c r="K47" s="30" t="s">
        <v>44</v>
      </c>
      <c r="L47" s="31"/>
      <c r="M47" s="29" t="s">
        <v>45</v>
      </c>
    </row>
    <row r="48" customFormat="false" ht="25.5" hidden="false" customHeight="true" outlineLevel="0" collapsed="false">
      <c r="B48" s="29" t="s">
        <v>271</v>
      </c>
      <c r="C48" s="29" t="s">
        <v>264</v>
      </c>
      <c r="D48" s="29" t="s">
        <v>272</v>
      </c>
      <c r="E48" s="29" t="s">
        <v>266</v>
      </c>
      <c r="F48" s="29" t="s">
        <v>267</v>
      </c>
      <c r="G48" s="29" t="s">
        <v>273</v>
      </c>
      <c r="H48" s="29" t="s">
        <v>274</v>
      </c>
      <c r="I48" s="29" t="s">
        <v>42</v>
      </c>
      <c r="J48" s="29" t="s">
        <v>270</v>
      </c>
      <c r="K48" s="30" t="s">
        <v>44</v>
      </c>
      <c r="L48" s="31"/>
      <c r="M48" s="29" t="s">
        <v>45</v>
      </c>
    </row>
    <row r="49" customFormat="false" ht="89.25" hidden="false" customHeight="true" outlineLevel="0" collapsed="false">
      <c r="B49" s="29" t="s">
        <v>275</v>
      </c>
      <c r="C49" s="29" t="s">
        <v>276</v>
      </c>
      <c r="D49" s="29" t="s">
        <v>277</v>
      </c>
      <c r="E49" s="29" t="s">
        <v>39</v>
      </c>
      <c r="F49" s="29" t="s">
        <v>278</v>
      </c>
      <c r="G49" s="29" t="s">
        <v>279</v>
      </c>
      <c r="H49" s="29" t="s">
        <v>280</v>
      </c>
      <c r="I49" s="29" t="s">
        <v>42</v>
      </c>
      <c r="J49" s="29" t="s">
        <v>43</v>
      </c>
      <c r="K49" s="30" t="s">
        <v>44</v>
      </c>
      <c r="L49" s="31"/>
      <c r="M49" s="32" t="s">
        <v>45</v>
      </c>
    </row>
    <row r="50" customFormat="false" ht="51" hidden="false" customHeight="true" outlineLevel="0" collapsed="false">
      <c r="B50" s="29" t="s">
        <v>281</v>
      </c>
      <c r="C50" s="29" t="s">
        <v>282</v>
      </c>
      <c r="D50" s="29" t="s">
        <v>283</v>
      </c>
      <c r="E50" s="29" t="s">
        <v>221</v>
      </c>
      <c r="F50" s="29" t="s">
        <v>222</v>
      </c>
      <c r="G50" s="29" t="s">
        <v>284</v>
      </c>
      <c r="H50" s="29" t="s">
        <v>285</v>
      </c>
      <c r="I50" s="29" t="s">
        <v>286</v>
      </c>
      <c r="J50" s="29" t="s">
        <v>221</v>
      </c>
      <c r="K50" s="30" t="s">
        <v>62</v>
      </c>
      <c r="L50" s="31"/>
      <c r="M50" s="29"/>
    </row>
    <row r="51" customFormat="false" ht="102" hidden="false" customHeight="true" outlineLevel="0" collapsed="false">
      <c r="B51" s="29" t="s">
        <v>287</v>
      </c>
      <c r="C51" s="29" t="s">
        <v>282</v>
      </c>
      <c r="D51" s="29" t="s">
        <v>288</v>
      </c>
      <c r="E51" s="29" t="s">
        <v>39</v>
      </c>
      <c r="F51" s="29" t="s">
        <v>289</v>
      </c>
      <c r="G51" s="29" t="s">
        <v>290</v>
      </c>
      <c r="H51" s="29" t="s">
        <v>291</v>
      </c>
      <c r="I51" s="29" t="s">
        <v>42</v>
      </c>
      <c r="J51" s="29" t="s">
        <v>43</v>
      </c>
      <c r="K51" s="30" t="s">
        <v>44</v>
      </c>
      <c r="L51" s="31"/>
      <c r="M51" s="29" t="s">
        <v>45</v>
      </c>
    </row>
    <row r="52" customFormat="false" ht="89.25" hidden="false" customHeight="true" outlineLevel="0" collapsed="false">
      <c r="B52" s="29" t="s">
        <v>292</v>
      </c>
      <c r="C52" s="29" t="s">
        <v>282</v>
      </c>
      <c r="D52" s="29" t="s">
        <v>293</v>
      </c>
      <c r="E52" s="29" t="s">
        <v>39</v>
      </c>
      <c r="F52" s="29" t="s">
        <v>294</v>
      </c>
      <c r="G52" s="29" t="s">
        <v>295</v>
      </c>
      <c r="H52" s="29" t="s">
        <v>296</v>
      </c>
      <c r="I52" s="29" t="s">
        <v>297</v>
      </c>
      <c r="J52" s="29" t="s">
        <v>53</v>
      </c>
      <c r="K52" s="30" t="s">
        <v>44</v>
      </c>
      <c r="L52" s="31"/>
      <c r="M52" s="29" t="s">
        <v>45</v>
      </c>
    </row>
    <row r="53" customFormat="false" ht="140.25" hidden="false" customHeight="true" outlineLevel="0" collapsed="false">
      <c r="B53" s="29" t="s">
        <v>298</v>
      </c>
      <c r="C53" s="29" t="s">
        <v>282</v>
      </c>
      <c r="D53" s="29" t="s">
        <v>299</v>
      </c>
      <c r="E53" s="29" t="s">
        <v>99</v>
      </c>
      <c r="F53" s="29"/>
      <c r="G53" s="29" t="s">
        <v>300</v>
      </c>
      <c r="H53" s="29" t="s">
        <v>301</v>
      </c>
      <c r="I53" s="29" t="s">
        <v>302</v>
      </c>
      <c r="J53" s="29" t="s">
        <v>202</v>
      </c>
      <c r="K53" s="30" t="s">
        <v>44</v>
      </c>
      <c r="L53" s="31"/>
      <c r="M53" s="29" t="s">
        <v>45</v>
      </c>
    </row>
    <row r="54" customFormat="false" ht="76.5" hidden="false" customHeight="true" outlineLevel="0" collapsed="false">
      <c r="B54" s="29" t="s">
        <v>303</v>
      </c>
      <c r="C54" s="29" t="s">
        <v>282</v>
      </c>
      <c r="D54" s="29" t="s">
        <v>304</v>
      </c>
      <c r="E54" s="29" t="s">
        <v>99</v>
      </c>
      <c r="F54" s="29"/>
      <c r="G54" s="29" t="s">
        <v>305</v>
      </c>
      <c r="H54" s="29" t="s">
        <v>306</v>
      </c>
      <c r="I54" s="29" t="s">
        <v>302</v>
      </c>
      <c r="J54" s="29" t="s">
        <v>202</v>
      </c>
      <c r="K54" s="30" t="s">
        <v>44</v>
      </c>
      <c r="L54" s="31"/>
      <c r="M54" s="29" t="s">
        <v>45</v>
      </c>
    </row>
    <row r="55" customFormat="false" ht="114.75" hidden="false" customHeight="true" outlineLevel="0" collapsed="false">
      <c r="B55" s="29" t="s">
        <v>307</v>
      </c>
      <c r="C55" s="29" t="s">
        <v>282</v>
      </c>
      <c r="D55" s="29" t="s">
        <v>308</v>
      </c>
      <c r="E55" s="29" t="s">
        <v>39</v>
      </c>
      <c r="F55" s="29"/>
      <c r="G55" s="29" t="s">
        <v>309</v>
      </c>
      <c r="H55" s="29" t="s">
        <v>306</v>
      </c>
      <c r="I55" s="29" t="s">
        <v>302</v>
      </c>
      <c r="J55" s="29" t="s">
        <v>202</v>
      </c>
      <c r="K55" s="30" t="s">
        <v>44</v>
      </c>
      <c r="L55" s="31"/>
      <c r="M55" s="29" t="s">
        <v>45</v>
      </c>
    </row>
    <row r="56" customFormat="false" ht="178.5" hidden="false" customHeight="true" outlineLevel="0" collapsed="false">
      <c r="B56" s="29" t="s">
        <v>310</v>
      </c>
      <c r="C56" s="29" t="s">
        <v>282</v>
      </c>
      <c r="D56" s="29" t="s">
        <v>311</v>
      </c>
      <c r="E56" s="29" t="s">
        <v>39</v>
      </c>
      <c r="F56" s="29" t="s">
        <v>312</v>
      </c>
      <c r="G56" s="29" t="s">
        <v>313</v>
      </c>
      <c r="H56" s="29" t="s">
        <v>314</v>
      </c>
      <c r="I56" s="29" t="s">
        <v>42</v>
      </c>
      <c r="J56" s="29" t="s">
        <v>43</v>
      </c>
      <c r="K56" s="30" t="s">
        <v>44</v>
      </c>
      <c r="L56" s="31"/>
      <c r="M56" s="29" t="s">
        <v>45</v>
      </c>
    </row>
    <row r="57" customFormat="false" ht="178.5" hidden="false" customHeight="true" outlineLevel="0" collapsed="false">
      <c r="B57" s="29" t="s">
        <v>315</v>
      </c>
      <c r="C57" s="29" t="s">
        <v>282</v>
      </c>
      <c r="D57" s="29" t="s">
        <v>316</v>
      </c>
      <c r="E57" s="29" t="s">
        <v>39</v>
      </c>
      <c r="F57" s="29" t="s">
        <v>317</v>
      </c>
      <c r="G57" s="29" t="s">
        <v>318</v>
      </c>
      <c r="H57" s="29" t="s">
        <v>319</v>
      </c>
      <c r="I57" s="29" t="s">
        <v>297</v>
      </c>
      <c r="J57" s="29" t="s">
        <v>297</v>
      </c>
      <c r="K57" s="30" t="s">
        <v>44</v>
      </c>
      <c r="L57" s="31"/>
      <c r="M57" s="29" t="s">
        <v>45</v>
      </c>
    </row>
    <row r="58" customFormat="false" ht="76.5" hidden="false" customHeight="true" outlineLevel="0" collapsed="false">
      <c r="B58" s="29" t="s">
        <v>320</v>
      </c>
      <c r="C58" s="29" t="s">
        <v>282</v>
      </c>
      <c r="D58" s="29" t="s">
        <v>321</v>
      </c>
      <c r="E58" s="29" t="s">
        <v>39</v>
      </c>
      <c r="F58" s="29" t="s">
        <v>322</v>
      </c>
      <c r="G58" s="29" t="s">
        <v>323</v>
      </c>
      <c r="H58" s="29" t="s">
        <v>324</v>
      </c>
      <c r="I58" s="29" t="s">
        <v>42</v>
      </c>
      <c r="J58" s="29" t="s">
        <v>43</v>
      </c>
      <c r="K58" s="30" t="s">
        <v>44</v>
      </c>
      <c r="L58" s="31"/>
      <c r="M58" s="29" t="s">
        <v>45</v>
      </c>
    </row>
    <row r="59" customFormat="false" ht="114.75" hidden="false" customHeight="true" outlineLevel="0" collapsed="false">
      <c r="B59" s="29" t="s">
        <v>325</v>
      </c>
      <c r="C59" s="29" t="s">
        <v>282</v>
      </c>
      <c r="D59" s="29" t="s">
        <v>326</v>
      </c>
      <c r="E59" s="29" t="s">
        <v>327</v>
      </c>
      <c r="F59" s="29" t="s">
        <v>328</v>
      </c>
      <c r="G59" s="29" t="s">
        <v>329</v>
      </c>
      <c r="H59" s="29" t="s">
        <v>330</v>
      </c>
      <c r="I59" s="29" t="s">
        <v>170</v>
      </c>
      <c r="J59" s="29" t="s">
        <v>202</v>
      </c>
      <c r="K59" s="30" t="s">
        <v>44</v>
      </c>
      <c r="L59" s="31"/>
      <c r="M59" s="29"/>
    </row>
    <row r="60" customFormat="false" ht="76.5" hidden="false" customHeight="true" outlineLevel="0" collapsed="false">
      <c r="B60" s="29" t="s">
        <v>331</v>
      </c>
      <c r="C60" s="29" t="s">
        <v>282</v>
      </c>
      <c r="D60" s="29" t="s">
        <v>332</v>
      </c>
      <c r="E60" s="29" t="s">
        <v>186</v>
      </c>
      <c r="F60" s="29" t="s">
        <v>333</v>
      </c>
      <c r="G60" s="29" t="s">
        <v>334</v>
      </c>
      <c r="H60" s="29" t="s">
        <v>335</v>
      </c>
      <c r="I60" s="29" t="s">
        <v>336</v>
      </c>
      <c r="J60" s="29" t="s">
        <v>337</v>
      </c>
      <c r="K60" s="30" t="s">
        <v>44</v>
      </c>
      <c r="L60" s="31"/>
      <c r="M60" s="29" t="s">
        <v>45</v>
      </c>
    </row>
    <row r="61" customFormat="false" ht="76.5" hidden="false" customHeight="true" outlineLevel="0" collapsed="false">
      <c r="B61" s="29" t="s">
        <v>338</v>
      </c>
      <c r="C61" s="29" t="s">
        <v>282</v>
      </c>
      <c r="D61" s="29" t="s">
        <v>339</v>
      </c>
      <c r="E61" s="29" t="s">
        <v>340</v>
      </c>
      <c r="F61" s="29" t="s">
        <v>341</v>
      </c>
      <c r="G61" s="29" t="s">
        <v>342</v>
      </c>
      <c r="H61" s="29" t="s">
        <v>343</v>
      </c>
      <c r="I61" s="29" t="s">
        <v>302</v>
      </c>
      <c r="J61" s="29" t="s">
        <v>202</v>
      </c>
      <c r="K61" s="30" t="s">
        <v>44</v>
      </c>
      <c r="L61" s="31"/>
      <c r="M61" s="29" t="s">
        <v>45</v>
      </c>
    </row>
    <row r="62" customFormat="false" ht="102" hidden="false" customHeight="true" outlineLevel="0" collapsed="false">
      <c r="B62" s="29" t="s">
        <v>344</v>
      </c>
      <c r="C62" s="29" t="s">
        <v>282</v>
      </c>
      <c r="D62" s="29" t="s">
        <v>345</v>
      </c>
      <c r="E62" s="29" t="s">
        <v>340</v>
      </c>
      <c r="F62" s="29" t="s">
        <v>346</v>
      </c>
      <c r="G62" s="29" t="s">
        <v>347</v>
      </c>
      <c r="H62" s="29" t="s">
        <v>348</v>
      </c>
      <c r="I62" s="29" t="s">
        <v>302</v>
      </c>
      <c r="J62" s="29" t="s">
        <v>202</v>
      </c>
      <c r="K62" s="30" t="s">
        <v>44</v>
      </c>
      <c r="L62" s="31"/>
      <c r="M62" s="29" t="s">
        <v>45</v>
      </c>
    </row>
    <row r="63" customFormat="false" ht="191.25" hidden="false" customHeight="true" outlineLevel="0" collapsed="false">
      <c r="B63" s="29" t="s">
        <v>349</v>
      </c>
      <c r="C63" s="29" t="s">
        <v>282</v>
      </c>
      <c r="D63" s="29" t="s">
        <v>350</v>
      </c>
      <c r="E63" s="29" t="s">
        <v>351</v>
      </c>
      <c r="F63" s="29" t="s">
        <v>352</v>
      </c>
      <c r="G63" s="29" t="s">
        <v>353</v>
      </c>
      <c r="H63" s="29" t="s">
        <v>354</v>
      </c>
      <c r="I63" s="29" t="s">
        <v>302</v>
      </c>
      <c r="J63" s="29" t="s">
        <v>202</v>
      </c>
      <c r="K63" s="30" t="s">
        <v>44</v>
      </c>
      <c r="L63" s="31"/>
      <c r="M63" s="29" t="s">
        <v>45</v>
      </c>
    </row>
    <row r="64" customFormat="false" ht="191.25" hidden="false" customHeight="true" outlineLevel="0" collapsed="false">
      <c r="B64" s="29" t="s">
        <v>355</v>
      </c>
      <c r="C64" s="29" t="s">
        <v>282</v>
      </c>
      <c r="D64" s="29" t="s">
        <v>356</v>
      </c>
      <c r="E64" s="29" t="s">
        <v>357</v>
      </c>
      <c r="F64" s="29" t="s">
        <v>358</v>
      </c>
      <c r="G64" s="29" t="s">
        <v>359</v>
      </c>
      <c r="H64" s="29" t="s">
        <v>360</v>
      </c>
      <c r="I64" s="29" t="s">
        <v>302</v>
      </c>
      <c r="J64" s="29" t="s">
        <v>202</v>
      </c>
      <c r="K64" s="30" t="s">
        <v>44</v>
      </c>
      <c r="L64" s="31"/>
      <c r="M64" s="29" t="s">
        <v>45</v>
      </c>
    </row>
    <row r="65" customFormat="false" ht="89.25" hidden="false" customHeight="true" outlineLevel="0" collapsed="false">
      <c r="B65" s="29" t="s">
        <v>361</v>
      </c>
      <c r="C65" s="29" t="s">
        <v>282</v>
      </c>
      <c r="D65" s="29" t="s">
        <v>362</v>
      </c>
      <c r="E65" s="29" t="s">
        <v>327</v>
      </c>
      <c r="F65" s="29" t="s">
        <v>363</v>
      </c>
      <c r="G65" s="29" t="s">
        <v>364</v>
      </c>
      <c r="H65" s="29" t="s">
        <v>365</v>
      </c>
      <c r="I65" s="29" t="s">
        <v>302</v>
      </c>
      <c r="J65" s="29" t="s">
        <v>202</v>
      </c>
      <c r="K65" s="30" t="s">
        <v>44</v>
      </c>
      <c r="L65" s="31"/>
      <c r="M65" s="29" t="s">
        <v>366</v>
      </c>
    </row>
    <row r="66" customFormat="false" ht="204" hidden="false" customHeight="true" outlineLevel="0" collapsed="false">
      <c r="B66" s="29" t="s">
        <v>367</v>
      </c>
      <c r="C66" s="29" t="s">
        <v>282</v>
      </c>
      <c r="D66" s="29" t="s">
        <v>368</v>
      </c>
      <c r="E66" s="29" t="s">
        <v>327</v>
      </c>
      <c r="F66" s="29" t="s">
        <v>369</v>
      </c>
      <c r="G66" s="29" t="s">
        <v>370</v>
      </c>
      <c r="H66" s="29" t="s">
        <v>371</v>
      </c>
      <c r="I66" s="29" t="s">
        <v>302</v>
      </c>
      <c r="J66" s="29" t="s">
        <v>202</v>
      </c>
      <c r="K66" s="30" t="s">
        <v>44</v>
      </c>
      <c r="L66" s="31"/>
      <c r="M66" s="29" t="s">
        <v>366</v>
      </c>
    </row>
    <row r="67" customFormat="false" ht="178.5" hidden="false" customHeight="true" outlineLevel="0" collapsed="false">
      <c r="B67" s="29" t="s">
        <v>372</v>
      </c>
      <c r="C67" s="29" t="s">
        <v>282</v>
      </c>
      <c r="D67" s="29" t="s">
        <v>373</v>
      </c>
      <c r="E67" s="29" t="s">
        <v>357</v>
      </c>
      <c r="F67" s="29" t="s">
        <v>374</v>
      </c>
      <c r="G67" s="29" t="s">
        <v>375</v>
      </c>
      <c r="H67" s="29" t="s">
        <v>376</v>
      </c>
      <c r="I67" s="29" t="s">
        <v>42</v>
      </c>
      <c r="J67" s="29" t="s">
        <v>43</v>
      </c>
      <c r="K67" s="30" t="s">
        <v>44</v>
      </c>
      <c r="L67" s="31"/>
      <c r="M67" s="29" t="s">
        <v>45</v>
      </c>
    </row>
    <row r="68" customFormat="false" ht="140.25" hidden="false" customHeight="true" outlineLevel="0" collapsed="false">
      <c r="B68" s="29" t="s">
        <v>377</v>
      </c>
      <c r="C68" s="29" t="s">
        <v>282</v>
      </c>
      <c r="D68" s="29" t="s">
        <v>378</v>
      </c>
      <c r="E68" s="29" t="s">
        <v>327</v>
      </c>
      <c r="F68" s="29" t="s">
        <v>379</v>
      </c>
      <c r="G68" s="29" t="s">
        <v>380</v>
      </c>
      <c r="H68" s="29" t="s">
        <v>381</v>
      </c>
      <c r="I68" s="29" t="s">
        <v>302</v>
      </c>
      <c r="J68" s="29" t="s">
        <v>202</v>
      </c>
      <c r="K68" s="30" t="s">
        <v>44</v>
      </c>
      <c r="L68" s="31"/>
      <c r="M68" s="29" t="s">
        <v>366</v>
      </c>
    </row>
    <row r="69" customFormat="false" ht="51" hidden="false" customHeight="true" outlineLevel="0" collapsed="false">
      <c r="B69" s="29" t="s">
        <v>382</v>
      </c>
      <c r="C69" s="29" t="s">
        <v>282</v>
      </c>
      <c r="D69" s="29" t="s">
        <v>383</v>
      </c>
      <c r="E69" s="29" t="s">
        <v>357</v>
      </c>
      <c r="F69" s="29" t="s">
        <v>384</v>
      </c>
      <c r="G69" s="29" t="s">
        <v>385</v>
      </c>
      <c r="H69" s="29" t="s">
        <v>386</v>
      </c>
      <c r="I69" s="29" t="s">
        <v>302</v>
      </c>
      <c r="J69" s="29" t="s">
        <v>202</v>
      </c>
      <c r="K69" s="30" t="s">
        <v>44</v>
      </c>
      <c r="L69" s="31"/>
      <c r="M69" s="29" t="s">
        <v>387</v>
      </c>
    </row>
    <row r="70" customFormat="false" ht="76.5" hidden="false" customHeight="true" outlineLevel="0" collapsed="false">
      <c r="B70" s="29" t="s">
        <v>388</v>
      </c>
      <c r="C70" s="29" t="s">
        <v>282</v>
      </c>
      <c r="D70" s="29" t="s">
        <v>389</v>
      </c>
      <c r="E70" s="29" t="s">
        <v>206</v>
      </c>
      <c r="F70" s="29" t="s">
        <v>390</v>
      </c>
      <c r="G70" s="29" t="s">
        <v>391</v>
      </c>
      <c r="H70" s="29" t="s">
        <v>392</v>
      </c>
      <c r="I70" s="29" t="s">
        <v>302</v>
      </c>
      <c r="J70" s="29" t="s">
        <v>202</v>
      </c>
      <c r="K70" s="30" t="s">
        <v>44</v>
      </c>
      <c r="L70" s="31"/>
      <c r="M70" s="29" t="s">
        <v>45</v>
      </c>
    </row>
    <row r="71" customFormat="false" ht="38.25" hidden="false" customHeight="true" outlineLevel="0" collapsed="false">
      <c r="B71" s="29" t="s">
        <v>393</v>
      </c>
      <c r="C71" s="29" t="s">
        <v>282</v>
      </c>
      <c r="D71" s="29" t="s">
        <v>394</v>
      </c>
      <c r="E71" s="29" t="s">
        <v>327</v>
      </c>
      <c r="F71" s="29" t="s">
        <v>395</v>
      </c>
      <c r="G71" s="29" t="s">
        <v>396</v>
      </c>
      <c r="H71" s="29" t="s">
        <v>397</v>
      </c>
      <c r="I71" s="29" t="s">
        <v>302</v>
      </c>
      <c r="J71" s="29" t="s">
        <v>202</v>
      </c>
      <c r="K71" s="30" t="s">
        <v>44</v>
      </c>
      <c r="L71" s="31"/>
      <c r="M71" s="29" t="s">
        <v>398</v>
      </c>
    </row>
    <row r="72" customFormat="false" ht="89.25" hidden="false" customHeight="true" outlineLevel="0" collapsed="false">
      <c r="B72" s="29" t="s">
        <v>399</v>
      </c>
      <c r="C72" s="29" t="s">
        <v>282</v>
      </c>
      <c r="D72" s="29" t="s">
        <v>400</v>
      </c>
      <c r="E72" s="29" t="s">
        <v>39</v>
      </c>
      <c r="F72" s="29" t="s">
        <v>401</v>
      </c>
      <c r="G72" s="29" t="s">
        <v>402</v>
      </c>
      <c r="H72" s="29" t="s">
        <v>403</v>
      </c>
      <c r="I72" s="29" t="s">
        <v>42</v>
      </c>
      <c r="J72" s="29" t="s">
        <v>43</v>
      </c>
      <c r="K72" s="30" t="s">
        <v>44</v>
      </c>
      <c r="L72" s="31"/>
      <c r="M72" s="29" t="s">
        <v>45</v>
      </c>
    </row>
    <row r="73" customFormat="false" ht="76.5" hidden="false" customHeight="true" outlineLevel="0" collapsed="false">
      <c r="B73" s="29" t="s">
        <v>404</v>
      </c>
      <c r="C73" s="29" t="s">
        <v>282</v>
      </c>
      <c r="D73" s="29" t="s">
        <v>405</v>
      </c>
      <c r="E73" s="29" t="s">
        <v>357</v>
      </c>
      <c r="F73" s="29" t="s">
        <v>406</v>
      </c>
      <c r="G73" s="29" t="s">
        <v>407</v>
      </c>
      <c r="H73" s="29" t="s">
        <v>408</v>
      </c>
      <c r="I73" s="29" t="s">
        <v>302</v>
      </c>
      <c r="J73" s="29" t="s">
        <v>202</v>
      </c>
      <c r="K73" s="30" t="s">
        <v>44</v>
      </c>
      <c r="L73" s="31"/>
      <c r="M73" s="29" t="s">
        <v>45</v>
      </c>
    </row>
    <row r="74" customFormat="false" ht="204" hidden="false" customHeight="true" outlineLevel="0" collapsed="false">
      <c r="B74" s="29" t="s">
        <v>409</v>
      </c>
      <c r="C74" s="29" t="s">
        <v>282</v>
      </c>
      <c r="D74" s="29" t="s">
        <v>410</v>
      </c>
      <c r="E74" s="29" t="s">
        <v>357</v>
      </c>
      <c r="F74" s="29" t="s">
        <v>411</v>
      </c>
      <c r="G74" s="29" t="s">
        <v>412</v>
      </c>
      <c r="H74" s="29" t="s">
        <v>413</v>
      </c>
      <c r="I74" s="29" t="s">
        <v>302</v>
      </c>
      <c r="J74" s="29" t="s">
        <v>202</v>
      </c>
      <c r="K74" s="30" t="s">
        <v>44</v>
      </c>
      <c r="L74" s="31"/>
      <c r="M74" s="29" t="s">
        <v>45</v>
      </c>
    </row>
    <row r="75" customFormat="false" ht="114.75" hidden="false" customHeight="true" outlineLevel="0" collapsed="false">
      <c r="B75" s="29" t="s">
        <v>414</v>
      </c>
      <c r="C75" s="29" t="s">
        <v>282</v>
      </c>
      <c r="D75" s="29" t="s">
        <v>415</v>
      </c>
      <c r="E75" s="29" t="s">
        <v>357</v>
      </c>
      <c r="F75" s="29" t="s">
        <v>416</v>
      </c>
      <c r="G75" s="29" t="s">
        <v>417</v>
      </c>
      <c r="H75" s="29" t="s">
        <v>418</v>
      </c>
      <c r="I75" s="29" t="s">
        <v>302</v>
      </c>
      <c r="J75" s="29" t="s">
        <v>202</v>
      </c>
      <c r="K75" s="30" t="s">
        <v>44</v>
      </c>
      <c r="L75" s="31"/>
      <c r="M75" s="29"/>
    </row>
    <row r="76" customFormat="false" ht="89.25" hidden="false" customHeight="true" outlineLevel="0" collapsed="false">
      <c r="B76" s="29" t="s">
        <v>419</v>
      </c>
      <c r="C76" s="29" t="s">
        <v>282</v>
      </c>
      <c r="D76" s="29" t="s">
        <v>420</v>
      </c>
      <c r="E76" s="29" t="s">
        <v>99</v>
      </c>
      <c r="F76" s="29" t="s">
        <v>421</v>
      </c>
      <c r="G76" s="29" t="s">
        <v>422</v>
      </c>
      <c r="H76" s="29" t="s">
        <v>423</v>
      </c>
      <c r="I76" s="29" t="s">
        <v>42</v>
      </c>
      <c r="J76" s="29" t="s">
        <v>67</v>
      </c>
      <c r="K76" s="30" t="s">
        <v>44</v>
      </c>
      <c r="L76" s="31"/>
      <c r="M76" s="29" t="s">
        <v>45</v>
      </c>
    </row>
    <row r="77" customFormat="false" ht="89.25" hidden="false" customHeight="true" outlineLevel="0" collapsed="false">
      <c r="B77" s="29" t="s">
        <v>424</v>
      </c>
      <c r="C77" s="29" t="s">
        <v>282</v>
      </c>
      <c r="D77" s="29" t="s">
        <v>425</v>
      </c>
      <c r="E77" s="29" t="s">
        <v>340</v>
      </c>
      <c r="F77" s="29" t="s">
        <v>426</v>
      </c>
      <c r="G77" s="29" t="s">
        <v>427</v>
      </c>
      <c r="H77" s="29" t="s">
        <v>428</v>
      </c>
      <c r="I77" s="29" t="s">
        <v>302</v>
      </c>
      <c r="J77" s="29" t="s">
        <v>202</v>
      </c>
      <c r="K77" s="30" t="s">
        <v>44</v>
      </c>
      <c r="L77" s="31"/>
      <c r="M77" s="29" t="s">
        <v>45</v>
      </c>
    </row>
    <row r="78" customFormat="false" ht="38.25" hidden="false" customHeight="true" outlineLevel="0" collapsed="false">
      <c r="B78" s="29" t="s">
        <v>429</v>
      </c>
      <c r="C78" s="29" t="s">
        <v>282</v>
      </c>
      <c r="D78" s="29" t="s">
        <v>430</v>
      </c>
      <c r="E78" s="29" t="s">
        <v>340</v>
      </c>
      <c r="F78" s="29" t="s">
        <v>431</v>
      </c>
      <c r="G78" s="29" t="s">
        <v>432</v>
      </c>
      <c r="H78" s="29" t="s">
        <v>433</v>
      </c>
      <c r="I78" s="29" t="s">
        <v>302</v>
      </c>
      <c r="J78" s="29" t="s">
        <v>202</v>
      </c>
      <c r="K78" s="30" t="s">
        <v>44</v>
      </c>
      <c r="L78" s="31"/>
      <c r="M78" s="29" t="s">
        <v>434</v>
      </c>
    </row>
    <row r="79" customFormat="false" ht="63.75" hidden="false" customHeight="true" outlineLevel="0" collapsed="false">
      <c r="B79" s="29" t="s">
        <v>435</v>
      </c>
      <c r="C79" s="29" t="s">
        <v>282</v>
      </c>
      <c r="D79" s="29" t="s">
        <v>436</v>
      </c>
      <c r="E79" s="29" t="s">
        <v>340</v>
      </c>
      <c r="F79" s="29" t="s">
        <v>437</v>
      </c>
      <c r="G79" s="29" t="s">
        <v>438</v>
      </c>
      <c r="H79" s="29" t="s">
        <v>439</v>
      </c>
      <c r="I79" s="29" t="s">
        <v>302</v>
      </c>
      <c r="J79" s="29" t="s">
        <v>202</v>
      </c>
      <c r="K79" s="30" t="s">
        <v>44</v>
      </c>
      <c r="L79" s="31"/>
      <c r="M79" s="29" t="s">
        <v>45</v>
      </c>
    </row>
    <row r="80" customFormat="false" ht="102" hidden="false" customHeight="true" outlineLevel="0" collapsed="false">
      <c r="B80" s="29" t="s">
        <v>440</v>
      </c>
      <c r="C80" s="29" t="s">
        <v>282</v>
      </c>
      <c r="D80" s="29" t="s">
        <v>441</v>
      </c>
      <c r="E80" s="29" t="s">
        <v>206</v>
      </c>
      <c r="F80" s="29" t="s">
        <v>442</v>
      </c>
      <c r="G80" s="29" t="s">
        <v>443</v>
      </c>
      <c r="H80" s="29" t="s">
        <v>444</v>
      </c>
      <c r="I80" s="29" t="s">
        <v>302</v>
      </c>
      <c r="J80" s="29" t="s">
        <v>202</v>
      </c>
      <c r="K80" s="30" t="s">
        <v>44</v>
      </c>
      <c r="L80" s="31"/>
      <c r="M80" s="29" t="s">
        <v>45</v>
      </c>
    </row>
    <row r="81" customFormat="false" ht="51" hidden="false" customHeight="true" outlineLevel="0" collapsed="false">
      <c r="B81" s="29" t="s">
        <v>445</v>
      </c>
      <c r="C81" s="29" t="s">
        <v>282</v>
      </c>
      <c r="D81" s="29" t="s">
        <v>446</v>
      </c>
      <c r="E81" s="29" t="s">
        <v>351</v>
      </c>
      <c r="F81" s="29" t="s">
        <v>447</v>
      </c>
      <c r="G81" s="29" t="s">
        <v>448</v>
      </c>
      <c r="H81" s="29" t="s">
        <v>449</v>
      </c>
      <c r="I81" s="29" t="s">
        <v>302</v>
      </c>
      <c r="J81" s="29" t="s">
        <v>202</v>
      </c>
      <c r="K81" s="30" t="s">
        <v>44</v>
      </c>
      <c r="L81" s="31"/>
      <c r="M81" s="29" t="s">
        <v>45</v>
      </c>
    </row>
    <row r="82" customFormat="false" ht="140.25" hidden="false" customHeight="true" outlineLevel="0" collapsed="false">
      <c r="B82" s="29" t="s">
        <v>450</v>
      </c>
      <c r="C82" s="29" t="s">
        <v>282</v>
      </c>
      <c r="D82" s="29" t="s">
        <v>451</v>
      </c>
      <c r="E82" s="29" t="s">
        <v>340</v>
      </c>
      <c r="F82" s="29" t="s">
        <v>452</v>
      </c>
      <c r="G82" s="29" t="s">
        <v>453</v>
      </c>
      <c r="H82" s="29" t="s">
        <v>454</v>
      </c>
      <c r="I82" s="29" t="s">
        <v>302</v>
      </c>
      <c r="J82" s="29" t="s">
        <v>202</v>
      </c>
      <c r="K82" s="30" t="s">
        <v>44</v>
      </c>
      <c r="L82" s="31"/>
      <c r="M82" s="29" t="s">
        <v>45</v>
      </c>
    </row>
    <row r="83" customFormat="false" ht="63.75" hidden="false" customHeight="true" outlineLevel="0" collapsed="false">
      <c r="B83" s="29" t="s">
        <v>455</v>
      </c>
      <c r="C83" s="29" t="s">
        <v>282</v>
      </c>
      <c r="D83" s="29" t="s">
        <v>456</v>
      </c>
      <c r="E83" s="29" t="s">
        <v>39</v>
      </c>
      <c r="F83" s="29" t="s">
        <v>457</v>
      </c>
      <c r="G83" s="29" t="s">
        <v>458</v>
      </c>
      <c r="H83" s="29" t="s">
        <v>459</v>
      </c>
      <c r="I83" s="29" t="s">
        <v>460</v>
      </c>
      <c r="J83" s="29" t="s">
        <v>461</v>
      </c>
      <c r="K83" s="30" t="s">
        <v>44</v>
      </c>
      <c r="L83" s="31"/>
      <c r="M83" s="29" t="s">
        <v>45</v>
      </c>
    </row>
    <row r="84" customFormat="false" ht="63.75" hidden="false" customHeight="true" outlineLevel="0" collapsed="false">
      <c r="B84" s="29" t="s">
        <v>462</v>
      </c>
      <c r="C84" s="29" t="s">
        <v>282</v>
      </c>
      <c r="D84" s="29" t="s">
        <v>463</v>
      </c>
      <c r="E84" s="29" t="s">
        <v>327</v>
      </c>
      <c r="F84" s="29" t="s">
        <v>464</v>
      </c>
      <c r="G84" s="29" t="s">
        <v>465</v>
      </c>
      <c r="H84" s="29" t="s">
        <v>466</v>
      </c>
      <c r="I84" s="29" t="s">
        <v>302</v>
      </c>
      <c r="J84" s="29" t="s">
        <v>202</v>
      </c>
      <c r="K84" s="30" t="s">
        <v>44</v>
      </c>
      <c r="L84" s="31"/>
      <c r="M84" s="29" t="s">
        <v>366</v>
      </c>
    </row>
    <row r="85" customFormat="false" ht="76.5" hidden="false" customHeight="true" outlineLevel="0" collapsed="false">
      <c r="B85" s="29" t="s">
        <v>467</v>
      </c>
      <c r="C85" s="29" t="s">
        <v>282</v>
      </c>
      <c r="D85" s="29" t="s">
        <v>468</v>
      </c>
      <c r="E85" s="29" t="s">
        <v>351</v>
      </c>
      <c r="F85" s="29" t="s">
        <v>469</v>
      </c>
      <c r="G85" s="29" t="s">
        <v>470</v>
      </c>
      <c r="H85" s="29" t="s">
        <v>471</v>
      </c>
      <c r="I85" s="29" t="s">
        <v>472</v>
      </c>
      <c r="J85" s="29" t="s">
        <v>472</v>
      </c>
      <c r="K85" s="30" t="s">
        <v>44</v>
      </c>
      <c r="L85" s="31"/>
      <c r="M85" s="29" t="s">
        <v>45</v>
      </c>
    </row>
    <row r="86" customFormat="false" ht="63.75" hidden="false" customHeight="true" outlineLevel="0" collapsed="false">
      <c r="B86" s="29" t="s">
        <v>473</v>
      </c>
      <c r="C86" s="29" t="s">
        <v>282</v>
      </c>
      <c r="D86" s="29" t="s">
        <v>474</v>
      </c>
      <c r="E86" s="29" t="s">
        <v>357</v>
      </c>
      <c r="F86" s="29" t="s">
        <v>475</v>
      </c>
      <c r="G86" s="29" t="s">
        <v>476</v>
      </c>
      <c r="H86" s="29" t="s">
        <v>477</v>
      </c>
      <c r="I86" s="29" t="s">
        <v>302</v>
      </c>
      <c r="J86" s="29" t="s">
        <v>202</v>
      </c>
      <c r="K86" s="30" t="s">
        <v>44</v>
      </c>
      <c r="L86" s="31"/>
      <c r="M86" s="29" t="s">
        <v>45</v>
      </c>
    </row>
    <row r="87" customFormat="false" ht="51" hidden="false" customHeight="true" outlineLevel="0" collapsed="false">
      <c r="B87" s="29" t="s">
        <v>478</v>
      </c>
      <c r="C87" s="29" t="s">
        <v>282</v>
      </c>
      <c r="D87" s="29" t="s">
        <v>479</v>
      </c>
      <c r="E87" s="29" t="s">
        <v>340</v>
      </c>
      <c r="F87" s="29" t="s">
        <v>480</v>
      </c>
      <c r="G87" s="29" t="s">
        <v>481</v>
      </c>
      <c r="H87" s="29" t="s">
        <v>482</v>
      </c>
      <c r="I87" s="29" t="s">
        <v>302</v>
      </c>
      <c r="J87" s="29" t="s">
        <v>202</v>
      </c>
      <c r="K87" s="30" t="s">
        <v>44</v>
      </c>
      <c r="L87" s="31"/>
      <c r="M87" s="29" t="s">
        <v>45</v>
      </c>
    </row>
    <row r="88" customFormat="false" ht="89.25" hidden="false" customHeight="true" outlineLevel="0" collapsed="false">
      <c r="B88" s="29" t="s">
        <v>483</v>
      </c>
      <c r="C88" s="29" t="s">
        <v>282</v>
      </c>
      <c r="D88" s="29" t="s">
        <v>484</v>
      </c>
      <c r="E88" s="29" t="s">
        <v>357</v>
      </c>
      <c r="F88" s="29" t="s">
        <v>485</v>
      </c>
      <c r="G88" s="29" t="s">
        <v>486</v>
      </c>
      <c r="H88" s="29" t="s">
        <v>487</v>
      </c>
      <c r="I88" s="29" t="s">
        <v>302</v>
      </c>
      <c r="J88" s="29" t="s">
        <v>202</v>
      </c>
      <c r="K88" s="30" t="s">
        <v>44</v>
      </c>
      <c r="L88" s="31"/>
      <c r="M88" s="29" t="s">
        <v>45</v>
      </c>
    </row>
    <row r="89" customFormat="false" ht="140.25" hidden="false" customHeight="true" outlineLevel="0" collapsed="false">
      <c r="B89" s="29" t="s">
        <v>488</v>
      </c>
      <c r="C89" s="29" t="s">
        <v>282</v>
      </c>
      <c r="D89" s="29" t="s">
        <v>489</v>
      </c>
      <c r="E89" s="29" t="s">
        <v>351</v>
      </c>
      <c r="F89" s="29" t="s">
        <v>490</v>
      </c>
      <c r="G89" s="29" t="s">
        <v>491</v>
      </c>
      <c r="H89" s="29" t="s">
        <v>492</v>
      </c>
      <c r="I89" s="29" t="s">
        <v>472</v>
      </c>
      <c r="J89" s="29" t="s">
        <v>472</v>
      </c>
      <c r="K89" s="30" t="s">
        <v>44</v>
      </c>
      <c r="L89" s="31"/>
      <c r="M89" s="29" t="s">
        <v>45</v>
      </c>
    </row>
    <row r="90" customFormat="false" ht="51" hidden="false" customHeight="true" outlineLevel="0" collapsed="false">
      <c r="B90" s="29" t="s">
        <v>493</v>
      </c>
      <c r="C90" s="29" t="s">
        <v>282</v>
      </c>
      <c r="D90" s="29" t="s">
        <v>494</v>
      </c>
      <c r="E90" s="29" t="s">
        <v>357</v>
      </c>
      <c r="F90" s="29" t="s">
        <v>495</v>
      </c>
      <c r="G90" s="29" t="s">
        <v>496</v>
      </c>
      <c r="H90" s="29" t="s">
        <v>497</v>
      </c>
      <c r="I90" s="29" t="s">
        <v>154</v>
      </c>
      <c r="J90" s="29" t="s">
        <v>155</v>
      </c>
      <c r="K90" s="30" t="s">
        <v>44</v>
      </c>
      <c r="L90" s="31"/>
      <c r="M90" s="29" t="s">
        <v>45</v>
      </c>
    </row>
    <row r="91" customFormat="false" ht="216.75" hidden="false" customHeight="true" outlineLevel="0" collapsed="false">
      <c r="B91" s="29" t="s">
        <v>498</v>
      </c>
      <c r="C91" s="29" t="s">
        <v>282</v>
      </c>
      <c r="D91" s="29" t="s">
        <v>499</v>
      </c>
      <c r="E91" s="29" t="s">
        <v>39</v>
      </c>
      <c r="F91" s="29" t="s">
        <v>500</v>
      </c>
      <c r="G91" s="29" t="s">
        <v>501</v>
      </c>
      <c r="H91" s="29" t="s">
        <v>502</v>
      </c>
      <c r="I91" s="29" t="s">
        <v>95</v>
      </c>
      <c r="J91" s="29" t="s">
        <v>503</v>
      </c>
      <c r="K91" s="30" t="s">
        <v>62</v>
      </c>
      <c r="L91" s="31"/>
      <c r="M91" s="29"/>
    </row>
    <row r="92" customFormat="false" ht="204" hidden="false" customHeight="true" outlineLevel="0" collapsed="false">
      <c r="B92" s="29" t="s">
        <v>504</v>
      </c>
      <c r="C92" s="29" t="s">
        <v>282</v>
      </c>
      <c r="D92" s="29" t="s">
        <v>505</v>
      </c>
      <c r="E92" s="29" t="s">
        <v>351</v>
      </c>
      <c r="F92" s="29" t="s">
        <v>506</v>
      </c>
      <c r="G92" s="29" t="s">
        <v>507</v>
      </c>
      <c r="H92" s="29" t="s">
        <v>508</v>
      </c>
      <c r="I92" s="29" t="s">
        <v>302</v>
      </c>
      <c r="J92" s="29" t="s">
        <v>202</v>
      </c>
      <c r="K92" s="30" t="s">
        <v>44</v>
      </c>
      <c r="L92" s="31"/>
      <c r="M92" s="29" t="s">
        <v>45</v>
      </c>
    </row>
    <row r="93" customFormat="false" ht="102" hidden="false" customHeight="true" outlineLevel="0" collapsed="false">
      <c r="B93" s="29" t="s">
        <v>509</v>
      </c>
      <c r="C93" s="29" t="s">
        <v>282</v>
      </c>
      <c r="D93" s="29" t="s">
        <v>510</v>
      </c>
      <c r="E93" s="29" t="s">
        <v>357</v>
      </c>
      <c r="F93" s="29" t="s">
        <v>511</v>
      </c>
      <c r="G93" s="29" t="s">
        <v>512</v>
      </c>
      <c r="H93" s="29" t="s">
        <v>513</v>
      </c>
      <c r="I93" s="29" t="s">
        <v>302</v>
      </c>
      <c r="J93" s="29" t="s">
        <v>202</v>
      </c>
      <c r="K93" s="30" t="s">
        <v>44</v>
      </c>
      <c r="L93" s="31"/>
      <c r="M93" s="29" t="s">
        <v>45</v>
      </c>
    </row>
    <row r="94" customFormat="false" ht="89.25" hidden="false" customHeight="true" outlineLevel="0" collapsed="false">
      <c r="B94" s="29" t="s">
        <v>514</v>
      </c>
      <c r="C94" s="29" t="s">
        <v>282</v>
      </c>
      <c r="D94" s="29" t="s">
        <v>515</v>
      </c>
      <c r="E94" s="29" t="s">
        <v>351</v>
      </c>
      <c r="F94" s="29" t="s">
        <v>516</v>
      </c>
      <c r="G94" s="29" t="s">
        <v>517</v>
      </c>
      <c r="H94" s="29" t="s">
        <v>518</v>
      </c>
      <c r="I94" s="29" t="s">
        <v>302</v>
      </c>
      <c r="J94" s="29" t="s">
        <v>202</v>
      </c>
      <c r="K94" s="30" t="s">
        <v>44</v>
      </c>
      <c r="L94" s="31"/>
      <c r="M94" s="29" t="s">
        <v>45</v>
      </c>
    </row>
    <row r="95" customFormat="false" ht="63.75" hidden="false" customHeight="true" outlineLevel="0" collapsed="false">
      <c r="B95" s="29" t="s">
        <v>519</v>
      </c>
      <c r="C95" s="29" t="s">
        <v>282</v>
      </c>
      <c r="D95" s="29" t="s">
        <v>520</v>
      </c>
      <c r="E95" s="29" t="s">
        <v>327</v>
      </c>
      <c r="F95" s="29" t="s">
        <v>521</v>
      </c>
      <c r="G95" s="29" t="s">
        <v>522</v>
      </c>
      <c r="H95" s="29" t="s">
        <v>523</v>
      </c>
      <c r="I95" s="29" t="s">
        <v>302</v>
      </c>
      <c r="J95" s="29" t="s">
        <v>202</v>
      </c>
      <c r="K95" s="30" t="s">
        <v>44</v>
      </c>
      <c r="L95" s="31"/>
      <c r="M95" s="29" t="s">
        <v>366</v>
      </c>
    </row>
    <row r="96" customFormat="false" ht="76.5" hidden="false" customHeight="true" outlineLevel="0" collapsed="false">
      <c r="B96" s="29" t="s">
        <v>524</v>
      </c>
      <c r="C96" s="29" t="s">
        <v>282</v>
      </c>
      <c r="D96" s="29" t="s">
        <v>525</v>
      </c>
      <c r="E96" s="29" t="s">
        <v>327</v>
      </c>
      <c r="F96" s="29" t="s">
        <v>526</v>
      </c>
      <c r="G96" s="29" t="s">
        <v>527</v>
      </c>
      <c r="H96" s="29" t="s">
        <v>528</v>
      </c>
      <c r="I96" s="29" t="s">
        <v>302</v>
      </c>
      <c r="J96" s="29" t="s">
        <v>202</v>
      </c>
      <c r="K96" s="30" t="s">
        <v>44</v>
      </c>
      <c r="L96" s="31"/>
      <c r="M96" s="29" t="s">
        <v>366</v>
      </c>
    </row>
    <row r="97" customFormat="false" ht="63.75" hidden="false" customHeight="true" outlineLevel="0" collapsed="false">
      <c r="B97" s="29" t="s">
        <v>529</v>
      </c>
      <c r="C97" s="29" t="s">
        <v>282</v>
      </c>
      <c r="D97" s="29" t="s">
        <v>530</v>
      </c>
      <c r="E97" s="29" t="s">
        <v>357</v>
      </c>
      <c r="F97" s="29" t="s">
        <v>531</v>
      </c>
      <c r="G97" s="29" t="s">
        <v>532</v>
      </c>
      <c r="H97" s="29" t="s">
        <v>533</v>
      </c>
      <c r="I97" s="29" t="s">
        <v>302</v>
      </c>
      <c r="J97" s="29" t="s">
        <v>202</v>
      </c>
      <c r="K97" s="30" t="s">
        <v>44</v>
      </c>
      <c r="L97" s="31"/>
      <c r="M97" s="29" t="s">
        <v>45</v>
      </c>
    </row>
    <row r="98" customFormat="false" ht="76.5" hidden="false" customHeight="true" outlineLevel="0" collapsed="false">
      <c r="B98" s="29" t="s">
        <v>534</v>
      </c>
      <c r="C98" s="29" t="s">
        <v>282</v>
      </c>
      <c r="D98" s="29" t="s">
        <v>535</v>
      </c>
      <c r="E98" s="29" t="s">
        <v>99</v>
      </c>
      <c r="F98" s="29" t="s">
        <v>536</v>
      </c>
      <c r="G98" s="29" t="s">
        <v>537</v>
      </c>
      <c r="H98" s="29" t="s">
        <v>538</v>
      </c>
      <c r="I98" s="29" t="s">
        <v>539</v>
      </c>
      <c r="J98" s="29" t="s">
        <v>540</v>
      </c>
      <c r="K98" s="30" t="s">
        <v>44</v>
      </c>
      <c r="L98" s="31"/>
      <c r="M98" s="29" t="s">
        <v>45</v>
      </c>
    </row>
    <row r="99" customFormat="false" ht="63.75" hidden="false" customHeight="true" outlineLevel="0" collapsed="false">
      <c r="B99" s="29" t="s">
        <v>541</v>
      </c>
      <c r="C99" s="29" t="s">
        <v>282</v>
      </c>
      <c r="D99" s="29" t="s">
        <v>542</v>
      </c>
      <c r="E99" s="29" t="s">
        <v>543</v>
      </c>
      <c r="F99" s="29" t="s">
        <v>544</v>
      </c>
      <c r="G99" s="29" t="s">
        <v>545</v>
      </c>
      <c r="H99" s="29" t="s">
        <v>546</v>
      </c>
      <c r="I99" s="29" t="s">
        <v>472</v>
      </c>
      <c r="J99" s="29" t="s">
        <v>472</v>
      </c>
      <c r="K99" s="30" t="s">
        <v>44</v>
      </c>
      <c r="L99" s="31"/>
      <c r="M99" s="29" t="s">
        <v>45</v>
      </c>
    </row>
    <row r="100" customFormat="false" ht="76.5" hidden="false" customHeight="true" outlineLevel="0" collapsed="false">
      <c r="B100" s="29" t="s">
        <v>547</v>
      </c>
      <c r="C100" s="29" t="s">
        <v>282</v>
      </c>
      <c r="D100" s="29" t="s">
        <v>548</v>
      </c>
      <c r="E100" s="29" t="s">
        <v>206</v>
      </c>
      <c r="F100" s="29" t="s">
        <v>549</v>
      </c>
      <c r="G100" s="29" t="s">
        <v>550</v>
      </c>
      <c r="H100" s="29" t="s">
        <v>551</v>
      </c>
      <c r="I100" s="29" t="s">
        <v>302</v>
      </c>
      <c r="J100" s="29" t="s">
        <v>202</v>
      </c>
      <c r="K100" s="30" t="s">
        <v>44</v>
      </c>
      <c r="L100" s="31"/>
      <c r="M100" s="29" t="s">
        <v>45</v>
      </c>
    </row>
    <row r="101" customFormat="false" ht="51" hidden="false" customHeight="true" outlineLevel="0" collapsed="false">
      <c r="B101" s="29" t="s">
        <v>552</v>
      </c>
      <c r="C101" s="29" t="s">
        <v>282</v>
      </c>
      <c r="D101" s="29" t="s">
        <v>553</v>
      </c>
      <c r="E101" s="29" t="s">
        <v>351</v>
      </c>
      <c r="F101" s="29" t="s">
        <v>554</v>
      </c>
      <c r="G101" s="29" t="s">
        <v>555</v>
      </c>
      <c r="H101" s="29" t="s">
        <v>556</v>
      </c>
      <c r="I101" s="29" t="s">
        <v>302</v>
      </c>
      <c r="J101" s="29" t="s">
        <v>202</v>
      </c>
      <c r="K101" s="30" t="s">
        <v>44</v>
      </c>
      <c r="L101" s="31"/>
      <c r="M101" s="29" t="s">
        <v>45</v>
      </c>
    </row>
    <row r="102" customFormat="false" ht="51" hidden="false" customHeight="true" outlineLevel="0" collapsed="false">
      <c r="B102" s="29" t="s">
        <v>557</v>
      </c>
      <c r="C102" s="29" t="s">
        <v>282</v>
      </c>
      <c r="D102" s="29" t="s">
        <v>558</v>
      </c>
      <c r="E102" s="29" t="s">
        <v>327</v>
      </c>
      <c r="F102" s="29" t="s">
        <v>559</v>
      </c>
      <c r="G102" s="29" t="s">
        <v>560</v>
      </c>
      <c r="H102" s="29" t="s">
        <v>561</v>
      </c>
      <c r="I102" s="29" t="s">
        <v>302</v>
      </c>
      <c r="J102" s="29" t="s">
        <v>202</v>
      </c>
      <c r="K102" s="30" t="s">
        <v>44</v>
      </c>
      <c r="L102" s="31"/>
      <c r="M102" s="29" t="s">
        <v>366</v>
      </c>
    </row>
    <row r="103" customFormat="false" ht="140.25" hidden="false" customHeight="true" outlineLevel="0" collapsed="false">
      <c r="B103" s="29" t="s">
        <v>562</v>
      </c>
      <c r="C103" s="29" t="s">
        <v>282</v>
      </c>
      <c r="D103" s="29" t="s">
        <v>563</v>
      </c>
      <c r="E103" s="29" t="s">
        <v>357</v>
      </c>
      <c r="F103" s="29" t="s">
        <v>564</v>
      </c>
      <c r="G103" s="29" t="s">
        <v>565</v>
      </c>
      <c r="H103" s="29" t="s">
        <v>566</v>
      </c>
      <c r="I103" s="29" t="s">
        <v>302</v>
      </c>
      <c r="J103" s="29" t="s">
        <v>202</v>
      </c>
      <c r="K103" s="30" t="s">
        <v>44</v>
      </c>
      <c r="L103" s="31"/>
      <c r="M103" s="29" t="s">
        <v>45</v>
      </c>
    </row>
    <row r="104" customFormat="false" ht="89.25" hidden="false" customHeight="true" outlineLevel="0" collapsed="false">
      <c r="B104" s="29" t="s">
        <v>567</v>
      </c>
      <c r="C104" s="29" t="s">
        <v>282</v>
      </c>
      <c r="D104" s="29" t="s">
        <v>568</v>
      </c>
      <c r="E104" s="29" t="s">
        <v>357</v>
      </c>
      <c r="F104" s="29" t="s">
        <v>569</v>
      </c>
      <c r="G104" s="29" t="s">
        <v>570</v>
      </c>
      <c r="H104" s="29" t="s">
        <v>571</v>
      </c>
      <c r="I104" s="29" t="s">
        <v>302</v>
      </c>
      <c r="J104" s="29" t="s">
        <v>202</v>
      </c>
      <c r="K104" s="30" t="s">
        <v>44</v>
      </c>
      <c r="L104" s="31"/>
      <c r="M104" s="29" t="s">
        <v>45</v>
      </c>
    </row>
    <row r="105" customFormat="false" ht="76.5" hidden="false" customHeight="true" outlineLevel="0" collapsed="false">
      <c r="B105" s="29" t="s">
        <v>572</v>
      </c>
      <c r="C105" s="29" t="s">
        <v>282</v>
      </c>
      <c r="D105" s="29" t="s">
        <v>573</v>
      </c>
      <c r="E105" s="29" t="s">
        <v>357</v>
      </c>
      <c r="F105" s="29" t="s">
        <v>574</v>
      </c>
      <c r="G105" s="29" t="s">
        <v>575</v>
      </c>
      <c r="H105" s="29" t="s">
        <v>576</v>
      </c>
      <c r="I105" s="29" t="s">
        <v>302</v>
      </c>
      <c r="J105" s="29" t="s">
        <v>202</v>
      </c>
      <c r="K105" s="30" t="s">
        <v>44</v>
      </c>
      <c r="L105" s="31"/>
      <c r="M105" s="29" t="s">
        <v>45</v>
      </c>
    </row>
    <row r="106" customFormat="false" ht="153" hidden="false" customHeight="true" outlineLevel="0" collapsed="false">
      <c r="B106" s="29" t="s">
        <v>577</v>
      </c>
      <c r="C106" s="29" t="s">
        <v>282</v>
      </c>
      <c r="D106" s="29" t="s">
        <v>578</v>
      </c>
      <c r="E106" s="29" t="s">
        <v>357</v>
      </c>
      <c r="F106" s="29" t="s">
        <v>579</v>
      </c>
      <c r="G106" s="29" t="s">
        <v>580</v>
      </c>
      <c r="H106" s="29" t="s">
        <v>581</v>
      </c>
      <c r="I106" s="29" t="s">
        <v>302</v>
      </c>
      <c r="J106" s="29" t="s">
        <v>202</v>
      </c>
      <c r="K106" s="30" t="s">
        <v>44</v>
      </c>
      <c r="L106" s="31"/>
      <c r="M106" s="29" t="s">
        <v>45</v>
      </c>
    </row>
    <row r="107" customFormat="false" ht="38.25" hidden="false" customHeight="true" outlineLevel="0" collapsed="false">
      <c r="B107" s="29" t="s">
        <v>582</v>
      </c>
      <c r="C107" s="29" t="s">
        <v>282</v>
      </c>
      <c r="D107" s="29" t="s">
        <v>583</v>
      </c>
      <c r="E107" s="29" t="s">
        <v>340</v>
      </c>
      <c r="F107" s="29" t="s">
        <v>584</v>
      </c>
      <c r="G107" s="29" t="s">
        <v>585</v>
      </c>
      <c r="H107" s="29" t="s">
        <v>586</v>
      </c>
      <c r="I107" s="29" t="s">
        <v>302</v>
      </c>
      <c r="J107" s="29" t="s">
        <v>202</v>
      </c>
      <c r="K107" s="30" t="s">
        <v>44</v>
      </c>
      <c r="L107" s="31"/>
      <c r="M107" s="29" t="s">
        <v>45</v>
      </c>
    </row>
    <row r="108" customFormat="false" ht="153" hidden="false" customHeight="true" outlineLevel="0" collapsed="false">
      <c r="B108" s="29" t="s">
        <v>587</v>
      </c>
      <c r="C108" s="29" t="s">
        <v>282</v>
      </c>
      <c r="D108" s="29" t="s">
        <v>588</v>
      </c>
      <c r="E108" s="29" t="s">
        <v>340</v>
      </c>
      <c r="F108" s="29" t="s">
        <v>589</v>
      </c>
      <c r="G108" s="29" t="s">
        <v>590</v>
      </c>
      <c r="H108" s="29" t="s">
        <v>591</v>
      </c>
      <c r="I108" s="29" t="s">
        <v>302</v>
      </c>
      <c r="J108" s="29" t="s">
        <v>202</v>
      </c>
      <c r="K108" s="30" t="s">
        <v>44</v>
      </c>
      <c r="L108" s="31"/>
      <c r="M108" s="29" t="s">
        <v>45</v>
      </c>
    </row>
    <row r="109" customFormat="false" ht="178.5" hidden="false" customHeight="true" outlineLevel="0" collapsed="false">
      <c r="B109" s="29" t="s">
        <v>592</v>
      </c>
      <c r="C109" s="29" t="s">
        <v>282</v>
      </c>
      <c r="D109" s="29" t="s">
        <v>593</v>
      </c>
      <c r="E109" s="29" t="s">
        <v>91</v>
      </c>
      <c r="F109" s="29" t="s">
        <v>594</v>
      </c>
      <c r="G109" s="29" t="s">
        <v>595</v>
      </c>
      <c r="H109" s="29" t="s">
        <v>596</v>
      </c>
      <c r="I109" s="29" t="s">
        <v>42</v>
      </c>
      <c r="J109" s="29" t="s">
        <v>597</v>
      </c>
      <c r="K109" s="30" t="s">
        <v>44</v>
      </c>
      <c r="L109" s="31"/>
      <c r="M109" s="29" t="s">
        <v>45</v>
      </c>
    </row>
    <row r="110" customFormat="false" ht="102" hidden="false" customHeight="true" outlineLevel="0" collapsed="false">
      <c r="B110" s="29" t="s">
        <v>598</v>
      </c>
      <c r="C110" s="29" t="s">
        <v>282</v>
      </c>
      <c r="D110" s="29" t="s">
        <v>599</v>
      </c>
      <c r="E110" s="29" t="s">
        <v>600</v>
      </c>
      <c r="F110" s="29" t="s">
        <v>601</v>
      </c>
      <c r="G110" s="29" t="s">
        <v>602</v>
      </c>
      <c r="H110" s="29" t="s">
        <v>603</v>
      </c>
      <c r="I110" s="29" t="s">
        <v>154</v>
      </c>
      <c r="J110" s="29" t="s">
        <v>155</v>
      </c>
      <c r="K110" s="30" t="s">
        <v>44</v>
      </c>
      <c r="L110" s="31"/>
      <c r="M110" s="29" t="s">
        <v>45</v>
      </c>
    </row>
    <row r="111" customFormat="false" ht="165.75" hidden="false" customHeight="true" outlineLevel="0" collapsed="false">
      <c r="B111" s="29" t="s">
        <v>604</v>
      </c>
      <c r="C111" s="29" t="s">
        <v>282</v>
      </c>
      <c r="D111" s="29" t="s">
        <v>605</v>
      </c>
      <c r="E111" s="29" t="s">
        <v>357</v>
      </c>
      <c r="F111" s="29" t="s">
        <v>606</v>
      </c>
      <c r="G111" s="29" t="s">
        <v>607</v>
      </c>
      <c r="H111" s="29" t="s">
        <v>608</v>
      </c>
      <c r="I111" s="29" t="s">
        <v>302</v>
      </c>
      <c r="J111" s="29" t="s">
        <v>202</v>
      </c>
      <c r="K111" s="30" t="s">
        <v>44</v>
      </c>
      <c r="L111" s="31"/>
      <c r="M111" s="29" t="s">
        <v>45</v>
      </c>
    </row>
    <row r="112" customFormat="false" ht="102" hidden="false" customHeight="true" outlineLevel="0" collapsed="false">
      <c r="B112" s="29" t="s">
        <v>609</v>
      </c>
      <c r="C112" s="29" t="s">
        <v>282</v>
      </c>
      <c r="D112" s="29" t="s">
        <v>610</v>
      </c>
      <c r="E112" s="29" t="s">
        <v>357</v>
      </c>
      <c r="F112" s="29" t="s">
        <v>611</v>
      </c>
      <c r="G112" s="29" t="s">
        <v>612</v>
      </c>
      <c r="H112" s="29" t="s">
        <v>613</v>
      </c>
      <c r="I112" s="29" t="s">
        <v>302</v>
      </c>
      <c r="J112" s="29" t="s">
        <v>202</v>
      </c>
      <c r="K112" s="30" t="s">
        <v>44</v>
      </c>
      <c r="L112" s="31"/>
      <c r="M112" s="29" t="s">
        <v>45</v>
      </c>
    </row>
    <row r="113" customFormat="false" ht="25.5" hidden="false" customHeight="true" outlineLevel="0" collapsed="false">
      <c r="B113" s="29" t="s">
        <v>614</v>
      </c>
      <c r="C113" s="29" t="s">
        <v>282</v>
      </c>
      <c r="D113" s="29" t="s">
        <v>615</v>
      </c>
      <c r="E113" s="29" t="s">
        <v>206</v>
      </c>
      <c r="F113" s="29" t="s">
        <v>616</v>
      </c>
      <c r="G113" s="29" t="s">
        <v>617</v>
      </c>
      <c r="H113" s="29" t="s">
        <v>618</v>
      </c>
      <c r="I113" s="29" t="s">
        <v>302</v>
      </c>
      <c r="J113" s="29" t="s">
        <v>202</v>
      </c>
      <c r="K113" s="30" t="s">
        <v>44</v>
      </c>
      <c r="L113" s="31"/>
      <c r="M113" s="29" t="s">
        <v>619</v>
      </c>
    </row>
    <row r="114" customFormat="false" ht="38.25" hidden="false" customHeight="true" outlineLevel="0" collapsed="false">
      <c r="B114" s="29" t="s">
        <v>620</v>
      </c>
      <c r="C114" s="29" t="s">
        <v>282</v>
      </c>
      <c r="D114" s="29" t="s">
        <v>621</v>
      </c>
      <c r="E114" s="29" t="s">
        <v>327</v>
      </c>
      <c r="F114" s="29" t="s">
        <v>622</v>
      </c>
      <c r="G114" s="29" t="s">
        <v>623</v>
      </c>
      <c r="H114" s="29" t="s">
        <v>624</v>
      </c>
      <c r="I114" s="29" t="s">
        <v>302</v>
      </c>
      <c r="J114" s="29" t="s">
        <v>202</v>
      </c>
      <c r="K114" s="30" t="s">
        <v>44</v>
      </c>
      <c r="L114" s="31"/>
      <c r="M114" s="29" t="s">
        <v>625</v>
      </c>
    </row>
    <row r="115" customFormat="false" ht="63.75" hidden="false" customHeight="true" outlineLevel="0" collapsed="false">
      <c r="B115" s="29" t="s">
        <v>626</v>
      </c>
      <c r="C115" s="29" t="s">
        <v>282</v>
      </c>
      <c r="D115" s="29" t="s">
        <v>627</v>
      </c>
      <c r="E115" s="29" t="s">
        <v>351</v>
      </c>
      <c r="F115" s="29" t="s">
        <v>628</v>
      </c>
      <c r="G115" s="29" t="s">
        <v>629</v>
      </c>
      <c r="H115" s="29" t="s">
        <v>630</v>
      </c>
      <c r="I115" s="29" t="s">
        <v>302</v>
      </c>
      <c r="J115" s="29" t="s">
        <v>202</v>
      </c>
      <c r="K115" s="30" t="s">
        <v>44</v>
      </c>
      <c r="L115" s="31"/>
      <c r="M115" s="29" t="s">
        <v>45</v>
      </c>
    </row>
    <row r="116" customFormat="false" ht="127.5" hidden="false" customHeight="true" outlineLevel="0" collapsed="false">
      <c r="B116" s="29" t="s">
        <v>631</v>
      </c>
      <c r="C116" s="29" t="s">
        <v>282</v>
      </c>
      <c r="D116" s="29" t="s">
        <v>632</v>
      </c>
      <c r="E116" s="29" t="s">
        <v>99</v>
      </c>
      <c r="F116" s="29" t="s">
        <v>633</v>
      </c>
      <c r="G116" s="29" t="s">
        <v>634</v>
      </c>
      <c r="H116" s="29" t="s">
        <v>635</v>
      </c>
      <c r="I116" s="29" t="s">
        <v>42</v>
      </c>
      <c r="J116" s="29" t="s">
        <v>67</v>
      </c>
      <c r="K116" s="30" t="s">
        <v>44</v>
      </c>
      <c r="L116" s="31"/>
      <c r="M116" s="29" t="s">
        <v>45</v>
      </c>
    </row>
    <row r="117" customFormat="false" ht="178.5" hidden="false" customHeight="true" outlineLevel="0" collapsed="false">
      <c r="B117" s="29" t="s">
        <v>636</v>
      </c>
      <c r="C117" s="29" t="s">
        <v>282</v>
      </c>
      <c r="D117" s="29" t="s">
        <v>637</v>
      </c>
      <c r="E117" s="29" t="s">
        <v>357</v>
      </c>
      <c r="F117" s="29" t="s">
        <v>638</v>
      </c>
      <c r="G117" s="29" t="s">
        <v>639</v>
      </c>
      <c r="H117" s="29" t="s">
        <v>640</v>
      </c>
      <c r="I117" s="29" t="s">
        <v>302</v>
      </c>
      <c r="J117" s="29" t="s">
        <v>202</v>
      </c>
      <c r="K117" s="30" t="s">
        <v>44</v>
      </c>
      <c r="L117" s="31"/>
      <c r="M117" s="29" t="s">
        <v>45</v>
      </c>
    </row>
    <row r="118" customFormat="false" ht="165.75" hidden="false" customHeight="true" outlineLevel="0" collapsed="false">
      <c r="B118" s="29" t="s">
        <v>641</v>
      </c>
      <c r="C118" s="29" t="s">
        <v>282</v>
      </c>
      <c r="D118" s="29" t="s">
        <v>642</v>
      </c>
      <c r="E118" s="29" t="s">
        <v>357</v>
      </c>
      <c r="F118" s="29" t="s">
        <v>643</v>
      </c>
      <c r="G118" s="29" t="s">
        <v>644</v>
      </c>
      <c r="H118" s="29" t="s">
        <v>645</v>
      </c>
      <c r="I118" s="29" t="s">
        <v>302</v>
      </c>
      <c r="J118" s="29" t="s">
        <v>202</v>
      </c>
      <c r="K118" s="30" t="s">
        <v>44</v>
      </c>
      <c r="L118" s="31"/>
      <c r="M118" s="29" t="s">
        <v>45</v>
      </c>
    </row>
    <row r="119" customFormat="false" ht="38.25" hidden="false" customHeight="true" outlineLevel="0" collapsed="false">
      <c r="B119" s="29" t="s">
        <v>646</v>
      </c>
      <c r="C119" s="29" t="s">
        <v>282</v>
      </c>
      <c r="D119" s="29" t="s">
        <v>647</v>
      </c>
      <c r="E119" s="29" t="s">
        <v>357</v>
      </c>
      <c r="F119" s="29" t="s">
        <v>648</v>
      </c>
      <c r="G119" s="29" t="s">
        <v>649</v>
      </c>
      <c r="H119" s="29" t="s">
        <v>650</v>
      </c>
      <c r="I119" s="29" t="s">
        <v>154</v>
      </c>
      <c r="J119" s="29" t="s">
        <v>155</v>
      </c>
      <c r="K119" s="30" t="s">
        <v>44</v>
      </c>
      <c r="L119" s="31"/>
      <c r="M119" s="29" t="s">
        <v>45</v>
      </c>
    </row>
    <row r="120" customFormat="false" ht="127.5" hidden="false" customHeight="true" outlineLevel="0" collapsed="false">
      <c r="B120" s="29" t="s">
        <v>651</v>
      </c>
      <c r="C120" s="29" t="s">
        <v>282</v>
      </c>
      <c r="D120" s="29" t="s">
        <v>652</v>
      </c>
      <c r="E120" s="29" t="s">
        <v>357</v>
      </c>
      <c r="F120" s="29" t="s">
        <v>653</v>
      </c>
      <c r="G120" s="29" t="s">
        <v>654</v>
      </c>
      <c r="H120" s="29" t="s">
        <v>655</v>
      </c>
      <c r="I120" s="29" t="s">
        <v>302</v>
      </c>
      <c r="J120" s="29" t="s">
        <v>202</v>
      </c>
      <c r="K120" s="30" t="s">
        <v>44</v>
      </c>
      <c r="L120" s="31"/>
      <c r="M120" s="29" t="s">
        <v>45</v>
      </c>
    </row>
    <row r="121" customFormat="false" ht="89.25" hidden="false" customHeight="true" outlineLevel="0" collapsed="false">
      <c r="B121" s="29" t="s">
        <v>656</v>
      </c>
      <c r="C121" s="29" t="s">
        <v>282</v>
      </c>
      <c r="D121" s="29" t="s">
        <v>657</v>
      </c>
      <c r="E121" s="29" t="s">
        <v>357</v>
      </c>
      <c r="F121" s="29" t="s">
        <v>658</v>
      </c>
      <c r="G121" s="29" t="s">
        <v>659</v>
      </c>
      <c r="H121" s="29" t="s">
        <v>660</v>
      </c>
      <c r="I121" s="29" t="s">
        <v>302</v>
      </c>
      <c r="J121" s="29" t="s">
        <v>202</v>
      </c>
      <c r="K121" s="30" t="s">
        <v>44</v>
      </c>
      <c r="L121" s="31"/>
      <c r="M121" s="29" t="s">
        <v>45</v>
      </c>
    </row>
    <row r="122" customFormat="false" ht="89.25" hidden="false" customHeight="true" outlineLevel="0" collapsed="false">
      <c r="B122" s="29" t="s">
        <v>661</v>
      </c>
      <c r="C122" s="29" t="s">
        <v>282</v>
      </c>
      <c r="D122" s="29" t="s">
        <v>662</v>
      </c>
      <c r="E122" s="29" t="s">
        <v>351</v>
      </c>
      <c r="F122" s="29" t="s">
        <v>663</v>
      </c>
      <c r="G122" s="29" t="s">
        <v>664</v>
      </c>
      <c r="H122" s="29" t="s">
        <v>665</v>
      </c>
      <c r="I122" s="29" t="s">
        <v>302</v>
      </c>
      <c r="J122" s="29" t="s">
        <v>202</v>
      </c>
      <c r="K122" s="30" t="s">
        <v>44</v>
      </c>
      <c r="L122" s="31"/>
      <c r="M122" s="29" t="s">
        <v>45</v>
      </c>
    </row>
    <row r="123" customFormat="false" ht="63.75" hidden="false" customHeight="true" outlineLevel="0" collapsed="false">
      <c r="B123" s="29" t="s">
        <v>666</v>
      </c>
      <c r="C123" s="29" t="s">
        <v>282</v>
      </c>
      <c r="D123" s="29" t="s">
        <v>667</v>
      </c>
      <c r="E123" s="29" t="s">
        <v>357</v>
      </c>
      <c r="F123" s="29" t="s">
        <v>668</v>
      </c>
      <c r="G123" s="29" t="s">
        <v>669</v>
      </c>
      <c r="H123" s="29" t="s">
        <v>670</v>
      </c>
      <c r="I123" s="29" t="s">
        <v>302</v>
      </c>
      <c r="J123" s="29" t="s">
        <v>202</v>
      </c>
      <c r="K123" s="30" t="s">
        <v>44</v>
      </c>
      <c r="L123" s="31"/>
      <c r="M123" s="29" t="s">
        <v>45</v>
      </c>
    </row>
    <row r="124" customFormat="false" ht="38.25" hidden="false" customHeight="true" outlineLevel="0" collapsed="false">
      <c r="B124" s="29" t="s">
        <v>671</v>
      </c>
      <c r="C124" s="29" t="s">
        <v>282</v>
      </c>
      <c r="D124" s="29" t="s">
        <v>672</v>
      </c>
      <c r="E124" s="29" t="s">
        <v>357</v>
      </c>
      <c r="F124" s="29" t="s">
        <v>673</v>
      </c>
      <c r="G124" s="29" t="s">
        <v>674</v>
      </c>
      <c r="H124" s="29" t="s">
        <v>675</v>
      </c>
      <c r="I124" s="29" t="s">
        <v>302</v>
      </c>
      <c r="J124" s="29" t="s">
        <v>202</v>
      </c>
      <c r="K124" s="30" t="s">
        <v>44</v>
      </c>
      <c r="L124" s="31"/>
      <c r="M124" s="29" t="s">
        <v>676</v>
      </c>
    </row>
    <row r="125" customFormat="false" ht="63.75" hidden="false" customHeight="true" outlineLevel="0" collapsed="false">
      <c r="B125" s="29" t="s">
        <v>677</v>
      </c>
      <c r="C125" s="29" t="s">
        <v>282</v>
      </c>
      <c r="D125" s="29" t="s">
        <v>678</v>
      </c>
      <c r="E125" s="29" t="s">
        <v>357</v>
      </c>
      <c r="F125" s="29" t="s">
        <v>679</v>
      </c>
      <c r="G125" s="29" t="s">
        <v>680</v>
      </c>
      <c r="H125" s="29" t="s">
        <v>681</v>
      </c>
      <c r="I125" s="29" t="s">
        <v>302</v>
      </c>
      <c r="J125" s="29" t="s">
        <v>202</v>
      </c>
      <c r="K125" s="30" t="s">
        <v>44</v>
      </c>
      <c r="L125" s="31"/>
      <c r="M125" s="29" t="s">
        <v>45</v>
      </c>
    </row>
    <row r="126" customFormat="false" ht="63.75" hidden="false" customHeight="true" outlineLevel="0" collapsed="false">
      <c r="B126" s="29" t="s">
        <v>682</v>
      </c>
      <c r="C126" s="29" t="s">
        <v>282</v>
      </c>
      <c r="D126" s="29" t="s">
        <v>683</v>
      </c>
      <c r="E126" s="29" t="s">
        <v>99</v>
      </c>
      <c r="F126" s="29" t="s">
        <v>684</v>
      </c>
      <c r="G126" s="29" t="s">
        <v>685</v>
      </c>
      <c r="H126" s="29" t="s">
        <v>686</v>
      </c>
      <c r="I126" s="29" t="s">
        <v>42</v>
      </c>
      <c r="J126" s="29" t="s">
        <v>67</v>
      </c>
      <c r="K126" s="30" t="s">
        <v>44</v>
      </c>
      <c r="L126" s="31"/>
      <c r="M126" s="29" t="s">
        <v>45</v>
      </c>
    </row>
    <row r="127" customFormat="false" ht="344.25" hidden="false" customHeight="true" outlineLevel="0" collapsed="false">
      <c r="B127" s="29" t="s">
        <v>687</v>
      </c>
      <c r="C127" s="29" t="s">
        <v>282</v>
      </c>
      <c r="D127" s="29" t="s">
        <v>688</v>
      </c>
      <c r="E127" s="29" t="s">
        <v>357</v>
      </c>
      <c r="F127" s="29" t="s">
        <v>689</v>
      </c>
      <c r="G127" s="29" t="s">
        <v>690</v>
      </c>
      <c r="H127" s="29" t="s">
        <v>691</v>
      </c>
      <c r="I127" s="29" t="s">
        <v>154</v>
      </c>
      <c r="J127" s="29" t="s">
        <v>155</v>
      </c>
      <c r="K127" s="30" t="s">
        <v>44</v>
      </c>
      <c r="L127" s="31"/>
      <c r="M127" s="29" t="s">
        <v>45</v>
      </c>
    </row>
    <row r="128" customFormat="false" ht="127.5" hidden="false" customHeight="true" outlineLevel="0" collapsed="false">
      <c r="B128" s="29" t="s">
        <v>692</v>
      </c>
      <c r="C128" s="29" t="s">
        <v>282</v>
      </c>
      <c r="D128" s="29" t="s">
        <v>693</v>
      </c>
      <c r="E128" s="29" t="s">
        <v>600</v>
      </c>
      <c r="F128" s="29" t="s">
        <v>694</v>
      </c>
      <c r="G128" s="29" t="s">
        <v>695</v>
      </c>
      <c r="H128" s="29" t="s">
        <v>696</v>
      </c>
      <c r="I128" s="29" t="s">
        <v>472</v>
      </c>
      <c r="J128" s="29" t="s">
        <v>472</v>
      </c>
      <c r="K128" s="30" t="s">
        <v>44</v>
      </c>
      <c r="L128" s="31"/>
      <c r="M128" s="29" t="s">
        <v>45</v>
      </c>
    </row>
    <row r="129" customFormat="false" ht="63.75" hidden="false" customHeight="true" outlineLevel="0" collapsed="false">
      <c r="B129" s="29" t="s">
        <v>697</v>
      </c>
      <c r="C129" s="29" t="s">
        <v>282</v>
      </c>
      <c r="D129" s="29" t="s">
        <v>698</v>
      </c>
      <c r="E129" s="29" t="s">
        <v>340</v>
      </c>
      <c r="F129" s="29" t="s">
        <v>699</v>
      </c>
      <c r="G129" s="29" t="s">
        <v>700</v>
      </c>
      <c r="H129" s="29" t="s">
        <v>701</v>
      </c>
      <c r="I129" s="29" t="s">
        <v>302</v>
      </c>
      <c r="J129" s="29" t="s">
        <v>202</v>
      </c>
      <c r="K129" s="30" t="s">
        <v>44</v>
      </c>
      <c r="L129" s="31"/>
      <c r="M129" s="29" t="s">
        <v>45</v>
      </c>
    </row>
    <row r="130" customFormat="false" ht="140.25" hidden="false" customHeight="true" outlineLevel="0" collapsed="false">
      <c r="B130" s="29" t="s">
        <v>702</v>
      </c>
      <c r="C130" s="29" t="s">
        <v>282</v>
      </c>
      <c r="D130" s="29" t="s">
        <v>703</v>
      </c>
      <c r="E130" s="29" t="s">
        <v>351</v>
      </c>
      <c r="F130" s="29" t="s">
        <v>704</v>
      </c>
      <c r="G130" s="29" t="s">
        <v>705</v>
      </c>
      <c r="H130" s="29" t="s">
        <v>706</v>
      </c>
      <c r="I130" s="29" t="s">
        <v>154</v>
      </c>
      <c r="J130" s="29" t="s">
        <v>155</v>
      </c>
      <c r="K130" s="30" t="s">
        <v>44</v>
      </c>
      <c r="L130" s="31"/>
      <c r="M130" s="29" t="s">
        <v>45</v>
      </c>
    </row>
    <row r="131" customFormat="false" ht="76.5" hidden="false" customHeight="true" outlineLevel="0" collapsed="false">
      <c r="B131" s="29" t="s">
        <v>707</v>
      </c>
      <c r="C131" s="29" t="s">
        <v>282</v>
      </c>
      <c r="D131" s="29" t="s">
        <v>708</v>
      </c>
      <c r="E131" s="29" t="s">
        <v>351</v>
      </c>
      <c r="F131" s="29" t="s">
        <v>709</v>
      </c>
      <c r="G131" s="29" t="s">
        <v>710</v>
      </c>
      <c r="H131" s="29" t="s">
        <v>711</v>
      </c>
      <c r="I131" s="29" t="s">
        <v>302</v>
      </c>
      <c r="J131" s="29" t="s">
        <v>202</v>
      </c>
      <c r="K131" s="30" t="s">
        <v>44</v>
      </c>
      <c r="L131" s="31"/>
      <c r="M131" s="29" t="s">
        <v>45</v>
      </c>
    </row>
    <row r="132" customFormat="false" ht="25.5" hidden="false" customHeight="true" outlineLevel="0" collapsed="false">
      <c r="B132" s="29" t="s">
        <v>712</v>
      </c>
      <c r="C132" s="29" t="s">
        <v>282</v>
      </c>
      <c r="D132" s="29" t="s">
        <v>713</v>
      </c>
      <c r="E132" s="29" t="s">
        <v>327</v>
      </c>
      <c r="F132" s="29" t="s">
        <v>714</v>
      </c>
      <c r="G132" s="29" t="s">
        <v>715</v>
      </c>
      <c r="H132" s="29" t="s">
        <v>716</v>
      </c>
      <c r="I132" s="29" t="s">
        <v>302</v>
      </c>
      <c r="J132" s="29" t="s">
        <v>202</v>
      </c>
      <c r="K132" s="30" t="s">
        <v>44</v>
      </c>
      <c r="L132" s="31"/>
      <c r="M132" s="29" t="s">
        <v>717</v>
      </c>
    </row>
    <row r="133" customFormat="false" ht="76.5" hidden="false" customHeight="true" outlineLevel="0" collapsed="false">
      <c r="B133" s="29" t="s">
        <v>718</v>
      </c>
      <c r="C133" s="29" t="s">
        <v>282</v>
      </c>
      <c r="D133" s="29" t="s">
        <v>719</v>
      </c>
      <c r="E133" s="29" t="s">
        <v>206</v>
      </c>
      <c r="F133" s="29" t="s">
        <v>720</v>
      </c>
      <c r="G133" s="29" t="s">
        <v>721</v>
      </c>
      <c r="H133" s="29" t="s">
        <v>722</v>
      </c>
      <c r="I133" s="29" t="s">
        <v>302</v>
      </c>
      <c r="J133" s="29" t="s">
        <v>202</v>
      </c>
      <c r="K133" s="30" t="s">
        <v>44</v>
      </c>
      <c r="L133" s="31"/>
      <c r="M133" s="29" t="s">
        <v>45</v>
      </c>
    </row>
    <row r="134" customFormat="false" ht="63.75" hidden="false" customHeight="true" outlineLevel="0" collapsed="false">
      <c r="B134" s="29" t="s">
        <v>723</v>
      </c>
      <c r="C134" s="29" t="s">
        <v>282</v>
      </c>
      <c r="D134" s="29" t="s">
        <v>724</v>
      </c>
      <c r="E134" s="29" t="s">
        <v>357</v>
      </c>
      <c r="F134" s="29" t="s">
        <v>725</v>
      </c>
      <c r="G134" s="29" t="s">
        <v>726</v>
      </c>
      <c r="H134" s="29" t="s">
        <v>727</v>
      </c>
      <c r="I134" s="29" t="s">
        <v>302</v>
      </c>
      <c r="J134" s="29" t="s">
        <v>202</v>
      </c>
      <c r="K134" s="30" t="s">
        <v>44</v>
      </c>
      <c r="L134" s="31"/>
      <c r="M134" s="29" t="s">
        <v>45</v>
      </c>
    </row>
    <row r="135" customFormat="false" ht="89.25" hidden="false" customHeight="true" outlineLevel="0" collapsed="false">
      <c r="B135" s="29" t="s">
        <v>728</v>
      </c>
      <c r="C135" s="29" t="s">
        <v>282</v>
      </c>
      <c r="D135" s="29" t="s">
        <v>729</v>
      </c>
      <c r="E135" s="29" t="s">
        <v>357</v>
      </c>
      <c r="F135" s="29" t="s">
        <v>730</v>
      </c>
      <c r="G135" s="29" t="s">
        <v>731</v>
      </c>
      <c r="H135" s="29" t="s">
        <v>732</v>
      </c>
      <c r="I135" s="29" t="s">
        <v>302</v>
      </c>
      <c r="J135" s="29" t="s">
        <v>202</v>
      </c>
      <c r="K135" s="30" t="s">
        <v>44</v>
      </c>
      <c r="L135" s="31"/>
      <c r="M135" s="29" t="s">
        <v>45</v>
      </c>
    </row>
    <row r="136" customFormat="false" ht="89.25" hidden="false" customHeight="true" outlineLevel="0" collapsed="false">
      <c r="B136" s="29" t="s">
        <v>733</v>
      </c>
      <c r="C136" s="29" t="s">
        <v>282</v>
      </c>
      <c r="D136" s="29" t="s">
        <v>734</v>
      </c>
      <c r="E136" s="29" t="s">
        <v>351</v>
      </c>
      <c r="F136" s="29" t="s">
        <v>735</v>
      </c>
      <c r="G136" s="29" t="s">
        <v>736</v>
      </c>
      <c r="H136" s="29" t="s">
        <v>737</v>
      </c>
      <c r="I136" s="29" t="s">
        <v>302</v>
      </c>
      <c r="J136" s="29" t="s">
        <v>202</v>
      </c>
      <c r="K136" s="30" t="s">
        <v>44</v>
      </c>
      <c r="L136" s="31"/>
      <c r="M136" s="29" t="s">
        <v>45</v>
      </c>
    </row>
    <row r="137" customFormat="false" ht="127.5" hidden="false" customHeight="true" outlineLevel="0" collapsed="false">
      <c r="B137" s="29" t="s">
        <v>738</v>
      </c>
      <c r="C137" s="29" t="s">
        <v>282</v>
      </c>
      <c r="D137" s="29" t="s">
        <v>739</v>
      </c>
      <c r="E137" s="29" t="s">
        <v>340</v>
      </c>
      <c r="F137" s="29" t="s">
        <v>740</v>
      </c>
      <c r="G137" s="29" t="s">
        <v>741</v>
      </c>
      <c r="H137" s="29" t="s">
        <v>742</v>
      </c>
      <c r="I137" s="29" t="s">
        <v>302</v>
      </c>
      <c r="J137" s="29" t="s">
        <v>202</v>
      </c>
      <c r="K137" s="30" t="s">
        <v>44</v>
      </c>
      <c r="L137" s="31"/>
      <c r="M137" s="29" t="s">
        <v>45</v>
      </c>
    </row>
    <row r="138" customFormat="false" ht="63.75" hidden="false" customHeight="true" outlineLevel="0" collapsed="false">
      <c r="B138" s="29" t="s">
        <v>743</v>
      </c>
      <c r="C138" s="29" t="s">
        <v>282</v>
      </c>
      <c r="D138" s="29" t="s">
        <v>744</v>
      </c>
      <c r="E138" s="29" t="s">
        <v>600</v>
      </c>
      <c r="F138" s="29" t="s">
        <v>745</v>
      </c>
      <c r="G138" s="29" t="s">
        <v>746</v>
      </c>
      <c r="H138" s="29" t="s">
        <v>747</v>
      </c>
      <c r="I138" s="29" t="s">
        <v>472</v>
      </c>
      <c r="J138" s="29" t="s">
        <v>472</v>
      </c>
      <c r="K138" s="30" t="s">
        <v>44</v>
      </c>
      <c r="L138" s="31"/>
      <c r="M138" s="29" t="s">
        <v>45</v>
      </c>
    </row>
    <row r="139" customFormat="false" ht="280.5" hidden="false" customHeight="true" outlineLevel="0" collapsed="false">
      <c r="B139" s="29" t="s">
        <v>748</v>
      </c>
      <c r="C139" s="29" t="s">
        <v>282</v>
      </c>
      <c r="D139" s="29" t="s">
        <v>749</v>
      </c>
      <c r="E139" s="29" t="s">
        <v>151</v>
      </c>
      <c r="F139" s="29" t="s">
        <v>750</v>
      </c>
      <c r="G139" s="29" t="s">
        <v>751</v>
      </c>
      <c r="H139" s="29" t="s">
        <v>752</v>
      </c>
      <c r="I139" s="29" t="s">
        <v>472</v>
      </c>
      <c r="J139" s="29" t="s">
        <v>472</v>
      </c>
      <c r="K139" s="30" t="s">
        <v>44</v>
      </c>
      <c r="L139" s="31"/>
      <c r="M139" s="29" t="s">
        <v>45</v>
      </c>
    </row>
    <row r="140" customFormat="false" ht="102" hidden="false" customHeight="true" outlineLevel="0" collapsed="false">
      <c r="B140" s="29" t="s">
        <v>753</v>
      </c>
      <c r="C140" s="29" t="s">
        <v>282</v>
      </c>
      <c r="D140" s="29" t="s">
        <v>754</v>
      </c>
      <c r="E140" s="29" t="s">
        <v>600</v>
      </c>
      <c r="F140" s="29" t="s">
        <v>755</v>
      </c>
      <c r="G140" s="29" t="s">
        <v>756</v>
      </c>
      <c r="H140" s="29" t="s">
        <v>757</v>
      </c>
      <c r="I140" s="29" t="s">
        <v>472</v>
      </c>
      <c r="J140" s="29" t="s">
        <v>472</v>
      </c>
      <c r="K140" s="30" t="s">
        <v>44</v>
      </c>
      <c r="L140" s="31"/>
      <c r="M140" s="29" t="s">
        <v>45</v>
      </c>
    </row>
    <row r="141" customFormat="false" ht="140.25" hidden="false" customHeight="true" outlineLevel="0" collapsed="false">
      <c r="B141" s="29" t="s">
        <v>758</v>
      </c>
      <c r="C141" s="29" t="s">
        <v>282</v>
      </c>
      <c r="D141" s="29" t="s">
        <v>759</v>
      </c>
      <c r="E141" s="29" t="s">
        <v>39</v>
      </c>
      <c r="F141" s="29" t="s">
        <v>760</v>
      </c>
      <c r="G141" s="29" t="s">
        <v>761</v>
      </c>
      <c r="H141" s="29" t="s">
        <v>762</v>
      </c>
      <c r="I141" s="29" t="s">
        <v>460</v>
      </c>
      <c r="J141" s="29" t="s">
        <v>763</v>
      </c>
      <c r="K141" s="30" t="s">
        <v>44</v>
      </c>
      <c r="L141" s="31"/>
      <c r="M141" s="29" t="s">
        <v>45</v>
      </c>
    </row>
    <row r="142" customFormat="false" ht="102" hidden="false" customHeight="true" outlineLevel="0" collapsed="false">
      <c r="B142" s="29" t="s">
        <v>764</v>
      </c>
      <c r="C142" s="29" t="s">
        <v>282</v>
      </c>
      <c r="D142" s="29" t="s">
        <v>765</v>
      </c>
      <c r="E142" s="29" t="s">
        <v>340</v>
      </c>
      <c r="F142" s="29" t="s">
        <v>766</v>
      </c>
      <c r="G142" s="29" t="s">
        <v>767</v>
      </c>
      <c r="H142" s="29" t="s">
        <v>768</v>
      </c>
      <c r="I142" s="29" t="s">
        <v>302</v>
      </c>
      <c r="J142" s="29" t="s">
        <v>202</v>
      </c>
      <c r="K142" s="30" t="s">
        <v>44</v>
      </c>
      <c r="L142" s="31"/>
      <c r="M142" s="29" t="s">
        <v>45</v>
      </c>
    </row>
    <row r="143" customFormat="false" ht="38.25" hidden="false" customHeight="true" outlineLevel="0" collapsed="false">
      <c r="B143" s="29" t="s">
        <v>769</v>
      </c>
      <c r="C143" s="29" t="s">
        <v>282</v>
      </c>
      <c r="D143" s="29" t="s">
        <v>770</v>
      </c>
      <c r="E143" s="29" t="s">
        <v>357</v>
      </c>
      <c r="F143" s="29" t="s">
        <v>771</v>
      </c>
      <c r="G143" s="29" t="s">
        <v>772</v>
      </c>
      <c r="H143" s="29" t="s">
        <v>773</v>
      </c>
      <c r="I143" s="29" t="s">
        <v>302</v>
      </c>
      <c r="J143" s="29" t="s">
        <v>202</v>
      </c>
      <c r="K143" s="30" t="s">
        <v>44</v>
      </c>
      <c r="L143" s="31"/>
      <c r="M143" s="29" t="s">
        <v>45</v>
      </c>
    </row>
    <row r="144" customFormat="false" ht="38.25" hidden="false" customHeight="true" outlineLevel="0" collapsed="false">
      <c r="B144" s="29" t="s">
        <v>774</v>
      </c>
      <c r="C144" s="29" t="s">
        <v>282</v>
      </c>
      <c r="D144" s="29" t="s">
        <v>775</v>
      </c>
      <c r="E144" s="29" t="s">
        <v>327</v>
      </c>
      <c r="F144" s="29" t="s">
        <v>776</v>
      </c>
      <c r="G144" s="29" t="s">
        <v>777</v>
      </c>
      <c r="H144" s="29" t="s">
        <v>778</v>
      </c>
      <c r="I144" s="29" t="s">
        <v>302</v>
      </c>
      <c r="J144" s="29" t="s">
        <v>202</v>
      </c>
      <c r="K144" s="30" t="s">
        <v>44</v>
      </c>
      <c r="L144" s="31"/>
      <c r="M144" s="29" t="s">
        <v>366</v>
      </c>
    </row>
    <row r="145" customFormat="false" ht="369.75" hidden="false" customHeight="true" outlineLevel="0" collapsed="false">
      <c r="B145" s="29" t="s">
        <v>779</v>
      </c>
      <c r="C145" s="29" t="s">
        <v>282</v>
      </c>
      <c r="D145" s="29" t="s">
        <v>780</v>
      </c>
      <c r="E145" s="29" t="s">
        <v>206</v>
      </c>
      <c r="F145" s="29" t="s">
        <v>781</v>
      </c>
      <c r="G145" s="29" t="s">
        <v>782</v>
      </c>
      <c r="H145" s="29" t="s">
        <v>783</v>
      </c>
      <c r="I145" s="29" t="s">
        <v>302</v>
      </c>
      <c r="J145" s="29" t="s">
        <v>202</v>
      </c>
      <c r="K145" s="30" t="s">
        <v>44</v>
      </c>
      <c r="L145" s="31"/>
      <c r="M145" s="29" t="s">
        <v>45</v>
      </c>
    </row>
    <row r="146" customFormat="false" ht="51" hidden="false" customHeight="true" outlineLevel="0" collapsed="false">
      <c r="B146" s="29" t="s">
        <v>784</v>
      </c>
      <c r="C146" s="29" t="s">
        <v>282</v>
      </c>
      <c r="D146" s="29" t="s">
        <v>785</v>
      </c>
      <c r="E146" s="29" t="s">
        <v>327</v>
      </c>
      <c r="F146" s="29" t="s">
        <v>786</v>
      </c>
      <c r="G146" s="29" t="s">
        <v>787</v>
      </c>
      <c r="H146" s="29" t="s">
        <v>788</v>
      </c>
      <c r="I146" s="29" t="s">
        <v>302</v>
      </c>
      <c r="J146" s="29" t="s">
        <v>202</v>
      </c>
      <c r="K146" s="30" t="s">
        <v>44</v>
      </c>
      <c r="L146" s="31"/>
      <c r="M146" s="29" t="s">
        <v>366</v>
      </c>
    </row>
    <row r="147" customFormat="false" ht="89.25" hidden="false" customHeight="true" outlineLevel="0" collapsed="false">
      <c r="B147" s="29" t="s">
        <v>789</v>
      </c>
      <c r="C147" s="29" t="s">
        <v>282</v>
      </c>
      <c r="D147" s="29" t="s">
        <v>790</v>
      </c>
      <c r="E147" s="29" t="s">
        <v>357</v>
      </c>
      <c r="F147" s="29" t="s">
        <v>791</v>
      </c>
      <c r="G147" s="29" t="s">
        <v>792</v>
      </c>
      <c r="H147" s="29" t="s">
        <v>793</v>
      </c>
      <c r="I147" s="29" t="s">
        <v>302</v>
      </c>
      <c r="J147" s="29" t="s">
        <v>202</v>
      </c>
      <c r="K147" s="30" t="s">
        <v>44</v>
      </c>
      <c r="L147" s="31"/>
      <c r="M147" s="29" t="s">
        <v>45</v>
      </c>
    </row>
    <row r="148" customFormat="false" ht="178.5" hidden="false" customHeight="true" outlineLevel="0" collapsed="false">
      <c r="B148" s="29" t="s">
        <v>794</v>
      </c>
      <c r="C148" s="29" t="s">
        <v>282</v>
      </c>
      <c r="D148" s="29" t="s">
        <v>795</v>
      </c>
      <c r="E148" s="29" t="s">
        <v>39</v>
      </c>
      <c r="F148" s="29" t="s">
        <v>796</v>
      </c>
      <c r="G148" s="29" t="s">
        <v>797</v>
      </c>
      <c r="H148" s="29" t="s">
        <v>798</v>
      </c>
      <c r="I148" s="29" t="s">
        <v>42</v>
      </c>
      <c r="J148" s="29" t="s">
        <v>43</v>
      </c>
      <c r="K148" s="30" t="s">
        <v>44</v>
      </c>
      <c r="L148" s="31"/>
      <c r="M148" s="29" t="s">
        <v>45</v>
      </c>
    </row>
    <row r="149" customFormat="false" ht="76.5" hidden="false" customHeight="true" outlineLevel="0" collapsed="false">
      <c r="B149" s="29" t="s">
        <v>799</v>
      </c>
      <c r="C149" s="29" t="s">
        <v>282</v>
      </c>
      <c r="D149" s="29" t="s">
        <v>800</v>
      </c>
      <c r="E149" s="29" t="s">
        <v>327</v>
      </c>
      <c r="F149" s="29" t="s">
        <v>801</v>
      </c>
      <c r="G149" s="29" t="s">
        <v>802</v>
      </c>
      <c r="H149" s="29" t="s">
        <v>803</v>
      </c>
      <c r="I149" s="29" t="s">
        <v>286</v>
      </c>
      <c r="J149" s="29" t="s">
        <v>804</v>
      </c>
      <c r="K149" s="30" t="s">
        <v>44</v>
      </c>
      <c r="L149" s="31"/>
      <c r="M149" s="29" t="s">
        <v>45</v>
      </c>
    </row>
    <row r="150" customFormat="false" ht="51" hidden="false" customHeight="true" outlineLevel="0" collapsed="false">
      <c r="B150" s="29" t="s">
        <v>805</v>
      </c>
      <c r="C150" s="29" t="s">
        <v>282</v>
      </c>
      <c r="D150" s="29" t="s">
        <v>806</v>
      </c>
      <c r="E150" s="29" t="s">
        <v>543</v>
      </c>
      <c r="F150" s="29" t="s">
        <v>807</v>
      </c>
      <c r="G150" s="29" t="s">
        <v>808</v>
      </c>
      <c r="H150" s="29" t="s">
        <v>809</v>
      </c>
      <c r="I150" s="29" t="s">
        <v>286</v>
      </c>
      <c r="J150" s="29" t="s">
        <v>221</v>
      </c>
      <c r="K150" s="30" t="s">
        <v>44</v>
      </c>
      <c r="L150" s="31"/>
      <c r="M150" s="29" t="s">
        <v>45</v>
      </c>
    </row>
    <row r="151" customFormat="false" ht="38.25" hidden="false" customHeight="true" outlineLevel="0" collapsed="false">
      <c r="B151" s="29" t="s">
        <v>810</v>
      </c>
      <c r="C151" s="29" t="s">
        <v>282</v>
      </c>
      <c r="D151" s="29" t="s">
        <v>811</v>
      </c>
      <c r="E151" s="29" t="s">
        <v>327</v>
      </c>
      <c r="F151" s="29" t="s">
        <v>812</v>
      </c>
      <c r="G151" s="29" t="s">
        <v>813</v>
      </c>
      <c r="H151" s="29" t="s">
        <v>814</v>
      </c>
      <c r="I151" s="29" t="s">
        <v>302</v>
      </c>
      <c r="J151" s="29" t="s">
        <v>202</v>
      </c>
      <c r="K151" s="30" t="s">
        <v>44</v>
      </c>
      <c r="L151" s="31"/>
      <c r="M151" s="29" t="s">
        <v>366</v>
      </c>
    </row>
    <row r="152" customFormat="false" ht="51" hidden="false" customHeight="true" outlineLevel="0" collapsed="false">
      <c r="B152" s="29" t="s">
        <v>815</v>
      </c>
      <c r="C152" s="29" t="s">
        <v>282</v>
      </c>
      <c r="D152" s="29" t="s">
        <v>816</v>
      </c>
      <c r="E152" s="29" t="s">
        <v>357</v>
      </c>
      <c r="F152" s="29" t="s">
        <v>817</v>
      </c>
      <c r="G152" s="29" t="s">
        <v>818</v>
      </c>
      <c r="H152" s="29" t="s">
        <v>819</v>
      </c>
      <c r="I152" s="29" t="s">
        <v>302</v>
      </c>
      <c r="J152" s="29" t="s">
        <v>202</v>
      </c>
      <c r="K152" s="30" t="s">
        <v>44</v>
      </c>
      <c r="L152" s="31"/>
      <c r="M152" s="29" t="s">
        <v>45</v>
      </c>
    </row>
    <row r="153" customFormat="false" ht="63.75" hidden="false" customHeight="true" outlineLevel="0" collapsed="false">
      <c r="B153" s="29" t="s">
        <v>820</v>
      </c>
      <c r="C153" s="29" t="s">
        <v>282</v>
      </c>
      <c r="D153" s="29" t="s">
        <v>821</v>
      </c>
      <c r="E153" s="29" t="s">
        <v>357</v>
      </c>
      <c r="F153" s="29" t="s">
        <v>822</v>
      </c>
      <c r="G153" s="29" t="s">
        <v>823</v>
      </c>
      <c r="H153" s="29" t="s">
        <v>824</v>
      </c>
      <c r="I153" s="29" t="s">
        <v>302</v>
      </c>
      <c r="J153" s="29" t="s">
        <v>202</v>
      </c>
      <c r="K153" s="30" t="s">
        <v>44</v>
      </c>
      <c r="L153" s="31"/>
      <c r="M153" s="29" t="s">
        <v>825</v>
      </c>
    </row>
    <row r="154" customFormat="false" ht="191.25" hidden="false" customHeight="true" outlineLevel="0" collapsed="false">
      <c r="B154" s="29" t="s">
        <v>826</v>
      </c>
      <c r="C154" s="29" t="s">
        <v>282</v>
      </c>
      <c r="D154" s="29" t="s">
        <v>827</v>
      </c>
      <c r="E154" s="29" t="s">
        <v>39</v>
      </c>
      <c r="F154" s="29" t="s">
        <v>828</v>
      </c>
      <c r="G154" s="29" t="s">
        <v>829</v>
      </c>
      <c r="H154" s="29" t="s">
        <v>830</v>
      </c>
      <c r="I154" s="29" t="s">
        <v>831</v>
      </c>
      <c r="J154" s="29" t="s">
        <v>832</v>
      </c>
      <c r="K154" s="30" t="s">
        <v>62</v>
      </c>
      <c r="L154" s="31"/>
      <c r="M154" s="29"/>
    </row>
    <row r="155" customFormat="false" ht="76.5" hidden="false" customHeight="true" outlineLevel="0" collapsed="false">
      <c r="B155" s="29" t="s">
        <v>833</v>
      </c>
      <c r="C155" s="29" t="s">
        <v>282</v>
      </c>
      <c r="D155" s="29" t="s">
        <v>834</v>
      </c>
      <c r="E155" s="29" t="s">
        <v>351</v>
      </c>
      <c r="F155" s="29" t="s">
        <v>835</v>
      </c>
      <c r="G155" s="29" t="s">
        <v>836</v>
      </c>
      <c r="H155" s="29" t="s">
        <v>837</v>
      </c>
      <c r="I155" s="29" t="s">
        <v>302</v>
      </c>
      <c r="J155" s="29" t="s">
        <v>202</v>
      </c>
      <c r="K155" s="30" t="s">
        <v>44</v>
      </c>
      <c r="L155" s="31"/>
      <c r="M155" s="29" t="s">
        <v>45</v>
      </c>
    </row>
    <row r="156" customFormat="false" ht="63.75" hidden="false" customHeight="true" outlineLevel="0" collapsed="false">
      <c r="B156" s="29" t="s">
        <v>838</v>
      </c>
      <c r="C156" s="29" t="s">
        <v>282</v>
      </c>
      <c r="D156" s="29" t="s">
        <v>839</v>
      </c>
      <c r="E156" s="29" t="s">
        <v>206</v>
      </c>
      <c r="F156" s="29" t="s">
        <v>840</v>
      </c>
      <c r="G156" s="29" t="s">
        <v>841</v>
      </c>
      <c r="H156" s="29" t="s">
        <v>842</v>
      </c>
      <c r="I156" s="29" t="s">
        <v>302</v>
      </c>
      <c r="J156" s="29" t="s">
        <v>202</v>
      </c>
      <c r="K156" s="30" t="s">
        <v>44</v>
      </c>
      <c r="L156" s="31"/>
      <c r="M156" s="29" t="s">
        <v>843</v>
      </c>
    </row>
    <row r="157" customFormat="false" ht="409.5" hidden="false" customHeight="true" outlineLevel="0" collapsed="false">
      <c r="B157" s="29" t="s">
        <v>844</v>
      </c>
      <c r="C157" s="29" t="s">
        <v>282</v>
      </c>
      <c r="D157" s="29" t="s">
        <v>845</v>
      </c>
      <c r="E157" s="29" t="s">
        <v>206</v>
      </c>
      <c r="F157" s="29" t="s">
        <v>846</v>
      </c>
      <c r="G157" s="29" t="s">
        <v>847</v>
      </c>
      <c r="H157" s="29" t="s">
        <v>848</v>
      </c>
      <c r="I157" s="29" t="s">
        <v>302</v>
      </c>
      <c r="J157" s="29" t="s">
        <v>202</v>
      </c>
      <c r="K157" s="30" t="s">
        <v>44</v>
      </c>
      <c r="L157" s="31"/>
      <c r="M157" s="29" t="s">
        <v>45</v>
      </c>
    </row>
    <row r="158" customFormat="false" ht="114.75" hidden="false" customHeight="true" outlineLevel="0" collapsed="false">
      <c r="B158" s="29" t="s">
        <v>849</v>
      </c>
      <c r="C158" s="29" t="s">
        <v>282</v>
      </c>
      <c r="D158" s="29" t="s">
        <v>850</v>
      </c>
      <c r="E158" s="29" t="s">
        <v>340</v>
      </c>
      <c r="F158" s="29" t="s">
        <v>851</v>
      </c>
      <c r="G158" s="29" t="s">
        <v>852</v>
      </c>
      <c r="H158" s="29" t="s">
        <v>853</v>
      </c>
      <c r="I158" s="29" t="s">
        <v>302</v>
      </c>
      <c r="J158" s="29" t="s">
        <v>202</v>
      </c>
      <c r="K158" s="30" t="s">
        <v>44</v>
      </c>
      <c r="L158" s="31"/>
      <c r="M158" s="29" t="s">
        <v>45</v>
      </c>
    </row>
    <row r="159" customFormat="false" ht="89.25" hidden="false" customHeight="true" outlineLevel="0" collapsed="false">
      <c r="B159" s="29" t="s">
        <v>854</v>
      </c>
      <c r="C159" s="29" t="s">
        <v>282</v>
      </c>
      <c r="D159" s="29" t="s">
        <v>855</v>
      </c>
      <c r="E159" s="29" t="s">
        <v>340</v>
      </c>
      <c r="F159" s="29" t="s">
        <v>856</v>
      </c>
      <c r="G159" s="29" t="s">
        <v>857</v>
      </c>
      <c r="H159" s="29" t="s">
        <v>858</v>
      </c>
      <c r="I159" s="29" t="s">
        <v>302</v>
      </c>
      <c r="J159" s="29" t="s">
        <v>202</v>
      </c>
      <c r="K159" s="30" t="s">
        <v>44</v>
      </c>
      <c r="L159" s="31"/>
      <c r="M159" s="29" t="s">
        <v>45</v>
      </c>
    </row>
    <row r="160" customFormat="false" ht="51" hidden="false" customHeight="true" outlineLevel="0" collapsed="false">
      <c r="B160" s="29" t="s">
        <v>859</v>
      </c>
      <c r="C160" s="29" t="s">
        <v>282</v>
      </c>
      <c r="D160" s="29" t="s">
        <v>860</v>
      </c>
      <c r="E160" s="29" t="s">
        <v>39</v>
      </c>
      <c r="F160" s="29" t="s">
        <v>861</v>
      </c>
      <c r="G160" s="29" t="s">
        <v>862</v>
      </c>
      <c r="H160" s="29" t="s">
        <v>863</v>
      </c>
      <c r="I160" s="29" t="s">
        <v>42</v>
      </c>
      <c r="J160" s="29" t="s">
        <v>43</v>
      </c>
      <c r="K160" s="30" t="s">
        <v>44</v>
      </c>
      <c r="L160" s="31"/>
      <c r="M160" s="29" t="s">
        <v>45</v>
      </c>
    </row>
    <row r="161" customFormat="false" ht="76.5" hidden="false" customHeight="true" outlineLevel="0" collapsed="false">
      <c r="B161" s="29" t="s">
        <v>864</v>
      </c>
      <c r="C161" s="29" t="s">
        <v>282</v>
      </c>
      <c r="D161" s="29" t="s">
        <v>865</v>
      </c>
      <c r="E161" s="29" t="s">
        <v>39</v>
      </c>
      <c r="F161" s="29" t="s">
        <v>866</v>
      </c>
      <c r="G161" s="29" t="s">
        <v>867</v>
      </c>
      <c r="H161" s="29" t="s">
        <v>868</v>
      </c>
      <c r="I161" s="29" t="s">
        <v>42</v>
      </c>
      <c r="J161" s="29" t="s">
        <v>43</v>
      </c>
      <c r="K161" s="30" t="s">
        <v>44</v>
      </c>
      <c r="L161" s="31"/>
      <c r="M161" s="29" t="s">
        <v>45</v>
      </c>
    </row>
    <row r="162" customFormat="false" ht="63.75" hidden="false" customHeight="true" outlineLevel="0" collapsed="false">
      <c r="B162" s="29" t="s">
        <v>869</v>
      </c>
      <c r="C162" s="29" t="s">
        <v>282</v>
      </c>
      <c r="D162" s="29" t="s">
        <v>870</v>
      </c>
      <c r="E162" s="29" t="s">
        <v>357</v>
      </c>
      <c r="F162" s="29" t="s">
        <v>871</v>
      </c>
      <c r="G162" s="29" t="s">
        <v>872</v>
      </c>
      <c r="H162" s="29" t="s">
        <v>873</v>
      </c>
      <c r="I162" s="29" t="s">
        <v>302</v>
      </c>
      <c r="J162" s="29" t="s">
        <v>202</v>
      </c>
      <c r="K162" s="30" t="s">
        <v>44</v>
      </c>
      <c r="L162" s="31"/>
      <c r="M162" s="29" t="s">
        <v>45</v>
      </c>
    </row>
    <row r="163" customFormat="false" ht="102" hidden="false" customHeight="true" outlineLevel="0" collapsed="false">
      <c r="B163" s="29" t="s">
        <v>874</v>
      </c>
      <c r="C163" s="29" t="s">
        <v>282</v>
      </c>
      <c r="D163" s="29" t="s">
        <v>875</v>
      </c>
      <c r="E163" s="29" t="s">
        <v>351</v>
      </c>
      <c r="F163" s="29" t="s">
        <v>876</v>
      </c>
      <c r="G163" s="29" t="s">
        <v>877</v>
      </c>
      <c r="H163" s="29" t="s">
        <v>878</v>
      </c>
      <c r="I163" s="29" t="s">
        <v>302</v>
      </c>
      <c r="J163" s="29" t="s">
        <v>202</v>
      </c>
      <c r="K163" s="30" t="s">
        <v>44</v>
      </c>
      <c r="L163" s="31"/>
      <c r="M163" s="29" t="s">
        <v>45</v>
      </c>
    </row>
    <row r="164" customFormat="false" ht="114.75" hidden="false" customHeight="true" outlineLevel="0" collapsed="false">
      <c r="B164" s="29" t="s">
        <v>879</v>
      </c>
      <c r="C164" s="29" t="s">
        <v>282</v>
      </c>
      <c r="D164" s="29" t="s">
        <v>880</v>
      </c>
      <c r="E164" s="29" t="s">
        <v>351</v>
      </c>
      <c r="F164" s="29" t="s">
        <v>881</v>
      </c>
      <c r="G164" s="29" t="s">
        <v>882</v>
      </c>
      <c r="H164" s="29" t="s">
        <v>883</v>
      </c>
      <c r="I164" s="29" t="s">
        <v>302</v>
      </c>
      <c r="J164" s="29" t="s">
        <v>202</v>
      </c>
      <c r="K164" s="30" t="s">
        <v>44</v>
      </c>
      <c r="L164" s="31"/>
      <c r="M164" s="29" t="s">
        <v>45</v>
      </c>
    </row>
    <row r="165" customFormat="false" ht="242.25" hidden="false" customHeight="true" outlineLevel="0" collapsed="false">
      <c r="B165" s="29" t="s">
        <v>884</v>
      </c>
      <c r="C165" s="29" t="s">
        <v>282</v>
      </c>
      <c r="D165" s="29" t="s">
        <v>885</v>
      </c>
      <c r="E165" s="29" t="s">
        <v>351</v>
      </c>
      <c r="F165" s="29" t="s">
        <v>886</v>
      </c>
      <c r="G165" s="29" t="s">
        <v>887</v>
      </c>
      <c r="H165" s="29" t="s">
        <v>888</v>
      </c>
      <c r="I165" s="29" t="s">
        <v>302</v>
      </c>
      <c r="J165" s="29" t="s">
        <v>202</v>
      </c>
      <c r="K165" s="30" t="s">
        <v>44</v>
      </c>
      <c r="L165" s="31"/>
      <c r="M165" s="29" t="s">
        <v>45</v>
      </c>
    </row>
    <row r="166" customFormat="false" ht="38.25" hidden="false" customHeight="true" outlineLevel="0" collapsed="false">
      <c r="B166" s="29" t="s">
        <v>889</v>
      </c>
      <c r="C166" s="29" t="s">
        <v>282</v>
      </c>
      <c r="D166" s="29" t="s">
        <v>890</v>
      </c>
      <c r="E166" s="29" t="s">
        <v>340</v>
      </c>
      <c r="F166" s="29" t="s">
        <v>891</v>
      </c>
      <c r="G166" s="29" t="s">
        <v>892</v>
      </c>
      <c r="H166" s="29" t="s">
        <v>893</v>
      </c>
      <c r="I166" s="29" t="s">
        <v>302</v>
      </c>
      <c r="J166" s="29" t="s">
        <v>202</v>
      </c>
      <c r="K166" s="30" t="s">
        <v>44</v>
      </c>
      <c r="L166" s="31"/>
      <c r="M166" s="29" t="s">
        <v>45</v>
      </c>
    </row>
    <row r="167" customFormat="false" ht="76.5" hidden="false" customHeight="true" outlineLevel="0" collapsed="false">
      <c r="B167" s="29" t="s">
        <v>894</v>
      </c>
      <c r="C167" s="29" t="s">
        <v>282</v>
      </c>
      <c r="D167" s="29" t="s">
        <v>895</v>
      </c>
      <c r="E167" s="29" t="s">
        <v>91</v>
      </c>
      <c r="F167" s="29" t="s">
        <v>896</v>
      </c>
      <c r="G167" s="29" t="s">
        <v>897</v>
      </c>
      <c r="H167" s="29" t="s">
        <v>898</v>
      </c>
      <c r="I167" s="29" t="s">
        <v>42</v>
      </c>
      <c r="J167" s="29" t="s">
        <v>261</v>
      </c>
      <c r="K167" s="30" t="s">
        <v>44</v>
      </c>
      <c r="L167" s="31"/>
      <c r="M167" s="29" t="s">
        <v>45</v>
      </c>
    </row>
    <row r="168" customFormat="false" ht="102" hidden="false" customHeight="true" outlineLevel="0" collapsed="false">
      <c r="B168" s="29" t="s">
        <v>899</v>
      </c>
      <c r="C168" s="29" t="s">
        <v>282</v>
      </c>
      <c r="D168" s="29" t="s">
        <v>900</v>
      </c>
      <c r="E168" s="29" t="s">
        <v>151</v>
      </c>
      <c r="F168" s="29" t="s">
        <v>901</v>
      </c>
      <c r="G168" s="29" t="s">
        <v>902</v>
      </c>
      <c r="H168" s="29" t="s">
        <v>903</v>
      </c>
      <c r="I168" s="29" t="s">
        <v>472</v>
      </c>
      <c r="J168" s="29" t="s">
        <v>472</v>
      </c>
      <c r="K168" s="30" t="s">
        <v>44</v>
      </c>
      <c r="L168" s="31"/>
      <c r="M168" s="29" t="s">
        <v>45</v>
      </c>
    </row>
    <row r="169" customFormat="false" ht="63.75" hidden="false" customHeight="true" outlineLevel="0" collapsed="false">
      <c r="B169" s="29" t="s">
        <v>904</v>
      </c>
      <c r="C169" s="29" t="s">
        <v>282</v>
      </c>
      <c r="D169" s="29" t="s">
        <v>905</v>
      </c>
      <c r="E169" s="29" t="s">
        <v>357</v>
      </c>
      <c r="F169" s="29" t="s">
        <v>906</v>
      </c>
      <c r="G169" s="29" t="s">
        <v>907</v>
      </c>
      <c r="H169" s="29" t="s">
        <v>908</v>
      </c>
      <c r="I169" s="29" t="s">
        <v>302</v>
      </c>
      <c r="J169" s="29" t="s">
        <v>202</v>
      </c>
      <c r="K169" s="30" t="s">
        <v>44</v>
      </c>
      <c r="L169" s="31"/>
      <c r="M169" s="29" t="s">
        <v>45</v>
      </c>
    </row>
    <row r="170" customFormat="false" ht="51" hidden="false" customHeight="true" outlineLevel="0" collapsed="false">
      <c r="B170" s="29" t="s">
        <v>909</v>
      </c>
      <c r="C170" s="29" t="s">
        <v>282</v>
      </c>
      <c r="D170" s="29" t="s">
        <v>910</v>
      </c>
      <c r="E170" s="29" t="s">
        <v>351</v>
      </c>
      <c r="F170" s="29" t="s">
        <v>911</v>
      </c>
      <c r="G170" s="29" t="s">
        <v>912</v>
      </c>
      <c r="H170" s="29" t="s">
        <v>913</v>
      </c>
      <c r="I170" s="29" t="s">
        <v>302</v>
      </c>
      <c r="J170" s="29" t="s">
        <v>202</v>
      </c>
      <c r="K170" s="30" t="s">
        <v>44</v>
      </c>
      <c r="L170" s="31"/>
      <c r="M170" s="29" t="s">
        <v>45</v>
      </c>
    </row>
    <row r="171" customFormat="false" ht="89.25" hidden="false" customHeight="true" outlineLevel="0" collapsed="false">
      <c r="B171" s="29" t="s">
        <v>914</v>
      </c>
      <c r="C171" s="29" t="s">
        <v>282</v>
      </c>
      <c r="D171" s="29" t="s">
        <v>915</v>
      </c>
      <c r="E171" s="29" t="s">
        <v>351</v>
      </c>
      <c r="F171" s="29" t="s">
        <v>916</v>
      </c>
      <c r="G171" s="29" t="s">
        <v>917</v>
      </c>
      <c r="H171" s="29" t="s">
        <v>918</v>
      </c>
      <c r="I171" s="29" t="s">
        <v>302</v>
      </c>
      <c r="J171" s="29" t="s">
        <v>202</v>
      </c>
      <c r="K171" s="30" t="s">
        <v>44</v>
      </c>
      <c r="L171" s="31"/>
      <c r="M171" s="29" t="s">
        <v>45</v>
      </c>
    </row>
    <row r="172" customFormat="false" ht="102" hidden="false" customHeight="true" outlineLevel="0" collapsed="false">
      <c r="B172" s="29" t="s">
        <v>919</v>
      </c>
      <c r="C172" s="29" t="s">
        <v>282</v>
      </c>
      <c r="D172" s="29" t="s">
        <v>920</v>
      </c>
      <c r="E172" s="29" t="s">
        <v>600</v>
      </c>
      <c r="F172" s="29" t="s">
        <v>921</v>
      </c>
      <c r="G172" s="29" t="s">
        <v>922</v>
      </c>
      <c r="H172" s="29" t="s">
        <v>923</v>
      </c>
      <c r="I172" s="29" t="s">
        <v>472</v>
      </c>
      <c r="J172" s="29" t="s">
        <v>472</v>
      </c>
      <c r="K172" s="30" t="s">
        <v>44</v>
      </c>
      <c r="L172" s="31"/>
      <c r="M172" s="29" t="s">
        <v>45</v>
      </c>
    </row>
    <row r="173" customFormat="false" ht="76.5" hidden="false" customHeight="true" outlineLevel="0" collapsed="false">
      <c r="B173" s="29" t="s">
        <v>924</v>
      </c>
      <c r="C173" s="29" t="s">
        <v>282</v>
      </c>
      <c r="D173" s="29" t="s">
        <v>925</v>
      </c>
      <c r="E173" s="29" t="s">
        <v>340</v>
      </c>
      <c r="F173" s="29" t="s">
        <v>926</v>
      </c>
      <c r="G173" s="29" t="s">
        <v>927</v>
      </c>
      <c r="H173" s="29" t="s">
        <v>928</v>
      </c>
      <c r="I173" s="29" t="s">
        <v>302</v>
      </c>
      <c r="J173" s="29" t="s">
        <v>202</v>
      </c>
      <c r="K173" s="30" t="s">
        <v>44</v>
      </c>
      <c r="L173" s="31"/>
      <c r="M173" s="29" t="s">
        <v>45</v>
      </c>
    </row>
    <row r="174" customFormat="false" ht="242.25" hidden="false" customHeight="true" outlineLevel="0" collapsed="false">
      <c r="B174" s="29" t="s">
        <v>929</v>
      </c>
      <c r="C174" s="29" t="s">
        <v>282</v>
      </c>
      <c r="D174" s="29" t="s">
        <v>930</v>
      </c>
      <c r="E174" s="29" t="s">
        <v>206</v>
      </c>
      <c r="F174" s="29" t="s">
        <v>931</v>
      </c>
      <c r="G174" s="29" t="s">
        <v>932</v>
      </c>
      <c r="H174" s="29" t="s">
        <v>933</v>
      </c>
      <c r="I174" s="29" t="s">
        <v>302</v>
      </c>
      <c r="J174" s="29" t="s">
        <v>202</v>
      </c>
      <c r="K174" s="30" t="s">
        <v>44</v>
      </c>
      <c r="L174" s="31"/>
      <c r="M174" s="29" t="s">
        <v>45</v>
      </c>
    </row>
    <row r="175" customFormat="false" ht="63.75" hidden="false" customHeight="true" outlineLevel="0" collapsed="false">
      <c r="B175" s="29" t="s">
        <v>934</v>
      </c>
      <c r="C175" s="29" t="s">
        <v>282</v>
      </c>
      <c r="D175" s="29" t="s">
        <v>935</v>
      </c>
      <c r="E175" s="29" t="s">
        <v>357</v>
      </c>
      <c r="F175" s="29" t="s">
        <v>936</v>
      </c>
      <c r="G175" s="29" t="s">
        <v>937</v>
      </c>
      <c r="H175" s="29" t="s">
        <v>938</v>
      </c>
      <c r="I175" s="29" t="s">
        <v>302</v>
      </c>
      <c r="J175" s="29" t="s">
        <v>202</v>
      </c>
      <c r="K175" s="30" t="s">
        <v>44</v>
      </c>
      <c r="L175" s="31"/>
      <c r="M175" s="29" t="s">
        <v>45</v>
      </c>
    </row>
    <row r="176" customFormat="false" ht="102" hidden="false" customHeight="true" outlineLevel="0" collapsed="false">
      <c r="B176" s="29" t="s">
        <v>939</v>
      </c>
      <c r="C176" s="29" t="s">
        <v>282</v>
      </c>
      <c r="D176" s="29" t="s">
        <v>940</v>
      </c>
      <c r="E176" s="29" t="s">
        <v>357</v>
      </c>
      <c r="F176" s="29" t="s">
        <v>941</v>
      </c>
      <c r="G176" s="29" t="s">
        <v>942</v>
      </c>
      <c r="H176" s="29" t="s">
        <v>943</v>
      </c>
      <c r="I176" s="29" t="s">
        <v>302</v>
      </c>
      <c r="J176" s="29" t="s">
        <v>202</v>
      </c>
      <c r="K176" s="30" t="s">
        <v>44</v>
      </c>
      <c r="L176" s="31"/>
      <c r="M176" s="29" t="s">
        <v>45</v>
      </c>
    </row>
    <row r="177" customFormat="false" ht="114.75" hidden="false" customHeight="true" outlineLevel="0" collapsed="false">
      <c r="B177" s="29" t="s">
        <v>944</v>
      </c>
      <c r="C177" s="29" t="s">
        <v>282</v>
      </c>
      <c r="D177" s="29" t="s">
        <v>945</v>
      </c>
      <c r="E177" s="29" t="s">
        <v>600</v>
      </c>
      <c r="F177" s="29" t="s">
        <v>946</v>
      </c>
      <c r="G177" s="29" t="s">
        <v>947</v>
      </c>
      <c r="H177" s="29" t="s">
        <v>948</v>
      </c>
      <c r="I177" s="29" t="s">
        <v>472</v>
      </c>
      <c r="J177" s="29" t="s">
        <v>472</v>
      </c>
      <c r="K177" s="30" t="s">
        <v>44</v>
      </c>
      <c r="L177" s="31"/>
      <c r="M177" s="29" t="s">
        <v>45</v>
      </c>
    </row>
    <row r="178" customFormat="false" ht="51" hidden="false" customHeight="true" outlineLevel="0" collapsed="false">
      <c r="B178" s="29" t="s">
        <v>949</v>
      </c>
      <c r="C178" s="29" t="s">
        <v>282</v>
      </c>
      <c r="D178" s="29" t="s">
        <v>950</v>
      </c>
      <c r="E178" s="29" t="s">
        <v>357</v>
      </c>
      <c r="F178" s="29" t="s">
        <v>951</v>
      </c>
      <c r="G178" s="29" t="s">
        <v>952</v>
      </c>
      <c r="H178" s="29" t="s">
        <v>953</v>
      </c>
      <c r="I178" s="29" t="s">
        <v>302</v>
      </c>
      <c r="J178" s="29" t="s">
        <v>202</v>
      </c>
      <c r="K178" s="30" t="s">
        <v>44</v>
      </c>
      <c r="L178" s="31"/>
      <c r="M178" s="29" t="s">
        <v>954</v>
      </c>
    </row>
    <row r="179" customFormat="false" ht="114.75" hidden="false" customHeight="true" outlineLevel="0" collapsed="false">
      <c r="B179" s="29" t="s">
        <v>955</v>
      </c>
      <c r="C179" s="29" t="s">
        <v>282</v>
      </c>
      <c r="D179" s="29" t="s">
        <v>956</v>
      </c>
      <c r="E179" s="29" t="s">
        <v>340</v>
      </c>
      <c r="F179" s="29" t="s">
        <v>957</v>
      </c>
      <c r="G179" s="29" t="s">
        <v>958</v>
      </c>
      <c r="H179" s="29" t="s">
        <v>959</v>
      </c>
      <c r="I179" s="29" t="s">
        <v>302</v>
      </c>
      <c r="J179" s="29" t="s">
        <v>202</v>
      </c>
      <c r="K179" s="30" t="s">
        <v>44</v>
      </c>
      <c r="L179" s="31"/>
      <c r="M179" s="29" t="s">
        <v>45</v>
      </c>
    </row>
    <row r="180" customFormat="false" ht="153" hidden="false" customHeight="true" outlineLevel="0" collapsed="false">
      <c r="B180" s="29" t="s">
        <v>960</v>
      </c>
      <c r="C180" s="29" t="s">
        <v>282</v>
      </c>
      <c r="D180" s="29" t="s">
        <v>961</v>
      </c>
      <c r="E180" s="29" t="s">
        <v>151</v>
      </c>
      <c r="F180" s="29" t="s">
        <v>962</v>
      </c>
      <c r="G180" s="29" t="s">
        <v>963</v>
      </c>
      <c r="H180" s="29" t="s">
        <v>964</v>
      </c>
      <c r="I180" s="29" t="s">
        <v>472</v>
      </c>
      <c r="J180" s="29" t="s">
        <v>472</v>
      </c>
      <c r="K180" s="30" t="s">
        <v>44</v>
      </c>
      <c r="L180" s="31"/>
      <c r="M180" s="29" t="s">
        <v>45</v>
      </c>
    </row>
    <row r="181" customFormat="false" ht="140.25" hidden="false" customHeight="true" outlineLevel="0" collapsed="false">
      <c r="B181" s="29" t="s">
        <v>965</v>
      </c>
      <c r="C181" s="29" t="s">
        <v>282</v>
      </c>
      <c r="D181" s="29" t="s">
        <v>966</v>
      </c>
      <c r="E181" s="29" t="s">
        <v>600</v>
      </c>
      <c r="F181" s="29" t="s">
        <v>967</v>
      </c>
      <c r="G181" s="29" t="s">
        <v>968</v>
      </c>
      <c r="H181" s="29" t="s">
        <v>969</v>
      </c>
      <c r="I181" s="29" t="s">
        <v>472</v>
      </c>
      <c r="J181" s="29" t="s">
        <v>472</v>
      </c>
      <c r="K181" s="30" t="s">
        <v>44</v>
      </c>
      <c r="L181" s="31"/>
      <c r="M181" s="29" t="s">
        <v>45</v>
      </c>
    </row>
    <row r="182" customFormat="false" ht="102" hidden="false" customHeight="true" outlineLevel="0" collapsed="false">
      <c r="B182" s="29" t="s">
        <v>970</v>
      </c>
      <c r="C182" s="29" t="s">
        <v>282</v>
      </c>
      <c r="D182" s="29" t="s">
        <v>971</v>
      </c>
      <c r="E182" s="29" t="s">
        <v>340</v>
      </c>
      <c r="F182" s="29" t="s">
        <v>972</v>
      </c>
      <c r="G182" s="29" t="s">
        <v>973</v>
      </c>
      <c r="H182" s="29" t="s">
        <v>974</v>
      </c>
      <c r="I182" s="29" t="s">
        <v>302</v>
      </c>
      <c r="J182" s="29" t="s">
        <v>202</v>
      </c>
      <c r="K182" s="30" t="s">
        <v>44</v>
      </c>
      <c r="L182" s="31"/>
      <c r="M182" s="29" t="s">
        <v>45</v>
      </c>
    </row>
    <row r="183" customFormat="false" ht="63.75" hidden="false" customHeight="true" outlineLevel="0" collapsed="false">
      <c r="B183" s="29" t="s">
        <v>975</v>
      </c>
      <c r="C183" s="29" t="s">
        <v>282</v>
      </c>
      <c r="D183" s="29" t="s">
        <v>976</v>
      </c>
      <c r="E183" s="29" t="s">
        <v>39</v>
      </c>
      <c r="F183" s="29" t="s">
        <v>977</v>
      </c>
      <c r="G183" s="29" t="s">
        <v>978</v>
      </c>
      <c r="H183" s="29" t="s">
        <v>979</v>
      </c>
      <c r="I183" s="29" t="s">
        <v>460</v>
      </c>
      <c r="J183" s="29" t="s">
        <v>763</v>
      </c>
      <c r="K183" s="30" t="s">
        <v>44</v>
      </c>
      <c r="L183" s="31"/>
      <c r="M183" s="29" t="s">
        <v>45</v>
      </c>
    </row>
    <row r="184" customFormat="false" ht="89.25" hidden="false" customHeight="true" outlineLevel="0" collapsed="false">
      <c r="B184" s="29" t="s">
        <v>980</v>
      </c>
      <c r="C184" s="29" t="s">
        <v>282</v>
      </c>
      <c r="D184" s="29" t="s">
        <v>981</v>
      </c>
      <c r="E184" s="29" t="s">
        <v>91</v>
      </c>
      <c r="F184" s="29" t="s">
        <v>982</v>
      </c>
      <c r="G184" s="29" t="s">
        <v>983</v>
      </c>
      <c r="H184" s="29" t="s">
        <v>984</v>
      </c>
      <c r="I184" s="29" t="s">
        <v>42</v>
      </c>
      <c r="J184" s="29" t="s">
        <v>985</v>
      </c>
      <c r="K184" s="30" t="s">
        <v>44</v>
      </c>
      <c r="L184" s="31"/>
      <c r="M184" s="29" t="s">
        <v>45</v>
      </c>
    </row>
    <row r="185" customFormat="false" ht="165.75" hidden="false" customHeight="true" outlineLevel="0" collapsed="false">
      <c r="B185" s="29" t="s">
        <v>986</v>
      </c>
      <c r="C185" s="29" t="s">
        <v>282</v>
      </c>
      <c r="D185" s="29" t="s">
        <v>987</v>
      </c>
      <c r="E185" s="29" t="s">
        <v>327</v>
      </c>
      <c r="F185" s="29" t="s">
        <v>988</v>
      </c>
      <c r="G185" s="29" t="s">
        <v>989</v>
      </c>
      <c r="H185" s="29" t="s">
        <v>990</v>
      </c>
      <c r="I185" s="29" t="s">
        <v>302</v>
      </c>
      <c r="J185" s="29" t="s">
        <v>202</v>
      </c>
      <c r="K185" s="30" t="s">
        <v>44</v>
      </c>
      <c r="L185" s="31"/>
      <c r="M185" s="29" t="s">
        <v>366</v>
      </c>
    </row>
    <row r="186" customFormat="false" ht="51" hidden="false" customHeight="true" outlineLevel="0" collapsed="false">
      <c r="B186" s="29" t="s">
        <v>991</v>
      </c>
      <c r="C186" s="29" t="s">
        <v>282</v>
      </c>
      <c r="D186" s="29" t="s">
        <v>992</v>
      </c>
      <c r="E186" s="29" t="s">
        <v>327</v>
      </c>
      <c r="F186" s="29" t="s">
        <v>993</v>
      </c>
      <c r="G186" s="29" t="s">
        <v>994</v>
      </c>
      <c r="H186" s="29" t="s">
        <v>995</v>
      </c>
      <c r="I186" s="29" t="s">
        <v>302</v>
      </c>
      <c r="J186" s="29" t="s">
        <v>202</v>
      </c>
      <c r="K186" s="30" t="s">
        <v>44</v>
      </c>
      <c r="L186" s="31"/>
      <c r="M186" s="29" t="s">
        <v>366</v>
      </c>
    </row>
    <row r="187" customFormat="false" ht="63.75" hidden="false" customHeight="true" outlineLevel="0" collapsed="false">
      <c r="B187" s="29" t="s">
        <v>996</v>
      </c>
      <c r="C187" s="29" t="s">
        <v>282</v>
      </c>
      <c r="D187" s="29" t="s">
        <v>997</v>
      </c>
      <c r="E187" s="29" t="s">
        <v>357</v>
      </c>
      <c r="F187" s="29" t="s">
        <v>998</v>
      </c>
      <c r="G187" s="29" t="s">
        <v>999</v>
      </c>
      <c r="H187" s="29" t="s">
        <v>1000</v>
      </c>
      <c r="I187" s="29" t="s">
        <v>302</v>
      </c>
      <c r="J187" s="29" t="s">
        <v>202</v>
      </c>
      <c r="K187" s="30" t="s">
        <v>44</v>
      </c>
      <c r="L187" s="31"/>
      <c r="M187" s="29" t="s">
        <v>45</v>
      </c>
    </row>
    <row r="188" customFormat="false" ht="63.75" hidden="false" customHeight="true" outlineLevel="0" collapsed="false">
      <c r="B188" s="29" t="s">
        <v>1001</v>
      </c>
      <c r="C188" s="29" t="s">
        <v>282</v>
      </c>
      <c r="D188" s="29" t="s">
        <v>1002</v>
      </c>
      <c r="E188" s="29" t="s">
        <v>340</v>
      </c>
      <c r="F188" s="29" t="s">
        <v>1003</v>
      </c>
      <c r="G188" s="29" t="s">
        <v>1004</v>
      </c>
      <c r="H188" s="29" t="s">
        <v>1005</v>
      </c>
      <c r="I188" s="29" t="s">
        <v>302</v>
      </c>
      <c r="J188" s="29" t="s">
        <v>202</v>
      </c>
      <c r="K188" s="30" t="s">
        <v>44</v>
      </c>
      <c r="L188" s="31"/>
      <c r="M188" s="29" t="s">
        <v>45</v>
      </c>
    </row>
    <row r="189" customFormat="false" ht="63.75" hidden="false" customHeight="true" outlineLevel="0" collapsed="false">
      <c r="B189" s="29" t="s">
        <v>1006</v>
      </c>
      <c r="C189" s="29" t="s">
        <v>282</v>
      </c>
      <c r="D189" s="29" t="s">
        <v>1007</v>
      </c>
      <c r="E189" s="29" t="s">
        <v>340</v>
      </c>
      <c r="F189" s="29" t="s">
        <v>1008</v>
      </c>
      <c r="G189" s="29" t="s">
        <v>1009</v>
      </c>
      <c r="H189" s="29" t="s">
        <v>1010</v>
      </c>
      <c r="I189" s="29" t="s">
        <v>302</v>
      </c>
      <c r="J189" s="29" t="s">
        <v>202</v>
      </c>
      <c r="K189" s="30" t="s">
        <v>44</v>
      </c>
      <c r="L189" s="31"/>
      <c r="M189" s="29" t="s">
        <v>45</v>
      </c>
    </row>
    <row r="190" customFormat="false" ht="76.5" hidden="false" customHeight="true" outlineLevel="0" collapsed="false">
      <c r="B190" s="29" t="s">
        <v>1011</v>
      </c>
      <c r="C190" s="29" t="s">
        <v>282</v>
      </c>
      <c r="D190" s="29" t="s">
        <v>1012</v>
      </c>
      <c r="E190" s="29" t="s">
        <v>340</v>
      </c>
      <c r="F190" s="29" t="s">
        <v>1013</v>
      </c>
      <c r="G190" s="29" t="s">
        <v>1014</v>
      </c>
      <c r="H190" s="29" t="s">
        <v>1015</v>
      </c>
      <c r="I190" s="29" t="s">
        <v>302</v>
      </c>
      <c r="J190" s="29" t="s">
        <v>202</v>
      </c>
      <c r="K190" s="30" t="s">
        <v>44</v>
      </c>
      <c r="L190" s="31"/>
      <c r="M190" s="29" t="s">
        <v>45</v>
      </c>
    </row>
    <row r="191" customFormat="false" ht="114.75" hidden="false" customHeight="true" outlineLevel="0" collapsed="false">
      <c r="B191" s="29" t="s">
        <v>1016</v>
      </c>
      <c r="C191" s="29" t="s">
        <v>282</v>
      </c>
      <c r="D191" s="29" t="s">
        <v>1017</v>
      </c>
      <c r="E191" s="29" t="s">
        <v>357</v>
      </c>
      <c r="F191" s="29" t="s">
        <v>1018</v>
      </c>
      <c r="G191" s="29" t="s">
        <v>1019</v>
      </c>
      <c r="H191" s="29" t="s">
        <v>1020</v>
      </c>
      <c r="I191" s="29" t="s">
        <v>302</v>
      </c>
      <c r="J191" s="29" t="s">
        <v>202</v>
      </c>
      <c r="K191" s="30" t="s">
        <v>44</v>
      </c>
      <c r="L191" s="31"/>
      <c r="M191" s="29" t="s">
        <v>45</v>
      </c>
    </row>
    <row r="192" customFormat="false" ht="51" hidden="false" customHeight="true" outlineLevel="0" collapsed="false">
      <c r="B192" s="29" t="s">
        <v>1021</v>
      </c>
      <c r="C192" s="29" t="s">
        <v>282</v>
      </c>
      <c r="D192" s="29" t="s">
        <v>1022</v>
      </c>
      <c r="E192" s="29" t="s">
        <v>327</v>
      </c>
      <c r="F192" s="29" t="s">
        <v>1023</v>
      </c>
      <c r="G192" s="29" t="s">
        <v>1024</v>
      </c>
      <c r="H192" s="29" t="s">
        <v>1025</v>
      </c>
      <c r="I192" s="29" t="s">
        <v>302</v>
      </c>
      <c r="J192" s="29" t="s">
        <v>202</v>
      </c>
      <c r="K192" s="30" t="s">
        <v>44</v>
      </c>
      <c r="L192" s="31"/>
      <c r="M192" s="29" t="s">
        <v>1026</v>
      </c>
    </row>
    <row r="193" customFormat="false" ht="63.75" hidden="false" customHeight="true" outlineLevel="0" collapsed="false">
      <c r="B193" s="29" t="s">
        <v>1027</v>
      </c>
      <c r="C193" s="29" t="s">
        <v>282</v>
      </c>
      <c r="D193" s="29" t="s">
        <v>1028</v>
      </c>
      <c r="E193" s="29" t="s">
        <v>340</v>
      </c>
      <c r="F193" s="29" t="s">
        <v>1029</v>
      </c>
      <c r="G193" s="29" t="s">
        <v>1030</v>
      </c>
      <c r="H193" s="29" t="s">
        <v>1031</v>
      </c>
      <c r="I193" s="29" t="s">
        <v>302</v>
      </c>
      <c r="J193" s="29" t="s">
        <v>202</v>
      </c>
      <c r="K193" s="30" t="s">
        <v>44</v>
      </c>
      <c r="L193" s="31"/>
      <c r="M193" s="29" t="s">
        <v>45</v>
      </c>
    </row>
    <row r="194" customFormat="false" ht="127.5" hidden="false" customHeight="true" outlineLevel="0" collapsed="false">
      <c r="B194" s="29" t="s">
        <v>1032</v>
      </c>
      <c r="C194" s="29" t="s">
        <v>282</v>
      </c>
      <c r="D194" s="29" t="s">
        <v>1033</v>
      </c>
      <c r="E194" s="29" t="s">
        <v>340</v>
      </c>
      <c r="F194" s="29" t="s">
        <v>1034</v>
      </c>
      <c r="G194" s="29" t="s">
        <v>1035</v>
      </c>
      <c r="H194" s="29" t="s">
        <v>1036</v>
      </c>
      <c r="I194" s="29" t="s">
        <v>302</v>
      </c>
      <c r="J194" s="29" t="s">
        <v>202</v>
      </c>
      <c r="K194" s="30" t="s">
        <v>44</v>
      </c>
      <c r="L194" s="31"/>
      <c r="M194" s="29" t="s">
        <v>45</v>
      </c>
    </row>
    <row r="195" customFormat="false" ht="76.5" hidden="false" customHeight="true" outlineLevel="0" collapsed="false">
      <c r="B195" s="29" t="s">
        <v>1037</v>
      </c>
      <c r="C195" s="29" t="s">
        <v>282</v>
      </c>
      <c r="D195" s="29" t="s">
        <v>1038</v>
      </c>
      <c r="E195" s="29" t="s">
        <v>340</v>
      </c>
      <c r="F195" s="29" t="s">
        <v>1039</v>
      </c>
      <c r="G195" s="29" t="s">
        <v>1040</v>
      </c>
      <c r="H195" s="29" t="s">
        <v>1041</v>
      </c>
      <c r="I195" s="29" t="s">
        <v>302</v>
      </c>
      <c r="J195" s="29" t="s">
        <v>202</v>
      </c>
      <c r="K195" s="30" t="s">
        <v>44</v>
      </c>
      <c r="L195" s="31"/>
      <c r="M195" s="29" t="s">
        <v>45</v>
      </c>
    </row>
    <row r="196" customFormat="false" ht="102" hidden="false" customHeight="true" outlineLevel="0" collapsed="false">
      <c r="B196" s="29" t="s">
        <v>1042</v>
      </c>
      <c r="C196" s="29" t="s">
        <v>282</v>
      </c>
      <c r="D196" s="29" t="s">
        <v>1043</v>
      </c>
      <c r="E196" s="29" t="s">
        <v>357</v>
      </c>
      <c r="F196" s="29" t="s">
        <v>1044</v>
      </c>
      <c r="G196" s="29" t="s">
        <v>1045</v>
      </c>
      <c r="H196" s="29" t="s">
        <v>1046</v>
      </c>
      <c r="I196" s="29" t="s">
        <v>302</v>
      </c>
      <c r="J196" s="29" t="s">
        <v>202</v>
      </c>
      <c r="K196" s="30" t="s">
        <v>44</v>
      </c>
      <c r="L196" s="31"/>
      <c r="M196" s="29" t="s">
        <v>45</v>
      </c>
    </row>
    <row r="197" customFormat="false" ht="89.25" hidden="false" customHeight="true" outlineLevel="0" collapsed="false">
      <c r="B197" s="29" t="s">
        <v>1047</v>
      </c>
      <c r="C197" s="29" t="s">
        <v>282</v>
      </c>
      <c r="D197" s="29" t="s">
        <v>1048</v>
      </c>
      <c r="E197" s="29" t="s">
        <v>600</v>
      </c>
      <c r="F197" s="29" t="s">
        <v>1049</v>
      </c>
      <c r="G197" s="29" t="s">
        <v>1050</v>
      </c>
      <c r="H197" s="29" t="s">
        <v>1051</v>
      </c>
      <c r="I197" s="29" t="s">
        <v>472</v>
      </c>
      <c r="J197" s="29" t="s">
        <v>472</v>
      </c>
      <c r="K197" s="30" t="s">
        <v>44</v>
      </c>
      <c r="L197" s="31"/>
      <c r="M197" s="29" t="s">
        <v>45</v>
      </c>
    </row>
    <row r="198" customFormat="false" ht="191.25" hidden="false" customHeight="true" outlineLevel="0" collapsed="false">
      <c r="B198" s="29" t="s">
        <v>1052</v>
      </c>
      <c r="C198" s="29" t="s">
        <v>282</v>
      </c>
      <c r="D198" s="29" t="s">
        <v>1053</v>
      </c>
      <c r="E198" s="29" t="s">
        <v>600</v>
      </c>
      <c r="F198" s="29" t="s">
        <v>1054</v>
      </c>
      <c r="G198" s="29" t="s">
        <v>1055</v>
      </c>
      <c r="H198" s="29" t="s">
        <v>1056</v>
      </c>
      <c r="I198" s="29" t="s">
        <v>472</v>
      </c>
      <c r="J198" s="29" t="s">
        <v>472</v>
      </c>
      <c r="K198" s="30" t="s">
        <v>44</v>
      </c>
      <c r="L198" s="31"/>
      <c r="M198" s="29" t="s">
        <v>45</v>
      </c>
    </row>
    <row r="199" customFormat="false" ht="178.5" hidden="false" customHeight="true" outlineLevel="0" collapsed="false">
      <c r="B199" s="29" t="s">
        <v>1057</v>
      </c>
      <c r="C199" s="29" t="s">
        <v>282</v>
      </c>
      <c r="D199" s="29" t="s">
        <v>1058</v>
      </c>
      <c r="E199" s="29" t="s">
        <v>357</v>
      </c>
      <c r="F199" s="29" t="s">
        <v>1059</v>
      </c>
      <c r="G199" s="29" t="s">
        <v>1060</v>
      </c>
      <c r="H199" s="29" t="s">
        <v>1061</v>
      </c>
      <c r="I199" s="29" t="s">
        <v>302</v>
      </c>
      <c r="J199" s="29" t="s">
        <v>202</v>
      </c>
      <c r="K199" s="30" t="s">
        <v>44</v>
      </c>
      <c r="L199" s="31"/>
      <c r="M199" s="29" t="s">
        <v>45</v>
      </c>
    </row>
    <row r="200" customFormat="false" ht="63.75" hidden="false" customHeight="true" outlineLevel="0" collapsed="false">
      <c r="B200" s="29" t="s">
        <v>1062</v>
      </c>
      <c r="C200" s="29" t="s">
        <v>282</v>
      </c>
      <c r="D200" s="29" t="s">
        <v>1063</v>
      </c>
      <c r="E200" s="29" t="s">
        <v>357</v>
      </c>
      <c r="F200" s="29" t="s">
        <v>1064</v>
      </c>
      <c r="G200" s="29" t="s">
        <v>1065</v>
      </c>
      <c r="H200" s="29" t="s">
        <v>1066</v>
      </c>
      <c r="I200" s="29" t="s">
        <v>302</v>
      </c>
      <c r="J200" s="29" t="s">
        <v>202</v>
      </c>
      <c r="K200" s="30" t="s">
        <v>44</v>
      </c>
      <c r="L200" s="31"/>
      <c r="M200" s="29" t="s">
        <v>1067</v>
      </c>
    </row>
    <row r="201" customFormat="false" ht="114.75" hidden="false" customHeight="true" outlineLevel="0" collapsed="false">
      <c r="B201" s="29" t="s">
        <v>1068</v>
      </c>
      <c r="C201" s="29" t="s">
        <v>282</v>
      </c>
      <c r="D201" s="29" t="s">
        <v>1069</v>
      </c>
      <c r="E201" s="29" t="s">
        <v>340</v>
      </c>
      <c r="F201" s="29" t="s">
        <v>1070</v>
      </c>
      <c r="G201" s="29" t="s">
        <v>1071</v>
      </c>
      <c r="H201" s="29" t="s">
        <v>1072</v>
      </c>
      <c r="I201" s="29" t="s">
        <v>302</v>
      </c>
      <c r="J201" s="29" t="s">
        <v>202</v>
      </c>
      <c r="K201" s="30" t="s">
        <v>44</v>
      </c>
      <c r="L201" s="31"/>
      <c r="M201" s="29" t="s">
        <v>45</v>
      </c>
    </row>
    <row r="202" customFormat="false" ht="76.5" hidden="false" customHeight="true" outlineLevel="0" collapsed="false">
      <c r="B202" s="29" t="s">
        <v>1073</v>
      </c>
      <c r="C202" s="29" t="s">
        <v>282</v>
      </c>
      <c r="D202" s="29" t="s">
        <v>1074</v>
      </c>
      <c r="E202" s="29" t="s">
        <v>39</v>
      </c>
      <c r="F202" s="29" t="s">
        <v>1075</v>
      </c>
      <c r="G202" s="29" t="s">
        <v>1076</v>
      </c>
      <c r="H202" s="29" t="s">
        <v>1077</v>
      </c>
      <c r="I202" s="29" t="s">
        <v>42</v>
      </c>
      <c r="J202" s="29" t="s">
        <v>43</v>
      </c>
      <c r="K202" s="30" t="s">
        <v>44</v>
      </c>
      <c r="L202" s="31"/>
      <c r="M202" s="29" t="s">
        <v>45</v>
      </c>
    </row>
    <row r="203" customFormat="false" ht="178.5" hidden="false" customHeight="true" outlineLevel="0" collapsed="false">
      <c r="B203" s="29" t="s">
        <v>1078</v>
      </c>
      <c r="C203" s="29" t="s">
        <v>282</v>
      </c>
      <c r="D203" s="29" t="s">
        <v>1079</v>
      </c>
      <c r="E203" s="29" t="s">
        <v>357</v>
      </c>
      <c r="F203" s="29" t="s">
        <v>1080</v>
      </c>
      <c r="G203" s="29" t="s">
        <v>1081</v>
      </c>
      <c r="H203" s="29" t="s">
        <v>1082</v>
      </c>
      <c r="I203" s="29" t="s">
        <v>302</v>
      </c>
      <c r="J203" s="29" t="s">
        <v>202</v>
      </c>
      <c r="K203" s="30" t="s">
        <v>44</v>
      </c>
      <c r="L203" s="31"/>
      <c r="M203" s="29" t="s">
        <v>45</v>
      </c>
    </row>
    <row r="204" customFormat="false" ht="153" hidden="false" customHeight="true" outlineLevel="0" collapsed="false">
      <c r="B204" s="29" t="s">
        <v>1083</v>
      </c>
      <c r="C204" s="29" t="s">
        <v>282</v>
      </c>
      <c r="D204" s="29" t="s">
        <v>1084</v>
      </c>
      <c r="E204" s="29" t="s">
        <v>351</v>
      </c>
      <c r="F204" s="29" t="s">
        <v>1085</v>
      </c>
      <c r="G204" s="29" t="s">
        <v>1086</v>
      </c>
      <c r="H204" s="29" t="s">
        <v>1087</v>
      </c>
      <c r="I204" s="29" t="s">
        <v>302</v>
      </c>
      <c r="J204" s="29" t="s">
        <v>202</v>
      </c>
      <c r="K204" s="30" t="s">
        <v>44</v>
      </c>
      <c r="L204" s="31"/>
      <c r="M204" s="29" t="s">
        <v>45</v>
      </c>
    </row>
    <row r="205" customFormat="false" ht="76.5" hidden="false" customHeight="true" outlineLevel="0" collapsed="false">
      <c r="B205" s="29" t="s">
        <v>1088</v>
      </c>
      <c r="C205" s="29" t="s">
        <v>282</v>
      </c>
      <c r="D205" s="29" t="s">
        <v>1089</v>
      </c>
      <c r="E205" s="29" t="s">
        <v>357</v>
      </c>
      <c r="F205" s="29" t="s">
        <v>1090</v>
      </c>
      <c r="G205" s="29" t="s">
        <v>1091</v>
      </c>
      <c r="H205" s="29" t="s">
        <v>1092</v>
      </c>
      <c r="I205" s="29" t="s">
        <v>302</v>
      </c>
      <c r="J205" s="29" t="s">
        <v>202</v>
      </c>
      <c r="K205" s="30" t="s">
        <v>44</v>
      </c>
      <c r="L205" s="31"/>
      <c r="M205" s="29" t="s">
        <v>45</v>
      </c>
    </row>
    <row r="206" customFormat="false" ht="63.75" hidden="false" customHeight="true" outlineLevel="0" collapsed="false">
      <c r="B206" s="29" t="s">
        <v>1093</v>
      </c>
      <c r="C206" s="29" t="s">
        <v>282</v>
      </c>
      <c r="D206" s="29" t="s">
        <v>1094</v>
      </c>
      <c r="E206" s="29" t="s">
        <v>357</v>
      </c>
      <c r="F206" s="29" t="s">
        <v>1090</v>
      </c>
      <c r="G206" s="29" t="s">
        <v>1095</v>
      </c>
      <c r="H206" s="29" t="s">
        <v>1092</v>
      </c>
      <c r="I206" s="29" t="s">
        <v>302</v>
      </c>
      <c r="J206" s="29" t="s">
        <v>202</v>
      </c>
      <c r="K206" s="30" t="s">
        <v>44</v>
      </c>
      <c r="L206" s="31"/>
      <c r="M206" s="29" t="s">
        <v>45</v>
      </c>
    </row>
    <row r="207" customFormat="false" ht="63.75" hidden="false" customHeight="true" outlineLevel="0" collapsed="false">
      <c r="B207" s="29" t="s">
        <v>1096</v>
      </c>
      <c r="C207" s="29" t="s">
        <v>282</v>
      </c>
      <c r="D207" s="29" t="s">
        <v>1097</v>
      </c>
      <c r="E207" s="29" t="s">
        <v>357</v>
      </c>
      <c r="F207" s="29" t="s">
        <v>1090</v>
      </c>
      <c r="G207" s="29" t="s">
        <v>1098</v>
      </c>
      <c r="H207" s="29" t="s">
        <v>1092</v>
      </c>
      <c r="I207" s="29" t="s">
        <v>302</v>
      </c>
      <c r="J207" s="29" t="s">
        <v>202</v>
      </c>
      <c r="K207" s="30" t="s">
        <v>44</v>
      </c>
      <c r="L207" s="31"/>
      <c r="M207" s="29" t="s">
        <v>45</v>
      </c>
    </row>
    <row r="208" customFormat="false" ht="63.75" hidden="false" customHeight="true" outlineLevel="0" collapsed="false">
      <c r="B208" s="29" t="s">
        <v>1099</v>
      </c>
      <c r="C208" s="29" t="s">
        <v>282</v>
      </c>
      <c r="D208" s="29" t="s">
        <v>1100</v>
      </c>
      <c r="E208" s="29" t="s">
        <v>357</v>
      </c>
      <c r="F208" s="29" t="s">
        <v>1090</v>
      </c>
      <c r="G208" s="29" t="s">
        <v>1101</v>
      </c>
      <c r="H208" s="29" t="s">
        <v>1092</v>
      </c>
      <c r="I208" s="29" t="s">
        <v>302</v>
      </c>
      <c r="J208" s="29" t="s">
        <v>202</v>
      </c>
      <c r="K208" s="30" t="s">
        <v>44</v>
      </c>
      <c r="L208" s="31"/>
      <c r="M208" s="29" t="s">
        <v>45</v>
      </c>
    </row>
    <row r="209" customFormat="false" ht="89.25" hidden="false" customHeight="true" outlineLevel="0" collapsed="false">
      <c r="B209" s="29" t="s">
        <v>1102</v>
      </c>
      <c r="C209" s="29" t="s">
        <v>282</v>
      </c>
      <c r="D209" s="29" t="s">
        <v>1103</v>
      </c>
      <c r="E209" s="29" t="s">
        <v>357</v>
      </c>
      <c r="F209" s="29" t="s">
        <v>1104</v>
      </c>
      <c r="G209" s="29" t="s">
        <v>1105</v>
      </c>
      <c r="H209" s="29" t="s">
        <v>1106</v>
      </c>
      <c r="I209" s="29" t="s">
        <v>302</v>
      </c>
      <c r="J209" s="29" t="s">
        <v>202</v>
      </c>
      <c r="K209" s="30" t="s">
        <v>44</v>
      </c>
      <c r="L209" s="31"/>
      <c r="M209" s="29" t="s">
        <v>45</v>
      </c>
    </row>
    <row r="210" customFormat="false" ht="63.75" hidden="false" customHeight="true" outlineLevel="0" collapsed="false">
      <c r="B210" s="29" t="s">
        <v>1107</v>
      </c>
      <c r="C210" s="29" t="s">
        <v>282</v>
      </c>
      <c r="D210" s="29" t="s">
        <v>1108</v>
      </c>
      <c r="E210" s="29" t="s">
        <v>357</v>
      </c>
      <c r="F210" s="29" t="s">
        <v>1090</v>
      </c>
      <c r="G210" s="29" t="s">
        <v>1109</v>
      </c>
      <c r="H210" s="29" t="s">
        <v>1092</v>
      </c>
      <c r="I210" s="29" t="s">
        <v>302</v>
      </c>
      <c r="J210" s="29" t="s">
        <v>202</v>
      </c>
      <c r="K210" s="30" t="s">
        <v>44</v>
      </c>
      <c r="L210" s="31"/>
      <c r="M210" s="29" t="s">
        <v>45</v>
      </c>
    </row>
    <row r="211" customFormat="false" ht="140.25" hidden="false" customHeight="true" outlineLevel="0" collapsed="false">
      <c r="B211" s="29" t="s">
        <v>1110</v>
      </c>
      <c r="C211" s="29" t="s">
        <v>282</v>
      </c>
      <c r="D211" s="29" t="s">
        <v>1111</v>
      </c>
      <c r="E211" s="29" t="s">
        <v>206</v>
      </c>
      <c r="F211" s="29" t="s">
        <v>1112</v>
      </c>
      <c r="G211" s="29" t="s">
        <v>1113</v>
      </c>
      <c r="H211" s="29" t="s">
        <v>1114</v>
      </c>
      <c r="I211" s="29" t="s">
        <v>302</v>
      </c>
      <c r="J211" s="29" t="s">
        <v>202</v>
      </c>
      <c r="K211" s="30" t="s">
        <v>44</v>
      </c>
      <c r="L211" s="31"/>
      <c r="M211" s="29" t="s">
        <v>45</v>
      </c>
    </row>
    <row r="212" customFormat="false" ht="38.25" hidden="false" customHeight="true" outlineLevel="0" collapsed="false">
      <c r="B212" s="29" t="s">
        <v>1115</v>
      </c>
      <c r="C212" s="29" t="s">
        <v>282</v>
      </c>
      <c r="D212" s="29" t="s">
        <v>1116</v>
      </c>
      <c r="E212" s="29" t="s">
        <v>186</v>
      </c>
      <c r="F212" s="29" t="s">
        <v>1117</v>
      </c>
      <c r="G212" s="29" t="s">
        <v>1118</v>
      </c>
      <c r="H212" s="29" t="s">
        <v>1119</v>
      </c>
      <c r="I212" s="29" t="s">
        <v>336</v>
      </c>
      <c r="J212" s="29" t="s">
        <v>337</v>
      </c>
      <c r="K212" s="30" t="s">
        <v>44</v>
      </c>
      <c r="L212" s="31"/>
      <c r="M212" s="29" t="s">
        <v>1120</v>
      </c>
    </row>
    <row r="213" customFormat="false" ht="76.5" hidden="false" customHeight="true" outlineLevel="0" collapsed="false">
      <c r="B213" s="29" t="s">
        <v>1121</v>
      </c>
      <c r="C213" s="29" t="s">
        <v>282</v>
      </c>
      <c r="D213" s="29" t="s">
        <v>1122</v>
      </c>
      <c r="E213" s="29" t="s">
        <v>357</v>
      </c>
      <c r="F213" s="29" t="s">
        <v>1123</v>
      </c>
      <c r="G213" s="29" t="s">
        <v>1124</v>
      </c>
      <c r="H213" s="29" t="s">
        <v>1125</v>
      </c>
      <c r="I213" s="29" t="s">
        <v>302</v>
      </c>
      <c r="J213" s="29" t="s">
        <v>202</v>
      </c>
      <c r="K213" s="30" t="s">
        <v>44</v>
      </c>
      <c r="L213" s="31"/>
      <c r="M213" s="29" t="s">
        <v>45</v>
      </c>
    </row>
    <row r="214" customFormat="false" ht="127.5" hidden="false" customHeight="true" outlineLevel="0" collapsed="false">
      <c r="B214" s="29" t="s">
        <v>1126</v>
      </c>
      <c r="C214" s="29" t="s">
        <v>282</v>
      </c>
      <c r="D214" s="29" t="s">
        <v>1127</v>
      </c>
      <c r="E214" s="29" t="s">
        <v>357</v>
      </c>
      <c r="F214" s="29" t="s">
        <v>1128</v>
      </c>
      <c r="G214" s="29" t="s">
        <v>1129</v>
      </c>
      <c r="H214" s="29" t="s">
        <v>1130</v>
      </c>
      <c r="I214" s="29" t="s">
        <v>302</v>
      </c>
      <c r="J214" s="29" t="s">
        <v>202</v>
      </c>
      <c r="K214" s="30" t="s">
        <v>44</v>
      </c>
      <c r="L214" s="31"/>
      <c r="M214" s="29" t="s">
        <v>45</v>
      </c>
    </row>
    <row r="215" customFormat="false" ht="38.25" hidden="false" customHeight="true" outlineLevel="0" collapsed="false">
      <c r="B215" s="29" t="s">
        <v>1131</v>
      </c>
      <c r="C215" s="29" t="s">
        <v>282</v>
      </c>
      <c r="D215" s="29" t="s">
        <v>1132</v>
      </c>
      <c r="E215" s="29" t="s">
        <v>327</v>
      </c>
      <c r="F215" s="29" t="s">
        <v>1133</v>
      </c>
      <c r="G215" s="29" t="s">
        <v>1134</v>
      </c>
      <c r="H215" s="29" t="s">
        <v>1135</v>
      </c>
      <c r="I215" s="29" t="s">
        <v>302</v>
      </c>
      <c r="J215" s="29" t="s">
        <v>202</v>
      </c>
      <c r="K215" s="30" t="s">
        <v>44</v>
      </c>
      <c r="L215" s="31"/>
      <c r="M215" s="29" t="s">
        <v>1136</v>
      </c>
    </row>
    <row r="216" customFormat="false" ht="318.75" hidden="false" customHeight="true" outlineLevel="0" collapsed="false">
      <c r="B216" s="29" t="s">
        <v>1137</v>
      </c>
      <c r="C216" s="29" t="s">
        <v>282</v>
      </c>
      <c r="D216" s="29" t="s">
        <v>1138</v>
      </c>
      <c r="E216" s="29" t="s">
        <v>351</v>
      </c>
      <c r="F216" s="29" t="s">
        <v>1139</v>
      </c>
      <c r="G216" s="29" t="s">
        <v>1140</v>
      </c>
      <c r="H216" s="29" t="s">
        <v>1141</v>
      </c>
      <c r="I216" s="29" t="s">
        <v>302</v>
      </c>
      <c r="J216" s="29" t="s">
        <v>202</v>
      </c>
      <c r="K216" s="30" t="s">
        <v>44</v>
      </c>
      <c r="L216" s="31"/>
      <c r="M216" s="29" t="s">
        <v>45</v>
      </c>
    </row>
    <row r="217" customFormat="false" ht="114.75" hidden="false" customHeight="true" outlineLevel="0" collapsed="false">
      <c r="B217" s="29" t="s">
        <v>1142</v>
      </c>
      <c r="C217" s="29" t="s">
        <v>282</v>
      </c>
      <c r="D217" s="29" t="s">
        <v>1143</v>
      </c>
      <c r="E217" s="29" t="s">
        <v>357</v>
      </c>
      <c r="F217" s="29" t="s">
        <v>1144</v>
      </c>
      <c r="G217" s="29" t="s">
        <v>1145</v>
      </c>
      <c r="H217" s="29" t="s">
        <v>1146</v>
      </c>
      <c r="I217" s="29" t="s">
        <v>154</v>
      </c>
      <c r="J217" s="29" t="s">
        <v>155</v>
      </c>
      <c r="K217" s="30" t="s">
        <v>44</v>
      </c>
      <c r="L217" s="31"/>
      <c r="M217" s="29" t="s">
        <v>45</v>
      </c>
    </row>
    <row r="218" customFormat="false" ht="63.75" hidden="false" customHeight="true" outlineLevel="0" collapsed="false">
      <c r="B218" s="29" t="s">
        <v>1147</v>
      </c>
      <c r="C218" s="29" t="s">
        <v>282</v>
      </c>
      <c r="D218" s="29" t="s">
        <v>1148</v>
      </c>
      <c r="E218" s="29" t="s">
        <v>351</v>
      </c>
      <c r="F218" s="29" t="s">
        <v>1149</v>
      </c>
      <c r="G218" s="29" t="s">
        <v>1150</v>
      </c>
      <c r="H218" s="29" t="s">
        <v>1151</v>
      </c>
      <c r="I218" s="29" t="s">
        <v>302</v>
      </c>
      <c r="J218" s="29" t="s">
        <v>202</v>
      </c>
      <c r="K218" s="30" t="s">
        <v>44</v>
      </c>
      <c r="L218" s="31"/>
      <c r="M218" s="29" t="s">
        <v>45</v>
      </c>
    </row>
    <row r="219" customFormat="false" ht="89.25" hidden="false" customHeight="true" outlineLevel="0" collapsed="false">
      <c r="B219" s="29" t="s">
        <v>1152</v>
      </c>
      <c r="C219" s="29" t="s">
        <v>282</v>
      </c>
      <c r="D219" s="29" t="s">
        <v>1153</v>
      </c>
      <c r="E219" s="29" t="s">
        <v>600</v>
      </c>
      <c r="F219" s="29" t="s">
        <v>1154</v>
      </c>
      <c r="G219" s="29" t="s">
        <v>1155</v>
      </c>
      <c r="H219" s="29" t="s">
        <v>1156</v>
      </c>
      <c r="I219" s="29" t="s">
        <v>154</v>
      </c>
      <c r="J219" s="29" t="s">
        <v>155</v>
      </c>
      <c r="K219" s="30" t="s">
        <v>44</v>
      </c>
      <c r="L219" s="31"/>
      <c r="M219" s="29" t="s">
        <v>45</v>
      </c>
    </row>
    <row r="220" customFormat="false" ht="76.5" hidden="false" customHeight="true" outlineLevel="0" collapsed="false">
      <c r="B220" s="29" t="s">
        <v>1157</v>
      </c>
      <c r="C220" s="29" t="s">
        <v>282</v>
      </c>
      <c r="D220" s="29" t="s">
        <v>1158</v>
      </c>
      <c r="E220" s="29" t="s">
        <v>340</v>
      </c>
      <c r="F220" s="29" t="s">
        <v>1159</v>
      </c>
      <c r="G220" s="29" t="s">
        <v>1160</v>
      </c>
      <c r="H220" s="29" t="s">
        <v>1161</v>
      </c>
      <c r="I220" s="29" t="s">
        <v>302</v>
      </c>
      <c r="J220" s="29" t="s">
        <v>202</v>
      </c>
      <c r="K220" s="30" t="s">
        <v>44</v>
      </c>
      <c r="L220" s="31"/>
      <c r="M220" s="29" t="s">
        <v>45</v>
      </c>
    </row>
    <row r="221" customFormat="false" ht="140.25" hidden="false" customHeight="true" outlineLevel="0" collapsed="false">
      <c r="B221" s="29" t="s">
        <v>1162</v>
      </c>
      <c r="C221" s="29" t="s">
        <v>282</v>
      </c>
      <c r="D221" s="29" t="s">
        <v>1163</v>
      </c>
      <c r="E221" s="29" t="s">
        <v>206</v>
      </c>
      <c r="F221" s="29" t="s">
        <v>1164</v>
      </c>
      <c r="G221" s="29" t="s">
        <v>1165</v>
      </c>
      <c r="H221" s="29" t="s">
        <v>1166</v>
      </c>
      <c r="I221" s="29" t="s">
        <v>302</v>
      </c>
      <c r="J221" s="29" t="s">
        <v>202</v>
      </c>
      <c r="K221" s="30" t="s">
        <v>44</v>
      </c>
      <c r="L221" s="31"/>
      <c r="M221" s="29" t="s">
        <v>45</v>
      </c>
    </row>
    <row r="222" customFormat="false" ht="63.75" hidden="false" customHeight="true" outlineLevel="0" collapsed="false">
      <c r="B222" s="29" t="s">
        <v>1167</v>
      </c>
      <c r="C222" s="29" t="s">
        <v>282</v>
      </c>
      <c r="D222" s="29" t="s">
        <v>1168</v>
      </c>
      <c r="E222" s="29" t="s">
        <v>327</v>
      </c>
      <c r="F222" s="29" t="s">
        <v>1169</v>
      </c>
      <c r="G222" s="29" t="s">
        <v>1170</v>
      </c>
      <c r="H222" s="29" t="s">
        <v>1171</v>
      </c>
      <c r="I222" s="29" t="s">
        <v>302</v>
      </c>
      <c r="J222" s="29" t="s">
        <v>202</v>
      </c>
      <c r="K222" s="30" t="s">
        <v>44</v>
      </c>
      <c r="L222" s="31"/>
      <c r="M222" s="29" t="s">
        <v>366</v>
      </c>
    </row>
    <row r="223" customFormat="false" ht="229.5" hidden="false" customHeight="true" outlineLevel="0" collapsed="false">
      <c r="B223" s="29" t="s">
        <v>1172</v>
      </c>
      <c r="C223" s="29" t="s">
        <v>282</v>
      </c>
      <c r="D223" s="29" t="s">
        <v>1173</v>
      </c>
      <c r="E223" s="29" t="s">
        <v>351</v>
      </c>
      <c r="F223" s="29" t="s">
        <v>1174</v>
      </c>
      <c r="G223" s="29" t="s">
        <v>1175</v>
      </c>
      <c r="H223" s="29" t="s">
        <v>1176</v>
      </c>
      <c r="I223" s="29" t="s">
        <v>302</v>
      </c>
      <c r="J223" s="29" t="s">
        <v>202</v>
      </c>
      <c r="K223" s="30" t="s">
        <v>44</v>
      </c>
      <c r="L223" s="31"/>
      <c r="M223" s="29" t="s">
        <v>45</v>
      </c>
    </row>
    <row r="224" customFormat="false" ht="153" hidden="false" customHeight="true" outlineLevel="0" collapsed="false">
      <c r="B224" s="29" t="s">
        <v>1177</v>
      </c>
      <c r="C224" s="29" t="s">
        <v>282</v>
      </c>
      <c r="D224" s="29" t="s">
        <v>1178</v>
      </c>
      <c r="E224" s="29" t="s">
        <v>357</v>
      </c>
      <c r="F224" s="29" t="s">
        <v>1179</v>
      </c>
      <c r="G224" s="29" t="s">
        <v>1180</v>
      </c>
      <c r="H224" s="29" t="s">
        <v>1181</v>
      </c>
      <c r="I224" s="29" t="s">
        <v>302</v>
      </c>
      <c r="J224" s="29" t="s">
        <v>202</v>
      </c>
      <c r="K224" s="30" t="s">
        <v>44</v>
      </c>
      <c r="L224" s="31"/>
      <c r="M224" s="29" t="s">
        <v>45</v>
      </c>
    </row>
    <row r="225" customFormat="false" ht="102" hidden="false" customHeight="true" outlineLevel="0" collapsed="false">
      <c r="B225" s="29" t="s">
        <v>1182</v>
      </c>
      <c r="C225" s="29" t="s">
        <v>282</v>
      </c>
      <c r="D225" s="29" t="s">
        <v>1183</v>
      </c>
      <c r="E225" s="29" t="s">
        <v>357</v>
      </c>
      <c r="F225" s="29" t="s">
        <v>1184</v>
      </c>
      <c r="G225" s="29" t="s">
        <v>1185</v>
      </c>
      <c r="H225" s="29" t="s">
        <v>1186</v>
      </c>
      <c r="I225" s="29" t="s">
        <v>302</v>
      </c>
      <c r="J225" s="29" t="s">
        <v>202</v>
      </c>
      <c r="K225" s="30" t="s">
        <v>44</v>
      </c>
      <c r="L225" s="31"/>
      <c r="M225" s="29" t="s">
        <v>45</v>
      </c>
    </row>
    <row r="226" customFormat="false" ht="114.75" hidden="false" customHeight="true" outlineLevel="0" collapsed="false">
      <c r="B226" s="29" t="s">
        <v>1187</v>
      </c>
      <c r="C226" s="29" t="s">
        <v>282</v>
      </c>
      <c r="D226" s="29" t="s">
        <v>1188</v>
      </c>
      <c r="E226" s="29" t="s">
        <v>340</v>
      </c>
      <c r="F226" s="29" t="s">
        <v>1189</v>
      </c>
      <c r="G226" s="29" t="s">
        <v>1190</v>
      </c>
      <c r="H226" s="29" t="s">
        <v>1191</v>
      </c>
      <c r="I226" s="29" t="s">
        <v>302</v>
      </c>
      <c r="J226" s="29" t="s">
        <v>202</v>
      </c>
      <c r="K226" s="30" t="s">
        <v>44</v>
      </c>
      <c r="L226" s="31"/>
      <c r="M226" s="29" t="s">
        <v>45</v>
      </c>
    </row>
    <row r="227" customFormat="false" ht="63.75" hidden="false" customHeight="true" outlineLevel="0" collapsed="false">
      <c r="B227" s="29" t="s">
        <v>1192</v>
      </c>
      <c r="C227" s="29" t="s">
        <v>282</v>
      </c>
      <c r="D227" s="29" t="s">
        <v>1193</v>
      </c>
      <c r="E227" s="29" t="s">
        <v>186</v>
      </c>
      <c r="F227" s="29" t="s">
        <v>1194</v>
      </c>
      <c r="G227" s="29" t="s">
        <v>1195</v>
      </c>
      <c r="H227" s="29" t="s">
        <v>1196</v>
      </c>
      <c r="I227" s="29" t="s">
        <v>286</v>
      </c>
      <c r="J227" s="29" t="s">
        <v>190</v>
      </c>
      <c r="K227" s="30" t="s">
        <v>62</v>
      </c>
      <c r="L227" s="31"/>
      <c r="M227" s="29"/>
    </row>
    <row r="228" customFormat="false" ht="191.25" hidden="false" customHeight="true" outlineLevel="0" collapsed="false">
      <c r="B228" s="29" t="s">
        <v>1197</v>
      </c>
      <c r="C228" s="29" t="s">
        <v>282</v>
      </c>
      <c r="D228" s="29" t="s">
        <v>1198</v>
      </c>
      <c r="E228" s="29" t="s">
        <v>351</v>
      </c>
      <c r="F228" s="29" t="s">
        <v>1199</v>
      </c>
      <c r="G228" s="29" t="s">
        <v>1200</v>
      </c>
      <c r="H228" s="29" t="s">
        <v>1201</v>
      </c>
      <c r="I228" s="29" t="s">
        <v>472</v>
      </c>
      <c r="J228" s="29" t="s">
        <v>472</v>
      </c>
      <c r="K228" s="30" t="s">
        <v>44</v>
      </c>
      <c r="L228" s="31"/>
      <c r="M228" s="29" t="s">
        <v>45</v>
      </c>
    </row>
    <row r="229" customFormat="false" ht="63.75" hidden="false" customHeight="true" outlineLevel="0" collapsed="false">
      <c r="B229" s="29" t="s">
        <v>1202</v>
      </c>
      <c r="C229" s="29" t="s">
        <v>282</v>
      </c>
      <c r="D229" s="29" t="s">
        <v>1203</v>
      </c>
      <c r="E229" s="29" t="s">
        <v>357</v>
      </c>
      <c r="F229" s="29" t="s">
        <v>1204</v>
      </c>
      <c r="G229" s="29" t="s">
        <v>1205</v>
      </c>
      <c r="H229" s="29" t="s">
        <v>1206</v>
      </c>
      <c r="I229" s="29" t="s">
        <v>302</v>
      </c>
      <c r="J229" s="29" t="s">
        <v>202</v>
      </c>
      <c r="K229" s="30" t="s">
        <v>44</v>
      </c>
      <c r="L229" s="31"/>
      <c r="M229" s="29" t="s">
        <v>45</v>
      </c>
    </row>
    <row r="230" customFormat="false" ht="63.75" hidden="false" customHeight="true" outlineLevel="0" collapsed="false">
      <c r="B230" s="29" t="s">
        <v>1207</v>
      </c>
      <c r="C230" s="29" t="s">
        <v>282</v>
      </c>
      <c r="D230" s="29" t="s">
        <v>1208</v>
      </c>
      <c r="E230" s="29" t="s">
        <v>340</v>
      </c>
      <c r="F230" s="29" t="s">
        <v>1209</v>
      </c>
      <c r="G230" s="29" t="s">
        <v>1210</v>
      </c>
      <c r="H230" s="29" t="s">
        <v>1211</v>
      </c>
      <c r="I230" s="29" t="s">
        <v>302</v>
      </c>
      <c r="J230" s="29" t="s">
        <v>202</v>
      </c>
      <c r="K230" s="30" t="s">
        <v>44</v>
      </c>
      <c r="L230" s="31"/>
      <c r="M230" s="29" t="s">
        <v>45</v>
      </c>
    </row>
    <row r="231" customFormat="false" ht="38.25" hidden="false" customHeight="true" outlineLevel="0" collapsed="false">
      <c r="B231" s="29" t="s">
        <v>1212</v>
      </c>
      <c r="C231" s="29" t="s">
        <v>282</v>
      </c>
      <c r="D231" s="29" t="s">
        <v>1213</v>
      </c>
      <c r="E231" s="29" t="s">
        <v>327</v>
      </c>
      <c r="F231" s="29" t="s">
        <v>1214</v>
      </c>
      <c r="G231" s="29" t="s">
        <v>1215</v>
      </c>
      <c r="H231" s="29" t="s">
        <v>1216</v>
      </c>
      <c r="I231" s="29" t="s">
        <v>302</v>
      </c>
      <c r="J231" s="29" t="s">
        <v>202</v>
      </c>
      <c r="K231" s="30" t="s">
        <v>44</v>
      </c>
      <c r="L231" s="31"/>
      <c r="M231" s="29" t="s">
        <v>366</v>
      </c>
    </row>
    <row r="232" customFormat="false" ht="76.5" hidden="false" customHeight="true" outlineLevel="0" collapsed="false">
      <c r="B232" s="29" t="s">
        <v>1217</v>
      </c>
      <c r="C232" s="29" t="s">
        <v>282</v>
      </c>
      <c r="D232" s="29" t="s">
        <v>1218</v>
      </c>
      <c r="E232" s="29" t="s">
        <v>600</v>
      </c>
      <c r="F232" s="29" t="s">
        <v>1219</v>
      </c>
      <c r="G232" s="29" t="s">
        <v>1220</v>
      </c>
      <c r="H232" s="29" t="s">
        <v>1221</v>
      </c>
      <c r="I232" s="29" t="s">
        <v>472</v>
      </c>
      <c r="J232" s="29" t="s">
        <v>472</v>
      </c>
      <c r="K232" s="30" t="s">
        <v>44</v>
      </c>
      <c r="L232" s="31"/>
      <c r="M232" s="29" t="s">
        <v>45</v>
      </c>
    </row>
    <row r="233" customFormat="false" ht="76.5" hidden="false" customHeight="true" outlineLevel="0" collapsed="false">
      <c r="B233" s="29" t="s">
        <v>1222</v>
      </c>
      <c r="C233" s="29" t="s">
        <v>282</v>
      </c>
      <c r="D233" s="29" t="s">
        <v>1223</v>
      </c>
      <c r="E233" s="29" t="s">
        <v>600</v>
      </c>
      <c r="F233" s="29" t="s">
        <v>1224</v>
      </c>
      <c r="G233" s="29" t="s">
        <v>1225</v>
      </c>
      <c r="H233" s="29" t="s">
        <v>1226</v>
      </c>
      <c r="I233" s="29" t="s">
        <v>472</v>
      </c>
      <c r="J233" s="29" t="s">
        <v>472</v>
      </c>
      <c r="K233" s="30" t="s">
        <v>44</v>
      </c>
      <c r="L233" s="31"/>
      <c r="M233" s="29" t="s">
        <v>45</v>
      </c>
    </row>
    <row r="234" customFormat="false" ht="140.25" hidden="false" customHeight="true" outlineLevel="0" collapsed="false">
      <c r="B234" s="29" t="s">
        <v>1227</v>
      </c>
      <c r="C234" s="29" t="s">
        <v>282</v>
      </c>
      <c r="D234" s="29" t="s">
        <v>1228</v>
      </c>
      <c r="E234" s="29" t="s">
        <v>600</v>
      </c>
      <c r="F234" s="29" t="s">
        <v>1229</v>
      </c>
      <c r="G234" s="29" t="s">
        <v>1230</v>
      </c>
      <c r="H234" s="29" t="s">
        <v>1231</v>
      </c>
      <c r="I234" s="29" t="s">
        <v>154</v>
      </c>
      <c r="J234" s="29" t="s">
        <v>155</v>
      </c>
      <c r="K234" s="30" t="s">
        <v>44</v>
      </c>
      <c r="L234" s="31"/>
      <c r="M234" s="29" t="s">
        <v>45</v>
      </c>
    </row>
    <row r="235" customFormat="false" ht="89.25" hidden="false" customHeight="true" outlineLevel="0" collapsed="false">
      <c r="B235" s="29" t="s">
        <v>1232</v>
      </c>
      <c r="C235" s="29" t="s">
        <v>282</v>
      </c>
      <c r="D235" s="29" t="s">
        <v>1233</v>
      </c>
      <c r="E235" s="29" t="s">
        <v>340</v>
      </c>
      <c r="F235" s="29" t="s">
        <v>1234</v>
      </c>
      <c r="G235" s="29" t="s">
        <v>1235</v>
      </c>
      <c r="H235" s="29" t="s">
        <v>1236</v>
      </c>
      <c r="I235" s="29" t="s">
        <v>302</v>
      </c>
      <c r="J235" s="29" t="s">
        <v>202</v>
      </c>
      <c r="K235" s="30" t="s">
        <v>44</v>
      </c>
      <c r="L235" s="31"/>
      <c r="M235" s="29" t="s">
        <v>45</v>
      </c>
    </row>
    <row r="236" customFormat="false" ht="114.75" hidden="false" customHeight="true" outlineLevel="0" collapsed="false">
      <c r="B236" s="29" t="s">
        <v>1237</v>
      </c>
      <c r="C236" s="29" t="s">
        <v>282</v>
      </c>
      <c r="D236" s="29" t="s">
        <v>1238</v>
      </c>
      <c r="E236" s="29" t="s">
        <v>206</v>
      </c>
      <c r="F236" s="29" t="s">
        <v>1239</v>
      </c>
      <c r="G236" s="29" t="s">
        <v>1240</v>
      </c>
      <c r="H236" s="29" t="s">
        <v>1241</v>
      </c>
      <c r="I236" s="29" t="s">
        <v>302</v>
      </c>
      <c r="J236" s="29" t="s">
        <v>202</v>
      </c>
      <c r="K236" s="30" t="s">
        <v>44</v>
      </c>
      <c r="L236" s="31"/>
      <c r="M236" s="29" t="s">
        <v>45</v>
      </c>
    </row>
    <row r="237" customFormat="false" ht="51" hidden="false" customHeight="true" outlineLevel="0" collapsed="false">
      <c r="B237" s="29" t="s">
        <v>1242</v>
      </c>
      <c r="C237" s="29" t="s">
        <v>282</v>
      </c>
      <c r="D237" s="29" t="s">
        <v>1243</v>
      </c>
      <c r="E237" s="29" t="s">
        <v>78</v>
      </c>
      <c r="F237" s="29" t="s">
        <v>1244</v>
      </c>
      <c r="G237" s="29" t="s">
        <v>1245</v>
      </c>
      <c r="H237" s="29" t="s">
        <v>1246</v>
      </c>
      <c r="I237" s="29" t="s">
        <v>1247</v>
      </c>
      <c r="J237" s="29" t="s">
        <v>1248</v>
      </c>
      <c r="K237" s="30" t="s">
        <v>44</v>
      </c>
      <c r="L237" s="31"/>
      <c r="M237" s="29" t="s">
        <v>1249</v>
      </c>
    </row>
    <row r="238" customFormat="false" ht="89.25" hidden="false" customHeight="true" outlineLevel="0" collapsed="false">
      <c r="B238" s="29" t="s">
        <v>1250</v>
      </c>
      <c r="C238" s="29" t="s">
        <v>282</v>
      </c>
      <c r="D238" s="29" t="s">
        <v>1251</v>
      </c>
      <c r="E238" s="29" t="s">
        <v>357</v>
      </c>
      <c r="F238" s="29" t="s">
        <v>1252</v>
      </c>
      <c r="G238" s="29" t="s">
        <v>1253</v>
      </c>
      <c r="H238" s="29" t="s">
        <v>1254</v>
      </c>
      <c r="I238" s="29" t="s">
        <v>302</v>
      </c>
      <c r="J238" s="29" t="s">
        <v>202</v>
      </c>
      <c r="K238" s="30" t="s">
        <v>44</v>
      </c>
      <c r="L238" s="31"/>
      <c r="M238" s="29" t="s">
        <v>45</v>
      </c>
    </row>
    <row r="239" customFormat="false" ht="63.75" hidden="false" customHeight="true" outlineLevel="0" collapsed="false">
      <c r="B239" s="29" t="s">
        <v>1255</v>
      </c>
      <c r="C239" s="29" t="s">
        <v>282</v>
      </c>
      <c r="D239" s="29" t="s">
        <v>1256</v>
      </c>
      <c r="E239" s="29" t="s">
        <v>357</v>
      </c>
      <c r="F239" s="29" t="s">
        <v>1257</v>
      </c>
      <c r="G239" s="29" t="s">
        <v>1258</v>
      </c>
      <c r="H239" s="29" t="s">
        <v>1259</v>
      </c>
      <c r="I239" s="29" t="s">
        <v>302</v>
      </c>
      <c r="J239" s="29" t="s">
        <v>202</v>
      </c>
      <c r="K239" s="30" t="s">
        <v>44</v>
      </c>
      <c r="L239" s="31"/>
      <c r="M239" s="29" t="s">
        <v>45</v>
      </c>
    </row>
    <row r="240" customFormat="false" ht="102" hidden="false" customHeight="true" outlineLevel="0" collapsed="false">
      <c r="B240" s="29" t="s">
        <v>1260</v>
      </c>
      <c r="C240" s="29" t="s">
        <v>282</v>
      </c>
      <c r="D240" s="29" t="s">
        <v>1261</v>
      </c>
      <c r="E240" s="29" t="s">
        <v>600</v>
      </c>
      <c r="F240" s="29" t="s">
        <v>1262</v>
      </c>
      <c r="G240" s="29" t="s">
        <v>1263</v>
      </c>
      <c r="H240" s="29" t="s">
        <v>1264</v>
      </c>
      <c r="I240" s="29" t="s">
        <v>154</v>
      </c>
      <c r="J240" s="29" t="s">
        <v>155</v>
      </c>
      <c r="K240" s="30" t="s">
        <v>44</v>
      </c>
      <c r="L240" s="31"/>
      <c r="M240" s="29" t="s">
        <v>45</v>
      </c>
    </row>
    <row r="241" customFormat="false" ht="127.5" hidden="false" customHeight="true" outlineLevel="0" collapsed="false">
      <c r="B241" s="29" t="s">
        <v>1265</v>
      </c>
      <c r="C241" s="29" t="s">
        <v>282</v>
      </c>
      <c r="D241" s="29" t="s">
        <v>1266</v>
      </c>
      <c r="E241" s="29" t="s">
        <v>206</v>
      </c>
      <c r="F241" s="29" t="s">
        <v>1267</v>
      </c>
      <c r="G241" s="29" t="s">
        <v>1268</v>
      </c>
      <c r="H241" s="29" t="s">
        <v>1269</v>
      </c>
      <c r="I241" s="29" t="s">
        <v>154</v>
      </c>
      <c r="J241" s="29" t="s">
        <v>155</v>
      </c>
      <c r="K241" s="30" t="s">
        <v>44</v>
      </c>
      <c r="L241" s="31"/>
      <c r="M241" s="29" t="s">
        <v>45</v>
      </c>
    </row>
    <row r="242" customFormat="false" ht="229.5" hidden="false" customHeight="true" outlineLevel="0" collapsed="false">
      <c r="B242" s="29" t="s">
        <v>1270</v>
      </c>
      <c r="C242" s="29" t="s">
        <v>282</v>
      </c>
      <c r="D242" s="29" t="s">
        <v>1271</v>
      </c>
      <c r="E242" s="29" t="s">
        <v>39</v>
      </c>
      <c r="F242" s="29" t="s">
        <v>1272</v>
      </c>
      <c r="G242" s="29" t="s">
        <v>1273</v>
      </c>
      <c r="H242" s="29" t="s">
        <v>1274</v>
      </c>
      <c r="I242" s="29" t="s">
        <v>42</v>
      </c>
      <c r="J242" s="29" t="s">
        <v>43</v>
      </c>
      <c r="K242" s="30" t="s">
        <v>44</v>
      </c>
      <c r="L242" s="31"/>
      <c r="M242" s="29" t="s">
        <v>45</v>
      </c>
    </row>
    <row r="243" customFormat="false" ht="76.5" hidden="false" customHeight="true" outlineLevel="0" collapsed="false">
      <c r="B243" s="29" t="s">
        <v>1275</v>
      </c>
      <c r="C243" s="29" t="s">
        <v>282</v>
      </c>
      <c r="D243" s="29" t="s">
        <v>1276</v>
      </c>
      <c r="E243" s="29" t="s">
        <v>357</v>
      </c>
      <c r="F243" s="29" t="s">
        <v>1277</v>
      </c>
      <c r="G243" s="29" t="s">
        <v>1278</v>
      </c>
      <c r="H243" s="29" t="s">
        <v>1279</v>
      </c>
      <c r="I243" s="29" t="s">
        <v>302</v>
      </c>
      <c r="J243" s="29" t="s">
        <v>202</v>
      </c>
      <c r="K243" s="30" t="s">
        <v>44</v>
      </c>
      <c r="L243" s="31"/>
      <c r="M243" s="29" t="s">
        <v>45</v>
      </c>
    </row>
    <row r="244" customFormat="false" ht="89.25" hidden="false" customHeight="true" outlineLevel="0" collapsed="false">
      <c r="B244" s="29" t="s">
        <v>1280</v>
      </c>
      <c r="C244" s="29" t="s">
        <v>282</v>
      </c>
      <c r="D244" s="29" t="s">
        <v>1281</v>
      </c>
      <c r="E244" s="29" t="s">
        <v>39</v>
      </c>
      <c r="F244" s="29" t="s">
        <v>1282</v>
      </c>
      <c r="G244" s="29" t="s">
        <v>1283</v>
      </c>
      <c r="H244" s="29" t="s">
        <v>1284</v>
      </c>
      <c r="I244" s="29" t="s">
        <v>460</v>
      </c>
      <c r="J244" s="29" t="s">
        <v>763</v>
      </c>
      <c r="K244" s="30" t="s">
        <v>44</v>
      </c>
      <c r="L244" s="31"/>
      <c r="M244" s="29" t="s">
        <v>45</v>
      </c>
    </row>
    <row r="245" customFormat="false" ht="51" hidden="false" customHeight="true" outlineLevel="0" collapsed="false">
      <c r="B245" s="29" t="s">
        <v>1285</v>
      </c>
      <c r="C245" s="29" t="s">
        <v>282</v>
      </c>
      <c r="D245" s="29" t="s">
        <v>1286</v>
      </c>
      <c r="E245" s="29" t="s">
        <v>357</v>
      </c>
      <c r="F245" s="29" t="s">
        <v>1287</v>
      </c>
      <c r="G245" s="29" t="s">
        <v>1288</v>
      </c>
      <c r="H245" s="29" t="s">
        <v>1289</v>
      </c>
      <c r="I245" s="29" t="s">
        <v>302</v>
      </c>
      <c r="J245" s="29" t="s">
        <v>202</v>
      </c>
      <c r="K245" s="30" t="s">
        <v>44</v>
      </c>
      <c r="L245" s="31"/>
      <c r="M245" s="29" t="s">
        <v>45</v>
      </c>
    </row>
    <row r="246" customFormat="false" ht="114.75" hidden="false" customHeight="true" outlineLevel="0" collapsed="false">
      <c r="B246" s="29" t="s">
        <v>1290</v>
      </c>
      <c r="C246" s="29" t="s">
        <v>282</v>
      </c>
      <c r="D246" s="29" t="s">
        <v>1291</v>
      </c>
      <c r="E246" s="29" t="s">
        <v>357</v>
      </c>
      <c r="F246" s="29" t="s">
        <v>1292</v>
      </c>
      <c r="G246" s="29" t="s">
        <v>1293</v>
      </c>
      <c r="H246" s="29" t="s">
        <v>1294</v>
      </c>
      <c r="I246" s="29" t="s">
        <v>302</v>
      </c>
      <c r="J246" s="29" t="s">
        <v>202</v>
      </c>
      <c r="K246" s="30" t="s">
        <v>44</v>
      </c>
      <c r="L246" s="31"/>
      <c r="M246" s="29" t="s">
        <v>45</v>
      </c>
    </row>
    <row r="247" customFormat="false" ht="63.75" hidden="false" customHeight="true" outlineLevel="0" collapsed="false">
      <c r="B247" s="29" t="s">
        <v>1295</v>
      </c>
      <c r="C247" s="29" t="s">
        <v>282</v>
      </c>
      <c r="D247" s="29" t="s">
        <v>1296</v>
      </c>
      <c r="E247" s="29" t="s">
        <v>151</v>
      </c>
      <c r="F247" s="29" t="s">
        <v>1297</v>
      </c>
      <c r="G247" s="29" t="s">
        <v>1298</v>
      </c>
      <c r="H247" s="29" t="s">
        <v>1299</v>
      </c>
      <c r="I247" s="29" t="s">
        <v>42</v>
      </c>
      <c r="J247" s="29" t="s">
        <v>270</v>
      </c>
      <c r="K247" s="30" t="s">
        <v>44</v>
      </c>
      <c r="L247" s="31"/>
      <c r="M247" s="29" t="s">
        <v>45</v>
      </c>
    </row>
    <row r="248" customFormat="false" ht="51" hidden="false" customHeight="true" outlineLevel="0" collapsed="false">
      <c r="B248" s="29" t="s">
        <v>1300</v>
      </c>
      <c r="C248" s="29" t="s">
        <v>282</v>
      </c>
      <c r="D248" s="29" t="s">
        <v>1301</v>
      </c>
      <c r="E248" s="29" t="s">
        <v>91</v>
      </c>
      <c r="F248" s="29" t="s">
        <v>1302</v>
      </c>
      <c r="G248" s="29" t="s">
        <v>1303</v>
      </c>
      <c r="H248" s="29" t="s">
        <v>1304</v>
      </c>
      <c r="I248" s="29" t="s">
        <v>42</v>
      </c>
      <c r="J248" s="29" t="s">
        <v>261</v>
      </c>
      <c r="K248" s="30" t="s">
        <v>44</v>
      </c>
      <c r="L248" s="31"/>
      <c r="M248" s="29" t="s">
        <v>45</v>
      </c>
    </row>
    <row r="249" customFormat="false" ht="89.25" hidden="false" customHeight="true" outlineLevel="0" collapsed="false">
      <c r="B249" s="29" t="s">
        <v>1305</v>
      </c>
      <c r="C249" s="29" t="s">
        <v>282</v>
      </c>
      <c r="D249" s="29" t="s">
        <v>1306</v>
      </c>
      <c r="E249" s="29" t="s">
        <v>327</v>
      </c>
      <c r="F249" s="29" t="s">
        <v>1307</v>
      </c>
      <c r="G249" s="29" t="s">
        <v>1308</v>
      </c>
      <c r="H249" s="29" t="s">
        <v>1309</v>
      </c>
      <c r="I249" s="29" t="s">
        <v>302</v>
      </c>
      <c r="J249" s="29" t="s">
        <v>202</v>
      </c>
      <c r="K249" s="30" t="s">
        <v>44</v>
      </c>
      <c r="L249" s="31"/>
      <c r="M249" s="29" t="s">
        <v>366</v>
      </c>
    </row>
    <row r="250" customFormat="false" ht="76.5" hidden="false" customHeight="true" outlineLevel="0" collapsed="false">
      <c r="B250" s="29" t="s">
        <v>1310</v>
      </c>
      <c r="C250" s="29" t="s">
        <v>282</v>
      </c>
      <c r="D250" s="29" t="s">
        <v>1311</v>
      </c>
      <c r="E250" s="29" t="s">
        <v>600</v>
      </c>
      <c r="F250" s="29" t="s">
        <v>1312</v>
      </c>
      <c r="G250" s="29" t="s">
        <v>1313</v>
      </c>
      <c r="H250" s="29" t="s">
        <v>1314</v>
      </c>
      <c r="I250" s="29" t="s">
        <v>154</v>
      </c>
      <c r="J250" s="29" t="s">
        <v>155</v>
      </c>
      <c r="K250" s="30" t="s">
        <v>44</v>
      </c>
      <c r="L250" s="31"/>
      <c r="M250" s="29" t="s">
        <v>45</v>
      </c>
    </row>
    <row r="251" customFormat="false" ht="63.75" hidden="false" customHeight="true" outlineLevel="0" collapsed="false">
      <c r="B251" s="29" t="s">
        <v>1315</v>
      </c>
      <c r="C251" s="29" t="s">
        <v>282</v>
      </c>
      <c r="D251" s="29" t="s">
        <v>1316</v>
      </c>
      <c r="E251" s="29" t="s">
        <v>206</v>
      </c>
      <c r="F251" s="29" t="s">
        <v>1317</v>
      </c>
      <c r="G251" s="29" t="s">
        <v>1318</v>
      </c>
      <c r="H251" s="29" t="s">
        <v>1319</v>
      </c>
      <c r="I251" s="29" t="s">
        <v>302</v>
      </c>
      <c r="J251" s="29" t="s">
        <v>202</v>
      </c>
      <c r="K251" s="30" t="s">
        <v>44</v>
      </c>
      <c r="L251" s="31"/>
      <c r="M251" s="29" t="s">
        <v>45</v>
      </c>
    </row>
    <row r="252" customFormat="false" ht="114.75" hidden="false" customHeight="true" outlineLevel="0" collapsed="false">
      <c r="B252" s="29" t="s">
        <v>1320</v>
      </c>
      <c r="C252" s="29" t="s">
        <v>282</v>
      </c>
      <c r="D252" s="29" t="s">
        <v>1321</v>
      </c>
      <c r="E252" s="29" t="s">
        <v>351</v>
      </c>
      <c r="F252" s="29" t="s">
        <v>1322</v>
      </c>
      <c r="G252" s="29" t="s">
        <v>1323</v>
      </c>
      <c r="H252" s="29" t="s">
        <v>1324</v>
      </c>
      <c r="I252" s="29" t="s">
        <v>154</v>
      </c>
      <c r="J252" s="29" t="s">
        <v>155</v>
      </c>
      <c r="K252" s="30" t="s">
        <v>44</v>
      </c>
      <c r="L252" s="31"/>
      <c r="M252" s="29" t="s">
        <v>45</v>
      </c>
    </row>
    <row r="253" customFormat="false" ht="102" hidden="false" customHeight="true" outlineLevel="0" collapsed="false">
      <c r="B253" s="29" t="s">
        <v>1325</v>
      </c>
      <c r="C253" s="29" t="s">
        <v>282</v>
      </c>
      <c r="D253" s="29" t="s">
        <v>1326</v>
      </c>
      <c r="E253" s="29" t="s">
        <v>351</v>
      </c>
      <c r="F253" s="29" t="s">
        <v>1327</v>
      </c>
      <c r="G253" s="29" t="s">
        <v>1328</v>
      </c>
      <c r="H253" s="29" t="s">
        <v>1329</v>
      </c>
      <c r="I253" s="29" t="s">
        <v>302</v>
      </c>
      <c r="J253" s="29" t="s">
        <v>202</v>
      </c>
      <c r="K253" s="30" t="s">
        <v>44</v>
      </c>
      <c r="L253" s="31"/>
      <c r="M253" s="29" t="s">
        <v>45</v>
      </c>
    </row>
    <row r="254" customFormat="false" ht="51" hidden="false" customHeight="true" outlineLevel="0" collapsed="false">
      <c r="B254" s="29" t="s">
        <v>1330</v>
      </c>
      <c r="C254" s="29" t="s">
        <v>282</v>
      </c>
      <c r="D254" s="29" t="s">
        <v>1331</v>
      </c>
      <c r="E254" s="29" t="s">
        <v>357</v>
      </c>
      <c r="F254" s="29" t="s">
        <v>1332</v>
      </c>
      <c r="G254" s="29" t="s">
        <v>1333</v>
      </c>
      <c r="H254" s="29" t="s">
        <v>1334</v>
      </c>
      <c r="I254" s="29" t="s">
        <v>302</v>
      </c>
      <c r="J254" s="29" t="s">
        <v>202</v>
      </c>
      <c r="K254" s="30" t="s">
        <v>44</v>
      </c>
      <c r="L254" s="31"/>
      <c r="M254" s="29" t="s">
        <v>45</v>
      </c>
    </row>
    <row r="255" customFormat="false" ht="76.5" hidden="false" customHeight="true" outlineLevel="0" collapsed="false">
      <c r="B255" s="29" t="s">
        <v>1335</v>
      </c>
      <c r="C255" s="29" t="s">
        <v>282</v>
      </c>
      <c r="D255" s="29" t="s">
        <v>1336</v>
      </c>
      <c r="E255" s="29" t="s">
        <v>327</v>
      </c>
      <c r="F255" s="29" t="s">
        <v>1337</v>
      </c>
      <c r="G255" s="29" t="s">
        <v>1338</v>
      </c>
      <c r="H255" s="29" t="s">
        <v>1339</v>
      </c>
      <c r="I255" s="29" t="s">
        <v>302</v>
      </c>
      <c r="J255" s="29" t="s">
        <v>202</v>
      </c>
      <c r="K255" s="30" t="s">
        <v>44</v>
      </c>
      <c r="L255" s="31"/>
      <c r="M255" s="29" t="s">
        <v>366</v>
      </c>
    </row>
    <row r="256" customFormat="false" ht="165.75" hidden="false" customHeight="true" outlineLevel="0" collapsed="false">
      <c r="B256" s="29" t="s">
        <v>1340</v>
      </c>
      <c r="C256" s="29" t="s">
        <v>282</v>
      </c>
      <c r="D256" s="29" t="s">
        <v>1341</v>
      </c>
      <c r="E256" s="29" t="s">
        <v>91</v>
      </c>
      <c r="F256" s="29" t="s">
        <v>1342</v>
      </c>
      <c r="G256" s="29" t="s">
        <v>1343</v>
      </c>
      <c r="H256" s="29" t="s">
        <v>1344</v>
      </c>
      <c r="I256" s="29" t="s">
        <v>42</v>
      </c>
      <c r="J256" s="29" t="s">
        <v>261</v>
      </c>
      <c r="K256" s="30" t="s">
        <v>44</v>
      </c>
      <c r="L256" s="31"/>
      <c r="M256" s="29" t="s">
        <v>45</v>
      </c>
    </row>
    <row r="257" customFormat="false" ht="63.75" hidden="false" customHeight="true" outlineLevel="0" collapsed="false">
      <c r="B257" s="29" t="s">
        <v>1345</v>
      </c>
      <c r="C257" s="29" t="s">
        <v>282</v>
      </c>
      <c r="D257" s="29" t="s">
        <v>1346</v>
      </c>
      <c r="E257" s="29" t="s">
        <v>39</v>
      </c>
      <c r="F257" s="29" t="s">
        <v>1347</v>
      </c>
      <c r="G257" s="29" t="s">
        <v>1348</v>
      </c>
      <c r="H257" s="29" t="s">
        <v>1349</v>
      </c>
      <c r="I257" s="29" t="s">
        <v>95</v>
      </c>
      <c r="J257" s="29" t="s">
        <v>1350</v>
      </c>
      <c r="K257" s="30" t="s">
        <v>62</v>
      </c>
      <c r="L257" s="31"/>
      <c r="M257" s="29"/>
    </row>
    <row r="258" customFormat="false" ht="140.25" hidden="false" customHeight="true" outlineLevel="0" collapsed="false">
      <c r="B258" s="29" t="s">
        <v>1351</v>
      </c>
      <c r="C258" s="29" t="s">
        <v>282</v>
      </c>
      <c r="D258" s="29" t="s">
        <v>1352</v>
      </c>
      <c r="E258" s="29" t="s">
        <v>327</v>
      </c>
      <c r="F258" s="29" t="s">
        <v>1353</v>
      </c>
      <c r="G258" s="29" t="s">
        <v>1354</v>
      </c>
      <c r="H258" s="29" t="s">
        <v>1355</v>
      </c>
      <c r="I258" s="29" t="s">
        <v>302</v>
      </c>
      <c r="J258" s="29" t="s">
        <v>202</v>
      </c>
      <c r="K258" s="30" t="s">
        <v>44</v>
      </c>
      <c r="L258" s="31"/>
      <c r="M258" s="29" t="s">
        <v>366</v>
      </c>
    </row>
    <row r="259" customFormat="false" ht="102" hidden="false" customHeight="true" outlineLevel="0" collapsed="false">
      <c r="B259" s="29" t="s">
        <v>1356</v>
      </c>
      <c r="C259" s="29" t="s">
        <v>282</v>
      </c>
      <c r="D259" s="29" t="s">
        <v>1357</v>
      </c>
      <c r="E259" s="29" t="s">
        <v>340</v>
      </c>
      <c r="F259" s="29" t="s">
        <v>1358</v>
      </c>
      <c r="G259" s="29" t="s">
        <v>1359</v>
      </c>
      <c r="H259" s="29" t="s">
        <v>1360</v>
      </c>
      <c r="I259" s="29" t="s">
        <v>302</v>
      </c>
      <c r="J259" s="29" t="s">
        <v>202</v>
      </c>
      <c r="K259" s="30" t="s">
        <v>44</v>
      </c>
      <c r="L259" s="31"/>
      <c r="M259" s="29" t="s">
        <v>45</v>
      </c>
    </row>
    <row r="260" customFormat="false" ht="204" hidden="false" customHeight="true" outlineLevel="0" collapsed="false">
      <c r="B260" s="29" t="s">
        <v>1361</v>
      </c>
      <c r="C260" s="29" t="s">
        <v>282</v>
      </c>
      <c r="D260" s="29" t="s">
        <v>1362</v>
      </c>
      <c r="E260" s="29" t="s">
        <v>600</v>
      </c>
      <c r="F260" s="29" t="s">
        <v>1363</v>
      </c>
      <c r="G260" s="29" t="s">
        <v>1364</v>
      </c>
      <c r="H260" s="29" t="s">
        <v>1365</v>
      </c>
      <c r="I260" s="29" t="s">
        <v>154</v>
      </c>
      <c r="J260" s="29" t="s">
        <v>155</v>
      </c>
      <c r="K260" s="30" t="s">
        <v>44</v>
      </c>
      <c r="L260" s="31"/>
      <c r="M260" s="29" t="s">
        <v>45</v>
      </c>
    </row>
    <row r="261" customFormat="false" ht="140.25" hidden="false" customHeight="true" outlineLevel="0" collapsed="false">
      <c r="B261" s="29" t="s">
        <v>1366</v>
      </c>
      <c r="C261" s="29" t="s">
        <v>282</v>
      </c>
      <c r="D261" s="29" t="s">
        <v>1367</v>
      </c>
      <c r="E261" s="29" t="s">
        <v>600</v>
      </c>
      <c r="F261" s="29" t="s">
        <v>1368</v>
      </c>
      <c r="G261" s="29" t="s">
        <v>1369</v>
      </c>
      <c r="H261" s="29" t="s">
        <v>1370</v>
      </c>
      <c r="I261" s="29" t="s">
        <v>472</v>
      </c>
      <c r="J261" s="29" t="s">
        <v>472</v>
      </c>
      <c r="K261" s="30" t="s">
        <v>44</v>
      </c>
      <c r="L261" s="31"/>
      <c r="M261" s="29" t="s">
        <v>45</v>
      </c>
    </row>
    <row r="262" customFormat="false" ht="318.75" hidden="false" customHeight="true" outlineLevel="0" collapsed="false">
      <c r="B262" s="29" t="s">
        <v>1371</v>
      </c>
      <c r="C262" s="29" t="s">
        <v>282</v>
      </c>
      <c r="D262" s="29" t="s">
        <v>1372</v>
      </c>
      <c r="E262" s="29" t="s">
        <v>340</v>
      </c>
      <c r="F262" s="29" t="s">
        <v>1373</v>
      </c>
      <c r="G262" s="29" t="s">
        <v>1374</v>
      </c>
      <c r="H262" s="29" t="s">
        <v>1375</v>
      </c>
      <c r="I262" s="29" t="s">
        <v>302</v>
      </c>
      <c r="J262" s="29" t="s">
        <v>202</v>
      </c>
      <c r="K262" s="30" t="s">
        <v>44</v>
      </c>
      <c r="L262" s="31"/>
      <c r="M262" s="29" t="s">
        <v>45</v>
      </c>
    </row>
    <row r="263" customFormat="false" ht="127.5" hidden="false" customHeight="true" outlineLevel="0" collapsed="false">
      <c r="B263" s="29" t="s">
        <v>1376</v>
      </c>
      <c r="C263" s="29" t="s">
        <v>282</v>
      </c>
      <c r="D263" s="29" t="s">
        <v>1377</v>
      </c>
      <c r="E263" s="29" t="s">
        <v>39</v>
      </c>
      <c r="F263" s="29" t="s">
        <v>1378</v>
      </c>
      <c r="G263" s="29" t="s">
        <v>1379</v>
      </c>
      <c r="H263" s="29" t="s">
        <v>1380</v>
      </c>
      <c r="I263" s="29" t="s">
        <v>42</v>
      </c>
      <c r="J263" s="29" t="s">
        <v>43</v>
      </c>
      <c r="K263" s="30" t="s">
        <v>44</v>
      </c>
      <c r="L263" s="31"/>
      <c r="M263" s="29" t="s">
        <v>45</v>
      </c>
    </row>
    <row r="264" customFormat="false" ht="89.25" hidden="false" customHeight="true" outlineLevel="0" collapsed="false">
      <c r="B264" s="29" t="s">
        <v>1381</v>
      </c>
      <c r="C264" s="29" t="s">
        <v>282</v>
      </c>
      <c r="D264" s="29" t="s">
        <v>1382</v>
      </c>
      <c r="E264" s="29" t="s">
        <v>39</v>
      </c>
      <c r="F264" s="29" t="s">
        <v>1383</v>
      </c>
      <c r="G264" s="29" t="s">
        <v>1384</v>
      </c>
      <c r="H264" s="29" t="s">
        <v>1385</v>
      </c>
      <c r="I264" s="29" t="s">
        <v>42</v>
      </c>
      <c r="J264" s="29" t="s">
        <v>1386</v>
      </c>
      <c r="K264" s="30" t="s">
        <v>44</v>
      </c>
      <c r="L264" s="31"/>
      <c r="M264" s="29" t="s">
        <v>45</v>
      </c>
    </row>
    <row r="265" customFormat="false" ht="140.25" hidden="false" customHeight="true" outlineLevel="0" collapsed="false">
      <c r="B265" s="29" t="s">
        <v>1387</v>
      </c>
      <c r="C265" s="29" t="s">
        <v>282</v>
      </c>
      <c r="D265" s="29" t="s">
        <v>1388</v>
      </c>
      <c r="E265" s="29" t="s">
        <v>151</v>
      </c>
      <c r="F265" s="29" t="s">
        <v>1389</v>
      </c>
      <c r="G265" s="29" t="s">
        <v>1390</v>
      </c>
      <c r="H265" s="29" t="s">
        <v>1391</v>
      </c>
      <c r="I265" s="29" t="s">
        <v>472</v>
      </c>
      <c r="J265" s="29" t="s">
        <v>472</v>
      </c>
      <c r="K265" s="30" t="s">
        <v>44</v>
      </c>
      <c r="L265" s="31"/>
      <c r="M265" s="29" t="s">
        <v>45</v>
      </c>
    </row>
    <row r="266" customFormat="false" ht="89.25" hidden="false" customHeight="true" outlineLevel="0" collapsed="false">
      <c r="B266" s="29" t="s">
        <v>1392</v>
      </c>
      <c r="C266" s="29" t="s">
        <v>282</v>
      </c>
      <c r="D266" s="29" t="s">
        <v>1393</v>
      </c>
      <c r="E266" s="29" t="s">
        <v>357</v>
      </c>
      <c r="F266" s="29" t="s">
        <v>1394</v>
      </c>
      <c r="G266" s="29" t="s">
        <v>1395</v>
      </c>
      <c r="H266" s="29" t="s">
        <v>1396</v>
      </c>
      <c r="I266" s="29" t="s">
        <v>302</v>
      </c>
      <c r="J266" s="29" t="s">
        <v>202</v>
      </c>
      <c r="K266" s="30" t="s">
        <v>44</v>
      </c>
      <c r="L266" s="31"/>
      <c r="M266" s="29" t="s">
        <v>45</v>
      </c>
    </row>
    <row r="267" customFormat="false" ht="38.25" hidden="false" customHeight="true" outlineLevel="0" collapsed="false">
      <c r="B267" s="29" t="s">
        <v>1397</v>
      </c>
      <c r="C267" s="29" t="s">
        <v>282</v>
      </c>
      <c r="D267" s="29" t="s">
        <v>1398</v>
      </c>
      <c r="E267" s="29" t="s">
        <v>357</v>
      </c>
      <c r="F267" s="29" t="s">
        <v>1399</v>
      </c>
      <c r="G267" s="29" t="s">
        <v>1400</v>
      </c>
      <c r="H267" s="29" t="s">
        <v>1401</v>
      </c>
      <c r="I267" s="29" t="s">
        <v>302</v>
      </c>
      <c r="J267" s="29" t="s">
        <v>202</v>
      </c>
      <c r="K267" s="30" t="s">
        <v>44</v>
      </c>
      <c r="L267" s="31"/>
      <c r="M267" s="29" t="s">
        <v>1402</v>
      </c>
    </row>
    <row r="268" customFormat="false" ht="76.5" hidden="false" customHeight="true" outlineLevel="0" collapsed="false">
      <c r="B268" s="29" t="s">
        <v>1403</v>
      </c>
      <c r="C268" s="29" t="s">
        <v>282</v>
      </c>
      <c r="D268" s="29" t="s">
        <v>1404</v>
      </c>
      <c r="E268" s="29" t="s">
        <v>151</v>
      </c>
      <c r="F268" s="29" t="s">
        <v>1405</v>
      </c>
      <c r="G268" s="29" t="s">
        <v>1406</v>
      </c>
      <c r="H268" s="29" t="s">
        <v>1407</v>
      </c>
      <c r="I268" s="29" t="s">
        <v>472</v>
      </c>
      <c r="J268" s="29" t="s">
        <v>472</v>
      </c>
      <c r="K268" s="30" t="s">
        <v>44</v>
      </c>
      <c r="L268" s="31"/>
      <c r="M268" s="29" t="s">
        <v>45</v>
      </c>
    </row>
    <row r="269" customFormat="false" ht="229.5" hidden="false" customHeight="true" outlineLevel="0" collapsed="false">
      <c r="B269" s="29" t="s">
        <v>1408</v>
      </c>
      <c r="C269" s="29" t="s">
        <v>282</v>
      </c>
      <c r="D269" s="29" t="s">
        <v>1409</v>
      </c>
      <c r="E269" s="29" t="s">
        <v>357</v>
      </c>
      <c r="F269" s="29" t="s">
        <v>1410</v>
      </c>
      <c r="G269" s="29" t="s">
        <v>1411</v>
      </c>
      <c r="H269" s="29" t="s">
        <v>1412</v>
      </c>
      <c r="I269" s="29" t="s">
        <v>302</v>
      </c>
      <c r="J269" s="29" t="s">
        <v>202</v>
      </c>
      <c r="K269" s="30" t="s">
        <v>44</v>
      </c>
      <c r="L269" s="31"/>
      <c r="M269" s="29" t="s">
        <v>45</v>
      </c>
    </row>
    <row r="270" customFormat="false" ht="114.75" hidden="false" customHeight="true" outlineLevel="0" collapsed="false">
      <c r="B270" s="29" t="s">
        <v>1413</v>
      </c>
      <c r="C270" s="29" t="s">
        <v>282</v>
      </c>
      <c r="D270" s="29" t="s">
        <v>1414</v>
      </c>
      <c r="E270" s="29" t="s">
        <v>357</v>
      </c>
      <c r="F270" s="29" t="s">
        <v>1415</v>
      </c>
      <c r="G270" s="29" t="s">
        <v>1416</v>
      </c>
      <c r="H270" s="29" t="s">
        <v>1417</v>
      </c>
      <c r="I270" s="29" t="s">
        <v>302</v>
      </c>
      <c r="J270" s="29" t="s">
        <v>202</v>
      </c>
      <c r="K270" s="30" t="s">
        <v>44</v>
      </c>
      <c r="L270" s="31"/>
      <c r="M270" s="29" t="s">
        <v>45</v>
      </c>
    </row>
    <row r="271" customFormat="false" ht="89.25" hidden="false" customHeight="true" outlineLevel="0" collapsed="false">
      <c r="B271" s="29" t="s">
        <v>1418</v>
      </c>
      <c r="C271" s="29" t="s">
        <v>282</v>
      </c>
      <c r="D271" s="29" t="s">
        <v>1419</v>
      </c>
      <c r="E271" s="29" t="s">
        <v>600</v>
      </c>
      <c r="F271" s="29" t="s">
        <v>1420</v>
      </c>
      <c r="G271" s="29" t="s">
        <v>1421</v>
      </c>
      <c r="H271" s="29" t="s">
        <v>1422</v>
      </c>
      <c r="I271" s="29" t="s">
        <v>472</v>
      </c>
      <c r="J271" s="29" t="s">
        <v>472</v>
      </c>
      <c r="K271" s="30" t="s">
        <v>44</v>
      </c>
      <c r="L271" s="31"/>
      <c r="M271" s="29" t="s">
        <v>45</v>
      </c>
    </row>
    <row r="272" customFormat="false" ht="76.5" hidden="false" customHeight="true" outlineLevel="0" collapsed="false">
      <c r="B272" s="29" t="s">
        <v>1423</v>
      </c>
      <c r="C272" s="29" t="s">
        <v>282</v>
      </c>
      <c r="D272" s="29" t="s">
        <v>1424</v>
      </c>
      <c r="E272" s="29" t="s">
        <v>357</v>
      </c>
      <c r="F272" s="29" t="s">
        <v>1425</v>
      </c>
      <c r="G272" s="29" t="s">
        <v>1426</v>
      </c>
      <c r="H272" s="29" t="s">
        <v>1427</v>
      </c>
      <c r="I272" s="29" t="s">
        <v>154</v>
      </c>
      <c r="J272" s="29" t="s">
        <v>155</v>
      </c>
      <c r="K272" s="30" t="s">
        <v>44</v>
      </c>
      <c r="L272" s="31"/>
      <c r="M272" s="29" t="s">
        <v>45</v>
      </c>
    </row>
    <row r="273" customFormat="false" ht="153" hidden="false" customHeight="true" outlineLevel="0" collapsed="false">
      <c r="B273" s="29" t="s">
        <v>1428</v>
      </c>
      <c r="C273" s="29" t="s">
        <v>282</v>
      </c>
      <c r="D273" s="29" t="s">
        <v>1429</v>
      </c>
      <c r="E273" s="29" t="s">
        <v>600</v>
      </c>
      <c r="F273" s="29" t="s">
        <v>1430</v>
      </c>
      <c r="G273" s="29" t="s">
        <v>1431</v>
      </c>
      <c r="H273" s="29" t="s">
        <v>1432</v>
      </c>
      <c r="I273" s="29" t="s">
        <v>154</v>
      </c>
      <c r="J273" s="29" t="s">
        <v>155</v>
      </c>
      <c r="K273" s="30" t="s">
        <v>44</v>
      </c>
      <c r="L273" s="31"/>
      <c r="M273" s="29" t="s">
        <v>45</v>
      </c>
    </row>
    <row r="274" customFormat="false" ht="127.5" hidden="false" customHeight="true" outlineLevel="0" collapsed="false">
      <c r="B274" s="29" t="s">
        <v>1433</v>
      </c>
      <c r="C274" s="29" t="s">
        <v>282</v>
      </c>
      <c r="D274" s="29" t="s">
        <v>1434</v>
      </c>
      <c r="E274" s="29" t="s">
        <v>357</v>
      </c>
      <c r="F274" s="29" t="s">
        <v>1435</v>
      </c>
      <c r="G274" s="29" t="s">
        <v>1436</v>
      </c>
      <c r="H274" s="29" t="s">
        <v>1437</v>
      </c>
      <c r="I274" s="29" t="s">
        <v>302</v>
      </c>
      <c r="J274" s="29" t="s">
        <v>202</v>
      </c>
      <c r="K274" s="30" t="s">
        <v>44</v>
      </c>
      <c r="L274" s="31"/>
      <c r="M274" s="29" t="s">
        <v>45</v>
      </c>
    </row>
    <row r="275" customFormat="false" ht="89.25" hidden="false" customHeight="true" outlineLevel="0" collapsed="false">
      <c r="B275" s="29" t="s">
        <v>1438</v>
      </c>
      <c r="C275" s="29" t="s">
        <v>282</v>
      </c>
      <c r="D275" s="29" t="s">
        <v>1439</v>
      </c>
      <c r="E275" s="29" t="s">
        <v>151</v>
      </c>
      <c r="F275" s="29" t="s">
        <v>1440</v>
      </c>
      <c r="G275" s="29" t="s">
        <v>1441</v>
      </c>
      <c r="H275" s="29" t="s">
        <v>1442</v>
      </c>
      <c r="I275" s="29" t="s">
        <v>154</v>
      </c>
      <c r="J275" s="29" t="s">
        <v>155</v>
      </c>
      <c r="K275" s="30" t="s">
        <v>44</v>
      </c>
      <c r="L275" s="31"/>
      <c r="M275" s="29" t="s">
        <v>45</v>
      </c>
    </row>
    <row r="276" customFormat="false" ht="76.5" hidden="false" customHeight="true" outlineLevel="0" collapsed="false">
      <c r="B276" s="29" t="s">
        <v>1443</v>
      </c>
      <c r="C276" s="29" t="s">
        <v>282</v>
      </c>
      <c r="D276" s="29" t="s">
        <v>1444</v>
      </c>
      <c r="E276" s="29" t="s">
        <v>600</v>
      </c>
      <c r="F276" s="29" t="s">
        <v>1445</v>
      </c>
      <c r="G276" s="29" t="s">
        <v>1446</v>
      </c>
      <c r="H276" s="29" t="s">
        <v>1447</v>
      </c>
      <c r="I276" s="29" t="s">
        <v>472</v>
      </c>
      <c r="J276" s="29" t="s">
        <v>472</v>
      </c>
      <c r="K276" s="30" t="s">
        <v>44</v>
      </c>
      <c r="L276" s="31"/>
      <c r="M276" s="29" t="s">
        <v>45</v>
      </c>
    </row>
    <row r="277" customFormat="false" ht="63.75" hidden="false" customHeight="true" outlineLevel="0" collapsed="false">
      <c r="B277" s="29" t="s">
        <v>1448</v>
      </c>
      <c r="C277" s="29" t="s">
        <v>282</v>
      </c>
      <c r="D277" s="29" t="s">
        <v>1449</v>
      </c>
      <c r="E277" s="29" t="s">
        <v>340</v>
      </c>
      <c r="F277" s="29" t="s">
        <v>1450</v>
      </c>
      <c r="G277" s="29" t="s">
        <v>1451</v>
      </c>
      <c r="H277" s="29" t="s">
        <v>1452</v>
      </c>
      <c r="I277" s="29" t="s">
        <v>302</v>
      </c>
      <c r="J277" s="29" t="s">
        <v>202</v>
      </c>
      <c r="K277" s="30" t="s">
        <v>44</v>
      </c>
      <c r="L277" s="31"/>
      <c r="M277" s="29" t="s">
        <v>45</v>
      </c>
    </row>
    <row r="278" customFormat="false" ht="102" hidden="false" customHeight="true" outlineLevel="0" collapsed="false">
      <c r="B278" s="29" t="s">
        <v>1453</v>
      </c>
      <c r="C278" s="29" t="s">
        <v>282</v>
      </c>
      <c r="D278" s="29" t="s">
        <v>1454</v>
      </c>
      <c r="E278" s="29" t="s">
        <v>39</v>
      </c>
      <c r="F278" s="29" t="s">
        <v>1455</v>
      </c>
      <c r="G278" s="29" t="s">
        <v>1456</v>
      </c>
      <c r="H278" s="29" t="s">
        <v>1457</v>
      </c>
      <c r="I278" s="29" t="s">
        <v>42</v>
      </c>
      <c r="J278" s="29" t="s">
        <v>43</v>
      </c>
      <c r="K278" s="30" t="s">
        <v>44</v>
      </c>
      <c r="L278" s="31"/>
      <c r="M278" s="29" t="s">
        <v>45</v>
      </c>
    </row>
    <row r="279" customFormat="false" ht="178.5" hidden="false" customHeight="true" outlineLevel="0" collapsed="false">
      <c r="B279" s="29" t="s">
        <v>1458</v>
      </c>
      <c r="C279" s="29" t="s">
        <v>282</v>
      </c>
      <c r="D279" s="29" t="s">
        <v>1459</v>
      </c>
      <c r="E279" s="29" t="s">
        <v>351</v>
      </c>
      <c r="F279" s="29" t="s">
        <v>1460</v>
      </c>
      <c r="G279" s="29" t="s">
        <v>1461</v>
      </c>
      <c r="H279" s="29" t="s">
        <v>1462</v>
      </c>
      <c r="I279" s="29" t="s">
        <v>154</v>
      </c>
      <c r="J279" s="29" t="s">
        <v>155</v>
      </c>
      <c r="K279" s="30" t="s">
        <v>44</v>
      </c>
      <c r="L279" s="31"/>
      <c r="M279" s="29" t="s">
        <v>45</v>
      </c>
    </row>
    <row r="280" customFormat="false" ht="76.5" hidden="false" customHeight="true" outlineLevel="0" collapsed="false">
      <c r="B280" s="29" t="s">
        <v>1463</v>
      </c>
      <c r="C280" s="29" t="s">
        <v>282</v>
      </c>
      <c r="D280" s="29" t="s">
        <v>1464</v>
      </c>
      <c r="E280" s="29" t="s">
        <v>206</v>
      </c>
      <c r="F280" s="29" t="s">
        <v>1465</v>
      </c>
      <c r="G280" s="29" t="s">
        <v>1466</v>
      </c>
      <c r="H280" s="29" t="s">
        <v>1467</v>
      </c>
      <c r="I280" s="29" t="s">
        <v>302</v>
      </c>
      <c r="J280" s="29" t="s">
        <v>202</v>
      </c>
      <c r="K280" s="30" t="s">
        <v>44</v>
      </c>
      <c r="L280" s="31"/>
      <c r="M280" s="29" t="s">
        <v>45</v>
      </c>
    </row>
    <row r="281" customFormat="false" ht="63.75" hidden="false" customHeight="true" outlineLevel="0" collapsed="false">
      <c r="B281" s="29" t="s">
        <v>1468</v>
      </c>
      <c r="C281" s="29" t="s">
        <v>282</v>
      </c>
      <c r="D281" s="29" t="s">
        <v>1469</v>
      </c>
      <c r="E281" s="29" t="s">
        <v>351</v>
      </c>
      <c r="F281" s="29" t="s">
        <v>1470</v>
      </c>
      <c r="G281" s="29" t="s">
        <v>1471</v>
      </c>
      <c r="H281" s="29" t="s">
        <v>1472</v>
      </c>
      <c r="I281" s="29" t="s">
        <v>302</v>
      </c>
      <c r="J281" s="29" t="s">
        <v>202</v>
      </c>
      <c r="K281" s="30" t="s">
        <v>44</v>
      </c>
      <c r="L281" s="31"/>
      <c r="M281" s="29" t="s">
        <v>45</v>
      </c>
    </row>
    <row r="282" customFormat="false" ht="76.5" hidden="false" customHeight="true" outlineLevel="0" collapsed="false">
      <c r="B282" s="29" t="s">
        <v>1473</v>
      </c>
      <c r="C282" s="29" t="s">
        <v>282</v>
      </c>
      <c r="D282" s="29" t="s">
        <v>1474</v>
      </c>
      <c r="E282" s="29" t="s">
        <v>327</v>
      </c>
      <c r="F282" s="29" t="s">
        <v>1475</v>
      </c>
      <c r="G282" s="29" t="s">
        <v>1476</v>
      </c>
      <c r="H282" s="29" t="s">
        <v>1477</v>
      </c>
      <c r="I282" s="29" t="s">
        <v>302</v>
      </c>
      <c r="J282" s="29" t="s">
        <v>202</v>
      </c>
      <c r="K282" s="30" t="s">
        <v>44</v>
      </c>
      <c r="L282" s="31"/>
      <c r="M282" s="29" t="s">
        <v>366</v>
      </c>
    </row>
    <row r="283" customFormat="false" ht="89.25" hidden="false" customHeight="true" outlineLevel="0" collapsed="false">
      <c r="B283" s="29" t="s">
        <v>1478</v>
      </c>
      <c r="C283" s="29" t="s">
        <v>282</v>
      </c>
      <c r="D283" s="29" t="s">
        <v>1479</v>
      </c>
      <c r="E283" s="29" t="s">
        <v>340</v>
      </c>
      <c r="F283" s="29" t="s">
        <v>1480</v>
      </c>
      <c r="G283" s="29" t="s">
        <v>1481</v>
      </c>
      <c r="H283" s="29" t="s">
        <v>1482</v>
      </c>
      <c r="I283" s="29" t="s">
        <v>302</v>
      </c>
      <c r="J283" s="29" t="s">
        <v>202</v>
      </c>
      <c r="K283" s="30" t="s">
        <v>44</v>
      </c>
      <c r="L283" s="31"/>
      <c r="M283" s="29" t="s">
        <v>45</v>
      </c>
    </row>
    <row r="284" customFormat="false" ht="114.75" hidden="false" customHeight="true" outlineLevel="0" collapsed="false">
      <c r="B284" s="29" t="s">
        <v>1483</v>
      </c>
      <c r="C284" s="29" t="s">
        <v>282</v>
      </c>
      <c r="D284" s="29" t="s">
        <v>1484</v>
      </c>
      <c r="E284" s="29" t="s">
        <v>206</v>
      </c>
      <c r="F284" s="29" t="s">
        <v>1485</v>
      </c>
      <c r="G284" s="29" t="s">
        <v>1486</v>
      </c>
      <c r="H284" s="29" t="s">
        <v>1487</v>
      </c>
      <c r="I284" s="29" t="s">
        <v>302</v>
      </c>
      <c r="J284" s="29" t="s">
        <v>202</v>
      </c>
      <c r="K284" s="30" t="s">
        <v>44</v>
      </c>
      <c r="L284" s="31"/>
      <c r="M284" s="29" t="s">
        <v>45</v>
      </c>
    </row>
    <row r="285" customFormat="false" ht="127.5" hidden="false" customHeight="true" outlineLevel="0" collapsed="false">
      <c r="B285" s="29" t="s">
        <v>1488</v>
      </c>
      <c r="C285" s="29" t="s">
        <v>282</v>
      </c>
      <c r="D285" s="29" t="s">
        <v>1489</v>
      </c>
      <c r="E285" s="29" t="s">
        <v>357</v>
      </c>
      <c r="F285" s="29" t="s">
        <v>1490</v>
      </c>
      <c r="G285" s="29" t="s">
        <v>1491</v>
      </c>
      <c r="H285" s="29" t="s">
        <v>1492</v>
      </c>
      <c r="I285" s="29" t="s">
        <v>154</v>
      </c>
      <c r="J285" s="29" t="s">
        <v>155</v>
      </c>
      <c r="K285" s="30" t="s">
        <v>44</v>
      </c>
      <c r="L285" s="31"/>
      <c r="M285" s="29" t="s">
        <v>45</v>
      </c>
    </row>
    <row r="286" customFormat="false" ht="204" hidden="false" customHeight="true" outlineLevel="0" collapsed="false">
      <c r="B286" s="29" t="s">
        <v>1493</v>
      </c>
      <c r="C286" s="29" t="s">
        <v>282</v>
      </c>
      <c r="D286" s="29" t="s">
        <v>1494</v>
      </c>
      <c r="E286" s="29" t="s">
        <v>151</v>
      </c>
      <c r="F286" s="29" t="s">
        <v>1495</v>
      </c>
      <c r="G286" s="29" t="s">
        <v>1496</v>
      </c>
      <c r="H286" s="29" t="s">
        <v>1497</v>
      </c>
      <c r="I286" s="29" t="s">
        <v>472</v>
      </c>
      <c r="J286" s="29" t="s">
        <v>472</v>
      </c>
      <c r="K286" s="30" t="s">
        <v>44</v>
      </c>
      <c r="L286" s="31"/>
      <c r="M286" s="29" t="s">
        <v>45</v>
      </c>
    </row>
    <row r="287" customFormat="false" ht="89.25" hidden="false" customHeight="true" outlineLevel="0" collapsed="false">
      <c r="B287" s="29" t="s">
        <v>1498</v>
      </c>
      <c r="C287" s="29" t="s">
        <v>282</v>
      </c>
      <c r="D287" s="29" t="s">
        <v>1499</v>
      </c>
      <c r="E287" s="29" t="s">
        <v>340</v>
      </c>
      <c r="F287" s="29" t="s">
        <v>1500</v>
      </c>
      <c r="G287" s="29" t="s">
        <v>1501</v>
      </c>
      <c r="H287" s="29" t="s">
        <v>1502</v>
      </c>
      <c r="I287" s="29" t="s">
        <v>302</v>
      </c>
      <c r="J287" s="29" t="s">
        <v>202</v>
      </c>
      <c r="K287" s="30" t="s">
        <v>44</v>
      </c>
      <c r="L287" s="31"/>
      <c r="M287" s="29" t="s">
        <v>45</v>
      </c>
    </row>
    <row r="288" customFormat="false" ht="38.25" hidden="false" customHeight="true" outlineLevel="0" collapsed="false">
      <c r="B288" s="29" t="s">
        <v>1503</v>
      </c>
      <c r="C288" s="29" t="s">
        <v>282</v>
      </c>
      <c r="D288" s="29" t="s">
        <v>1504</v>
      </c>
      <c r="E288" s="29" t="s">
        <v>340</v>
      </c>
      <c r="F288" s="29" t="s">
        <v>1505</v>
      </c>
      <c r="G288" s="29" t="s">
        <v>1506</v>
      </c>
      <c r="H288" s="29" t="s">
        <v>1507</v>
      </c>
      <c r="I288" s="29" t="s">
        <v>302</v>
      </c>
      <c r="J288" s="29" t="s">
        <v>202</v>
      </c>
      <c r="K288" s="30" t="s">
        <v>44</v>
      </c>
      <c r="L288" s="31"/>
      <c r="M288" s="29" t="s">
        <v>45</v>
      </c>
    </row>
    <row r="289" customFormat="false" ht="38.25" hidden="false" customHeight="true" outlineLevel="0" collapsed="false">
      <c r="B289" s="29" t="s">
        <v>1508</v>
      </c>
      <c r="C289" s="29" t="s">
        <v>282</v>
      </c>
      <c r="D289" s="29" t="s">
        <v>1509</v>
      </c>
      <c r="E289" s="29" t="s">
        <v>357</v>
      </c>
      <c r="F289" s="29" t="s">
        <v>1510</v>
      </c>
      <c r="G289" s="29" t="s">
        <v>1511</v>
      </c>
      <c r="H289" s="29" t="s">
        <v>1512</v>
      </c>
      <c r="I289" s="29" t="s">
        <v>302</v>
      </c>
      <c r="J289" s="29" t="s">
        <v>202</v>
      </c>
      <c r="K289" s="30" t="s">
        <v>44</v>
      </c>
      <c r="L289" s="31"/>
      <c r="M289" s="29" t="s">
        <v>1513</v>
      </c>
    </row>
    <row r="290" customFormat="false" ht="165.75" hidden="false" customHeight="true" outlineLevel="0" collapsed="false">
      <c r="B290" s="29" t="s">
        <v>1514</v>
      </c>
      <c r="C290" s="29" t="s">
        <v>282</v>
      </c>
      <c r="D290" s="29" t="s">
        <v>1515</v>
      </c>
      <c r="E290" s="29" t="s">
        <v>340</v>
      </c>
      <c r="F290" s="29" t="s">
        <v>1516</v>
      </c>
      <c r="G290" s="29" t="s">
        <v>1517</v>
      </c>
      <c r="H290" s="29" t="s">
        <v>1518</v>
      </c>
      <c r="I290" s="29" t="s">
        <v>302</v>
      </c>
      <c r="J290" s="29" t="s">
        <v>202</v>
      </c>
      <c r="K290" s="30" t="s">
        <v>44</v>
      </c>
      <c r="L290" s="31"/>
      <c r="M290" s="29" t="s">
        <v>45</v>
      </c>
    </row>
    <row r="291" customFormat="false" ht="51" hidden="false" customHeight="true" outlineLevel="0" collapsed="false">
      <c r="B291" s="29" t="s">
        <v>1519</v>
      </c>
      <c r="C291" s="29" t="s">
        <v>282</v>
      </c>
      <c r="D291" s="29" t="s">
        <v>1520</v>
      </c>
      <c r="E291" s="29" t="s">
        <v>340</v>
      </c>
      <c r="F291" s="29" t="s">
        <v>1521</v>
      </c>
      <c r="G291" s="29" t="s">
        <v>1522</v>
      </c>
      <c r="H291" s="29" t="s">
        <v>1523</v>
      </c>
      <c r="I291" s="29" t="s">
        <v>302</v>
      </c>
      <c r="J291" s="29" t="s">
        <v>202</v>
      </c>
      <c r="K291" s="30" t="s">
        <v>44</v>
      </c>
      <c r="L291" s="31"/>
      <c r="M291" s="29" t="s">
        <v>45</v>
      </c>
    </row>
    <row r="292" customFormat="false" ht="140.25" hidden="false" customHeight="true" outlineLevel="0" collapsed="false">
      <c r="B292" s="29" t="s">
        <v>1524</v>
      </c>
      <c r="C292" s="29" t="s">
        <v>282</v>
      </c>
      <c r="D292" s="29" t="s">
        <v>1525</v>
      </c>
      <c r="E292" s="29" t="s">
        <v>151</v>
      </c>
      <c r="F292" s="29" t="s">
        <v>1526</v>
      </c>
      <c r="G292" s="29" t="s">
        <v>1527</v>
      </c>
      <c r="H292" s="29" t="s">
        <v>1528</v>
      </c>
      <c r="I292" s="29" t="s">
        <v>472</v>
      </c>
      <c r="J292" s="29" t="s">
        <v>472</v>
      </c>
      <c r="K292" s="30" t="s">
        <v>44</v>
      </c>
      <c r="L292" s="31"/>
      <c r="M292" s="29" t="s">
        <v>45</v>
      </c>
    </row>
    <row r="293" customFormat="false" ht="191.25" hidden="false" customHeight="true" outlineLevel="0" collapsed="false">
      <c r="B293" s="29" t="s">
        <v>1529</v>
      </c>
      <c r="C293" s="29" t="s">
        <v>282</v>
      </c>
      <c r="D293" s="29" t="s">
        <v>1530</v>
      </c>
      <c r="E293" s="29" t="s">
        <v>357</v>
      </c>
      <c r="F293" s="29" t="s">
        <v>1531</v>
      </c>
      <c r="G293" s="29" t="s">
        <v>1532</v>
      </c>
      <c r="H293" s="29" t="s">
        <v>1533</v>
      </c>
      <c r="I293" s="29" t="s">
        <v>302</v>
      </c>
      <c r="J293" s="29" t="s">
        <v>202</v>
      </c>
      <c r="K293" s="30" t="s">
        <v>44</v>
      </c>
      <c r="L293" s="31"/>
      <c r="M293" s="29" t="s">
        <v>45</v>
      </c>
    </row>
    <row r="294" customFormat="false" ht="89.25" hidden="false" customHeight="true" outlineLevel="0" collapsed="false">
      <c r="B294" s="29" t="s">
        <v>1534</v>
      </c>
      <c r="C294" s="29" t="s">
        <v>282</v>
      </c>
      <c r="D294" s="29" t="s">
        <v>1535</v>
      </c>
      <c r="E294" s="29" t="s">
        <v>600</v>
      </c>
      <c r="F294" s="29" t="s">
        <v>1536</v>
      </c>
      <c r="G294" s="29" t="s">
        <v>1537</v>
      </c>
      <c r="H294" s="29" t="s">
        <v>1538</v>
      </c>
      <c r="I294" s="29" t="s">
        <v>472</v>
      </c>
      <c r="J294" s="29" t="s">
        <v>472</v>
      </c>
      <c r="K294" s="30" t="s">
        <v>44</v>
      </c>
      <c r="L294" s="31"/>
      <c r="M294" s="29" t="s">
        <v>45</v>
      </c>
    </row>
    <row r="295" customFormat="false" ht="153" hidden="false" customHeight="true" outlineLevel="0" collapsed="false">
      <c r="B295" s="29" t="s">
        <v>1539</v>
      </c>
      <c r="C295" s="29" t="s">
        <v>282</v>
      </c>
      <c r="D295" s="29" t="s">
        <v>1540</v>
      </c>
      <c r="E295" s="29" t="s">
        <v>39</v>
      </c>
      <c r="F295" s="29" t="s">
        <v>1541</v>
      </c>
      <c r="G295" s="29" t="s">
        <v>1542</v>
      </c>
      <c r="H295" s="29" t="s">
        <v>1543</v>
      </c>
      <c r="I295" s="29" t="s">
        <v>42</v>
      </c>
      <c r="J295" s="29" t="s">
        <v>1544</v>
      </c>
      <c r="K295" s="30" t="s">
        <v>44</v>
      </c>
      <c r="L295" s="31"/>
      <c r="M295" s="29" t="s">
        <v>45</v>
      </c>
    </row>
    <row r="296" customFormat="false" ht="89.25" hidden="false" customHeight="true" outlineLevel="0" collapsed="false">
      <c r="B296" s="29" t="s">
        <v>1545</v>
      </c>
      <c r="C296" s="29" t="s">
        <v>282</v>
      </c>
      <c r="D296" s="29" t="s">
        <v>1546</v>
      </c>
      <c r="E296" s="29" t="s">
        <v>327</v>
      </c>
      <c r="F296" s="29" t="s">
        <v>1547</v>
      </c>
      <c r="G296" s="29" t="s">
        <v>1548</v>
      </c>
      <c r="H296" s="29" t="s">
        <v>1549</v>
      </c>
      <c r="I296" s="29" t="s">
        <v>302</v>
      </c>
      <c r="J296" s="29" t="s">
        <v>202</v>
      </c>
      <c r="K296" s="30" t="s">
        <v>44</v>
      </c>
      <c r="L296" s="31"/>
      <c r="M296" s="29" t="s">
        <v>366</v>
      </c>
    </row>
    <row r="297" customFormat="false" ht="63.75" hidden="false" customHeight="true" outlineLevel="0" collapsed="false">
      <c r="B297" s="29" t="s">
        <v>1550</v>
      </c>
      <c r="C297" s="29" t="s">
        <v>282</v>
      </c>
      <c r="D297" s="29" t="s">
        <v>1551</v>
      </c>
      <c r="E297" s="29" t="s">
        <v>600</v>
      </c>
      <c r="F297" s="29" t="s">
        <v>1552</v>
      </c>
      <c r="G297" s="29" t="s">
        <v>1553</v>
      </c>
      <c r="H297" s="29" t="s">
        <v>1554</v>
      </c>
      <c r="I297" s="29" t="s">
        <v>154</v>
      </c>
      <c r="J297" s="29" t="s">
        <v>155</v>
      </c>
      <c r="K297" s="30" t="s">
        <v>44</v>
      </c>
      <c r="L297" s="31"/>
      <c r="M297" s="29" t="s">
        <v>45</v>
      </c>
    </row>
    <row r="298" customFormat="false" ht="76.5" hidden="false" customHeight="true" outlineLevel="0" collapsed="false">
      <c r="B298" s="29" t="s">
        <v>1555</v>
      </c>
      <c r="C298" s="29" t="s">
        <v>282</v>
      </c>
      <c r="D298" s="29" t="s">
        <v>1556</v>
      </c>
      <c r="E298" s="29" t="s">
        <v>327</v>
      </c>
      <c r="F298" s="29" t="s">
        <v>1557</v>
      </c>
      <c r="G298" s="29" t="s">
        <v>1558</v>
      </c>
      <c r="H298" s="29" t="s">
        <v>1559</v>
      </c>
      <c r="I298" s="29" t="s">
        <v>302</v>
      </c>
      <c r="J298" s="29" t="s">
        <v>202</v>
      </c>
      <c r="K298" s="30" t="s">
        <v>44</v>
      </c>
      <c r="L298" s="31"/>
      <c r="M298" s="29" t="s">
        <v>366</v>
      </c>
    </row>
    <row r="299" customFormat="false" ht="51" hidden="false" customHeight="true" outlineLevel="0" collapsed="false">
      <c r="B299" s="29" t="s">
        <v>1560</v>
      </c>
      <c r="C299" s="29" t="s">
        <v>282</v>
      </c>
      <c r="D299" s="29" t="s">
        <v>1561</v>
      </c>
      <c r="E299" s="29" t="s">
        <v>327</v>
      </c>
      <c r="F299" s="29" t="s">
        <v>1562</v>
      </c>
      <c r="G299" s="29" t="s">
        <v>1563</v>
      </c>
      <c r="H299" s="29" t="s">
        <v>1564</v>
      </c>
      <c r="I299" s="29" t="s">
        <v>302</v>
      </c>
      <c r="J299" s="29" t="s">
        <v>202</v>
      </c>
      <c r="K299" s="30" t="s">
        <v>44</v>
      </c>
      <c r="L299" s="31"/>
      <c r="M299" s="29" t="s">
        <v>366</v>
      </c>
    </row>
    <row r="300" customFormat="false" ht="102" hidden="false" customHeight="true" outlineLevel="0" collapsed="false">
      <c r="B300" s="29" t="s">
        <v>1565</v>
      </c>
      <c r="C300" s="29" t="s">
        <v>282</v>
      </c>
      <c r="D300" s="29" t="s">
        <v>1566</v>
      </c>
      <c r="E300" s="29" t="s">
        <v>206</v>
      </c>
      <c r="F300" s="29" t="s">
        <v>1567</v>
      </c>
      <c r="G300" s="29" t="s">
        <v>1568</v>
      </c>
      <c r="H300" s="29" t="s">
        <v>1569</v>
      </c>
      <c r="I300" s="29" t="s">
        <v>302</v>
      </c>
      <c r="J300" s="29" t="s">
        <v>202</v>
      </c>
      <c r="K300" s="30" t="s">
        <v>44</v>
      </c>
      <c r="L300" s="31"/>
      <c r="M300" s="29" t="s">
        <v>45</v>
      </c>
    </row>
    <row r="301" customFormat="false" ht="102" hidden="false" customHeight="true" outlineLevel="0" collapsed="false">
      <c r="B301" s="29" t="s">
        <v>1570</v>
      </c>
      <c r="C301" s="29" t="s">
        <v>282</v>
      </c>
      <c r="D301" s="29" t="s">
        <v>1571</v>
      </c>
      <c r="E301" s="29" t="s">
        <v>206</v>
      </c>
      <c r="F301" s="29" t="s">
        <v>1572</v>
      </c>
      <c r="G301" s="29" t="s">
        <v>1573</v>
      </c>
      <c r="H301" s="29" t="s">
        <v>1574</v>
      </c>
      <c r="I301" s="29" t="s">
        <v>302</v>
      </c>
      <c r="J301" s="29" t="s">
        <v>202</v>
      </c>
      <c r="K301" s="30" t="s">
        <v>44</v>
      </c>
      <c r="L301" s="31"/>
      <c r="M301" s="29" t="s">
        <v>45</v>
      </c>
    </row>
    <row r="302" customFormat="false" ht="140.25" hidden="false" customHeight="true" outlineLevel="0" collapsed="false">
      <c r="B302" s="29" t="s">
        <v>1575</v>
      </c>
      <c r="C302" s="29" t="s">
        <v>282</v>
      </c>
      <c r="D302" s="29" t="s">
        <v>1576</v>
      </c>
      <c r="E302" s="29" t="s">
        <v>340</v>
      </c>
      <c r="F302" s="29" t="s">
        <v>1577</v>
      </c>
      <c r="G302" s="29" t="s">
        <v>1578</v>
      </c>
      <c r="H302" s="29" t="s">
        <v>1579</v>
      </c>
      <c r="I302" s="29" t="s">
        <v>302</v>
      </c>
      <c r="J302" s="29" t="s">
        <v>202</v>
      </c>
      <c r="K302" s="30" t="s">
        <v>44</v>
      </c>
      <c r="L302" s="31"/>
      <c r="M302" s="29" t="s">
        <v>45</v>
      </c>
    </row>
    <row r="303" customFormat="false" ht="76.5" hidden="false" customHeight="true" outlineLevel="0" collapsed="false">
      <c r="B303" s="29" t="s">
        <v>1580</v>
      </c>
      <c r="C303" s="29" t="s">
        <v>282</v>
      </c>
      <c r="D303" s="29" t="s">
        <v>1581</v>
      </c>
      <c r="E303" s="29" t="s">
        <v>543</v>
      </c>
      <c r="F303" s="29" t="s">
        <v>1582</v>
      </c>
      <c r="G303" s="29" t="s">
        <v>1583</v>
      </c>
      <c r="H303" s="29" t="s">
        <v>1584</v>
      </c>
      <c r="I303" s="29" t="s">
        <v>472</v>
      </c>
      <c r="J303" s="29" t="s">
        <v>472</v>
      </c>
      <c r="K303" s="30" t="s">
        <v>44</v>
      </c>
      <c r="L303" s="31"/>
      <c r="M303" s="29" t="s">
        <v>45</v>
      </c>
    </row>
    <row r="304" customFormat="false" ht="63.75" hidden="false" customHeight="true" outlineLevel="0" collapsed="false">
      <c r="B304" s="29" t="s">
        <v>1585</v>
      </c>
      <c r="C304" s="29" t="s">
        <v>282</v>
      </c>
      <c r="D304" s="29" t="s">
        <v>1586</v>
      </c>
      <c r="E304" s="29" t="s">
        <v>340</v>
      </c>
      <c r="F304" s="29" t="s">
        <v>1587</v>
      </c>
      <c r="G304" s="29" t="s">
        <v>1588</v>
      </c>
      <c r="H304" s="29" t="s">
        <v>1589</v>
      </c>
      <c r="I304" s="29" t="s">
        <v>302</v>
      </c>
      <c r="J304" s="29" t="s">
        <v>202</v>
      </c>
      <c r="K304" s="30" t="s">
        <v>44</v>
      </c>
      <c r="L304" s="31"/>
      <c r="M304" s="29" t="s">
        <v>45</v>
      </c>
    </row>
    <row r="305" customFormat="false" ht="51" hidden="false" customHeight="true" outlineLevel="0" collapsed="false">
      <c r="B305" s="29" t="s">
        <v>1590</v>
      </c>
      <c r="C305" s="29" t="s">
        <v>282</v>
      </c>
      <c r="D305" s="29" t="s">
        <v>1591</v>
      </c>
      <c r="E305" s="29" t="s">
        <v>340</v>
      </c>
      <c r="F305" s="29" t="s">
        <v>1592</v>
      </c>
      <c r="G305" s="29" t="s">
        <v>1593</v>
      </c>
      <c r="H305" s="29" t="s">
        <v>1594</v>
      </c>
      <c r="I305" s="29" t="s">
        <v>302</v>
      </c>
      <c r="J305" s="29" t="s">
        <v>202</v>
      </c>
      <c r="K305" s="30" t="s">
        <v>44</v>
      </c>
      <c r="L305" s="31"/>
      <c r="M305" s="29" t="s">
        <v>45</v>
      </c>
    </row>
    <row r="306" customFormat="false" ht="178.5" hidden="false" customHeight="true" outlineLevel="0" collapsed="false">
      <c r="B306" s="29" t="s">
        <v>1595</v>
      </c>
      <c r="C306" s="29" t="s">
        <v>282</v>
      </c>
      <c r="D306" s="29" t="s">
        <v>1596</v>
      </c>
      <c r="E306" s="29" t="s">
        <v>351</v>
      </c>
      <c r="F306" s="29" t="s">
        <v>1597</v>
      </c>
      <c r="G306" s="29" t="s">
        <v>1598</v>
      </c>
      <c r="H306" s="29" t="s">
        <v>1599</v>
      </c>
      <c r="I306" s="29" t="s">
        <v>154</v>
      </c>
      <c r="J306" s="29" t="s">
        <v>155</v>
      </c>
      <c r="K306" s="30" t="s">
        <v>44</v>
      </c>
      <c r="L306" s="31"/>
      <c r="M306" s="29" t="s">
        <v>45</v>
      </c>
    </row>
    <row r="307" customFormat="false" ht="102" hidden="false" customHeight="true" outlineLevel="0" collapsed="false">
      <c r="B307" s="29" t="s">
        <v>1600</v>
      </c>
      <c r="C307" s="29" t="s">
        <v>282</v>
      </c>
      <c r="D307" s="29" t="s">
        <v>1601</v>
      </c>
      <c r="E307" s="29" t="s">
        <v>206</v>
      </c>
      <c r="F307" s="29" t="s">
        <v>1602</v>
      </c>
      <c r="G307" s="29" t="s">
        <v>1603</v>
      </c>
      <c r="H307" s="29" t="s">
        <v>1604</v>
      </c>
      <c r="I307" s="29" t="s">
        <v>302</v>
      </c>
      <c r="J307" s="29" t="s">
        <v>202</v>
      </c>
      <c r="K307" s="30" t="s">
        <v>44</v>
      </c>
      <c r="L307" s="31"/>
      <c r="M307" s="29" t="s">
        <v>45</v>
      </c>
    </row>
    <row r="308" customFormat="false" ht="140.25" hidden="false" customHeight="true" outlineLevel="0" collapsed="false">
      <c r="B308" s="29" t="s">
        <v>1605</v>
      </c>
      <c r="C308" s="29" t="s">
        <v>282</v>
      </c>
      <c r="D308" s="29" t="s">
        <v>1606</v>
      </c>
      <c r="E308" s="29" t="s">
        <v>351</v>
      </c>
      <c r="F308" s="29" t="s">
        <v>1607</v>
      </c>
      <c r="G308" s="29" t="s">
        <v>1608</v>
      </c>
      <c r="H308" s="29" t="s">
        <v>1609</v>
      </c>
      <c r="I308" s="29" t="s">
        <v>302</v>
      </c>
      <c r="J308" s="29" t="s">
        <v>202</v>
      </c>
      <c r="K308" s="30" t="s">
        <v>44</v>
      </c>
      <c r="L308" s="31"/>
      <c r="M308" s="29" t="s">
        <v>45</v>
      </c>
    </row>
    <row r="309" customFormat="false" ht="38.25" hidden="false" customHeight="true" outlineLevel="0" collapsed="false">
      <c r="B309" s="29" t="s">
        <v>1610</v>
      </c>
      <c r="C309" s="29" t="s">
        <v>282</v>
      </c>
      <c r="D309" s="29" t="s">
        <v>1611</v>
      </c>
      <c r="E309" s="29" t="s">
        <v>340</v>
      </c>
      <c r="F309" s="29" t="s">
        <v>1612</v>
      </c>
      <c r="G309" s="29" t="s">
        <v>1613</v>
      </c>
      <c r="H309" s="29" t="s">
        <v>1614</v>
      </c>
      <c r="I309" s="29" t="s">
        <v>302</v>
      </c>
      <c r="J309" s="29" t="s">
        <v>202</v>
      </c>
      <c r="K309" s="30" t="s">
        <v>44</v>
      </c>
      <c r="L309" s="31"/>
      <c r="M309" s="29" t="s">
        <v>45</v>
      </c>
    </row>
    <row r="310" customFormat="false" ht="89.25" hidden="false" customHeight="true" outlineLevel="0" collapsed="false">
      <c r="B310" s="29" t="s">
        <v>1615</v>
      </c>
      <c r="C310" s="29" t="s">
        <v>282</v>
      </c>
      <c r="D310" s="29" t="s">
        <v>1616</v>
      </c>
      <c r="E310" s="29" t="s">
        <v>357</v>
      </c>
      <c r="F310" s="29" t="s">
        <v>1617</v>
      </c>
      <c r="G310" s="29" t="s">
        <v>1618</v>
      </c>
      <c r="H310" s="29" t="s">
        <v>1619</v>
      </c>
      <c r="I310" s="29" t="s">
        <v>302</v>
      </c>
      <c r="J310" s="29" t="s">
        <v>202</v>
      </c>
      <c r="K310" s="30" t="s">
        <v>44</v>
      </c>
      <c r="L310" s="31"/>
      <c r="M310" s="29" t="s">
        <v>45</v>
      </c>
    </row>
    <row r="311" customFormat="false" ht="51" hidden="false" customHeight="true" outlineLevel="0" collapsed="false">
      <c r="B311" s="29" t="s">
        <v>1620</v>
      </c>
      <c r="C311" s="29" t="s">
        <v>282</v>
      </c>
      <c r="D311" s="29" t="s">
        <v>1621</v>
      </c>
      <c r="E311" s="29" t="s">
        <v>351</v>
      </c>
      <c r="F311" s="29" t="s">
        <v>1622</v>
      </c>
      <c r="G311" s="29" t="s">
        <v>1623</v>
      </c>
      <c r="H311" s="29" t="s">
        <v>1624</v>
      </c>
      <c r="I311" s="29" t="s">
        <v>154</v>
      </c>
      <c r="J311" s="29" t="s">
        <v>155</v>
      </c>
      <c r="K311" s="30" t="s">
        <v>44</v>
      </c>
      <c r="L311" s="31"/>
      <c r="M311" s="29" t="s">
        <v>1625</v>
      </c>
    </row>
    <row r="312" customFormat="false" ht="102" hidden="false" customHeight="true" outlineLevel="0" collapsed="false">
      <c r="B312" s="29" t="s">
        <v>1626</v>
      </c>
      <c r="C312" s="29" t="s">
        <v>282</v>
      </c>
      <c r="D312" s="29" t="s">
        <v>1627</v>
      </c>
      <c r="E312" s="29" t="s">
        <v>351</v>
      </c>
      <c r="F312" s="29" t="s">
        <v>1628</v>
      </c>
      <c r="G312" s="29" t="s">
        <v>1629</v>
      </c>
      <c r="H312" s="29" t="s">
        <v>1630</v>
      </c>
      <c r="I312" s="29" t="s">
        <v>154</v>
      </c>
      <c r="J312" s="29" t="s">
        <v>155</v>
      </c>
      <c r="K312" s="30" t="s">
        <v>44</v>
      </c>
      <c r="L312" s="31"/>
      <c r="M312" s="29" t="s">
        <v>1631</v>
      </c>
    </row>
    <row r="313" customFormat="false" ht="76.5" hidden="false" customHeight="true" outlineLevel="0" collapsed="false">
      <c r="B313" s="29" t="s">
        <v>1632</v>
      </c>
      <c r="C313" s="29" t="s">
        <v>282</v>
      </c>
      <c r="D313" s="29" t="s">
        <v>1633</v>
      </c>
      <c r="E313" s="29" t="s">
        <v>340</v>
      </c>
      <c r="F313" s="29" t="s">
        <v>1634</v>
      </c>
      <c r="G313" s="29" t="s">
        <v>1635</v>
      </c>
      <c r="H313" s="29" t="s">
        <v>1636</v>
      </c>
      <c r="I313" s="29" t="s">
        <v>472</v>
      </c>
      <c r="J313" s="29" t="s">
        <v>472</v>
      </c>
      <c r="K313" s="30" t="s">
        <v>44</v>
      </c>
      <c r="L313" s="31"/>
      <c r="M313" s="29" t="s">
        <v>45</v>
      </c>
    </row>
    <row r="314" customFormat="false" ht="114.75" hidden="false" customHeight="true" outlineLevel="0" collapsed="false">
      <c r="B314" s="29" t="s">
        <v>1637</v>
      </c>
      <c r="C314" s="29" t="s">
        <v>282</v>
      </c>
      <c r="D314" s="29" t="s">
        <v>1638</v>
      </c>
      <c r="E314" s="29" t="s">
        <v>327</v>
      </c>
      <c r="F314" s="29" t="s">
        <v>1639</v>
      </c>
      <c r="G314" s="29" t="s">
        <v>1640</v>
      </c>
      <c r="H314" s="29" t="s">
        <v>1641</v>
      </c>
      <c r="I314" s="29" t="s">
        <v>302</v>
      </c>
      <c r="J314" s="29" t="s">
        <v>202</v>
      </c>
      <c r="K314" s="30" t="s">
        <v>44</v>
      </c>
      <c r="L314" s="31"/>
      <c r="M314" s="29" t="s">
        <v>366</v>
      </c>
    </row>
    <row r="315" customFormat="false" ht="51" hidden="false" customHeight="true" outlineLevel="0" collapsed="false">
      <c r="B315" s="29" t="s">
        <v>1642</v>
      </c>
      <c r="C315" s="29" t="s">
        <v>282</v>
      </c>
      <c r="D315" s="29" t="s">
        <v>1643</v>
      </c>
      <c r="E315" s="29" t="s">
        <v>340</v>
      </c>
      <c r="F315" s="29" t="s">
        <v>1644</v>
      </c>
      <c r="G315" s="29" t="s">
        <v>1645</v>
      </c>
      <c r="H315" s="29" t="s">
        <v>1646</v>
      </c>
      <c r="I315" s="29" t="s">
        <v>302</v>
      </c>
      <c r="J315" s="29" t="s">
        <v>202</v>
      </c>
      <c r="K315" s="30" t="s">
        <v>44</v>
      </c>
      <c r="L315" s="31"/>
      <c r="M315" s="29" t="s">
        <v>45</v>
      </c>
    </row>
    <row r="316" customFormat="false" ht="76.5" hidden="false" customHeight="true" outlineLevel="0" collapsed="false">
      <c r="B316" s="29" t="s">
        <v>1647</v>
      </c>
      <c r="C316" s="29" t="s">
        <v>282</v>
      </c>
      <c r="D316" s="29" t="s">
        <v>1648</v>
      </c>
      <c r="E316" s="29" t="s">
        <v>340</v>
      </c>
      <c r="F316" s="29" t="s">
        <v>1649</v>
      </c>
      <c r="G316" s="29" t="s">
        <v>1650</v>
      </c>
      <c r="H316" s="29" t="s">
        <v>1651</v>
      </c>
      <c r="I316" s="29" t="s">
        <v>302</v>
      </c>
      <c r="J316" s="29" t="s">
        <v>202</v>
      </c>
      <c r="K316" s="30" t="s">
        <v>44</v>
      </c>
      <c r="L316" s="31"/>
      <c r="M316" s="29" t="s">
        <v>1652</v>
      </c>
    </row>
    <row r="317" customFormat="false" ht="102" hidden="false" customHeight="true" outlineLevel="0" collapsed="false">
      <c r="B317" s="29" t="s">
        <v>1653</v>
      </c>
      <c r="C317" s="29" t="s">
        <v>282</v>
      </c>
      <c r="D317" s="29" t="s">
        <v>1654</v>
      </c>
      <c r="E317" s="29" t="s">
        <v>327</v>
      </c>
      <c r="F317" s="29" t="s">
        <v>1655</v>
      </c>
      <c r="G317" s="29" t="s">
        <v>1656</v>
      </c>
      <c r="H317" s="29" t="s">
        <v>1657</v>
      </c>
      <c r="I317" s="29" t="s">
        <v>302</v>
      </c>
      <c r="J317" s="29" t="s">
        <v>202</v>
      </c>
      <c r="K317" s="30" t="s">
        <v>44</v>
      </c>
      <c r="L317" s="31"/>
      <c r="M317" s="29" t="s">
        <v>366</v>
      </c>
    </row>
    <row r="318" customFormat="false" ht="114.75" hidden="false" customHeight="true" outlineLevel="0" collapsed="false">
      <c r="B318" s="29" t="s">
        <v>1658</v>
      </c>
      <c r="C318" s="29" t="s">
        <v>282</v>
      </c>
      <c r="D318" s="29" t="s">
        <v>1659</v>
      </c>
      <c r="E318" s="29" t="s">
        <v>206</v>
      </c>
      <c r="F318" s="29" t="s">
        <v>1660</v>
      </c>
      <c r="G318" s="29" t="s">
        <v>1661</v>
      </c>
      <c r="H318" s="29" t="s">
        <v>1662</v>
      </c>
      <c r="I318" s="29" t="s">
        <v>302</v>
      </c>
      <c r="J318" s="29" t="s">
        <v>202</v>
      </c>
      <c r="K318" s="30" t="s">
        <v>44</v>
      </c>
      <c r="L318" s="31"/>
      <c r="M318" s="29" t="s">
        <v>45</v>
      </c>
    </row>
    <row r="319" customFormat="false" ht="140.25" hidden="false" customHeight="true" outlineLevel="0" collapsed="false">
      <c r="B319" s="29" t="s">
        <v>1663</v>
      </c>
      <c r="C319" s="29" t="s">
        <v>282</v>
      </c>
      <c r="D319" s="29" t="s">
        <v>1664</v>
      </c>
      <c r="E319" s="29" t="s">
        <v>357</v>
      </c>
      <c r="F319" s="29" t="s">
        <v>1665</v>
      </c>
      <c r="G319" s="29" t="s">
        <v>1666</v>
      </c>
      <c r="H319" s="29" t="s">
        <v>1667</v>
      </c>
      <c r="I319" s="29" t="s">
        <v>302</v>
      </c>
      <c r="J319" s="29" t="s">
        <v>202</v>
      </c>
      <c r="K319" s="30" t="s">
        <v>44</v>
      </c>
      <c r="L319" s="31"/>
      <c r="M319" s="29" t="s">
        <v>45</v>
      </c>
    </row>
    <row r="320" customFormat="false" ht="63.75" hidden="false" customHeight="true" outlineLevel="0" collapsed="false">
      <c r="B320" s="29" t="s">
        <v>1668</v>
      </c>
      <c r="C320" s="29" t="s">
        <v>282</v>
      </c>
      <c r="D320" s="29" t="s">
        <v>1669</v>
      </c>
      <c r="E320" s="29" t="s">
        <v>206</v>
      </c>
      <c r="F320" s="29" t="s">
        <v>1670</v>
      </c>
      <c r="G320" s="29" t="s">
        <v>1671</v>
      </c>
      <c r="H320" s="29" t="s">
        <v>1672</v>
      </c>
      <c r="I320" s="29" t="s">
        <v>286</v>
      </c>
      <c r="J320" s="29" t="s">
        <v>804</v>
      </c>
      <c r="K320" s="30" t="s">
        <v>44</v>
      </c>
      <c r="L320" s="31"/>
      <c r="M320" s="29" t="s">
        <v>45</v>
      </c>
    </row>
    <row r="321" customFormat="false" ht="153" hidden="false" customHeight="true" outlineLevel="0" collapsed="false">
      <c r="B321" s="29" t="s">
        <v>1673</v>
      </c>
      <c r="C321" s="29" t="s">
        <v>282</v>
      </c>
      <c r="D321" s="29" t="s">
        <v>1674</v>
      </c>
      <c r="E321" s="29" t="s">
        <v>91</v>
      </c>
      <c r="F321" s="29" t="s">
        <v>1675</v>
      </c>
      <c r="G321" s="29" t="s">
        <v>1676</v>
      </c>
      <c r="H321" s="29" t="s">
        <v>1677</v>
      </c>
      <c r="I321" s="29" t="s">
        <v>42</v>
      </c>
      <c r="J321" s="29" t="s">
        <v>261</v>
      </c>
      <c r="K321" s="30" t="s">
        <v>44</v>
      </c>
      <c r="L321" s="31"/>
      <c r="M321" s="29" t="s">
        <v>45</v>
      </c>
    </row>
    <row r="322" customFormat="false" ht="38.25" hidden="false" customHeight="true" outlineLevel="0" collapsed="false">
      <c r="B322" s="29" t="s">
        <v>1678</v>
      </c>
      <c r="C322" s="29" t="s">
        <v>282</v>
      </c>
      <c r="D322" s="29" t="s">
        <v>1679</v>
      </c>
      <c r="E322" s="29" t="s">
        <v>327</v>
      </c>
      <c r="F322" s="29" t="s">
        <v>1680</v>
      </c>
      <c r="G322" s="29" t="s">
        <v>1681</v>
      </c>
      <c r="H322" s="29" t="s">
        <v>1682</v>
      </c>
      <c r="I322" s="29" t="s">
        <v>302</v>
      </c>
      <c r="J322" s="29" t="s">
        <v>202</v>
      </c>
      <c r="K322" s="30" t="s">
        <v>44</v>
      </c>
      <c r="L322" s="31"/>
      <c r="M322" s="29" t="s">
        <v>1683</v>
      </c>
    </row>
    <row r="323" customFormat="false" ht="102" hidden="false" customHeight="true" outlineLevel="0" collapsed="false">
      <c r="B323" s="29" t="s">
        <v>1684</v>
      </c>
      <c r="C323" s="29" t="s">
        <v>282</v>
      </c>
      <c r="D323" s="29" t="s">
        <v>1685</v>
      </c>
      <c r="E323" s="29" t="s">
        <v>151</v>
      </c>
      <c r="F323" s="29" t="s">
        <v>1686</v>
      </c>
      <c r="G323" s="29" t="s">
        <v>1687</v>
      </c>
      <c r="H323" s="29" t="s">
        <v>1688</v>
      </c>
      <c r="I323" s="29" t="s">
        <v>154</v>
      </c>
      <c r="J323" s="29" t="s">
        <v>155</v>
      </c>
      <c r="K323" s="30" t="s">
        <v>44</v>
      </c>
      <c r="L323" s="31"/>
      <c r="M323" s="29" t="s">
        <v>45</v>
      </c>
    </row>
    <row r="324" customFormat="false" ht="114.75" hidden="false" customHeight="true" outlineLevel="0" collapsed="false">
      <c r="B324" s="29" t="s">
        <v>1689</v>
      </c>
      <c r="C324" s="29" t="s">
        <v>282</v>
      </c>
      <c r="D324" s="29" t="s">
        <v>1690</v>
      </c>
      <c r="E324" s="29" t="s">
        <v>206</v>
      </c>
      <c r="F324" s="29" t="s">
        <v>1691</v>
      </c>
      <c r="G324" s="29" t="s">
        <v>1692</v>
      </c>
      <c r="H324" s="29" t="s">
        <v>1693</v>
      </c>
      <c r="I324" s="29" t="s">
        <v>302</v>
      </c>
      <c r="J324" s="29" t="s">
        <v>202</v>
      </c>
      <c r="K324" s="30" t="s">
        <v>44</v>
      </c>
      <c r="L324" s="31"/>
      <c r="M324" s="29" t="s">
        <v>45</v>
      </c>
    </row>
    <row r="325" customFormat="false" ht="63.75" hidden="false" customHeight="true" outlineLevel="0" collapsed="false">
      <c r="B325" s="29" t="s">
        <v>1694</v>
      </c>
      <c r="C325" s="29" t="s">
        <v>282</v>
      </c>
      <c r="D325" s="29" t="s">
        <v>1695</v>
      </c>
      <c r="E325" s="29" t="s">
        <v>600</v>
      </c>
      <c r="F325" s="29" t="s">
        <v>1696</v>
      </c>
      <c r="G325" s="29" t="s">
        <v>1697</v>
      </c>
      <c r="H325" s="29" t="s">
        <v>1698</v>
      </c>
      <c r="I325" s="29" t="s">
        <v>472</v>
      </c>
      <c r="J325" s="29" t="s">
        <v>472</v>
      </c>
      <c r="K325" s="30" t="s">
        <v>44</v>
      </c>
      <c r="L325" s="31"/>
      <c r="M325" s="29" t="s">
        <v>45</v>
      </c>
    </row>
    <row r="326" customFormat="false" ht="114.75" hidden="false" customHeight="true" outlineLevel="0" collapsed="false">
      <c r="B326" s="29" t="s">
        <v>1699</v>
      </c>
      <c r="C326" s="29" t="s">
        <v>282</v>
      </c>
      <c r="D326" s="29" t="s">
        <v>1700</v>
      </c>
      <c r="E326" s="29" t="s">
        <v>351</v>
      </c>
      <c r="F326" s="29" t="s">
        <v>1701</v>
      </c>
      <c r="G326" s="29" t="s">
        <v>1702</v>
      </c>
      <c r="H326" s="29" t="s">
        <v>1703</v>
      </c>
      <c r="I326" s="29" t="s">
        <v>302</v>
      </c>
      <c r="J326" s="29" t="s">
        <v>202</v>
      </c>
      <c r="K326" s="30" t="s">
        <v>44</v>
      </c>
      <c r="L326" s="31"/>
      <c r="M326" s="29" t="s">
        <v>45</v>
      </c>
    </row>
    <row r="327" customFormat="false" ht="409.5" hidden="false" customHeight="true" outlineLevel="0" collapsed="false">
      <c r="B327" s="29" t="s">
        <v>1704</v>
      </c>
      <c r="C327" s="29" t="s">
        <v>282</v>
      </c>
      <c r="D327" s="29" t="s">
        <v>1705</v>
      </c>
      <c r="E327" s="29" t="s">
        <v>357</v>
      </c>
      <c r="F327" s="29" t="s">
        <v>1706</v>
      </c>
      <c r="G327" s="29" t="s">
        <v>1707</v>
      </c>
      <c r="H327" s="29" t="s">
        <v>1708</v>
      </c>
      <c r="I327" s="29" t="s">
        <v>42</v>
      </c>
      <c r="J327" s="29" t="s">
        <v>43</v>
      </c>
      <c r="K327" s="30" t="s">
        <v>44</v>
      </c>
      <c r="L327" s="31"/>
      <c r="M327" s="29" t="s">
        <v>45</v>
      </c>
    </row>
    <row r="328" customFormat="false" ht="165.75" hidden="false" customHeight="true" outlineLevel="0" collapsed="false">
      <c r="B328" s="29" t="s">
        <v>1709</v>
      </c>
      <c r="C328" s="29" t="s">
        <v>282</v>
      </c>
      <c r="D328" s="29" t="s">
        <v>1710</v>
      </c>
      <c r="E328" s="29" t="s">
        <v>151</v>
      </c>
      <c r="F328" s="29" t="s">
        <v>1711</v>
      </c>
      <c r="G328" s="29" t="s">
        <v>1712</v>
      </c>
      <c r="H328" s="29" t="s">
        <v>1713</v>
      </c>
      <c r="I328" s="29" t="s">
        <v>472</v>
      </c>
      <c r="J328" s="29" t="s">
        <v>472</v>
      </c>
      <c r="K328" s="30" t="s">
        <v>44</v>
      </c>
      <c r="L328" s="31"/>
      <c r="M328" s="29" t="s">
        <v>45</v>
      </c>
    </row>
    <row r="329" customFormat="false" ht="38.25" hidden="false" customHeight="true" outlineLevel="0" collapsed="false">
      <c r="B329" s="29" t="s">
        <v>1714</v>
      </c>
      <c r="C329" s="29" t="s">
        <v>282</v>
      </c>
      <c r="D329" s="29" t="s">
        <v>1715</v>
      </c>
      <c r="E329" s="29" t="s">
        <v>151</v>
      </c>
      <c r="F329" s="29" t="s">
        <v>1716</v>
      </c>
      <c r="G329" s="29" t="s">
        <v>1717</v>
      </c>
      <c r="H329" s="29" t="s">
        <v>1718</v>
      </c>
      <c r="I329" s="29" t="s">
        <v>286</v>
      </c>
      <c r="J329" s="29" t="s">
        <v>1719</v>
      </c>
      <c r="K329" s="30" t="s">
        <v>44</v>
      </c>
      <c r="L329" s="31"/>
      <c r="M329" s="29" t="s">
        <v>1720</v>
      </c>
    </row>
    <row r="330" customFormat="false" ht="114.75" hidden="false" customHeight="true" outlineLevel="0" collapsed="false">
      <c r="B330" s="29" t="s">
        <v>1721</v>
      </c>
      <c r="C330" s="29" t="s">
        <v>282</v>
      </c>
      <c r="D330" s="29" t="s">
        <v>1722</v>
      </c>
      <c r="E330" s="29" t="s">
        <v>340</v>
      </c>
      <c r="F330" s="29" t="s">
        <v>1723</v>
      </c>
      <c r="G330" s="29" t="s">
        <v>1724</v>
      </c>
      <c r="H330" s="29" t="s">
        <v>1725</v>
      </c>
      <c r="I330" s="29" t="s">
        <v>302</v>
      </c>
      <c r="J330" s="29" t="s">
        <v>202</v>
      </c>
      <c r="K330" s="30" t="s">
        <v>44</v>
      </c>
      <c r="L330" s="31"/>
      <c r="M330" s="29" t="s">
        <v>45</v>
      </c>
    </row>
    <row r="331" customFormat="false" ht="51" hidden="false" customHeight="true" outlineLevel="0" collapsed="false">
      <c r="B331" s="29" t="s">
        <v>1726</v>
      </c>
      <c r="C331" s="29" t="s">
        <v>282</v>
      </c>
      <c r="D331" s="29" t="s">
        <v>1727</v>
      </c>
      <c r="E331" s="29" t="s">
        <v>206</v>
      </c>
      <c r="F331" s="29" t="s">
        <v>1728</v>
      </c>
      <c r="G331" s="29" t="s">
        <v>1729</v>
      </c>
      <c r="H331" s="29" t="s">
        <v>1730</v>
      </c>
      <c r="I331" s="29" t="s">
        <v>302</v>
      </c>
      <c r="J331" s="29" t="s">
        <v>202</v>
      </c>
      <c r="K331" s="30" t="s">
        <v>44</v>
      </c>
      <c r="L331" s="31"/>
      <c r="M331" s="29" t="s">
        <v>1731</v>
      </c>
    </row>
    <row r="332" customFormat="false" ht="51" hidden="false" customHeight="true" outlineLevel="0" collapsed="false">
      <c r="B332" s="29" t="s">
        <v>1732</v>
      </c>
      <c r="C332" s="29" t="s">
        <v>282</v>
      </c>
      <c r="D332" s="29" t="s">
        <v>1733</v>
      </c>
      <c r="E332" s="29" t="s">
        <v>351</v>
      </c>
      <c r="F332" s="29" t="s">
        <v>1622</v>
      </c>
      <c r="G332" s="29" t="s">
        <v>1623</v>
      </c>
      <c r="H332" s="29" t="s">
        <v>1624</v>
      </c>
      <c r="I332" s="29" t="s">
        <v>154</v>
      </c>
      <c r="J332" s="29" t="s">
        <v>155</v>
      </c>
      <c r="K332" s="30" t="s">
        <v>44</v>
      </c>
      <c r="L332" s="31"/>
      <c r="M332" s="29" t="s">
        <v>1625</v>
      </c>
    </row>
    <row r="333" customFormat="false" ht="114.75" hidden="false" customHeight="true" outlineLevel="0" collapsed="false">
      <c r="B333" s="29" t="s">
        <v>1734</v>
      </c>
      <c r="C333" s="29" t="s">
        <v>282</v>
      </c>
      <c r="D333" s="29" t="s">
        <v>1735</v>
      </c>
      <c r="E333" s="29" t="s">
        <v>351</v>
      </c>
      <c r="F333" s="29" t="s">
        <v>1736</v>
      </c>
      <c r="G333" s="29" t="s">
        <v>1737</v>
      </c>
      <c r="H333" s="29" t="s">
        <v>1738</v>
      </c>
      <c r="I333" s="29" t="s">
        <v>302</v>
      </c>
      <c r="J333" s="29" t="s">
        <v>202</v>
      </c>
      <c r="K333" s="30" t="s">
        <v>44</v>
      </c>
      <c r="L333" s="31"/>
      <c r="M333" s="29" t="s">
        <v>45</v>
      </c>
    </row>
    <row r="334" customFormat="false" ht="89.25" hidden="false" customHeight="true" outlineLevel="0" collapsed="false">
      <c r="B334" s="29" t="s">
        <v>1739</v>
      </c>
      <c r="C334" s="29" t="s">
        <v>282</v>
      </c>
      <c r="D334" s="29" t="s">
        <v>1740</v>
      </c>
      <c r="E334" s="29" t="s">
        <v>340</v>
      </c>
      <c r="F334" s="29" t="s">
        <v>1741</v>
      </c>
      <c r="G334" s="29" t="s">
        <v>1742</v>
      </c>
      <c r="H334" s="29" t="s">
        <v>1743</v>
      </c>
      <c r="I334" s="29" t="s">
        <v>302</v>
      </c>
      <c r="J334" s="29" t="s">
        <v>202</v>
      </c>
      <c r="K334" s="30" t="s">
        <v>44</v>
      </c>
      <c r="L334" s="31"/>
      <c r="M334" s="29" t="s">
        <v>45</v>
      </c>
    </row>
    <row r="335" customFormat="false" ht="63.75" hidden="false" customHeight="true" outlineLevel="0" collapsed="false">
      <c r="B335" s="29" t="s">
        <v>1744</v>
      </c>
      <c r="C335" s="29" t="s">
        <v>282</v>
      </c>
      <c r="D335" s="29" t="s">
        <v>1745</v>
      </c>
      <c r="E335" s="29" t="s">
        <v>600</v>
      </c>
      <c r="F335" s="29" t="s">
        <v>1746</v>
      </c>
      <c r="G335" s="29" t="s">
        <v>1747</v>
      </c>
      <c r="H335" s="29" t="s">
        <v>1748</v>
      </c>
      <c r="I335" s="29" t="s">
        <v>472</v>
      </c>
      <c r="J335" s="29" t="s">
        <v>472</v>
      </c>
      <c r="K335" s="30" t="s">
        <v>44</v>
      </c>
      <c r="L335" s="31"/>
      <c r="M335" s="29" t="s">
        <v>45</v>
      </c>
    </row>
    <row r="336" customFormat="false" ht="89.25" hidden="false" customHeight="true" outlineLevel="0" collapsed="false">
      <c r="B336" s="29" t="s">
        <v>1749</v>
      </c>
      <c r="C336" s="29" t="s">
        <v>282</v>
      </c>
      <c r="D336" s="29" t="s">
        <v>1750</v>
      </c>
      <c r="E336" s="29" t="s">
        <v>351</v>
      </c>
      <c r="F336" s="29" t="s">
        <v>1751</v>
      </c>
      <c r="G336" s="29" t="s">
        <v>1752</v>
      </c>
      <c r="H336" s="29" t="s">
        <v>1753</v>
      </c>
      <c r="I336" s="29" t="s">
        <v>302</v>
      </c>
      <c r="J336" s="29" t="s">
        <v>202</v>
      </c>
      <c r="K336" s="30" t="s">
        <v>44</v>
      </c>
      <c r="L336" s="31"/>
      <c r="M336" s="29" t="s">
        <v>45</v>
      </c>
    </row>
    <row r="337" customFormat="false" ht="63.75" hidden="false" customHeight="true" outlineLevel="0" collapsed="false">
      <c r="B337" s="29" t="s">
        <v>1754</v>
      </c>
      <c r="C337" s="29" t="s">
        <v>282</v>
      </c>
      <c r="D337" s="29" t="s">
        <v>1755</v>
      </c>
      <c r="E337" s="29" t="s">
        <v>340</v>
      </c>
      <c r="F337" s="29" t="s">
        <v>1756</v>
      </c>
      <c r="G337" s="29" t="s">
        <v>1757</v>
      </c>
      <c r="H337" s="29" t="s">
        <v>1758</v>
      </c>
      <c r="I337" s="29" t="s">
        <v>302</v>
      </c>
      <c r="J337" s="29" t="s">
        <v>202</v>
      </c>
      <c r="K337" s="30" t="s">
        <v>44</v>
      </c>
      <c r="L337" s="31"/>
      <c r="M337" s="29" t="s">
        <v>45</v>
      </c>
    </row>
    <row r="338" customFormat="false" ht="89.25" hidden="false" customHeight="true" outlineLevel="0" collapsed="false">
      <c r="B338" s="29" t="s">
        <v>1759</v>
      </c>
      <c r="C338" s="29" t="s">
        <v>282</v>
      </c>
      <c r="D338" s="29" t="s">
        <v>1760</v>
      </c>
      <c r="E338" s="29" t="s">
        <v>340</v>
      </c>
      <c r="F338" s="29" t="s">
        <v>1761</v>
      </c>
      <c r="G338" s="29" t="s">
        <v>1762</v>
      </c>
      <c r="H338" s="29" t="s">
        <v>1763</v>
      </c>
      <c r="I338" s="29" t="s">
        <v>302</v>
      </c>
      <c r="J338" s="29" t="s">
        <v>202</v>
      </c>
      <c r="K338" s="30" t="s">
        <v>44</v>
      </c>
      <c r="L338" s="31"/>
      <c r="M338" s="29" t="s">
        <v>45</v>
      </c>
    </row>
    <row r="339" customFormat="false" ht="89.25" hidden="false" customHeight="true" outlineLevel="0" collapsed="false">
      <c r="B339" s="29" t="s">
        <v>1764</v>
      </c>
      <c r="C339" s="29" t="s">
        <v>282</v>
      </c>
      <c r="D339" s="29" t="s">
        <v>1765</v>
      </c>
      <c r="E339" s="29" t="s">
        <v>327</v>
      </c>
      <c r="F339" s="29" t="s">
        <v>1766</v>
      </c>
      <c r="G339" s="29" t="s">
        <v>1767</v>
      </c>
      <c r="H339" s="29" t="s">
        <v>1768</v>
      </c>
      <c r="I339" s="29" t="s">
        <v>302</v>
      </c>
      <c r="J339" s="29" t="s">
        <v>202</v>
      </c>
      <c r="K339" s="30" t="s">
        <v>44</v>
      </c>
      <c r="L339" s="31"/>
      <c r="M339" s="29" t="s">
        <v>366</v>
      </c>
    </row>
    <row r="340" customFormat="false" ht="51" hidden="false" customHeight="true" outlineLevel="0" collapsed="false">
      <c r="B340" s="29" t="s">
        <v>1769</v>
      </c>
      <c r="C340" s="29" t="s">
        <v>282</v>
      </c>
      <c r="D340" s="29" t="s">
        <v>1770</v>
      </c>
      <c r="E340" s="29" t="s">
        <v>327</v>
      </c>
      <c r="F340" s="29" t="s">
        <v>1771</v>
      </c>
      <c r="G340" s="29" t="s">
        <v>1772</v>
      </c>
      <c r="H340" s="29" t="s">
        <v>1773</v>
      </c>
      <c r="I340" s="29" t="s">
        <v>302</v>
      </c>
      <c r="J340" s="29" t="s">
        <v>202</v>
      </c>
      <c r="K340" s="30" t="s">
        <v>44</v>
      </c>
      <c r="L340" s="31"/>
      <c r="M340" s="29" t="s">
        <v>366</v>
      </c>
    </row>
    <row r="341" customFormat="false" ht="63.75" hidden="false" customHeight="true" outlineLevel="0" collapsed="false">
      <c r="B341" s="29" t="s">
        <v>1774</v>
      </c>
      <c r="C341" s="29" t="s">
        <v>282</v>
      </c>
      <c r="D341" s="29" t="s">
        <v>1775</v>
      </c>
      <c r="E341" s="29" t="s">
        <v>206</v>
      </c>
      <c r="F341" s="29" t="s">
        <v>1776</v>
      </c>
      <c r="G341" s="29" t="s">
        <v>1777</v>
      </c>
      <c r="H341" s="29" t="s">
        <v>1778</v>
      </c>
      <c r="I341" s="29" t="s">
        <v>302</v>
      </c>
      <c r="J341" s="29" t="s">
        <v>202</v>
      </c>
      <c r="K341" s="30" t="s">
        <v>44</v>
      </c>
      <c r="L341" s="31"/>
      <c r="M341" s="29" t="s">
        <v>45</v>
      </c>
    </row>
    <row r="342" customFormat="false" ht="102" hidden="false" customHeight="true" outlineLevel="0" collapsed="false">
      <c r="B342" s="29" t="s">
        <v>1779</v>
      </c>
      <c r="C342" s="29" t="s">
        <v>282</v>
      </c>
      <c r="D342" s="29" t="s">
        <v>1780</v>
      </c>
      <c r="E342" s="29" t="s">
        <v>357</v>
      </c>
      <c r="F342" s="29" t="s">
        <v>1781</v>
      </c>
      <c r="G342" s="29" t="s">
        <v>1782</v>
      </c>
      <c r="H342" s="29" t="s">
        <v>1783</v>
      </c>
      <c r="I342" s="29" t="s">
        <v>302</v>
      </c>
      <c r="J342" s="29" t="s">
        <v>202</v>
      </c>
      <c r="K342" s="30" t="s">
        <v>44</v>
      </c>
      <c r="L342" s="31"/>
      <c r="M342" s="29" t="s">
        <v>45</v>
      </c>
    </row>
    <row r="343" customFormat="false" ht="63.75" hidden="false" customHeight="true" outlineLevel="0" collapsed="false">
      <c r="B343" s="29" t="s">
        <v>1784</v>
      </c>
      <c r="C343" s="29" t="s">
        <v>282</v>
      </c>
      <c r="D343" s="29" t="s">
        <v>1785</v>
      </c>
      <c r="E343" s="29" t="s">
        <v>351</v>
      </c>
      <c r="F343" s="29" t="s">
        <v>1786</v>
      </c>
      <c r="G343" s="29" t="s">
        <v>1787</v>
      </c>
      <c r="H343" s="29" t="s">
        <v>1788</v>
      </c>
      <c r="I343" s="29" t="s">
        <v>302</v>
      </c>
      <c r="J343" s="29" t="s">
        <v>202</v>
      </c>
      <c r="K343" s="30" t="s">
        <v>44</v>
      </c>
      <c r="L343" s="31"/>
      <c r="M343" s="29" t="s">
        <v>45</v>
      </c>
    </row>
    <row r="344" customFormat="false" ht="63.75" hidden="false" customHeight="true" outlineLevel="0" collapsed="false">
      <c r="B344" s="29" t="s">
        <v>1789</v>
      </c>
      <c r="C344" s="29" t="s">
        <v>282</v>
      </c>
      <c r="D344" s="29" t="s">
        <v>1790</v>
      </c>
      <c r="E344" s="29" t="s">
        <v>327</v>
      </c>
      <c r="F344" s="29" t="s">
        <v>1791</v>
      </c>
      <c r="G344" s="29" t="s">
        <v>1792</v>
      </c>
      <c r="H344" s="29" t="s">
        <v>1793</v>
      </c>
      <c r="I344" s="29" t="s">
        <v>302</v>
      </c>
      <c r="J344" s="29" t="s">
        <v>202</v>
      </c>
      <c r="K344" s="30" t="s">
        <v>44</v>
      </c>
      <c r="L344" s="31"/>
      <c r="M344" s="29" t="s">
        <v>366</v>
      </c>
    </row>
    <row r="345" customFormat="false" ht="114.75" hidden="false" customHeight="true" outlineLevel="0" collapsed="false">
      <c r="B345" s="29" t="s">
        <v>1794</v>
      </c>
      <c r="C345" s="29" t="s">
        <v>282</v>
      </c>
      <c r="D345" s="29" t="s">
        <v>1795</v>
      </c>
      <c r="E345" s="29" t="s">
        <v>600</v>
      </c>
      <c r="F345" s="29" t="s">
        <v>1796</v>
      </c>
      <c r="G345" s="29" t="s">
        <v>1797</v>
      </c>
      <c r="H345" s="29" t="s">
        <v>1798</v>
      </c>
      <c r="I345" s="29" t="s">
        <v>472</v>
      </c>
      <c r="J345" s="29" t="s">
        <v>472</v>
      </c>
      <c r="K345" s="30" t="s">
        <v>44</v>
      </c>
      <c r="L345" s="31"/>
      <c r="M345" s="29" t="s">
        <v>45</v>
      </c>
    </row>
    <row r="346" customFormat="false" ht="51" hidden="false" customHeight="true" outlineLevel="0" collapsed="false">
      <c r="B346" s="29" t="s">
        <v>1799</v>
      </c>
      <c r="C346" s="29" t="s">
        <v>282</v>
      </c>
      <c r="D346" s="29" t="s">
        <v>1800</v>
      </c>
      <c r="E346" s="29" t="s">
        <v>327</v>
      </c>
      <c r="F346" s="29" t="s">
        <v>1801</v>
      </c>
      <c r="G346" s="29" t="s">
        <v>1338</v>
      </c>
      <c r="H346" s="29" t="s">
        <v>1802</v>
      </c>
      <c r="I346" s="29" t="s">
        <v>302</v>
      </c>
      <c r="J346" s="29" t="s">
        <v>202</v>
      </c>
      <c r="K346" s="30" t="s">
        <v>44</v>
      </c>
      <c r="L346" s="31"/>
      <c r="M346" s="29" t="s">
        <v>366</v>
      </c>
    </row>
    <row r="347" customFormat="false" ht="89.25" hidden="false" customHeight="true" outlineLevel="0" collapsed="false">
      <c r="B347" s="29" t="s">
        <v>1803</v>
      </c>
      <c r="C347" s="29" t="s">
        <v>282</v>
      </c>
      <c r="D347" s="29" t="s">
        <v>1804</v>
      </c>
      <c r="E347" s="29" t="s">
        <v>600</v>
      </c>
      <c r="F347" s="29" t="s">
        <v>1805</v>
      </c>
      <c r="G347" s="29" t="s">
        <v>1806</v>
      </c>
      <c r="H347" s="29" t="s">
        <v>1807</v>
      </c>
      <c r="I347" s="29" t="s">
        <v>472</v>
      </c>
      <c r="J347" s="29" t="s">
        <v>472</v>
      </c>
      <c r="K347" s="30" t="s">
        <v>44</v>
      </c>
      <c r="L347" s="31"/>
      <c r="M347" s="29" t="s">
        <v>45</v>
      </c>
    </row>
    <row r="348" customFormat="false" ht="204" hidden="false" customHeight="true" outlineLevel="0" collapsed="false">
      <c r="B348" s="29" t="s">
        <v>1808</v>
      </c>
      <c r="C348" s="29" t="s">
        <v>282</v>
      </c>
      <c r="D348" s="29" t="s">
        <v>1809</v>
      </c>
      <c r="E348" s="29" t="s">
        <v>39</v>
      </c>
      <c r="F348" s="29" t="s">
        <v>1810</v>
      </c>
      <c r="G348" s="29" t="s">
        <v>1811</v>
      </c>
      <c r="H348" s="29" t="s">
        <v>1812</v>
      </c>
      <c r="I348" s="29" t="s">
        <v>42</v>
      </c>
      <c r="J348" s="29" t="s">
        <v>43</v>
      </c>
      <c r="K348" s="30" t="s">
        <v>44</v>
      </c>
      <c r="L348" s="31"/>
      <c r="M348" s="29" t="s">
        <v>45</v>
      </c>
    </row>
    <row r="349" customFormat="false" ht="76.5" hidden="false" customHeight="true" outlineLevel="0" collapsed="false">
      <c r="B349" s="29" t="s">
        <v>1813</v>
      </c>
      <c r="C349" s="29" t="s">
        <v>282</v>
      </c>
      <c r="D349" s="29" t="s">
        <v>1814</v>
      </c>
      <c r="E349" s="29" t="s">
        <v>340</v>
      </c>
      <c r="F349" s="29" t="s">
        <v>1815</v>
      </c>
      <c r="G349" s="29" t="s">
        <v>1816</v>
      </c>
      <c r="H349" s="29" t="s">
        <v>1817</v>
      </c>
      <c r="I349" s="29" t="s">
        <v>302</v>
      </c>
      <c r="J349" s="29" t="s">
        <v>202</v>
      </c>
      <c r="K349" s="30" t="s">
        <v>44</v>
      </c>
      <c r="L349" s="31"/>
      <c r="M349" s="29" t="s">
        <v>45</v>
      </c>
    </row>
    <row r="350" customFormat="false" ht="63.75" hidden="false" customHeight="true" outlineLevel="0" collapsed="false">
      <c r="B350" s="29" t="s">
        <v>1818</v>
      </c>
      <c r="C350" s="29" t="s">
        <v>282</v>
      </c>
      <c r="D350" s="29" t="s">
        <v>1819</v>
      </c>
      <c r="E350" s="29" t="s">
        <v>340</v>
      </c>
      <c r="F350" s="29" t="s">
        <v>1820</v>
      </c>
      <c r="G350" s="29" t="s">
        <v>1821</v>
      </c>
      <c r="H350" s="29" t="s">
        <v>1822</v>
      </c>
      <c r="I350" s="29" t="s">
        <v>302</v>
      </c>
      <c r="J350" s="29" t="s">
        <v>202</v>
      </c>
      <c r="K350" s="30" t="s">
        <v>44</v>
      </c>
      <c r="L350" s="31"/>
      <c r="M350" s="29" t="s">
        <v>45</v>
      </c>
    </row>
    <row r="351" customFormat="false" ht="127.5" hidden="false" customHeight="true" outlineLevel="0" collapsed="false">
      <c r="B351" s="29" t="s">
        <v>1823</v>
      </c>
      <c r="C351" s="29" t="s">
        <v>282</v>
      </c>
      <c r="D351" s="29" t="s">
        <v>1824</v>
      </c>
      <c r="E351" s="29" t="s">
        <v>543</v>
      </c>
      <c r="F351" s="29" t="s">
        <v>1825</v>
      </c>
      <c r="G351" s="29" t="s">
        <v>1826</v>
      </c>
      <c r="H351" s="29" t="s">
        <v>1827</v>
      </c>
      <c r="I351" s="29" t="s">
        <v>472</v>
      </c>
      <c r="J351" s="29" t="s">
        <v>472</v>
      </c>
      <c r="K351" s="30" t="s">
        <v>44</v>
      </c>
      <c r="L351" s="31"/>
      <c r="M351" s="29" t="s">
        <v>45</v>
      </c>
    </row>
    <row r="352" customFormat="false" ht="127.5" hidden="false" customHeight="true" outlineLevel="0" collapsed="false">
      <c r="B352" s="29" t="s">
        <v>1828</v>
      </c>
      <c r="C352" s="29" t="s">
        <v>282</v>
      </c>
      <c r="D352" s="29" t="s">
        <v>1829</v>
      </c>
      <c r="E352" s="29" t="s">
        <v>340</v>
      </c>
      <c r="F352" s="29" t="s">
        <v>1830</v>
      </c>
      <c r="G352" s="29" t="s">
        <v>1831</v>
      </c>
      <c r="H352" s="29" t="s">
        <v>1832</v>
      </c>
      <c r="I352" s="29" t="s">
        <v>302</v>
      </c>
      <c r="J352" s="29" t="s">
        <v>202</v>
      </c>
      <c r="K352" s="30" t="s">
        <v>44</v>
      </c>
      <c r="L352" s="31"/>
      <c r="M352" s="29" t="s">
        <v>45</v>
      </c>
    </row>
    <row r="353" customFormat="false" ht="38.25" hidden="false" customHeight="true" outlineLevel="0" collapsed="false">
      <c r="B353" s="29" t="s">
        <v>1833</v>
      </c>
      <c r="C353" s="29" t="s">
        <v>282</v>
      </c>
      <c r="D353" s="29" t="s">
        <v>1834</v>
      </c>
      <c r="E353" s="29" t="s">
        <v>327</v>
      </c>
      <c r="F353" s="29" t="s">
        <v>1835</v>
      </c>
      <c r="G353" s="29" t="s">
        <v>1836</v>
      </c>
      <c r="H353" s="29" t="s">
        <v>1837</v>
      </c>
      <c r="I353" s="29" t="s">
        <v>302</v>
      </c>
      <c r="J353" s="29" t="s">
        <v>202</v>
      </c>
      <c r="K353" s="30" t="s">
        <v>44</v>
      </c>
      <c r="L353" s="31"/>
      <c r="M353" s="29" t="s">
        <v>1838</v>
      </c>
    </row>
    <row r="354" customFormat="false" ht="191.25" hidden="false" customHeight="true" outlineLevel="0" collapsed="false">
      <c r="B354" s="29" t="s">
        <v>1839</v>
      </c>
      <c r="C354" s="29" t="s">
        <v>282</v>
      </c>
      <c r="D354" s="29" t="s">
        <v>1840</v>
      </c>
      <c r="E354" s="29" t="s">
        <v>351</v>
      </c>
      <c r="F354" s="29" t="s">
        <v>1841</v>
      </c>
      <c r="G354" s="29" t="s">
        <v>1842</v>
      </c>
      <c r="H354" s="29" t="s">
        <v>1843</v>
      </c>
      <c r="I354" s="29" t="s">
        <v>302</v>
      </c>
      <c r="J354" s="29" t="s">
        <v>202</v>
      </c>
      <c r="K354" s="30" t="s">
        <v>44</v>
      </c>
      <c r="L354" s="31"/>
      <c r="M354" s="29" t="s">
        <v>45</v>
      </c>
    </row>
    <row r="355" customFormat="false" ht="76.5" hidden="false" customHeight="true" outlineLevel="0" collapsed="false">
      <c r="B355" s="29" t="s">
        <v>1844</v>
      </c>
      <c r="C355" s="29" t="s">
        <v>282</v>
      </c>
      <c r="D355" s="29" t="s">
        <v>1845</v>
      </c>
      <c r="E355" s="29" t="s">
        <v>340</v>
      </c>
      <c r="F355" s="29" t="s">
        <v>1846</v>
      </c>
      <c r="G355" s="29" t="s">
        <v>1847</v>
      </c>
      <c r="H355" s="29" t="s">
        <v>1848</v>
      </c>
      <c r="I355" s="29" t="s">
        <v>302</v>
      </c>
      <c r="J355" s="29" t="s">
        <v>202</v>
      </c>
      <c r="K355" s="30" t="s">
        <v>44</v>
      </c>
      <c r="L355" s="31"/>
      <c r="M355" s="29" t="s">
        <v>45</v>
      </c>
    </row>
    <row r="356" customFormat="false" ht="63.75" hidden="false" customHeight="true" outlineLevel="0" collapsed="false">
      <c r="B356" s="29" t="s">
        <v>1849</v>
      </c>
      <c r="C356" s="29" t="s">
        <v>282</v>
      </c>
      <c r="D356" s="29" t="s">
        <v>1850</v>
      </c>
      <c r="E356" s="29" t="s">
        <v>206</v>
      </c>
      <c r="F356" s="29" t="s">
        <v>1851</v>
      </c>
      <c r="G356" s="29" t="s">
        <v>1852</v>
      </c>
      <c r="H356" s="29" t="s">
        <v>1853</v>
      </c>
      <c r="I356" s="29" t="s">
        <v>302</v>
      </c>
      <c r="J356" s="29" t="s">
        <v>202</v>
      </c>
      <c r="K356" s="30" t="s">
        <v>44</v>
      </c>
      <c r="L356" s="31"/>
      <c r="M356" s="29" t="s">
        <v>45</v>
      </c>
    </row>
    <row r="357" customFormat="false" ht="51" hidden="false" customHeight="true" outlineLevel="0" collapsed="false">
      <c r="B357" s="29" t="s">
        <v>1854</v>
      </c>
      <c r="C357" s="29" t="s">
        <v>282</v>
      </c>
      <c r="D357" s="29" t="s">
        <v>1855</v>
      </c>
      <c r="E357" s="29" t="s">
        <v>327</v>
      </c>
      <c r="F357" s="29" t="s">
        <v>1856</v>
      </c>
      <c r="G357" s="29" t="s">
        <v>1857</v>
      </c>
      <c r="H357" s="29" t="s">
        <v>1858</v>
      </c>
      <c r="I357" s="29" t="s">
        <v>302</v>
      </c>
      <c r="J357" s="29" t="s">
        <v>202</v>
      </c>
      <c r="K357" s="30" t="s">
        <v>44</v>
      </c>
      <c r="L357" s="31"/>
      <c r="M357" s="29" t="s">
        <v>366</v>
      </c>
    </row>
    <row r="358" customFormat="false" ht="63.75" hidden="false" customHeight="true" outlineLevel="0" collapsed="false">
      <c r="B358" s="29" t="s">
        <v>1859</v>
      </c>
      <c r="C358" s="29" t="s">
        <v>282</v>
      </c>
      <c r="D358" s="29" t="s">
        <v>1860</v>
      </c>
      <c r="E358" s="29" t="s">
        <v>340</v>
      </c>
      <c r="F358" s="29" t="s">
        <v>1861</v>
      </c>
      <c r="G358" s="29" t="s">
        <v>1862</v>
      </c>
      <c r="H358" s="29" t="s">
        <v>1863</v>
      </c>
      <c r="I358" s="29" t="s">
        <v>302</v>
      </c>
      <c r="J358" s="29" t="s">
        <v>202</v>
      </c>
      <c r="K358" s="30" t="s">
        <v>44</v>
      </c>
      <c r="L358" s="31"/>
      <c r="M358" s="29" t="s">
        <v>45</v>
      </c>
    </row>
    <row r="359" customFormat="false" ht="191.25" hidden="false" customHeight="true" outlineLevel="0" collapsed="false">
      <c r="B359" s="29" t="s">
        <v>1864</v>
      </c>
      <c r="C359" s="29" t="s">
        <v>282</v>
      </c>
      <c r="D359" s="29" t="s">
        <v>1865</v>
      </c>
      <c r="E359" s="29" t="s">
        <v>327</v>
      </c>
      <c r="F359" s="29" t="s">
        <v>1866</v>
      </c>
      <c r="G359" s="29" t="s">
        <v>1867</v>
      </c>
      <c r="H359" s="29" t="s">
        <v>1868</v>
      </c>
      <c r="I359" s="29" t="s">
        <v>302</v>
      </c>
      <c r="J359" s="29" t="s">
        <v>202</v>
      </c>
      <c r="K359" s="30" t="s">
        <v>44</v>
      </c>
      <c r="L359" s="31"/>
      <c r="M359" s="29" t="s">
        <v>366</v>
      </c>
    </row>
    <row r="360" customFormat="false" ht="153" hidden="false" customHeight="true" outlineLevel="0" collapsed="false">
      <c r="B360" s="29" t="s">
        <v>1869</v>
      </c>
      <c r="C360" s="29" t="s">
        <v>282</v>
      </c>
      <c r="D360" s="29" t="s">
        <v>1870</v>
      </c>
      <c r="E360" s="29" t="s">
        <v>340</v>
      </c>
      <c r="F360" s="29" t="s">
        <v>1871</v>
      </c>
      <c r="G360" s="29" t="s">
        <v>1872</v>
      </c>
      <c r="H360" s="29" t="s">
        <v>1873</v>
      </c>
      <c r="I360" s="29" t="s">
        <v>302</v>
      </c>
      <c r="J360" s="29" t="s">
        <v>202</v>
      </c>
      <c r="K360" s="30" t="s">
        <v>44</v>
      </c>
      <c r="L360" s="31"/>
      <c r="M360" s="29" t="s">
        <v>45</v>
      </c>
    </row>
    <row r="361" customFormat="false" ht="63.75" hidden="false" customHeight="true" outlineLevel="0" collapsed="false">
      <c r="B361" s="29" t="s">
        <v>1874</v>
      </c>
      <c r="C361" s="29" t="s">
        <v>282</v>
      </c>
      <c r="D361" s="29" t="s">
        <v>1875</v>
      </c>
      <c r="E361" s="29" t="s">
        <v>543</v>
      </c>
      <c r="F361" s="29" t="s">
        <v>1876</v>
      </c>
      <c r="G361" s="29" t="s">
        <v>1877</v>
      </c>
      <c r="H361" s="29" t="s">
        <v>1878</v>
      </c>
      <c r="I361" s="29" t="s">
        <v>472</v>
      </c>
      <c r="J361" s="29" t="s">
        <v>472</v>
      </c>
      <c r="K361" s="30" t="s">
        <v>44</v>
      </c>
      <c r="L361" s="31"/>
      <c r="M361" s="29" t="s">
        <v>45</v>
      </c>
    </row>
    <row r="362" customFormat="false" ht="89.25" hidden="false" customHeight="true" outlineLevel="0" collapsed="false">
      <c r="B362" s="29" t="s">
        <v>1879</v>
      </c>
      <c r="C362" s="29" t="s">
        <v>282</v>
      </c>
      <c r="D362" s="29" t="s">
        <v>1880</v>
      </c>
      <c r="E362" s="29" t="s">
        <v>340</v>
      </c>
      <c r="F362" s="29" t="s">
        <v>1881</v>
      </c>
      <c r="G362" s="29" t="s">
        <v>1882</v>
      </c>
      <c r="H362" s="29" t="s">
        <v>1883</v>
      </c>
      <c r="I362" s="29" t="s">
        <v>302</v>
      </c>
      <c r="J362" s="29" t="s">
        <v>202</v>
      </c>
      <c r="K362" s="30" t="s">
        <v>44</v>
      </c>
      <c r="L362" s="31"/>
      <c r="M362" s="29" t="s">
        <v>45</v>
      </c>
    </row>
    <row r="363" customFormat="false" ht="76.5" hidden="false" customHeight="true" outlineLevel="0" collapsed="false">
      <c r="B363" s="29" t="s">
        <v>1884</v>
      </c>
      <c r="C363" s="29" t="s">
        <v>282</v>
      </c>
      <c r="D363" s="29" t="s">
        <v>1885</v>
      </c>
      <c r="E363" s="29" t="s">
        <v>543</v>
      </c>
      <c r="F363" s="29" t="s">
        <v>1886</v>
      </c>
      <c r="G363" s="29" t="s">
        <v>1887</v>
      </c>
      <c r="H363" s="29" t="s">
        <v>1888</v>
      </c>
      <c r="I363" s="29" t="s">
        <v>472</v>
      </c>
      <c r="J363" s="29" t="s">
        <v>472</v>
      </c>
      <c r="K363" s="30" t="s">
        <v>44</v>
      </c>
      <c r="L363" s="31"/>
      <c r="M363" s="29" t="s">
        <v>45</v>
      </c>
    </row>
    <row r="364" customFormat="false" ht="76.5" hidden="false" customHeight="true" outlineLevel="0" collapsed="false">
      <c r="B364" s="29" t="s">
        <v>1889</v>
      </c>
      <c r="C364" s="29" t="s">
        <v>282</v>
      </c>
      <c r="D364" s="29" t="s">
        <v>1890</v>
      </c>
      <c r="E364" s="29" t="s">
        <v>600</v>
      </c>
      <c r="F364" s="29" t="s">
        <v>1891</v>
      </c>
      <c r="G364" s="29" t="s">
        <v>1892</v>
      </c>
      <c r="H364" s="29" t="s">
        <v>1893</v>
      </c>
      <c r="I364" s="29" t="s">
        <v>154</v>
      </c>
      <c r="J364" s="29" t="s">
        <v>155</v>
      </c>
      <c r="K364" s="30" t="s">
        <v>44</v>
      </c>
      <c r="L364" s="31"/>
      <c r="M364" s="29" t="s">
        <v>45</v>
      </c>
    </row>
    <row r="365" customFormat="false" ht="38.25" hidden="false" customHeight="true" outlineLevel="0" collapsed="false">
      <c r="B365" s="29" t="s">
        <v>1894</v>
      </c>
      <c r="C365" s="29" t="s">
        <v>282</v>
      </c>
      <c r="D365" s="29" t="s">
        <v>1895</v>
      </c>
      <c r="E365" s="29" t="s">
        <v>327</v>
      </c>
      <c r="F365" s="29" t="s">
        <v>1896</v>
      </c>
      <c r="G365" s="29" t="s">
        <v>1897</v>
      </c>
      <c r="H365" s="29" t="s">
        <v>1898</v>
      </c>
      <c r="I365" s="29" t="s">
        <v>302</v>
      </c>
      <c r="J365" s="29" t="s">
        <v>202</v>
      </c>
      <c r="K365" s="30" t="s">
        <v>44</v>
      </c>
      <c r="L365" s="31"/>
      <c r="M365" s="29" t="s">
        <v>1899</v>
      </c>
    </row>
    <row r="366" customFormat="false" ht="51" hidden="false" customHeight="true" outlineLevel="0" collapsed="false">
      <c r="B366" s="29" t="s">
        <v>1900</v>
      </c>
      <c r="C366" s="29" t="s">
        <v>282</v>
      </c>
      <c r="D366" s="29" t="s">
        <v>1901</v>
      </c>
      <c r="E366" s="29" t="s">
        <v>327</v>
      </c>
      <c r="F366" s="29" t="s">
        <v>1896</v>
      </c>
      <c r="G366" s="29" t="s">
        <v>1902</v>
      </c>
      <c r="H366" s="29" t="s">
        <v>1898</v>
      </c>
      <c r="I366" s="29" t="s">
        <v>302</v>
      </c>
      <c r="J366" s="29" t="s">
        <v>202</v>
      </c>
      <c r="K366" s="30" t="s">
        <v>44</v>
      </c>
      <c r="L366" s="31"/>
      <c r="M366" s="29" t="s">
        <v>1899</v>
      </c>
    </row>
    <row r="367" customFormat="false" ht="76.5" hidden="false" customHeight="true" outlineLevel="0" collapsed="false">
      <c r="B367" s="29" t="s">
        <v>1903</v>
      </c>
      <c r="C367" s="29" t="s">
        <v>282</v>
      </c>
      <c r="D367" s="29" t="s">
        <v>1904</v>
      </c>
      <c r="E367" s="29" t="s">
        <v>327</v>
      </c>
      <c r="F367" s="29" t="s">
        <v>1896</v>
      </c>
      <c r="G367" s="29" t="s">
        <v>1905</v>
      </c>
      <c r="H367" s="29" t="s">
        <v>1898</v>
      </c>
      <c r="I367" s="29" t="s">
        <v>302</v>
      </c>
      <c r="J367" s="29" t="s">
        <v>202</v>
      </c>
      <c r="K367" s="30" t="s">
        <v>44</v>
      </c>
      <c r="L367" s="31"/>
      <c r="M367" s="29" t="s">
        <v>1899</v>
      </c>
    </row>
    <row r="368" customFormat="false" ht="76.5" hidden="false" customHeight="true" outlineLevel="0" collapsed="false">
      <c r="B368" s="29" t="s">
        <v>1906</v>
      </c>
      <c r="C368" s="29" t="s">
        <v>282</v>
      </c>
      <c r="D368" s="29" t="s">
        <v>1907</v>
      </c>
      <c r="E368" s="29" t="s">
        <v>327</v>
      </c>
      <c r="F368" s="29" t="s">
        <v>1896</v>
      </c>
      <c r="G368" s="29" t="s">
        <v>1908</v>
      </c>
      <c r="H368" s="29" t="s">
        <v>1898</v>
      </c>
      <c r="I368" s="29" t="s">
        <v>302</v>
      </c>
      <c r="J368" s="29" t="s">
        <v>202</v>
      </c>
      <c r="K368" s="30" t="s">
        <v>44</v>
      </c>
      <c r="L368" s="31"/>
      <c r="M368" s="29" t="s">
        <v>1899</v>
      </c>
    </row>
    <row r="369" customFormat="false" ht="76.5" hidden="false" customHeight="true" outlineLevel="0" collapsed="false">
      <c r="B369" s="29" t="s">
        <v>1909</v>
      </c>
      <c r="C369" s="29" t="s">
        <v>282</v>
      </c>
      <c r="D369" s="29" t="s">
        <v>1910</v>
      </c>
      <c r="E369" s="29" t="s">
        <v>39</v>
      </c>
      <c r="F369" s="29" t="s">
        <v>1911</v>
      </c>
      <c r="G369" s="29" t="s">
        <v>1912</v>
      </c>
      <c r="H369" s="29" t="s">
        <v>1913</v>
      </c>
      <c r="I369" s="29" t="s">
        <v>460</v>
      </c>
      <c r="J369" s="29" t="s">
        <v>763</v>
      </c>
      <c r="K369" s="30" t="s">
        <v>44</v>
      </c>
      <c r="L369" s="31"/>
      <c r="M369" s="29" t="s">
        <v>45</v>
      </c>
    </row>
    <row r="370" customFormat="false" ht="76.5" hidden="false" customHeight="true" outlineLevel="0" collapsed="false">
      <c r="B370" s="29" t="s">
        <v>1914</v>
      </c>
      <c r="C370" s="29" t="s">
        <v>282</v>
      </c>
      <c r="D370" s="29" t="s">
        <v>1915</v>
      </c>
      <c r="E370" s="29" t="s">
        <v>357</v>
      </c>
      <c r="F370" s="29" t="s">
        <v>1911</v>
      </c>
      <c r="G370" s="29" t="s">
        <v>1916</v>
      </c>
      <c r="H370" s="29" t="s">
        <v>1917</v>
      </c>
      <c r="I370" s="29" t="s">
        <v>302</v>
      </c>
      <c r="J370" s="29" t="s">
        <v>202</v>
      </c>
      <c r="K370" s="30" t="s">
        <v>44</v>
      </c>
      <c r="L370" s="31"/>
      <c r="M370" s="29" t="s">
        <v>45</v>
      </c>
    </row>
    <row r="371" customFormat="false" ht="76.5" hidden="false" customHeight="true" outlineLevel="0" collapsed="false">
      <c r="B371" s="29" t="s">
        <v>1918</v>
      </c>
      <c r="C371" s="29" t="s">
        <v>282</v>
      </c>
      <c r="D371" s="29" t="s">
        <v>1919</v>
      </c>
      <c r="E371" s="29" t="s">
        <v>351</v>
      </c>
      <c r="F371" s="29" t="s">
        <v>1911</v>
      </c>
      <c r="G371" s="29" t="s">
        <v>1920</v>
      </c>
      <c r="H371" s="29" t="s">
        <v>1917</v>
      </c>
      <c r="I371" s="29" t="s">
        <v>302</v>
      </c>
      <c r="J371" s="29" t="s">
        <v>202</v>
      </c>
      <c r="K371" s="30" t="s">
        <v>44</v>
      </c>
      <c r="L371" s="31"/>
      <c r="M371" s="29" t="s">
        <v>45</v>
      </c>
    </row>
    <row r="372" customFormat="false" ht="76.5" hidden="false" customHeight="true" outlineLevel="0" collapsed="false">
      <c r="B372" s="29" t="s">
        <v>1921</v>
      </c>
      <c r="C372" s="29" t="s">
        <v>282</v>
      </c>
      <c r="D372" s="29" t="s">
        <v>1922</v>
      </c>
      <c r="E372" s="29" t="s">
        <v>351</v>
      </c>
      <c r="F372" s="29" t="s">
        <v>1911</v>
      </c>
      <c r="G372" s="29" t="s">
        <v>1923</v>
      </c>
      <c r="H372" s="29" t="s">
        <v>1917</v>
      </c>
      <c r="I372" s="29" t="s">
        <v>302</v>
      </c>
      <c r="J372" s="29" t="s">
        <v>202</v>
      </c>
      <c r="K372" s="30" t="s">
        <v>44</v>
      </c>
      <c r="L372" s="31"/>
      <c r="M372" s="29" t="s">
        <v>45</v>
      </c>
    </row>
    <row r="373" customFormat="false" ht="140.25" hidden="false" customHeight="true" outlineLevel="0" collapsed="false">
      <c r="B373" s="29" t="s">
        <v>1924</v>
      </c>
      <c r="C373" s="29" t="s">
        <v>282</v>
      </c>
      <c r="D373" s="29" t="s">
        <v>1925</v>
      </c>
      <c r="E373" s="29" t="s">
        <v>357</v>
      </c>
      <c r="F373" s="29" t="s">
        <v>1926</v>
      </c>
      <c r="G373" s="29" t="s">
        <v>1927</v>
      </c>
      <c r="H373" s="29" t="s">
        <v>1928</v>
      </c>
      <c r="I373" s="29" t="s">
        <v>154</v>
      </c>
      <c r="J373" s="29" t="s">
        <v>155</v>
      </c>
      <c r="K373" s="30" t="s">
        <v>44</v>
      </c>
      <c r="L373" s="31"/>
      <c r="M373" s="29" t="s">
        <v>45</v>
      </c>
    </row>
    <row r="374" customFormat="false" ht="76.5" hidden="false" customHeight="true" outlineLevel="0" collapsed="false">
      <c r="B374" s="29" t="s">
        <v>1929</v>
      </c>
      <c r="C374" s="29" t="s">
        <v>282</v>
      </c>
      <c r="D374" s="29" t="s">
        <v>1930</v>
      </c>
      <c r="E374" s="29" t="s">
        <v>543</v>
      </c>
      <c r="F374" s="29" t="s">
        <v>1931</v>
      </c>
      <c r="G374" s="29" t="s">
        <v>1932</v>
      </c>
      <c r="H374" s="29" t="s">
        <v>1933</v>
      </c>
      <c r="I374" s="29" t="s">
        <v>472</v>
      </c>
      <c r="J374" s="29" t="s">
        <v>472</v>
      </c>
      <c r="K374" s="30" t="s">
        <v>44</v>
      </c>
      <c r="L374" s="31"/>
      <c r="M374" s="29" t="s">
        <v>45</v>
      </c>
    </row>
    <row r="375" customFormat="false" ht="191.25" hidden="false" customHeight="true" outlineLevel="0" collapsed="false">
      <c r="B375" s="29" t="s">
        <v>1934</v>
      </c>
      <c r="C375" s="29" t="s">
        <v>282</v>
      </c>
      <c r="D375" s="29" t="s">
        <v>1935</v>
      </c>
      <c r="E375" s="29" t="s">
        <v>357</v>
      </c>
      <c r="F375" s="29" t="s">
        <v>1936</v>
      </c>
      <c r="G375" s="29" t="s">
        <v>1937</v>
      </c>
      <c r="H375" s="29" t="s">
        <v>1938</v>
      </c>
      <c r="I375" s="29" t="s">
        <v>154</v>
      </c>
      <c r="J375" s="29" t="s">
        <v>155</v>
      </c>
      <c r="K375" s="30" t="s">
        <v>44</v>
      </c>
      <c r="L375" s="31"/>
      <c r="M375" s="29" t="s">
        <v>45</v>
      </c>
    </row>
    <row r="376" customFormat="false" ht="76.5" hidden="false" customHeight="true" outlineLevel="0" collapsed="false">
      <c r="B376" s="29" t="s">
        <v>1939</v>
      </c>
      <c r="C376" s="29" t="s">
        <v>282</v>
      </c>
      <c r="D376" s="29" t="s">
        <v>1940</v>
      </c>
      <c r="E376" s="29" t="s">
        <v>600</v>
      </c>
      <c r="F376" s="29" t="s">
        <v>1911</v>
      </c>
      <c r="G376" s="29" t="s">
        <v>1941</v>
      </c>
      <c r="H376" s="29" t="s">
        <v>1942</v>
      </c>
      <c r="I376" s="29" t="s">
        <v>1943</v>
      </c>
      <c r="J376" s="29" t="s">
        <v>1944</v>
      </c>
      <c r="K376" s="30" t="s">
        <v>62</v>
      </c>
      <c r="L376" s="31"/>
      <c r="M376" s="29"/>
    </row>
    <row r="377" customFormat="false" ht="76.5" hidden="false" customHeight="true" outlineLevel="0" collapsed="false">
      <c r="B377" s="29" t="s">
        <v>1945</v>
      </c>
      <c r="C377" s="29" t="s">
        <v>282</v>
      </c>
      <c r="D377" s="29" t="s">
        <v>1946</v>
      </c>
      <c r="E377" s="29" t="s">
        <v>327</v>
      </c>
      <c r="F377" s="29" t="s">
        <v>1947</v>
      </c>
      <c r="G377" s="29" t="s">
        <v>1948</v>
      </c>
      <c r="H377" s="29" t="s">
        <v>1949</v>
      </c>
      <c r="I377" s="29" t="s">
        <v>302</v>
      </c>
      <c r="J377" s="29" t="s">
        <v>202</v>
      </c>
      <c r="K377" s="30" t="s">
        <v>44</v>
      </c>
      <c r="L377" s="31"/>
      <c r="M377" s="29" t="s">
        <v>366</v>
      </c>
    </row>
    <row r="378" customFormat="false" ht="409.5" hidden="false" customHeight="true" outlineLevel="0" collapsed="false">
      <c r="B378" s="29" t="s">
        <v>1950</v>
      </c>
      <c r="C378" s="29" t="s">
        <v>282</v>
      </c>
      <c r="D378" s="29" t="s">
        <v>1951</v>
      </c>
      <c r="E378" s="29" t="s">
        <v>99</v>
      </c>
      <c r="F378" s="29" t="s">
        <v>1952</v>
      </c>
      <c r="G378" s="29" t="s">
        <v>1953</v>
      </c>
      <c r="H378" s="29" t="s">
        <v>1954</v>
      </c>
      <c r="I378" s="29" t="s">
        <v>539</v>
      </c>
      <c r="J378" s="29" t="s">
        <v>540</v>
      </c>
      <c r="K378" s="30" t="s">
        <v>44</v>
      </c>
      <c r="L378" s="31"/>
      <c r="M378" s="29" t="s">
        <v>45</v>
      </c>
    </row>
    <row r="379" customFormat="false" ht="127.5" hidden="false" customHeight="true" outlineLevel="0" collapsed="false">
      <c r="B379" s="29" t="s">
        <v>1955</v>
      </c>
      <c r="C379" s="29" t="s">
        <v>282</v>
      </c>
      <c r="D379" s="29" t="s">
        <v>1956</v>
      </c>
      <c r="E379" s="29" t="s">
        <v>78</v>
      </c>
      <c r="F379" s="29" t="s">
        <v>1957</v>
      </c>
      <c r="G379" s="29" t="s">
        <v>1958</v>
      </c>
      <c r="H379" s="29" t="s">
        <v>1959</v>
      </c>
      <c r="I379" s="29" t="s">
        <v>1960</v>
      </c>
      <c r="J379" s="29" t="s">
        <v>1961</v>
      </c>
      <c r="K379" s="30" t="s">
        <v>62</v>
      </c>
      <c r="L379" s="31"/>
      <c r="M379" s="29"/>
    </row>
    <row r="380" customFormat="false" ht="165.75" hidden="false" customHeight="true" outlineLevel="0" collapsed="false">
      <c r="B380" s="29" t="s">
        <v>1962</v>
      </c>
      <c r="C380" s="29" t="s">
        <v>282</v>
      </c>
      <c r="D380" s="29" t="s">
        <v>1963</v>
      </c>
      <c r="E380" s="29" t="s">
        <v>39</v>
      </c>
      <c r="F380" s="29" t="s">
        <v>1964</v>
      </c>
      <c r="G380" s="29" t="s">
        <v>1965</v>
      </c>
      <c r="H380" s="29" t="s">
        <v>1966</v>
      </c>
      <c r="I380" s="29" t="s">
        <v>831</v>
      </c>
      <c r="J380" s="29" t="s">
        <v>1967</v>
      </c>
      <c r="K380" s="30" t="s">
        <v>62</v>
      </c>
      <c r="L380" s="31"/>
      <c r="M380" s="29"/>
    </row>
    <row r="381" customFormat="false" ht="38.25" hidden="false" customHeight="true" outlineLevel="0" collapsed="false">
      <c r="B381" s="29" t="s">
        <v>1968</v>
      </c>
      <c r="C381" s="29" t="s">
        <v>282</v>
      </c>
      <c r="D381" s="29" t="s">
        <v>1969</v>
      </c>
      <c r="E381" s="29" t="s">
        <v>39</v>
      </c>
      <c r="F381" s="29" t="s">
        <v>1970</v>
      </c>
      <c r="G381" s="29" t="s">
        <v>1971</v>
      </c>
      <c r="H381" s="29" t="s">
        <v>1972</v>
      </c>
      <c r="I381" s="29" t="s">
        <v>42</v>
      </c>
      <c r="J381" s="29" t="s">
        <v>43</v>
      </c>
      <c r="K381" s="30" t="s">
        <v>44</v>
      </c>
      <c r="L381" s="31"/>
      <c r="M381" s="29" t="s">
        <v>1973</v>
      </c>
    </row>
    <row r="382" customFormat="false" ht="63.75" hidden="false" customHeight="true" outlineLevel="0" collapsed="false">
      <c r="B382" s="29" t="s">
        <v>1974</v>
      </c>
      <c r="C382" s="29" t="s">
        <v>282</v>
      </c>
      <c r="D382" s="29" t="s">
        <v>1975</v>
      </c>
      <c r="E382" s="29" t="s">
        <v>351</v>
      </c>
      <c r="F382" s="29" t="s">
        <v>1976</v>
      </c>
      <c r="G382" s="29" t="s">
        <v>1977</v>
      </c>
      <c r="H382" s="29" t="s">
        <v>1978</v>
      </c>
      <c r="I382" s="29" t="s">
        <v>302</v>
      </c>
      <c r="J382" s="29" t="s">
        <v>202</v>
      </c>
      <c r="K382" s="30" t="s">
        <v>44</v>
      </c>
      <c r="L382" s="31"/>
      <c r="M382" s="29" t="s">
        <v>45</v>
      </c>
    </row>
    <row r="383" customFormat="false" ht="140.25" hidden="false" customHeight="true" outlineLevel="0" collapsed="false">
      <c r="B383" s="29" t="s">
        <v>1979</v>
      </c>
      <c r="C383" s="29" t="s">
        <v>282</v>
      </c>
      <c r="D383" s="29" t="s">
        <v>1980</v>
      </c>
      <c r="E383" s="29" t="s">
        <v>600</v>
      </c>
      <c r="F383" s="29" t="s">
        <v>1981</v>
      </c>
      <c r="G383" s="29" t="s">
        <v>1982</v>
      </c>
      <c r="H383" s="29" t="s">
        <v>1983</v>
      </c>
      <c r="I383" s="29" t="s">
        <v>154</v>
      </c>
      <c r="J383" s="29" t="s">
        <v>155</v>
      </c>
      <c r="K383" s="30" t="s">
        <v>44</v>
      </c>
      <c r="L383" s="31"/>
      <c r="M383" s="29" t="s">
        <v>45</v>
      </c>
    </row>
    <row r="384" customFormat="false" ht="51" hidden="false" customHeight="true" outlineLevel="0" collapsed="false">
      <c r="B384" s="29" t="s">
        <v>1984</v>
      </c>
      <c r="C384" s="29" t="s">
        <v>282</v>
      </c>
      <c r="D384" s="29" t="s">
        <v>1985</v>
      </c>
      <c r="E384" s="29" t="s">
        <v>206</v>
      </c>
      <c r="F384" s="29" t="s">
        <v>1986</v>
      </c>
      <c r="G384" s="29" t="s">
        <v>1987</v>
      </c>
      <c r="H384" s="29" t="s">
        <v>1988</v>
      </c>
      <c r="I384" s="29" t="s">
        <v>302</v>
      </c>
      <c r="J384" s="29" t="s">
        <v>202</v>
      </c>
      <c r="K384" s="30" t="s">
        <v>44</v>
      </c>
      <c r="L384" s="31"/>
      <c r="M384" s="29" t="s">
        <v>45</v>
      </c>
    </row>
    <row r="385" customFormat="false" ht="102" hidden="false" customHeight="true" outlineLevel="0" collapsed="false">
      <c r="B385" s="29" t="s">
        <v>1989</v>
      </c>
      <c r="C385" s="29" t="s">
        <v>282</v>
      </c>
      <c r="D385" s="29" t="s">
        <v>1990</v>
      </c>
      <c r="E385" s="29" t="s">
        <v>351</v>
      </c>
      <c r="F385" s="29" t="s">
        <v>1991</v>
      </c>
      <c r="G385" s="29" t="s">
        <v>1992</v>
      </c>
      <c r="H385" s="29" t="s">
        <v>1993</v>
      </c>
      <c r="I385" s="29" t="s">
        <v>302</v>
      </c>
      <c r="J385" s="29" t="s">
        <v>202</v>
      </c>
      <c r="K385" s="30" t="s">
        <v>44</v>
      </c>
      <c r="L385" s="31"/>
      <c r="M385" s="29" t="s">
        <v>45</v>
      </c>
    </row>
    <row r="386" customFormat="false" ht="140.25" hidden="false" customHeight="true" outlineLevel="0" collapsed="false">
      <c r="B386" s="29" t="s">
        <v>1994</v>
      </c>
      <c r="C386" s="29" t="s">
        <v>282</v>
      </c>
      <c r="D386" s="29" t="s">
        <v>1995</v>
      </c>
      <c r="E386" s="29" t="s">
        <v>351</v>
      </c>
      <c r="F386" s="29" t="s">
        <v>1996</v>
      </c>
      <c r="G386" s="29" t="s">
        <v>1997</v>
      </c>
      <c r="H386" s="29" t="s">
        <v>1998</v>
      </c>
      <c r="I386" s="29" t="s">
        <v>302</v>
      </c>
      <c r="J386" s="29" t="s">
        <v>202</v>
      </c>
      <c r="K386" s="30" t="s">
        <v>44</v>
      </c>
      <c r="L386" s="31"/>
      <c r="M386" s="29" t="s">
        <v>45</v>
      </c>
    </row>
    <row r="387" customFormat="false" ht="89.25" hidden="false" customHeight="true" outlineLevel="0" collapsed="false">
      <c r="B387" s="29" t="s">
        <v>1999</v>
      </c>
      <c r="C387" s="29" t="s">
        <v>282</v>
      </c>
      <c r="D387" s="29" t="s">
        <v>2000</v>
      </c>
      <c r="E387" s="29" t="s">
        <v>543</v>
      </c>
      <c r="F387" s="29" t="s">
        <v>2001</v>
      </c>
      <c r="G387" s="29" t="s">
        <v>2002</v>
      </c>
      <c r="H387" s="29" t="s">
        <v>2003</v>
      </c>
      <c r="I387" s="29" t="s">
        <v>472</v>
      </c>
      <c r="J387" s="29" t="s">
        <v>472</v>
      </c>
      <c r="K387" s="30" t="s">
        <v>44</v>
      </c>
      <c r="L387" s="31"/>
      <c r="M387" s="29" t="s">
        <v>45</v>
      </c>
    </row>
    <row r="388" customFormat="false" ht="127.5" hidden="false" customHeight="true" outlineLevel="0" collapsed="false">
      <c r="B388" s="29" t="s">
        <v>2004</v>
      </c>
      <c r="C388" s="29" t="s">
        <v>282</v>
      </c>
      <c r="D388" s="29" t="s">
        <v>2005</v>
      </c>
      <c r="E388" s="29" t="s">
        <v>600</v>
      </c>
      <c r="F388" s="29" t="s">
        <v>1911</v>
      </c>
      <c r="G388" s="29" t="s">
        <v>2006</v>
      </c>
      <c r="H388" s="29" t="s">
        <v>2007</v>
      </c>
      <c r="I388" s="29" t="s">
        <v>154</v>
      </c>
      <c r="J388" s="29" t="s">
        <v>155</v>
      </c>
      <c r="K388" s="30" t="s">
        <v>44</v>
      </c>
      <c r="L388" s="31"/>
      <c r="M388" s="29" t="s">
        <v>45</v>
      </c>
    </row>
    <row r="389" customFormat="false" ht="89.25" hidden="false" customHeight="true" outlineLevel="0" collapsed="false">
      <c r="B389" s="29" t="s">
        <v>2008</v>
      </c>
      <c r="C389" s="29" t="s">
        <v>282</v>
      </c>
      <c r="D389" s="29" t="s">
        <v>2009</v>
      </c>
      <c r="E389" s="29" t="s">
        <v>600</v>
      </c>
      <c r="F389" s="29" t="s">
        <v>2010</v>
      </c>
      <c r="G389" s="29" t="s">
        <v>2011</v>
      </c>
      <c r="H389" s="29" t="s">
        <v>2012</v>
      </c>
      <c r="I389" s="29" t="s">
        <v>154</v>
      </c>
      <c r="J389" s="29" t="s">
        <v>155</v>
      </c>
      <c r="K389" s="30" t="s">
        <v>44</v>
      </c>
      <c r="L389" s="31"/>
      <c r="M389" s="29" t="s">
        <v>45</v>
      </c>
    </row>
    <row r="390" customFormat="false" ht="76.5" hidden="false" customHeight="true" outlineLevel="0" collapsed="false">
      <c r="B390" s="29" t="s">
        <v>2013</v>
      </c>
      <c r="C390" s="29" t="s">
        <v>282</v>
      </c>
      <c r="D390" s="29" t="s">
        <v>2014</v>
      </c>
      <c r="E390" s="29" t="s">
        <v>351</v>
      </c>
      <c r="F390" s="29" t="s">
        <v>2015</v>
      </c>
      <c r="G390" s="29" t="s">
        <v>2016</v>
      </c>
      <c r="H390" s="29" t="s">
        <v>2017</v>
      </c>
      <c r="I390" s="29" t="s">
        <v>154</v>
      </c>
      <c r="J390" s="29" t="s">
        <v>155</v>
      </c>
      <c r="K390" s="30" t="s">
        <v>44</v>
      </c>
      <c r="L390" s="31"/>
      <c r="M390" s="29" t="s">
        <v>45</v>
      </c>
    </row>
    <row r="391" customFormat="false" ht="191.25" hidden="false" customHeight="true" outlineLevel="0" collapsed="false">
      <c r="B391" s="29" t="s">
        <v>2018</v>
      </c>
      <c r="C391" s="29" t="s">
        <v>282</v>
      </c>
      <c r="D391" s="29" t="s">
        <v>2019</v>
      </c>
      <c r="E391" s="29" t="s">
        <v>340</v>
      </c>
      <c r="F391" s="29" t="s">
        <v>2020</v>
      </c>
      <c r="G391" s="29" t="s">
        <v>2021</v>
      </c>
      <c r="H391" s="29" t="s">
        <v>2022</v>
      </c>
      <c r="I391" s="29" t="s">
        <v>42</v>
      </c>
      <c r="J391" s="29" t="s">
        <v>1386</v>
      </c>
      <c r="K391" s="30" t="s">
        <v>44</v>
      </c>
      <c r="L391" s="31"/>
      <c r="M391" s="29" t="s">
        <v>45</v>
      </c>
    </row>
    <row r="392" customFormat="false" ht="114.75" hidden="false" customHeight="true" outlineLevel="0" collapsed="false">
      <c r="B392" s="29" t="s">
        <v>2023</v>
      </c>
      <c r="C392" s="29" t="s">
        <v>282</v>
      </c>
      <c r="D392" s="29" t="s">
        <v>2024</v>
      </c>
      <c r="E392" s="29" t="s">
        <v>327</v>
      </c>
      <c r="F392" s="29" t="s">
        <v>2025</v>
      </c>
      <c r="G392" s="29" t="s">
        <v>2026</v>
      </c>
      <c r="H392" s="29" t="s">
        <v>2027</v>
      </c>
      <c r="I392" s="29" t="s">
        <v>302</v>
      </c>
      <c r="J392" s="29" t="s">
        <v>202</v>
      </c>
      <c r="K392" s="30" t="s">
        <v>44</v>
      </c>
      <c r="L392" s="31"/>
      <c r="M392" s="29" t="s">
        <v>366</v>
      </c>
    </row>
    <row r="393" customFormat="false" ht="140.25" hidden="false" customHeight="true" outlineLevel="0" collapsed="false">
      <c r="B393" s="29" t="s">
        <v>2028</v>
      </c>
      <c r="C393" s="29" t="s">
        <v>282</v>
      </c>
      <c r="D393" s="29" t="s">
        <v>2029</v>
      </c>
      <c r="E393" s="29" t="s">
        <v>39</v>
      </c>
      <c r="F393" s="29" t="s">
        <v>2030</v>
      </c>
      <c r="G393" s="29" t="s">
        <v>2031</v>
      </c>
      <c r="H393" s="29" t="s">
        <v>2032</v>
      </c>
      <c r="I393" s="29" t="s">
        <v>95</v>
      </c>
      <c r="J393" s="29" t="s">
        <v>1350</v>
      </c>
      <c r="K393" s="30" t="s">
        <v>44</v>
      </c>
      <c r="L393" s="31"/>
      <c r="M393" s="29" t="s">
        <v>45</v>
      </c>
    </row>
    <row r="394" customFormat="false" ht="89.25" hidden="false" customHeight="true" outlineLevel="0" collapsed="false">
      <c r="B394" s="29" t="s">
        <v>2033</v>
      </c>
      <c r="C394" s="29" t="s">
        <v>282</v>
      </c>
      <c r="D394" s="29" t="s">
        <v>2034</v>
      </c>
      <c r="E394" s="29" t="s">
        <v>39</v>
      </c>
      <c r="F394" s="29" t="s">
        <v>1911</v>
      </c>
      <c r="G394" s="29" t="s">
        <v>2035</v>
      </c>
      <c r="H394" s="29" t="s">
        <v>2036</v>
      </c>
      <c r="I394" s="29" t="s">
        <v>95</v>
      </c>
      <c r="J394" s="29" t="s">
        <v>503</v>
      </c>
      <c r="K394" s="30" t="s">
        <v>62</v>
      </c>
      <c r="L394" s="31"/>
      <c r="M394" s="29"/>
    </row>
    <row r="395" customFormat="false" ht="102" hidden="false" customHeight="true" outlineLevel="0" collapsed="false">
      <c r="B395" s="29" t="s">
        <v>2037</v>
      </c>
      <c r="C395" s="29" t="s">
        <v>282</v>
      </c>
      <c r="D395" s="29" t="s">
        <v>2038</v>
      </c>
      <c r="E395" s="29" t="s">
        <v>151</v>
      </c>
      <c r="F395" s="29" t="s">
        <v>2039</v>
      </c>
      <c r="G395" s="29" t="s">
        <v>2040</v>
      </c>
      <c r="H395" s="29" t="s">
        <v>2041</v>
      </c>
      <c r="I395" s="29" t="s">
        <v>472</v>
      </c>
      <c r="J395" s="29" t="s">
        <v>472</v>
      </c>
      <c r="K395" s="30" t="s">
        <v>44</v>
      </c>
      <c r="L395" s="31"/>
      <c r="M395" s="29" t="s">
        <v>45</v>
      </c>
    </row>
    <row r="396" customFormat="false" ht="89.25" hidden="false" customHeight="true" outlineLevel="0" collapsed="false">
      <c r="B396" s="29" t="s">
        <v>2042</v>
      </c>
      <c r="C396" s="29" t="s">
        <v>282</v>
      </c>
      <c r="D396" s="29" t="s">
        <v>2043</v>
      </c>
      <c r="E396" s="29" t="s">
        <v>151</v>
      </c>
      <c r="F396" s="29" t="s">
        <v>2044</v>
      </c>
      <c r="G396" s="29" t="s">
        <v>2045</v>
      </c>
      <c r="H396" s="29" t="s">
        <v>2046</v>
      </c>
      <c r="I396" s="29" t="s">
        <v>472</v>
      </c>
      <c r="J396" s="29" t="s">
        <v>472</v>
      </c>
      <c r="K396" s="30" t="s">
        <v>44</v>
      </c>
      <c r="L396" s="31"/>
      <c r="M396" s="29" t="s">
        <v>45</v>
      </c>
    </row>
    <row r="397" customFormat="false" ht="89.25" hidden="false" customHeight="true" outlineLevel="0" collapsed="false">
      <c r="B397" s="29" t="s">
        <v>2047</v>
      </c>
      <c r="C397" s="29" t="s">
        <v>282</v>
      </c>
      <c r="D397" s="29" t="s">
        <v>2048</v>
      </c>
      <c r="E397" s="29" t="s">
        <v>151</v>
      </c>
      <c r="F397" s="29" t="s">
        <v>2049</v>
      </c>
      <c r="G397" s="29" t="s">
        <v>2050</v>
      </c>
      <c r="H397" s="29" t="s">
        <v>2051</v>
      </c>
      <c r="I397" s="29" t="s">
        <v>472</v>
      </c>
      <c r="J397" s="29" t="s">
        <v>472</v>
      </c>
      <c r="K397" s="30" t="s">
        <v>44</v>
      </c>
      <c r="L397" s="31"/>
      <c r="M397" s="29" t="s">
        <v>45</v>
      </c>
    </row>
    <row r="398" customFormat="false" ht="114.75" hidden="false" customHeight="true" outlineLevel="0" collapsed="false">
      <c r="B398" s="29" t="s">
        <v>2052</v>
      </c>
      <c r="C398" s="29" t="s">
        <v>282</v>
      </c>
      <c r="D398" s="29" t="s">
        <v>2053</v>
      </c>
      <c r="E398" s="29" t="s">
        <v>600</v>
      </c>
      <c r="F398" s="29" t="s">
        <v>2054</v>
      </c>
      <c r="G398" s="29" t="s">
        <v>2055</v>
      </c>
      <c r="H398" s="29" t="s">
        <v>2056</v>
      </c>
      <c r="I398" s="29" t="s">
        <v>472</v>
      </c>
      <c r="J398" s="29" t="s">
        <v>472</v>
      </c>
      <c r="K398" s="30" t="s">
        <v>44</v>
      </c>
      <c r="L398" s="31"/>
      <c r="M398" s="29" t="s">
        <v>45</v>
      </c>
    </row>
    <row r="399" customFormat="false" ht="409.5" hidden="false" customHeight="true" outlineLevel="0" collapsed="false">
      <c r="B399" s="29" t="s">
        <v>2057</v>
      </c>
      <c r="C399" s="29" t="s">
        <v>282</v>
      </c>
      <c r="D399" s="29" t="s">
        <v>2058</v>
      </c>
      <c r="E399" s="29" t="s">
        <v>91</v>
      </c>
      <c r="F399" s="29" t="s">
        <v>2059</v>
      </c>
      <c r="G399" s="29" t="s">
        <v>2060</v>
      </c>
      <c r="H399" s="29" t="s">
        <v>2061</v>
      </c>
      <c r="I399" s="29" t="s">
        <v>42</v>
      </c>
      <c r="J399" s="29" t="s">
        <v>261</v>
      </c>
      <c r="K399" s="30" t="s">
        <v>44</v>
      </c>
      <c r="L399" s="31"/>
      <c r="M399" s="29" t="s">
        <v>45</v>
      </c>
    </row>
    <row r="400" customFormat="false" ht="89.25" hidden="false" customHeight="true" outlineLevel="0" collapsed="false">
      <c r="B400" s="29" t="s">
        <v>2062</v>
      </c>
      <c r="C400" s="29" t="s">
        <v>282</v>
      </c>
      <c r="D400" s="29" t="s">
        <v>2063</v>
      </c>
      <c r="E400" s="29" t="s">
        <v>327</v>
      </c>
      <c r="F400" s="29" t="s">
        <v>2064</v>
      </c>
      <c r="G400" s="29" t="s">
        <v>2065</v>
      </c>
      <c r="H400" s="29" t="s">
        <v>2066</v>
      </c>
      <c r="I400" s="29" t="s">
        <v>302</v>
      </c>
      <c r="J400" s="29" t="s">
        <v>202</v>
      </c>
      <c r="K400" s="30" t="s">
        <v>44</v>
      </c>
      <c r="L400" s="31"/>
      <c r="M400" s="29" t="s">
        <v>366</v>
      </c>
    </row>
    <row r="401" customFormat="false" ht="153" hidden="false" customHeight="true" outlineLevel="0" collapsed="false">
      <c r="B401" s="29" t="s">
        <v>2067</v>
      </c>
      <c r="C401" s="29" t="s">
        <v>282</v>
      </c>
      <c r="D401" s="29" t="s">
        <v>2068</v>
      </c>
      <c r="E401" s="29" t="s">
        <v>151</v>
      </c>
      <c r="F401" s="29" t="s">
        <v>2069</v>
      </c>
      <c r="G401" s="29" t="s">
        <v>2070</v>
      </c>
      <c r="H401" s="29" t="s">
        <v>2071</v>
      </c>
      <c r="I401" s="29" t="s">
        <v>154</v>
      </c>
      <c r="J401" s="29" t="s">
        <v>155</v>
      </c>
      <c r="K401" s="30" t="s">
        <v>44</v>
      </c>
      <c r="L401" s="31"/>
      <c r="M401" s="29" t="s">
        <v>45</v>
      </c>
    </row>
    <row r="402" customFormat="false" ht="408" hidden="false" customHeight="true" outlineLevel="0" collapsed="false">
      <c r="B402" s="29" t="s">
        <v>2072</v>
      </c>
      <c r="C402" s="29" t="s">
        <v>282</v>
      </c>
      <c r="D402" s="29" t="s">
        <v>2073</v>
      </c>
      <c r="E402" s="29" t="s">
        <v>351</v>
      </c>
      <c r="F402" s="29" t="s">
        <v>2074</v>
      </c>
      <c r="G402" s="29" t="s">
        <v>2075</v>
      </c>
      <c r="H402" s="29" t="s">
        <v>2076</v>
      </c>
      <c r="I402" s="29" t="s">
        <v>302</v>
      </c>
      <c r="J402" s="29" t="s">
        <v>202</v>
      </c>
      <c r="K402" s="30" t="s">
        <v>44</v>
      </c>
      <c r="L402" s="31"/>
      <c r="M402" s="29" t="s">
        <v>45</v>
      </c>
    </row>
    <row r="403" customFormat="false" ht="63.75" hidden="false" customHeight="true" outlineLevel="0" collapsed="false">
      <c r="B403" s="29" t="s">
        <v>2077</v>
      </c>
      <c r="C403" s="29" t="s">
        <v>282</v>
      </c>
      <c r="D403" s="29" t="s">
        <v>2078</v>
      </c>
      <c r="E403" s="29" t="s">
        <v>206</v>
      </c>
      <c r="F403" s="29" t="s">
        <v>2079</v>
      </c>
      <c r="G403" s="29" t="s">
        <v>2080</v>
      </c>
      <c r="H403" s="29" t="s">
        <v>2081</v>
      </c>
      <c r="I403" s="29" t="s">
        <v>302</v>
      </c>
      <c r="J403" s="29" t="s">
        <v>202</v>
      </c>
      <c r="K403" s="30" t="s">
        <v>44</v>
      </c>
      <c r="L403" s="31"/>
      <c r="M403" s="29" t="s">
        <v>45</v>
      </c>
    </row>
    <row r="404" customFormat="false" ht="165.75" hidden="false" customHeight="true" outlineLevel="0" collapsed="false">
      <c r="B404" s="29" t="s">
        <v>2082</v>
      </c>
      <c r="C404" s="29" t="s">
        <v>282</v>
      </c>
      <c r="D404" s="29" t="s">
        <v>2083</v>
      </c>
      <c r="E404" s="29" t="s">
        <v>206</v>
      </c>
      <c r="F404" s="29" t="s">
        <v>2084</v>
      </c>
      <c r="G404" s="29" t="s">
        <v>2085</v>
      </c>
      <c r="H404" s="29" t="s">
        <v>2086</v>
      </c>
      <c r="I404" s="29" t="s">
        <v>302</v>
      </c>
      <c r="J404" s="29" t="s">
        <v>202</v>
      </c>
      <c r="K404" s="30" t="s">
        <v>44</v>
      </c>
      <c r="L404" s="31"/>
      <c r="M404" s="29" t="s">
        <v>45</v>
      </c>
    </row>
    <row r="405" customFormat="false" ht="38.25" hidden="false" customHeight="true" outlineLevel="0" collapsed="false">
      <c r="B405" s="29" t="s">
        <v>2087</v>
      </c>
      <c r="C405" s="29" t="s">
        <v>282</v>
      </c>
      <c r="D405" s="29" t="s">
        <v>2088</v>
      </c>
      <c r="E405" s="29" t="s">
        <v>357</v>
      </c>
      <c r="F405" s="29" t="s">
        <v>2089</v>
      </c>
      <c r="G405" s="29" t="s">
        <v>2090</v>
      </c>
      <c r="H405" s="29" t="s">
        <v>2091</v>
      </c>
      <c r="I405" s="29" t="s">
        <v>302</v>
      </c>
      <c r="J405" s="29" t="s">
        <v>202</v>
      </c>
      <c r="K405" s="30" t="s">
        <v>44</v>
      </c>
      <c r="L405" s="31"/>
      <c r="M405" s="29" t="s">
        <v>45</v>
      </c>
    </row>
    <row r="406" customFormat="false" ht="102" hidden="false" customHeight="true" outlineLevel="0" collapsed="false">
      <c r="B406" s="29" t="s">
        <v>2092</v>
      </c>
      <c r="C406" s="29" t="s">
        <v>282</v>
      </c>
      <c r="D406" s="29" t="s">
        <v>2093</v>
      </c>
      <c r="E406" s="29" t="s">
        <v>340</v>
      </c>
      <c r="F406" s="29" t="s">
        <v>2094</v>
      </c>
      <c r="G406" s="29" t="s">
        <v>2095</v>
      </c>
      <c r="H406" s="29" t="s">
        <v>2096</v>
      </c>
      <c r="I406" s="29" t="s">
        <v>302</v>
      </c>
      <c r="J406" s="29" t="s">
        <v>202</v>
      </c>
      <c r="K406" s="30" t="s">
        <v>44</v>
      </c>
      <c r="L406" s="31"/>
      <c r="M406" s="29" t="s">
        <v>45</v>
      </c>
    </row>
    <row r="407" customFormat="false" ht="191.25" hidden="false" customHeight="true" outlineLevel="0" collapsed="false">
      <c r="B407" s="29" t="s">
        <v>2097</v>
      </c>
      <c r="C407" s="29" t="s">
        <v>282</v>
      </c>
      <c r="D407" s="29" t="s">
        <v>2098</v>
      </c>
      <c r="E407" s="29" t="s">
        <v>206</v>
      </c>
      <c r="F407" s="29" t="s">
        <v>2099</v>
      </c>
      <c r="G407" s="29" t="s">
        <v>2100</v>
      </c>
      <c r="H407" s="29" t="s">
        <v>2101</v>
      </c>
      <c r="I407" s="29" t="s">
        <v>302</v>
      </c>
      <c r="J407" s="29" t="s">
        <v>202</v>
      </c>
      <c r="K407" s="30" t="s">
        <v>44</v>
      </c>
      <c r="L407" s="31"/>
      <c r="M407" s="29" t="s">
        <v>45</v>
      </c>
    </row>
    <row r="408" customFormat="false" ht="140.25" hidden="false" customHeight="true" outlineLevel="0" collapsed="false">
      <c r="B408" s="29" t="s">
        <v>2102</v>
      </c>
      <c r="C408" s="29" t="s">
        <v>282</v>
      </c>
      <c r="D408" s="29" t="s">
        <v>2103</v>
      </c>
      <c r="E408" s="29" t="s">
        <v>206</v>
      </c>
      <c r="F408" s="29" t="s">
        <v>2104</v>
      </c>
      <c r="G408" s="29" t="s">
        <v>2105</v>
      </c>
      <c r="H408" s="29" t="s">
        <v>2106</v>
      </c>
      <c r="I408" s="29" t="s">
        <v>302</v>
      </c>
      <c r="J408" s="29" t="s">
        <v>202</v>
      </c>
      <c r="K408" s="30" t="s">
        <v>44</v>
      </c>
      <c r="L408" s="31"/>
      <c r="M408" s="29" t="s">
        <v>45</v>
      </c>
    </row>
    <row r="409" customFormat="false" ht="38.25" hidden="false" customHeight="true" outlineLevel="0" collapsed="false">
      <c r="B409" s="29" t="s">
        <v>2107</v>
      </c>
      <c r="C409" s="29" t="s">
        <v>282</v>
      </c>
      <c r="D409" s="29" t="s">
        <v>2108</v>
      </c>
      <c r="E409" s="29" t="s">
        <v>340</v>
      </c>
      <c r="F409" s="29" t="s">
        <v>2109</v>
      </c>
      <c r="G409" s="29" t="s">
        <v>2110</v>
      </c>
      <c r="H409" s="29" t="s">
        <v>2111</v>
      </c>
      <c r="I409" s="29" t="s">
        <v>302</v>
      </c>
      <c r="J409" s="29" t="s">
        <v>202</v>
      </c>
      <c r="K409" s="30" t="s">
        <v>44</v>
      </c>
      <c r="L409" s="31"/>
      <c r="M409" s="29" t="s">
        <v>45</v>
      </c>
    </row>
    <row r="410" customFormat="false" ht="76.5" hidden="false" customHeight="true" outlineLevel="0" collapsed="false">
      <c r="B410" s="29" t="s">
        <v>2112</v>
      </c>
      <c r="C410" s="29" t="s">
        <v>282</v>
      </c>
      <c r="D410" s="29" t="s">
        <v>2113</v>
      </c>
      <c r="E410" s="29" t="s">
        <v>39</v>
      </c>
      <c r="F410" s="29" t="s">
        <v>2114</v>
      </c>
      <c r="G410" s="29" t="s">
        <v>2115</v>
      </c>
      <c r="H410" s="29" t="s">
        <v>2116</v>
      </c>
      <c r="I410" s="29" t="s">
        <v>539</v>
      </c>
      <c r="J410" s="29" t="s">
        <v>2117</v>
      </c>
      <c r="K410" s="30" t="s">
        <v>44</v>
      </c>
      <c r="L410" s="31"/>
      <c r="M410" s="29" t="s">
        <v>45</v>
      </c>
    </row>
    <row r="411" customFormat="false" ht="63.75" hidden="false" customHeight="true" outlineLevel="0" collapsed="false">
      <c r="B411" s="29" t="s">
        <v>2118</v>
      </c>
      <c r="C411" s="29" t="s">
        <v>282</v>
      </c>
      <c r="D411" s="29" t="s">
        <v>2119</v>
      </c>
      <c r="E411" s="29" t="s">
        <v>39</v>
      </c>
      <c r="F411" s="29" t="s">
        <v>2120</v>
      </c>
      <c r="G411" s="29" t="s">
        <v>2121</v>
      </c>
      <c r="H411" s="29" t="s">
        <v>2122</v>
      </c>
      <c r="I411" s="29" t="s">
        <v>42</v>
      </c>
      <c r="J411" s="29" t="s">
        <v>43</v>
      </c>
      <c r="K411" s="30" t="s">
        <v>44</v>
      </c>
      <c r="L411" s="31"/>
      <c r="M411" s="29" t="s">
        <v>45</v>
      </c>
    </row>
    <row r="412" customFormat="false" ht="51" hidden="false" customHeight="true" outlineLevel="0" collapsed="false">
      <c r="B412" s="29" t="s">
        <v>2123</v>
      </c>
      <c r="C412" s="29" t="s">
        <v>282</v>
      </c>
      <c r="D412" s="29" t="s">
        <v>2124</v>
      </c>
      <c r="E412" s="29" t="s">
        <v>340</v>
      </c>
      <c r="F412" s="29" t="s">
        <v>2125</v>
      </c>
      <c r="G412" s="29" t="s">
        <v>2126</v>
      </c>
      <c r="H412" s="29" t="s">
        <v>2127</v>
      </c>
      <c r="I412" s="29" t="s">
        <v>302</v>
      </c>
      <c r="J412" s="29" t="s">
        <v>202</v>
      </c>
      <c r="K412" s="30" t="s">
        <v>44</v>
      </c>
      <c r="L412" s="31"/>
      <c r="M412" s="29" t="s">
        <v>45</v>
      </c>
    </row>
    <row r="413" customFormat="false" ht="89.25" hidden="false" customHeight="true" outlineLevel="0" collapsed="false">
      <c r="B413" s="29" t="s">
        <v>2128</v>
      </c>
      <c r="C413" s="29" t="s">
        <v>282</v>
      </c>
      <c r="D413" s="29" t="s">
        <v>2129</v>
      </c>
      <c r="E413" s="29" t="s">
        <v>357</v>
      </c>
      <c r="F413" s="29" t="s">
        <v>2130</v>
      </c>
      <c r="G413" s="29" t="s">
        <v>2131</v>
      </c>
      <c r="H413" s="29" t="s">
        <v>2132</v>
      </c>
      <c r="I413" s="29" t="s">
        <v>302</v>
      </c>
      <c r="J413" s="29" t="s">
        <v>202</v>
      </c>
      <c r="K413" s="30" t="s">
        <v>44</v>
      </c>
      <c r="L413" s="31"/>
      <c r="M413" s="29" t="s">
        <v>45</v>
      </c>
    </row>
    <row r="414" customFormat="false" ht="114.75" hidden="false" customHeight="true" outlineLevel="0" collapsed="false">
      <c r="B414" s="29" t="s">
        <v>2133</v>
      </c>
      <c r="C414" s="29" t="s">
        <v>282</v>
      </c>
      <c r="D414" s="29" t="s">
        <v>2134</v>
      </c>
      <c r="E414" s="29" t="s">
        <v>357</v>
      </c>
      <c r="F414" s="29" t="s">
        <v>2135</v>
      </c>
      <c r="G414" s="29" t="s">
        <v>2136</v>
      </c>
      <c r="H414" s="29" t="s">
        <v>2137</v>
      </c>
      <c r="I414" s="29" t="s">
        <v>302</v>
      </c>
      <c r="J414" s="29" t="s">
        <v>202</v>
      </c>
      <c r="K414" s="30" t="s">
        <v>44</v>
      </c>
      <c r="L414" s="31"/>
      <c r="M414" s="29" t="s">
        <v>45</v>
      </c>
    </row>
    <row r="415" customFormat="false" ht="51" hidden="false" customHeight="true" outlineLevel="0" collapsed="false">
      <c r="B415" s="29" t="s">
        <v>2138</v>
      </c>
      <c r="C415" s="29" t="s">
        <v>282</v>
      </c>
      <c r="D415" s="29" t="s">
        <v>2139</v>
      </c>
      <c r="E415" s="29" t="s">
        <v>357</v>
      </c>
      <c r="F415" s="29" t="s">
        <v>2140</v>
      </c>
      <c r="G415" s="29" t="s">
        <v>2141</v>
      </c>
      <c r="H415" s="29" t="s">
        <v>2142</v>
      </c>
      <c r="I415" s="29" t="s">
        <v>302</v>
      </c>
      <c r="J415" s="29" t="s">
        <v>202</v>
      </c>
      <c r="K415" s="30" t="s">
        <v>44</v>
      </c>
      <c r="L415" s="31"/>
      <c r="M415" s="29" t="s">
        <v>45</v>
      </c>
    </row>
    <row r="416" customFormat="false" ht="63.75" hidden="false" customHeight="true" outlineLevel="0" collapsed="false">
      <c r="B416" s="29" t="s">
        <v>2143</v>
      </c>
      <c r="C416" s="29" t="s">
        <v>282</v>
      </c>
      <c r="D416" s="29" t="s">
        <v>2144</v>
      </c>
      <c r="E416" s="29" t="s">
        <v>340</v>
      </c>
      <c r="F416" s="29" t="s">
        <v>2145</v>
      </c>
      <c r="G416" s="29" t="s">
        <v>2146</v>
      </c>
      <c r="H416" s="29" t="s">
        <v>2147</v>
      </c>
      <c r="I416" s="29" t="s">
        <v>302</v>
      </c>
      <c r="J416" s="29" t="s">
        <v>202</v>
      </c>
      <c r="K416" s="30" t="s">
        <v>44</v>
      </c>
      <c r="L416" s="31"/>
      <c r="M416" s="29" t="s">
        <v>45</v>
      </c>
    </row>
    <row r="417" customFormat="false" ht="114.75" hidden="false" customHeight="true" outlineLevel="0" collapsed="false">
      <c r="B417" s="29" t="s">
        <v>2148</v>
      </c>
      <c r="C417" s="29" t="s">
        <v>282</v>
      </c>
      <c r="D417" s="29" t="s">
        <v>2149</v>
      </c>
      <c r="E417" s="29" t="s">
        <v>357</v>
      </c>
      <c r="F417" s="29" t="s">
        <v>2150</v>
      </c>
      <c r="G417" s="29" t="s">
        <v>2151</v>
      </c>
      <c r="H417" s="29" t="s">
        <v>2152</v>
      </c>
      <c r="I417" s="29" t="s">
        <v>42</v>
      </c>
      <c r="J417" s="29" t="s">
        <v>43</v>
      </c>
      <c r="K417" s="30" t="s">
        <v>44</v>
      </c>
      <c r="L417" s="31"/>
      <c r="M417" s="29" t="s">
        <v>45</v>
      </c>
    </row>
    <row r="418" customFormat="false" ht="293.25" hidden="false" customHeight="true" outlineLevel="0" collapsed="false">
      <c r="B418" s="29" t="s">
        <v>2153</v>
      </c>
      <c r="C418" s="29" t="s">
        <v>282</v>
      </c>
      <c r="D418" s="29" t="s">
        <v>2154</v>
      </c>
      <c r="E418" s="29" t="s">
        <v>91</v>
      </c>
      <c r="F418" s="29" t="s">
        <v>2155</v>
      </c>
      <c r="G418" s="29" t="s">
        <v>2156</v>
      </c>
      <c r="H418" s="29" t="s">
        <v>2157</v>
      </c>
      <c r="I418" s="29" t="s">
        <v>539</v>
      </c>
      <c r="J418" s="29" t="s">
        <v>2158</v>
      </c>
      <c r="K418" s="30" t="s">
        <v>44</v>
      </c>
      <c r="L418" s="31"/>
      <c r="M418" s="29" t="s">
        <v>45</v>
      </c>
    </row>
    <row r="419" customFormat="false" ht="102" hidden="false" customHeight="true" outlineLevel="0" collapsed="false">
      <c r="B419" s="29" t="s">
        <v>2159</v>
      </c>
      <c r="C419" s="29" t="s">
        <v>282</v>
      </c>
      <c r="D419" s="29" t="s">
        <v>2160</v>
      </c>
      <c r="E419" s="29" t="s">
        <v>340</v>
      </c>
      <c r="F419" s="29" t="s">
        <v>2161</v>
      </c>
      <c r="G419" s="29" t="s">
        <v>2162</v>
      </c>
      <c r="H419" s="29" t="s">
        <v>2163</v>
      </c>
      <c r="I419" s="29" t="s">
        <v>302</v>
      </c>
      <c r="J419" s="29" t="s">
        <v>202</v>
      </c>
      <c r="K419" s="30" t="s">
        <v>44</v>
      </c>
      <c r="L419" s="31"/>
      <c r="M419" s="29" t="s">
        <v>45</v>
      </c>
    </row>
    <row r="420" customFormat="false" ht="153" hidden="false" customHeight="true" outlineLevel="0" collapsed="false">
      <c r="B420" s="29" t="s">
        <v>2164</v>
      </c>
      <c r="C420" s="29" t="s">
        <v>282</v>
      </c>
      <c r="D420" s="29" t="s">
        <v>2165</v>
      </c>
      <c r="E420" s="29" t="s">
        <v>357</v>
      </c>
      <c r="F420" s="29" t="s">
        <v>2166</v>
      </c>
      <c r="G420" s="29" t="s">
        <v>2167</v>
      </c>
      <c r="H420" s="29" t="s">
        <v>2168</v>
      </c>
      <c r="I420" s="29" t="s">
        <v>302</v>
      </c>
      <c r="J420" s="29" t="s">
        <v>202</v>
      </c>
      <c r="K420" s="30" t="s">
        <v>44</v>
      </c>
      <c r="L420" s="31"/>
      <c r="M420" s="29" t="s">
        <v>45</v>
      </c>
    </row>
    <row r="421" customFormat="false" ht="102" hidden="false" customHeight="true" outlineLevel="0" collapsed="false">
      <c r="B421" s="29" t="s">
        <v>2169</v>
      </c>
      <c r="C421" s="29" t="s">
        <v>282</v>
      </c>
      <c r="D421" s="29" t="s">
        <v>2170</v>
      </c>
      <c r="E421" s="29" t="s">
        <v>357</v>
      </c>
      <c r="F421" s="29" t="s">
        <v>2171</v>
      </c>
      <c r="G421" s="29" t="s">
        <v>2172</v>
      </c>
      <c r="H421" s="29" t="s">
        <v>2173</v>
      </c>
      <c r="I421" s="29" t="s">
        <v>302</v>
      </c>
      <c r="J421" s="29" t="s">
        <v>202</v>
      </c>
      <c r="K421" s="30" t="s">
        <v>44</v>
      </c>
      <c r="L421" s="31"/>
      <c r="M421" s="29" t="s">
        <v>45</v>
      </c>
    </row>
    <row r="422" customFormat="false" ht="140.25" hidden="false" customHeight="true" outlineLevel="0" collapsed="false">
      <c r="B422" s="29" t="s">
        <v>2174</v>
      </c>
      <c r="C422" s="29" t="s">
        <v>282</v>
      </c>
      <c r="D422" s="29" t="s">
        <v>2175</v>
      </c>
      <c r="E422" s="29" t="s">
        <v>357</v>
      </c>
      <c r="F422" s="29" t="s">
        <v>2176</v>
      </c>
      <c r="G422" s="29" t="s">
        <v>2177</v>
      </c>
      <c r="H422" s="29" t="s">
        <v>2178</v>
      </c>
      <c r="I422" s="29" t="s">
        <v>302</v>
      </c>
      <c r="J422" s="29" t="s">
        <v>202</v>
      </c>
      <c r="K422" s="30" t="s">
        <v>44</v>
      </c>
      <c r="L422" s="31"/>
      <c r="M422" s="29" t="s">
        <v>45</v>
      </c>
    </row>
    <row r="423" customFormat="false" ht="76.5" hidden="false" customHeight="true" outlineLevel="0" collapsed="false">
      <c r="B423" s="29" t="s">
        <v>2179</v>
      </c>
      <c r="C423" s="29" t="s">
        <v>282</v>
      </c>
      <c r="D423" s="29" t="s">
        <v>2180</v>
      </c>
      <c r="E423" s="29" t="s">
        <v>39</v>
      </c>
      <c r="F423" s="29" t="s">
        <v>2181</v>
      </c>
      <c r="G423" s="29" t="s">
        <v>2182</v>
      </c>
      <c r="H423" s="29" t="s">
        <v>2183</v>
      </c>
      <c r="I423" s="29" t="s">
        <v>42</v>
      </c>
      <c r="J423" s="29" t="s">
        <v>43</v>
      </c>
      <c r="K423" s="30" t="s">
        <v>44</v>
      </c>
      <c r="L423" s="31"/>
      <c r="M423" s="29" t="s">
        <v>625</v>
      </c>
    </row>
    <row r="424" customFormat="false" ht="127.5" hidden="false" customHeight="true" outlineLevel="0" collapsed="false">
      <c r="B424" s="29" t="s">
        <v>2184</v>
      </c>
      <c r="C424" s="29" t="s">
        <v>282</v>
      </c>
      <c r="D424" s="29" t="s">
        <v>2185</v>
      </c>
      <c r="E424" s="29" t="s">
        <v>357</v>
      </c>
      <c r="F424" s="29" t="s">
        <v>2186</v>
      </c>
      <c r="G424" s="29" t="s">
        <v>2187</v>
      </c>
      <c r="H424" s="29" t="s">
        <v>2188</v>
      </c>
      <c r="I424" s="29" t="s">
        <v>302</v>
      </c>
      <c r="J424" s="29" t="s">
        <v>202</v>
      </c>
      <c r="K424" s="30" t="s">
        <v>44</v>
      </c>
      <c r="L424" s="31"/>
      <c r="M424" s="29" t="s">
        <v>45</v>
      </c>
    </row>
    <row r="425" customFormat="false" ht="102" hidden="false" customHeight="true" outlineLevel="0" collapsed="false">
      <c r="B425" s="29" t="s">
        <v>2189</v>
      </c>
      <c r="C425" s="29" t="s">
        <v>282</v>
      </c>
      <c r="D425" s="29" t="s">
        <v>2190</v>
      </c>
      <c r="E425" s="29" t="s">
        <v>327</v>
      </c>
      <c r="F425" s="29" t="s">
        <v>2191</v>
      </c>
      <c r="G425" s="29" t="s">
        <v>2192</v>
      </c>
      <c r="H425" s="29" t="s">
        <v>2193</v>
      </c>
      <c r="I425" s="29" t="s">
        <v>302</v>
      </c>
      <c r="J425" s="29" t="s">
        <v>202</v>
      </c>
      <c r="K425" s="30" t="s">
        <v>44</v>
      </c>
      <c r="L425" s="31"/>
      <c r="M425" s="29" t="s">
        <v>366</v>
      </c>
    </row>
    <row r="426" customFormat="false" ht="178.5" hidden="false" customHeight="true" outlineLevel="0" collapsed="false">
      <c r="B426" s="29" t="s">
        <v>2194</v>
      </c>
      <c r="C426" s="29" t="s">
        <v>282</v>
      </c>
      <c r="D426" s="29" t="s">
        <v>2195</v>
      </c>
      <c r="E426" s="29" t="s">
        <v>39</v>
      </c>
      <c r="F426" s="29" t="s">
        <v>2196</v>
      </c>
      <c r="G426" s="29" t="s">
        <v>2197</v>
      </c>
      <c r="H426" s="29" t="s">
        <v>2198</v>
      </c>
      <c r="I426" s="29" t="s">
        <v>42</v>
      </c>
      <c r="J426" s="29" t="s">
        <v>1544</v>
      </c>
      <c r="K426" s="30" t="s">
        <v>44</v>
      </c>
      <c r="L426" s="31"/>
      <c r="M426" s="29" t="s">
        <v>45</v>
      </c>
    </row>
    <row r="427" customFormat="false" ht="51" hidden="false" customHeight="true" outlineLevel="0" collapsed="false">
      <c r="B427" s="29" t="s">
        <v>2199</v>
      </c>
      <c r="C427" s="29" t="s">
        <v>282</v>
      </c>
      <c r="D427" s="29" t="s">
        <v>2200</v>
      </c>
      <c r="E427" s="29" t="s">
        <v>327</v>
      </c>
      <c r="F427" s="29" t="s">
        <v>2201</v>
      </c>
      <c r="G427" s="29" t="s">
        <v>2202</v>
      </c>
      <c r="H427" s="29" t="s">
        <v>2203</v>
      </c>
      <c r="I427" s="29" t="s">
        <v>302</v>
      </c>
      <c r="J427" s="29" t="s">
        <v>202</v>
      </c>
      <c r="K427" s="30" t="s">
        <v>44</v>
      </c>
      <c r="L427" s="31"/>
      <c r="M427" s="29" t="s">
        <v>366</v>
      </c>
    </row>
    <row r="428" customFormat="false" ht="127.5" hidden="false" customHeight="true" outlineLevel="0" collapsed="false">
      <c r="B428" s="29" t="s">
        <v>2204</v>
      </c>
      <c r="C428" s="29" t="s">
        <v>282</v>
      </c>
      <c r="D428" s="29" t="s">
        <v>2205</v>
      </c>
      <c r="E428" s="29" t="s">
        <v>351</v>
      </c>
      <c r="F428" s="29" t="s">
        <v>2206</v>
      </c>
      <c r="G428" s="29" t="s">
        <v>2207</v>
      </c>
      <c r="H428" s="29" t="s">
        <v>2208</v>
      </c>
      <c r="I428" s="29" t="s">
        <v>154</v>
      </c>
      <c r="J428" s="29" t="s">
        <v>155</v>
      </c>
      <c r="K428" s="30" t="s">
        <v>44</v>
      </c>
      <c r="L428" s="31"/>
      <c r="M428" s="29" t="s">
        <v>45</v>
      </c>
    </row>
    <row r="429" customFormat="false" ht="102" hidden="false" customHeight="true" outlineLevel="0" collapsed="false">
      <c r="B429" s="29" t="s">
        <v>2209</v>
      </c>
      <c r="C429" s="29" t="s">
        <v>282</v>
      </c>
      <c r="D429" s="29" t="s">
        <v>2210</v>
      </c>
      <c r="E429" s="29" t="s">
        <v>91</v>
      </c>
      <c r="F429" s="29" t="s">
        <v>2211</v>
      </c>
      <c r="G429" s="29" t="s">
        <v>2212</v>
      </c>
      <c r="H429" s="29" t="s">
        <v>2213</v>
      </c>
      <c r="I429" s="29" t="s">
        <v>42</v>
      </c>
      <c r="J429" s="29" t="s">
        <v>261</v>
      </c>
      <c r="K429" s="30" t="s">
        <v>44</v>
      </c>
      <c r="L429" s="31"/>
      <c r="M429" s="29" t="s">
        <v>45</v>
      </c>
    </row>
    <row r="430" customFormat="false" ht="216.75" hidden="false" customHeight="true" outlineLevel="0" collapsed="false">
      <c r="B430" s="29" t="s">
        <v>2214</v>
      </c>
      <c r="C430" s="29" t="s">
        <v>282</v>
      </c>
      <c r="D430" s="29" t="s">
        <v>2215</v>
      </c>
      <c r="E430" s="29" t="s">
        <v>357</v>
      </c>
      <c r="F430" s="29" t="s">
        <v>2216</v>
      </c>
      <c r="G430" s="29" t="s">
        <v>2217</v>
      </c>
      <c r="H430" s="29" t="s">
        <v>2218</v>
      </c>
      <c r="I430" s="29" t="s">
        <v>302</v>
      </c>
      <c r="J430" s="29" t="s">
        <v>202</v>
      </c>
      <c r="K430" s="30" t="s">
        <v>44</v>
      </c>
      <c r="L430" s="31"/>
      <c r="M430" s="29" t="s">
        <v>45</v>
      </c>
    </row>
    <row r="431" customFormat="false" ht="51" hidden="false" customHeight="true" outlineLevel="0" collapsed="false">
      <c r="B431" s="29" t="s">
        <v>2219</v>
      </c>
      <c r="C431" s="29" t="s">
        <v>282</v>
      </c>
      <c r="D431" s="29" t="s">
        <v>2220</v>
      </c>
      <c r="E431" s="29" t="s">
        <v>351</v>
      </c>
      <c r="F431" s="29" t="s">
        <v>2221</v>
      </c>
      <c r="G431" s="29" t="s">
        <v>2222</v>
      </c>
      <c r="H431" s="29" t="s">
        <v>2223</v>
      </c>
      <c r="I431" s="29" t="s">
        <v>302</v>
      </c>
      <c r="J431" s="29" t="s">
        <v>202</v>
      </c>
      <c r="K431" s="30" t="s">
        <v>44</v>
      </c>
      <c r="L431" s="31"/>
      <c r="M431" s="29" t="s">
        <v>45</v>
      </c>
    </row>
    <row r="432" customFormat="false" ht="63.75" hidden="false" customHeight="true" outlineLevel="0" collapsed="false">
      <c r="B432" s="29" t="s">
        <v>2224</v>
      </c>
      <c r="C432" s="29" t="s">
        <v>282</v>
      </c>
      <c r="D432" s="29" t="s">
        <v>2225</v>
      </c>
      <c r="E432" s="29" t="s">
        <v>327</v>
      </c>
      <c r="F432" s="29" t="s">
        <v>2226</v>
      </c>
      <c r="G432" s="29" t="s">
        <v>2227</v>
      </c>
      <c r="H432" s="29" t="s">
        <v>2228</v>
      </c>
      <c r="I432" s="29" t="s">
        <v>302</v>
      </c>
      <c r="J432" s="29" t="s">
        <v>202</v>
      </c>
      <c r="K432" s="30" t="s">
        <v>44</v>
      </c>
      <c r="L432" s="31"/>
      <c r="M432" s="29" t="s">
        <v>366</v>
      </c>
    </row>
    <row r="433" customFormat="false" ht="102" hidden="false" customHeight="true" outlineLevel="0" collapsed="false">
      <c r="B433" s="29" t="s">
        <v>2229</v>
      </c>
      <c r="C433" s="29" t="s">
        <v>282</v>
      </c>
      <c r="D433" s="29" t="s">
        <v>2230</v>
      </c>
      <c r="E433" s="29" t="s">
        <v>206</v>
      </c>
      <c r="F433" s="29" t="s">
        <v>2231</v>
      </c>
      <c r="G433" s="29" t="s">
        <v>2232</v>
      </c>
      <c r="H433" s="29" t="s">
        <v>2233</v>
      </c>
      <c r="I433" s="29" t="s">
        <v>302</v>
      </c>
      <c r="J433" s="29" t="s">
        <v>202</v>
      </c>
      <c r="K433" s="30" t="s">
        <v>44</v>
      </c>
      <c r="L433" s="31"/>
      <c r="M433" s="29" t="s">
        <v>45</v>
      </c>
    </row>
    <row r="434" customFormat="false" ht="89.25" hidden="false" customHeight="true" outlineLevel="0" collapsed="false">
      <c r="B434" s="29" t="s">
        <v>2234</v>
      </c>
      <c r="C434" s="29" t="s">
        <v>282</v>
      </c>
      <c r="D434" s="29" t="s">
        <v>2235</v>
      </c>
      <c r="E434" s="29" t="s">
        <v>327</v>
      </c>
      <c r="F434" s="29" t="s">
        <v>2236</v>
      </c>
      <c r="G434" s="29" t="s">
        <v>2237</v>
      </c>
      <c r="H434" s="29" t="s">
        <v>2238</v>
      </c>
      <c r="I434" s="29" t="s">
        <v>302</v>
      </c>
      <c r="J434" s="29" t="s">
        <v>202</v>
      </c>
      <c r="K434" s="30" t="s">
        <v>44</v>
      </c>
      <c r="L434" s="31"/>
      <c r="M434" s="29" t="s">
        <v>2239</v>
      </c>
    </row>
    <row r="435" customFormat="false" ht="89.25" hidden="false" customHeight="true" outlineLevel="0" collapsed="false">
      <c r="B435" s="29" t="s">
        <v>2240</v>
      </c>
      <c r="C435" s="29" t="s">
        <v>282</v>
      </c>
      <c r="D435" s="29" t="s">
        <v>2241</v>
      </c>
      <c r="E435" s="29" t="s">
        <v>357</v>
      </c>
      <c r="F435" s="29" t="s">
        <v>2242</v>
      </c>
      <c r="G435" s="29" t="s">
        <v>2243</v>
      </c>
      <c r="H435" s="29" t="s">
        <v>2244</v>
      </c>
      <c r="I435" s="29" t="s">
        <v>302</v>
      </c>
      <c r="J435" s="29" t="s">
        <v>202</v>
      </c>
      <c r="K435" s="30" t="s">
        <v>44</v>
      </c>
      <c r="L435" s="31"/>
      <c r="M435" s="29" t="s">
        <v>45</v>
      </c>
    </row>
    <row r="436" customFormat="false" ht="76.5" hidden="false" customHeight="true" outlineLevel="0" collapsed="false">
      <c r="B436" s="29" t="s">
        <v>2245</v>
      </c>
      <c r="C436" s="29" t="s">
        <v>282</v>
      </c>
      <c r="D436" s="29" t="s">
        <v>2246</v>
      </c>
      <c r="E436" s="29" t="s">
        <v>340</v>
      </c>
      <c r="F436" s="29" t="s">
        <v>2247</v>
      </c>
      <c r="G436" s="29" t="s">
        <v>2248</v>
      </c>
      <c r="H436" s="29" t="s">
        <v>2249</v>
      </c>
      <c r="I436" s="29" t="s">
        <v>302</v>
      </c>
      <c r="J436" s="29" t="s">
        <v>202</v>
      </c>
      <c r="K436" s="30" t="s">
        <v>44</v>
      </c>
      <c r="L436" s="31"/>
      <c r="M436" s="29" t="s">
        <v>45</v>
      </c>
    </row>
    <row r="437" customFormat="false" ht="51" hidden="false" customHeight="true" outlineLevel="0" collapsed="false">
      <c r="B437" s="29" t="s">
        <v>2250</v>
      </c>
      <c r="C437" s="29" t="s">
        <v>282</v>
      </c>
      <c r="D437" s="29" t="s">
        <v>2251</v>
      </c>
      <c r="E437" s="29" t="s">
        <v>357</v>
      </c>
      <c r="F437" s="29" t="s">
        <v>2252</v>
      </c>
      <c r="G437" s="29" t="s">
        <v>2253</v>
      </c>
      <c r="H437" s="29" t="s">
        <v>2254</v>
      </c>
      <c r="I437" s="29" t="s">
        <v>302</v>
      </c>
      <c r="J437" s="29" t="s">
        <v>202</v>
      </c>
      <c r="K437" s="30" t="s">
        <v>44</v>
      </c>
      <c r="L437" s="31"/>
      <c r="M437" s="29" t="s">
        <v>45</v>
      </c>
    </row>
    <row r="438" customFormat="false" ht="38.25" hidden="false" customHeight="true" outlineLevel="0" collapsed="false">
      <c r="B438" s="29" t="s">
        <v>2255</v>
      </c>
      <c r="C438" s="29" t="s">
        <v>282</v>
      </c>
      <c r="D438" s="29" t="s">
        <v>2256</v>
      </c>
      <c r="E438" s="29" t="s">
        <v>340</v>
      </c>
      <c r="F438" s="29" t="s">
        <v>2257</v>
      </c>
      <c r="G438" s="29" t="s">
        <v>2258</v>
      </c>
      <c r="H438" s="29" t="s">
        <v>2259</v>
      </c>
      <c r="I438" s="29" t="s">
        <v>302</v>
      </c>
      <c r="J438" s="29" t="s">
        <v>202</v>
      </c>
      <c r="K438" s="30" t="s">
        <v>44</v>
      </c>
      <c r="L438" s="31"/>
      <c r="M438" s="29" t="s">
        <v>45</v>
      </c>
    </row>
    <row r="439" customFormat="false" ht="76.5" hidden="false" customHeight="true" outlineLevel="0" collapsed="false">
      <c r="B439" s="29" t="s">
        <v>2260</v>
      </c>
      <c r="C439" s="29" t="s">
        <v>282</v>
      </c>
      <c r="D439" s="29" t="s">
        <v>2261</v>
      </c>
      <c r="E439" s="29" t="s">
        <v>327</v>
      </c>
      <c r="F439" s="29" t="s">
        <v>2262</v>
      </c>
      <c r="G439" s="29" t="s">
        <v>2263</v>
      </c>
      <c r="H439" s="29" t="s">
        <v>2264</v>
      </c>
      <c r="I439" s="29" t="s">
        <v>302</v>
      </c>
      <c r="J439" s="29" t="s">
        <v>202</v>
      </c>
      <c r="K439" s="30" t="s">
        <v>44</v>
      </c>
      <c r="L439" s="31"/>
      <c r="M439" s="29" t="s">
        <v>366</v>
      </c>
    </row>
    <row r="440" customFormat="false" ht="38.25" hidden="false" customHeight="true" outlineLevel="0" collapsed="false">
      <c r="B440" s="29" t="s">
        <v>2265</v>
      </c>
      <c r="C440" s="29" t="s">
        <v>282</v>
      </c>
      <c r="D440" s="29" t="s">
        <v>2266</v>
      </c>
      <c r="E440" s="29" t="s">
        <v>357</v>
      </c>
      <c r="F440" s="29" t="s">
        <v>2267</v>
      </c>
      <c r="G440" s="29" t="s">
        <v>2268</v>
      </c>
      <c r="H440" s="29" t="s">
        <v>2269</v>
      </c>
      <c r="I440" s="29" t="s">
        <v>302</v>
      </c>
      <c r="J440" s="29" t="s">
        <v>202</v>
      </c>
      <c r="K440" s="30" t="s">
        <v>44</v>
      </c>
      <c r="L440" s="31"/>
      <c r="M440" s="29" t="s">
        <v>2270</v>
      </c>
    </row>
    <row r="441" customFormat="false" ht="63.75" hidden="false" customHeight="true" outlineLevel="0" collapsed="false">
      <c r="B441" s="29" t="s">
        <v>2271</v>
      </c>
      <c r="C441" s="29" t="s">
        <v>282</v>
      </c>
      <c r="D441" s="29" t="s">
        <v>2272</v>
      </c>
      <c r="E441" s="29" t="s">
        <v>357</v>
      </c>
      <c r="F441" s="29" t="s">
        <v>2273</v>
      </c>
      <c r="G441" s="29" t="s">
        <v>2274</v>
      </c>
      <c r="H441" s="29" t="s">
        <v>2275</v>
      </c>
      <c r="I441" s="29" t="s">
        <v>302</v>
      </c>
      <c r="J441" s="29" t="s">
        <v>202</v>
      </c>
      <c r="K441" s="30" t="s">
        <v>44</v>
      </c>
      <c r="L441" s="31"/>
      <c r="M441" s="29" t="s">
        <v>625</v>
      </c>
    </row>
    <row r="442" customFormat="false" ht="127.5" hidden="false" customHeight="true" outlineLevel="0" collapsed="false">
      <c r="B442" s="29" t="s">
        <v>2276</v>
      </c>
      <c r="C442" s="29" t="s">
        <v>282</v>
      </c>
      <c r="D442" s="29" t="s">
        <v>2277</v>
      </c>
      <c r="E442" s="29" t="s">
        <v>351</v>
      </c>
      <c r="F442" s="29" t="s">
        <v>2278</v>
      </c>
      <c r="G442" s="29" t="s">
        <v>2279</v>
      </c>
      <c r="H442" s="29" t="s">
        <v>2280</v>
      </c>
      <c r="I442" s="29" t="s">
        <v>302</v>
      </c>
      <c r="J442" s="29" t="s">
        <v>202</v>
      </c>
      <c r="K442" s="30" t="s">
        <v>44</v>
      </c>
      <c r="L442" s="31"/>
      <c r="M442" s="29" t="s">
        <v>45</v>
      </c>
    </row>
    <row r="443" customFormat="false" ht="153" hidden="false" customHeight="true" outlineLevel="0" collapsed="false">
      <c r="B443" s="29" t="s">
        <v>2281</v>
      </c>
      <c r="C443" s="29" t="s">
        <v>282</v>
      </c>
      <c r="D443" s="29" t="s">
        <v>2282</v>
      </c>
      <c r="E443" s="29" t="s">
        <v>78</v>
      </c>
      <c r="F443" s="29" t="s">
        <v>2283</v>
      </c>
      <c r="G443" s="29" t="s">
        <v>2284</v>
      </c>
      <c r="H443" s="29" t="s">
        <v>2285</v>
      </c>
      <c r="I443" s="29" t="s">
        <v>1960</v>
      </c>
      <c r="J443" s="29" t="s">
        <v>1961</v>
      </c>
      <c r="K443" s="30" t="s">
        <v>62</v>
      </c>
      <c r="L443" s="31"/>
      <c r="M443" s="29"/>
    </row>
    <row r="444" customFormat="false" ht="63.75" hidden="false" customHeight="true" outlineLevel="0" collapsed="false">
      <c r="B444" s="29" t="s">
        <v>2286</v>
      </c>
      <c r="C444" s="29" t="s">
        <v>282</v>
      </c>
      <c r="D444" s="29" t="s">
        <v>2287</v>
      </c>
      <c r="E444" s="29" t="s">
        <v>340</v>
      </c>
      <c r="F444" s="29" t="s">
        <v>2288</v>
      </c>
      <c r="G444" s="29" t="s">
        <v>2289</v>
      </c>
      <c r="H444" s="29" t="s">
        <v>2290</v>
      </c>
      <c r="I444" s="29" t="s">
        <v>302</v>
      </c>
      <c r="J444" s="29" t="s">
        <v>202</v>
      </c>
      <c r="K444" s="30" t="s">
        <v>44</v>
      </c>
      <c r="L444" s="31"/>
      <c r="M444" s="29" t="s">
        <v>45</v>
      </c>
    </row>
    <row r="445" customFormat="false" ht="191.25" hidden="false" customHeight="true" outlineLevel="0" collapsed="false">
      <c r="B445" s="29" t="s">
        <v>2291</v>
      </c>
      <c r="C445" s="29" t="s">
        <v>282</v>
      </c>
      <c r="D445" s="29" t="s">
        <v>2292</v>
      </c>
      <c r="E445" s="29" t="s">
        <v>206</v>
      </c>
      <c r="F445" s="29" t="s">
        <v>2293</v>
      </c>
      <c r="G445" s="29" t="s">
        <v>2294</v>
      </c>
      <c r="H445" s="29" t="s">
        <v>2295</v>
      </c>
      <c r="I445" s="29" t="s">
        <v>302</v>
      </c>
      <c r="J445" s="29" t="s">
        <v>202</v>
      </c>
      <c r="K445" s="30" t="s">
        <v>44</v>
      </c>
      <c r="L445" s="31"/>
      <c r="M445" s="29" t="s">
        <v>45</v>
      </c>
    </row>
    <row r="446" customFormat="false" ht="153" hidden="false" customHeight="true" outlineLevel="0" collapsed="false">
      <c r="B446" s="29" t="s">
        <v>2296</v>
      </c>
      <c r="C446" s="29" t="s">
        <v>282</v>
      </c>
      <c r="D446" s="29" t="s">
        <v>2297</v>
      </c>
      <c r="E446" s="29" t="s">
        <v>78</v>
      </c>
      <c r="F446" s="29" t="s">
        <v>2298</v>
      </c>
      <c r="G446" s="29" t="s">
        <v>2299</v>
      </c>
      <c r="H446" s="29" t="s">
        <v>2300</v>
      </c>
      <c r="I446" s="29" t="s">
        <v>2301</v>
      </c>
      <c r="J446" s="29" t="s">
        <v>2302</v>
      </c>
      <c r="K446" s="30" t="s">
        <v>62</v>
      </c>
      <c r="L446" s="31"/>
      <c r="M446" s="29"/>
    </row>
    <row r="447" customFormat="false" ht="63.75" hidden="false" customHeight="true" outlineLevel="0" collapsed="false">
      <c r="B447" s="29" t="s">
        <v>2303</v>
      </c>
      <c r="C447" s="29" t="s">
        <v>282</v>
      </c>
      <c r="D447" s="29" t="s">
        <v>2304</v>
      </c>
      <c r="E447" s="29" t="s">
        <v>186</v>
      </c>
      <c r="F447" s="29" t="s">
        <v>2305</v>
      </c>
      <c r="G447" s="29" t="s">
        <v>2306</v>
      </c>
      <c r="H447" s="29" t="s">
        <v>2307</v>
      </c>
      <c r="I447" s="29" t="s">
        <v>336</v>
      </c>
      <c r="J447" s="29" t="s">
        <v>337</v>
      </c>
      <c r="K447" s="30" t="s">
        <v>44</v>
      </c>
      <c r="L447" s="31"/>
      <c r="M447" s="29" t="s">
        <v>45</v>
      </c>
    </row>
    <row r="448" customFormat="false" ht="63.75" hidden="false" customHeight="true" outlineLevel="0" collapsed="false">
      <c r="B448" s="29" t="s">
        <v>2308</v>
      </c>
      <c r="C448" s="29" t="s">
        <v>282</v>
      </c>
      <c r="D448" s="29" t="s">
        <v>2309</v>
      </c>
      <c r="E448" s="29" t="s">
        <v>340</v>
      </c>
      <c r="F448" s="29" t="s">
        <v>2305</v>
      </c>
      <c r="G448" s="29" t="s">
        <v>2310</v>
      </c>
      <c r="H448" s="29" t="s">
        <v>2311</v>
      </c>
      <c r="I448" s="29" t="s">
        <v>302</v>
      </c>
      <c r="J448" s="29" t="s">
        <v>202</v>
      </c>
      <c r="K448" s="30" t="s">
        <v>44</v>
      </c>
      <c r="L448" s="31"/>
      <c r="M448" s="29" t="s">
        <v>45</v>
      </c>
    </row>
    <row r="449" customFormat="false" ht="63.75" hidden="false" customHeight="true" outlineLevel="0" collapsed="false">
      <c r="B449" s="29" t="s">
        <v>2312</v>
      </c>
      <c r="C449" s="29" t="s">
        <v>282</v>
      </c>
      <c r="D449" s="29" t="s">
        <v>2313</v>
      </c>
      <c r="E449" s="29" t="s">
        <v>340</v>
      </c>
      <c r="F449" s="29" t="s">
        <v>2314</v>
      </c>
      <c r="G449" s="29" t="s">
        <v>2315</v>
      </c>
      <c r="H449" s="29" t="s">
        <v>2316</v>
      </c>
      <c r="I449" s="29" t="s">
        <v>302</v>
      </c>
      <c r="J449" s="29" t="s">
        <v>202</v>
      </c>
      <c r="K449" s="30" t="s">
        <v>44</v>
      </c>
      <c r="L449" s="31"/>
      <c r="M449" s="29" t="s">
        <v>45</v>
      </c>
    </row>
    <row r="450" customFormat="false" ht="102" hidden="false" customHeight="true" outlineLevel="0" collapsed="false">
      <c r="B450" s="29" t="s">
        <v>2317</v>
      </c>
      <c r="C450" s="29" t="s">
        <v>282</v>
      </c>
      <c r="D450" s="29" t="s">
        <v>2318</v>
      </c>
      <c r="E450" s="29" t="s">
        <v>340</v>
      </c>
      <c r="F450" s="29" t="s">
        <v>2319</v>
      </c>
      <c r="G450" s="29" t="s">
        <v>2320</v>
      </c>
      <c r="H450" s="29" t="s">
        <v>2321</v>
      </c>
      <c r="I450" s="29" t="s">
        <v>302</v>
      </c>
      <c r="J450" s="29" t="s">
        <v>202</v>
      </c>
      <c r="K450" s="30" t="s">
        <v>44</v>
      </c>
      <c r="L450" s="31"/>
      <c r="M450" s="29" t="s">
        <v>45</v>
      </c>
    </row>
    <row r="451" customFormat="false" ht="89.25" hidden="false" customHeight="true" outlineLevel="0" collapsed="false">
      <c r="B451" s="29" t="s">
        <v>2322</v>
      </c>
      <c r="C451" s="29" t="s">
        <v>282</v>
      </c>
      <c r="D451" s="29" t="s">
        <v>2323</v>
      </c>
      <c r="E451" s="29" t="s">
        <v>340</v>
      </c>
      <c r="F451" s="29" t="s">
        <v>2324</v>
      </c>
      <c r="G451" s="29" t="s">
        <v>2325</v>
      </c>
      <c r="H451" s="29" t="s">
        <v>2326</v>
      </c>
      <c r="I451" s="29" t="s">
        <v>302</v>
      </c>
      <c r="J451" s="29" t="s">
        <v>202</v>
      </c>
      <c r="K451" s="30" t="s">
        <v>44</v>
      </c>
      <c r="L451" s="31"/>
      <c r="M451" s="29" t="s">
        <v>45</v>
      </c>
    </row>
    <row r="452" customFormat="false" ht="89.25" hidden="false" customHeight="true" outlineLevel="0" collapsed="false">
      <c r="B452" s="29" t="s">
        <v>2327</v>
      </c>
      <c r="C452" s="29" t="s">
        <v>282</v>
      </c>
      <c r="D452" s="29" t="s">
        <v>2328</v>
      </c>
      <c r="E452" s="29" t="s">
        <v>357</v>
      </c>
      <c r="F452" s="29" t="s">
        <v>2329</v>
      </c>
      <c r="G452" s="29" t="s">
        <v>2330</v>
      </c>
      <c r="H452" s="29" t="s">
        <v>2331</v>
      </c>
      <c r="I452" s="29" t="s">
        <v>302</v>
      </c>
      <c r="J452" s="29" t="s">
        <v>202</v>
      </c>
      <c r="K452" s="30" t="s">
        <v>44</v>
      </c>
      <c r="L452" s="31"/>
      <c r="M452" s="29" t="s">
        <v>45</v>
      </c>
    </row>
    <row r="453" customFormat="false" ht="76.5" hidden="false" customHeight="true" outlineLevel="0" collapsed="false">
      <c r="B453" s="29" t="s">
        <v>2332</v>
      </c>
      <c r="C453" s="29" t="s">
        <v>282</v>
      </c>
      <c r="D453" s="29" t="s">
        <v>2333</v>
      </c>
      <c r="E453" s="29" t="s">
        <v>340</v>
      </c>
      <c r="F453" s="29" t="s">
        <v>2334</v>
      </c>
      <c r="G453" s="29" t="s">
        <v>2335</v>
      </c>
      <c r="H453" s="29" t="s">
        <v>2336</v>
      </c>
      <c r="I453" s="29" t="s">
        <v>302</v>
      </c>
      <c r="J453" s="29" t="s">
        <v>202</v>
      </c>
      <c r="K453" s="30" t="s">
        <v>44</v>
      </c>
      <c r="L453" s="31"/>
      <c r="M453" s="29" t="s">
        <v>45</v>
      </c>
    </row>
    <row r="454" customFormat="false" ht="63.75" hidden="false" customHeight="true" outlineLevel="0" collapsed="false">
      <c r="B454" s="29" t="s">
        <v>2337</v>
      </c>
      <c r="C454" s="29" t="s">
        <v>282</v>
      </c>
      <c r="D454" s="29" t="s">
        <v>2338</v>
      </c>
      <c r="E454" s="29" t="s">
        <v>206</v>
      </c>
      <c r="F454" s="29" t="s">
        <v>2339</v>
      </c>
      <c r="G454" s="29" t="s">
        <v>2340</v>
      </c>
      <c r="H454" s="29" t="s">
        <v>2341</v>
      </c>
      <c r="I454" s="29" t="s">
        <v>302</v>
      </c>
      <c r="J454" s="29" t="s">
        <v>202</v>
      </c>
      <c r="K454" s="30" t="s">
        <v>44</v>
      </c>
      <c r="L454" s="31"/>
      <c r="M454" s="29" t="s">
        <v>45</v>
      </c>
    </row>
    <row r="455" customFormat="false" ht="51" hidden="false" customHeight="true" outlineLevel="0" collapsed="false">
      <c r="B455" s="29" t="s">
        <v>2342</v>
      </c>
      <c r="C455" s="29" t="s">
        <v>282</v>
      </c>
      <c r="D455" s="29" t="s">
        <v>2343</v>
      </c>
      <c r="E455" s="29" t="s">
        <v>351</v>
      </c>
      <c r="F455" s="29" t="s">
        <v>2344</v>
      </c>
      <c r="G455" s="29" t="s">
        <v>2345</v>
      </c>
      <c r="H455" s="29" t="s">
        <v>2346</v>
      </c>
      <c r="I455" s="29" t="s">
        <v>302</v>
      </c>
      <c r="J455" s="29" t="s">
        <v>202</v>
      </c>
      <c r="K455" s="30" t="s">
        <v>44</v>
      </c>
      <c r="L455" s="31"/>
      <c r="M455" s="29" t="s">
        <v>45</v>
      </c>
    </row>
    <row r="456" customFormat="false" ht="102" hidden="false" customHeight="true" outlineLevel="0" collapsed="false">
      <c r="B456" s="29" t="s">
        <v>2347</v>
      </c>
      <c r="C456" s="29" t="s">
        <v>282</v>
      </c>
      <c r="D456" s="29" t="s">
        <v>2348</v>
      </c>
      <c r="E456" s="29" t="s">
        <v>351</v>
      </c>
      <c r="F456" s="29" t="s">
        <v>2349</v>
      </c>
      <c r="G456" s="29" t="s">
        <v>2350</v>
      </c>
      <c r="H456" s="29" t="s">
        <v>2351</v>
      </c>
      <c r="I456" s="29" t="s">
        <v>302</v>
      </c>
      <c r="J456" s="29" t="s">
        <v>202</v>
      </c>
      <c r="K456" s="30" t="s">
        <v>44</v>
      </c>
      <c r="L456" s="31"/>
      <c r="M456" s="29" t="s">
        <v>45</v>
      </c>
    </row>
    <row r="457" customFormat="false" ht="89.25" hidden="false" customHeight="true" outlineLevel="0" collapsed="false">
      <c r="B457" s="29" t="s">
        <v>2352</v>
      </c>
      <c r="C457" s="29" t="s">
        <v>282</v>
      </c>
      <c r="D457" s="29" t="s">
        <v>2353</v>
      </c>
      <c r="E457" s="29" t="s">
        <v>357</v>
      </c>
      <c r="F457" s="29" t="s">
        <v>2354</v>
      </c>
      <c r="G457" s="29" t="s">
        <v>2355</v>
      </c>
      <c r="H457" s="29" t="s">
        <v>2356</v>
      </c>
      <c r="I457" s="29" t="s">
        <v>302</v>
      </c>
      <c r="J457" s="29" t="s">
        <v>202</v>
      </c>
      <c r="K457" s="30" t="s">
        <v>44</v>
      </c>
      <c r="L457" s="31"/>
      <c r="M457" s="29" t="s">
        <v>45</v>
      </c>
    </row>
    <row r="458" customFormat="false" ht="63.75" hidden="false" customHeight="true" outlineLevel="0" collapsed="false">
      <c r="B458" s="29" t="s">
        <v>2357</v>
      </c>
      <c r="C458" s="29" t="s">
        <v>282</v>
      </c>
      <c r="D458" s="29" t="s">
        <v>2358</v>
      </c>
      <c r="E458" s="29" t="s">
        <v>357</v>
      </c>
      <c r="F458" s="29" t="s">
        <v>2305</v>
      </c>
      <c r="G458" s="29" t="s">
        <v>2359</v>
      </c>
      <c r="H458" s="29" t="s">
        <v>2360</v>
      </c>
      <c r="I458" s="29" t="s">
        <v>302</v>
      </c>
      <c r="J458" s="29" t="s">
        <v>202</v>
      </c>
      <c r="K458" s="30" t="s">
        <v>44</v>
      </c>
      <c r="L458" s="31"/>
      <c r="M458" s="29" t="s">
        <v>45</v>
      </c>
    </row>
    <row r="459" customFormat="false" ht="51" hidden="false" customHeight="true" outlineLevel="0" collapsed="false">
      <c r="B459" s="29" t="s">
        <v>2361</v>
      </c>
      <c r="C459" s="29" t="s">
        <v>282</v>
      </c>
      <c r="D459" s="29" t="s">
        <v>2362</v>
      </c>
      <c r="E459" s="29" t="s">
        <v>357</v>
      </c>
      <c r="F459" s="29" t="s">
        <v>2363</v>
      </c>
      <c r="G459" s="29" t="s">
        <v>2364</v>
      </c>
      <c r="H459" s="29" t="s">
        <v>2365</v>
      </c>
      <c r="I459" s="29" t="s">
        <v>302</v>
      </c>
      <c r="J459" s="29" t="s">
        <v>202</v>
      </c>
      <c r="K459" s="30" t="s">
        <v>44</v>
      </c>
      <c r="L459" s="31"/>
      <c r="M459" s="29" t="s">
        <v>45</v>
      </c>
    </row>
    <row r="460" customFormat="false" ht="165.75" hidden="false" customHeight="true" outlineLevel="0" collapsed="false">
      <c r="B460" s="29" t="s">
        <v>2366</v>
      </c>
      <c r="C460" s="29" t="s">
        <v>282</v>
      </c>
      <c r="D460" s="29" t="s">
        <v>2367</v>
      </c>
      <c r="E460" s="29" t="s">
        <v>340</v>
      </c>
      <c r="F460" s="29" t="s">
        <v>2368</v>
      </c>
      <c r="G460" s="29" t="s">
        <v>2369</v>
      </c>
      <c r="H460" s="29" t="s">
        <v>2370</v>
      </c>
      <c r="I460" s="29" t="s">
        <v>302</v>
      </c>
      <c r="J460" s="29" t="s">
        <v>202</v>
      </c>
      <c r="K460" s="30" t="s">
        <v>44</v>
      </c>
      <c r="L460" s="31"/>
      <c r="M460" s="29" t="s">
        <v>45</v>
      </c>
    </row>
    <row r="461" customFormat="false" ht="76.5" hidden="false" customHeight="true" outlineLevel="0" collapsed="false">
      <c r="B461" s="29" t="s">
        <v>2371</v>
      </c>
      <c r="C461" s="29" t="s">
        <v>282</v>
      </c>
      <c r="D461" s="29" t="s">
        <v>2372</v>
      </c>
      <c r="E461" s="29" t="s">
        <v>151</v>
      </c>
      <c r="F461" s="29" t="s">
        <v>2373</v>
      </c>
      <c r="G461" s="29" t="s">
        <v>2374</v>
      </c>
      <c r="H461" s="29" t="s">
        <v>2375</v>
      </c>
      <c r="I461" s="29" t="s">
        <v>472</v>
      </c>
      <c r="J461" s="29" t="s">
        <v>472</v>
      </c>
      <c r="K461" s="30" t="s">
        <v>44</v>
      </c>
      <c r="L461" s="31"/>
      <c r="M461" s="29" t="s">
        <v>45</v>
      </c>
    </row>
    <row r="462" customFormat="false" ht="76.5" hidden="false" customHeight="true" outlineLevel="0" collapsed="false">
      <c r="B462" s="29" t="s">
        <v>2376</v>
      </c>
      <c r="C462" s="29" t="s">
        <v>282</v>
      </c>
      <c r="D462" s="29" t="s">
        <v>2377</v>
      </c>
      <c r="E462" s="29" t="s">
        <v>151</v>
      </c>
      <c r="F462" s="29" t="s">
        <v>2378</v>
      </c>
      <c r="G462" s="29" t="s">
        <v>2379</v>
      </c>
      <c r="H462" s="29" t="s">
        <v>2380</v>
      </c>
      <c r="I462" s="29" t="s">
        <v>472</v>
      </c>
      <c r="J462" s="29" t="s">
        <v>472</v>
      </c>
      <c r="K462" s="30" t="s">
        <v>44</v>
      </c>
      <c r="L462" s="31"/>
      <c r="M462" s="29" t="s">
        <v>45</v>
      </c>
    </row>
    <row r="463" customFormat="false" ht="38.25" hidden="false" customHeight="true" outlineLevel="0" collapsed="false">
      <c r="B463" s="29" t="s">
        <v>2381</v>
      </c>
      <c r="C463" s="29" t="s">
        <v>282</v>
      </c>
      <c r="D463" s="29" t="s">
        <v>2382</v>
      </c>
      <c r="E463" s="29" t="s">
        <v>340</v>
      </c>
      <c r="F463" s="29" t="s">
        <v>2383</v>
      </c>
      <c r="G463" s="29" t="s">
        <v>2384</v>
      </c>
      <c r="H463" s="29" t="s">
        <v>2385</v>
      </c>
      <c r="I463" s="29" t="s">
        <v>302</v>
      </c>
      <c r="J463" s="29" t="s">
        <v>202</v>
      </c>
      <c r="K463" s="30" t="s">
        <v>44</v>
      </c>
      <c r="L463" s="31"/>
      <c r="M463" s="29" t="s">
        <v>2386</v>
      </c>
    </row>
    <row r="464" customFormat="false" ht="76.5" hidden="false" customHeight="true" outlineLevel="0" collapsed="false">
      <c r="B464" s="29" t="s">
        <v>2387</v>
      </c>
      <c r="C464" s="29" t="s">
        <v>282</v>
      </c>
      <c r="D464" s="29" t="s">
        <v>2388</v>
      </c>
      <c r="E464" s="29" t="s">
        <v>340</v>
      </c>
      <c r="F464" s="29" t="s">
        <v>2389</v>
      </c>
      <c r="G464" s="29" t="s">
        <v>2390</v>
      </c>
      <c r="H464" s="29" t="s">
        <v>2391</v>
      </c>
      <c r="I464" s="29" t="s">
        <v>302</v>
      </c>
      <c r="J464" s="29" t="s">
        <v>202</v>
      </c>
      <c r="K464" s="30" t="s">
        <v>44</v>
      </c>
      <c r="L464" s="31"/>
      <c r="M464" s="29" t="s">
        <v>45</v>
      </c>
    </row>
    <row r="465" customFormat="false" ht="51" hidden="false" customHeight="true" outlineLevel="0" collapsed="false">
      <c r="B465" s="29" t="s">
        <v>2392</v>
      </c>
      <c r="C465" s="29" t="s">
        <v>282</v>
      </c>
      <c r="D465" s="29" t="s">
        <v>2393</v>
      </c>
      <c r="E465" s="29" t="s">
        <v>357</v>
      </c>
      <c r="F465" s="29" t="s">
        <v>2394</v>
      </c>
      <c r="G465" s="29" t="s">
        <v>2395</v>
      </c>
      <c r="H465" s="29" t="s">
        <v>2396</v>
      </c>
      <c r="I465" s="29" t="s">
        <v>302</v>
      </c>
      <c r="J465" s="29" t="s">
        <v>202</v>
      </c>
      <c r="K465" s="30" t="s">
        <v>44</v>
      </c>
      <c r="L465" s="31"/>
      <c r="M465" s="29" t="s">
        <v>45</v>
      </c>
    </row>
    <row r="466" customFormat="false" ht="51" hidden="false" customHeight="true" outlineLevel="0" collapsed="false">
      <c r="B466" s="29" t="s">
        <v>2397</v>
      </c>
      <c r="C466" s="29" t="s">
        <v>282</v>
      </c>
      <c r="D466" s="29" t="s">
        <v>2398</v>
      </c>
      <c r="E466" s="29" t="s">
        <v>357</v>
      </c>
      <c r="F466" s="29" t="s">
        <v>2399</v>
      </c>
      <c r="G466" s="29" t="s">
        <v>2400</v>
      </c>
      <c r="H466" s="29" t="s">
        <v>2401</v>
      </c>
      <c r="I466" s="29" t="s">
        <v>302</v>
      </c>
      <c r="J466" s="29" t="s">
        <v>202</v>
      </c>
      <c r="K466" s="30" t="s">
        <v>44</v>
      </c>
      <c r="L466" s="31"/>
      <c r="M466" s="29" t="s">
        <v>2402</v>
      </c>
    </row>
    <row r="467" customFormat="false" ht="89.25" hidden="false" customHeight="true" outlineLevel="0" collapsed="false">
      <c r="B467" s="29" t="s">
        <v>2403</v>
      </c>
      <c r="C467" s="29" t="s">
        <v>282</v>
      </c>
      <c r="D467" s="29" t="s">
        <v>2404</v>
      </c>
      <c r="E467" s="29" t="s">
        <v>357</v>
      </c>
      <c r="F467" s="29" t="s">
        <v>2399</v>
      </c>
      <c r="G467" s="29" t="s">
        <v>2405</v>
      </c>
      <c r="H467" s="29" t="s">
        <v>2406</v>
      </c>
      <c r="I467" s="29" t="s">
        <v>302</v>
      </c>
      <c r="J467" s="29" t="s">
        <v>202</v>
      </c>
      <c r="K467" s="30" t="s">
        <v>44</v>
      </c>
      <c r="L467" s="31"/>
      <c r="M467" s="29" t="s">
        <v>2402</v>
      </c>
    </row>
    <row r="468" customFormat="false" ht="38.25" hidden="false" customHeight="true" outlineLevel="0" collapsed="false">
      <c r="B468" s="29" t="s">
        <v>2407</v>
      </c>
      <c r="C468" s="29" t="s">
        <v>282</v>
      </c>
      <c r="D468" s="29" t="s">
        <v>2408</v>
      </c>
      <c r="E468" s="29" t="s">
        <v>357</v>
      </c>
      <c r="F468" s="29" t="s">
        <v>2399</v>
      </c>
      <c r="G468" s="29" t="s">
        <v>2409</v>
      </c>
      <c r="H468" s="29" t="s">
        <v>2410</v>
      </c>
      <c r="I468" s="29" t="s">
        <v>302</v>
      </c>
      <c r="J468" s="29" t="s">
        <v>202</v>
      </c>
      <c r="K468" s="30" t="s">
        <v>44</v>
      </c>
      <c r="L468" s="31"/>
      <c r="M468" s="29" t="s">
        <v>2402</v>
      </c>
    </row>
    <row r="469" customFormat="false" ht="127.5" hidden="false" customHeight="true" outlineLevel="0" collapsed="false">
      <c r="B469" s="29" t="s">
        <v>2411</v>
      </c>
      <c r="C469" s="29" t="s">
        <v>282</v>
      </c>
      <c r="D469" s="29" t="s">
        <v>2412</v>
      </c>
      <c r="E469" s="29" t="s">
        <v>357</v>
      </c>
      <c r="F469" s="29" t="s">
        <v>2413</v>
      </c>
      <c r="G469" s="29" t="s">
        <v>2414</v>
      </c>
      <c r="H469" s="29" t="s">
        <v>2415</v>
      </c>
      <c r="I469" s="29" t="s">
        <v>302</v>
      </c>
      <c r="J469" s="29" t="s">
        <v>202</v>
      </c>
      <c r="K469" s="30" t="s">
        <v>44</v>
      </c>
      <c r="L469" s="31"/>
      <c r="M469" s="29" t="s">
        <v>45</v>
      </c>
    </row>
    <row r="470" customFormat="false" ht="114.75" hidden="false" customHeight="true" outlineLevel="0" collapsed="false">
      <c r="B470" s="29" t="s">
        <v>2416</v>
      </c>
      <c r="C470" s="29" t="s">
        <v>282</v>
      </c>
      <c r="D470" s="29" t="s">
        <v>2417</v>
      </c>
      <c r="E470" s="29" t="s">
        <v>357</v>
      </c>
      <c r="F470" s="29" t="s">
        <v>2418</v>
      </c>
      <c r="G470" s="29" t="s">
        <v>2419</v>
      </c>
      <c r="H470" s="29" t="s">
        <v>2420</v>
      </c>
      <c r="I470" s="29" t="s">
        <v>302</v>
      </c>
      <c r="J470" s="29" t="s">
        <v>202</v>
      </c>
      <c r="K470" s="30" t="s">
        <v>44</v>
      </c>
      <c r="L470" s="31"/>
      <c r="M470" s="29" t="s">
        <v>45</v>
      </c>
    </row>
    <row r="471" customFormat="false" ht="51" hidden="false" customHeight="true" outlineLevel="0" collapsed="false">
      <c r="B471" s="29" t="s">
        <v>2421</v>
      </c>
      <c r="C471" s="29" t="s">
        <v>282</v>
      </c>
      <c r="D471" s="29" t="s">
        <v>2422</v>
      </c>
      <c r="E471" s="29" t="s">
        <v>357</v>
      </c>
      <c r="F471" s="29" t="s">
        <v>2423</v>
      </c>
      <c r="G471" s="29" t="s">
        <v>2424</v>
      </c>
      <c r="H471" s="29" t="s">
        <v>2425</v>
      </c>
      <c r="I471" s="29" t="s">
        <v>302</v>
      </c>
      <c r="J471" s="29" t="s">
        <v>202</v>
      </c>
      <c r="K471" s="30" t="s">
        <v>44</v>
      </c>
      <c r="L471" s="31"/>
      <c r="M471" s="29" t="s">
        <v>45</v>
      </c>
    </row>
    <row r="472" customFormat="false" ht="76.5" hidden="false" customHeight="true" outlineLevel="0" collapsed="false">
      <c r="B472" s="29" t="s">
        <v>2426</v>
      </c>
      <c r="C472" s="29" t="s">
        <v>282</v>
      </c>
      <c r="D472" s="29" t="s">
        <v>2427</v>
      </c>
      <c r="E472" s="29" t="s">
        <v>327</v>
      </c>
      <c r="F472" s="29" t="s">
        <v>2428</v>
      </c>
      <c r="G472" s="29" t="s">
        <v>2429</v>
      </c>
      <c r="H472" s="29" t="s">
        <v>2430</v>
      </c>
      <c r="I472" s="29" t="s">
        <v>302</v>
      </c>
      <c r="J472" s="29" t="s">
        <v>202</v>
      </c>
      <c r="K472" s="30" t="s">
        <v>44</v>
      </c>
      <c r="L472" s="31"/>
      <c r="M472" s="29" t="s">
        <v>366</v>
      </c>
    </row>
    <row r="473" customFormat="false" ht="63.75" hidden="false" customHeight="true" outlineLevel="0" collapsed="false">
      <c r="B473" s="29" t="s">
        <v>2431</v>
      </c>
      <c r="C473" s="29" t="s">
        <v>282</v>
      </c>
      <c r="D473" s="29" t="s">
        <v>2432</v>
      </c>
      <c r="E473" s="29" t="s">
        <v>151</v>
      </c>
      <c r="F473" s="29" t="s">
        <v>2433</v>
      </c>
      <c r="G473" s="29" t="s">
        <v>2434</v>
      </c>
      <c r="H473" s="29" t="s">
        <v>2435</v>
      </c>
      <c r="I473" s="29" t="s">
        <v>154</v>
      </c>
      <c r="J473" s="29" t="s">
        <v>155</v>
      </c>
      <c r="K473" s="30" t="s">
        <v>44</v>
      </c>
      <c r="L473" s="31"/>
      <c r="M473" s="29" t="s">
        <v>45</v>
      </c>
    </row>
    <row r="474" customFormat="false" ht="114.75" hidden="false" customHeight="true" outlineLevel="0" collapsed="false">
      <c r="B474" s="29" t="s">
        <v>2436</v>
      </c>
      <c r="C474" s="29" t="s">
        <v>282</v>
      </c>
      <c r="D474" s="29" t="s">
        <v>2437</v>
      </c>
      <c r="E474" s="29" t="s">
        <v>357</v>
      </c>
      <c r="F474" s="29" t="s">
        <v>2438</v>
      </c>
      <c r="G474" s="29" t="s">
        <v>2439</v>
      </c>
      <c r="H474" s="29" t="s">
        <v>2440</v>
      </c>
      <c r="I474" s="29" t="s">
        <v>302</v>
      </c>
      <c r="J474" s="29" t="s">
        <v>202</v>
      </c>
      <c r="K474" s="30" t="s">
        <v>44</v>
      </c>
      <c r="L474" s="31"/>
      <c r="M474" s="29" t="s">
        <v>45</v>
      </c>
    </row>
    <row r="475" customFormat="false" ht="51" hidden="false" customHeight="true" outlineLevel="0" collapsed="false">
      <c r="B475" s="29" t="s">
        <v>2441</v>
      </c>
      <c r="C475" s="29" t="s">
        <v>282</v>
      </c>
      <c r="D475" s="29" t="s">
        <v>2442</v>
      </c>
      <c r="E475" s="29" t="s">
        <v>39</v>
      </c>
      <c r="F475" s="29" t="s">
        <v>2443</v>
      </c>
      <c r="G475" s="29" t="s">
        <v>2444</v>
      </c>
      <c r="H475" s="29" t="s">
        <v>2445</v>
      </c>
      <c r="I475" s="29" t="s">
        <v>42</v>
      </c>
      <c r="J475" s="29" t="s">
        <v>2446</v>
      </c>
      <c r="K475" s="30" t="s">
        <v>44</v>
      </c>
      <c r="L475" s="31"/>
      <c r="M475" s="29" t="s">
        <v>45</v>
      </c>
    </row>
    <row r="476" customFormat="false" ht="89.25" hidden="false" customHeight="true" outlineLevel="0" collapsed="false">
      <c r="B476" s="29" t="s">
        <v>2447</v>
      </c>
      <c r="C476" s="29" t="s">
        <v>282</v>
      </c>
      <c r="D476" s="29" t="s">
        <v>2448</v>
      </c>
      <c r="E476" s="29" t="s">
        <v>340</v>
      </c>
      <c r="F476" s="29" t="s">
        <v>2449</v>
      </c>
      <c r="G476" s="29" t="s">
        <v>2450</v>
      </c>
      <c r="H476" s="29" t="s">
        <v>2451</v>
      </c>
      <c r="I476" s="29" t="s">
        <v>302</v>
      </c>
      <c r="J476" s="29" t="s">
        <v>202</v>
      </c>
      <c r="K476" s="30" t="s">
        <v>44</v>
      </c>
      <c r="L476" s="31"/>
      <c r="M476" s="29" t="s">
        <v>625</v>
      </c>
    </row>
    <row r="477" customFormat="false" ht="114.75" hidden="false" customHeight="true" outlineLevel="0" collapsed="false">
      <c r="B477" s="29" t="s">
        <v>2452</v>
      </c>
      <c r="C477" s="29" t="s">
        <v>282</v>
      </c>
      <c r="D477" s="29" t="s">
        <v>2453</v>
      </c>
      <c r="E477" s="29" t="s">
        <v>351</v>
      </c>
      <c r="F477" s="29" t="s">
        <v>2454</v>
      </c>
      <c r="G477" s="29" t="s">
        <v>2455</v>
      </c>
      <c r="H477" s="29" t="s">
        <v>2456</v>
      </c>
      <c r="I477" s="29" t="s">
        <v>302</v>
      </c>
      <c r="J477" s="29" t="s">
        <v>202</v>
      </c>
      <c r="K477" s="30" t="s">
        <v>44</v>
      </c>
      <c r="L477" s="31"/>
      <c r="M477" s="29" t="s">
        <v>45</v>
      </c>
    </row>
    <row r="478" customFormat="false" ht="165.75" hidden="false" customHeight="true" outlineLevel="0" collapsed="false">
      <c r="B478" s="29" t="s">
        <v>2457</v>
      </c>
      <c r="C478" s="29" t="s">
        <v>282</v>
      </c>
      <c r="D478" s="29" t="s">
        <v>2458</v>
      </c>
      <c r="E478" s="29" t="s">
        <v>340</v>
      </c>
      <c r="F478" s="29" t="s">
        <v>2459</v>
      </c>
      <c r="G478" s="29" t="s">
        <v>2460</v>
      </c>
      <c r="H478" s="29" t="s">
        <v>2461</v>
      </c>
      <c r="I478" s="29" t="s">
        <v>302</v>
      </c>
      <c r="J478" s="29" t="s">
        <v>202</v>
      </c>
      <c r="K478" s="30" t="s">
        <v>44</v>
      </c>
      <c r="L478" s="31"/>
      <c r="M478" s="29" t="s">
        <v>45</v>
      </c>
    </row>
    <row r="479" customFormat="false" ht="191.25" hidden="false" customHeight="true" outlineLevel="0" collapsed="false">
      <c r="B479" s="29" t="s">
        <v>2462</v>
      </c>
      <c r="C479" s="29" t="s">
        <v>282</v>
      </c>
      <c r="D479" s="29" t="s">
        <v>2463</v>
      </c>
      <c r="E479" s="29" t="s">
        <v>340</v>
      </c>
      <c r="F479" s="29" t="s">
        <v>2464</v>
      </c>
      <c r="G479" s="29" t="s">
        <v>2465</v>
      </c>
      <c r="H479" s="29" t="s">
        <v>2466</v>
      </c>
      <c r="I479" s="29" t="s">
        <v>302</v>
      </c>
      <c r="J479" s="29" t="s">
        <v>202</v>
      </c>
      <c r="K479" s="30" t="s">
        <v>44</v>
      </c>
      <c r="L479" s="31"/>
      <c r="M479" s="29" t="s">
        <v>45</v>
      </c>
    </row>
    <row r="480" customFormat="false" ht="102" hidden="false" customHeight="true" outlineLevel="0" collapsed="false">
      <c r="B480" s="29" t="s">
        <v>2467</v>
      </c>
      <c r="C480" s="29" t="s">
        <v>282</v>
      </c>
      <c r="D480" s="29" t="s">
        <v>2468</v>
      </c>
      <c r="E480" s="29" t="s">
        <v>357</v>
      </c>
      <c r="F480" s="29" t="s">
        <v>2469</v>
      </c>
      <c r="G480" s="29" t="s">
        <v>2470</v>
      </c>
      <c r="H480" s="29" t="s">
        <v>2471</v>
      </c>
      <c r="I480" s="29" t="s">
        <v>302</v>
      </c>
      <c r="J480" s="29" t="s">
        <v>202</v>
      </c>
      <c r="K480" s="30" t="s">
        <v>44</v>
      </c>
      <c r="L480" s="31"/>
      <c r="M480" s="29" t="s">
        <v>45</v>
      </c>
    </row>
    <row r="481" customFormat="false" ht="140.25" hidden="false" customHeight="true" outlineLevel="0" collapsed="false">
      <c r="B481" s="29" t="s">
        <v>2472</v>
      </c>
      <c r="C481" s="29" t="s">
        <v>282</v>
      </c>
      <c r="D481" s="29" t="s">
        <v>2473</v>
      </c>
      <c r="E481" s="29" t="s">
        <v>357</v>
      </c>
      <c r="F481" s="29" t="s">
        <v>2469</v>
      </c>
      <c r="G481" s="29" t="s">
        <v>2474</v>
      </c>
      <c r="H481" s="29" t="s">
        <v>2475</v>
      </c>
      <c r="I481" s="29" t="s">
        <v>302</v>
      </c>
      <c r="J481" s="29" t="s">
        <v>202</v>
      </c>
      <c r="K481" s="30" t="s">
        <v>44</v>
      </c>
      <c r="L481" s="31"/>
      <c r="M481" s="29" t="s">
        <v>45</v>
      </c>
    </row>
    <row r="482" customFormat="false" ht="102" hidden="false" customHeight="true" outlineLevel="0" collapsed="false">
      <c r="B482" s="29" t="s">
        <v>2476</v>
      </c>
      <c r="C482" s="29" t="s">
        <v>282</v>
      </c>
      <c r="D482" s="29" t="s">
        <v>2477</v>
      </c>
      <c r="E482" s="29" t="s">
        <v>39</v>
      </c>
      <c r="F482" s="29" t="s">
        <v>2478</v>
      </c>
      <c r="G482" s="29" t="s">
        <v>2479</v>
      </c>
      <c r="H482" s="29" t="s">
        <v>2480</v>
      </c>
      <c r="I482" s="29" t="s">
        <v>460</v>
      </c>
      <c r="J482" s="29" t="s">
        <v>2481</v>
      </c>
      <c r="K482" s="30" t="s">
        <v>44</v>
      </c>
      <c r="L482" s="31"/>
      <c r="M482" s="29" t="s">
        <v>45</v>
      </c>
    </row>
    <row r="483" customFormat="false" ht="89.25" hidden="false" customHeight="true" outlineLevel="0" collapsed="false">
      <c r="B483" s="29" t="s">
        <v>2482</v>
      </c>
      <c r="C483" s="29" t="s">
        <v>282</v>
      </c>
      <c r="D483" s="29" t="s">
        <v>2483</v>
      </c>
      <c r="E483" s="29" t="s">
        <v>357</v>
      </c>
      <c r="F483" s="29" t="s">
        <v>2484</v>
      </c>
      <c r="G483" s="29" t="s">
        <v>2485</v>
      </c>
      <c r="H483" s="29" t="s">
        <v>2486</v>
      </c>
      <c r="I483" s="29" t="s">
        <v>302</v>
      </c>
      <c r="J483" s="29" t="s">
        <v>202</v>
      </c>
      <c r="K483" s="30" t="s">
        <v>44</v>
      </c>
      <c r="L483" s="31"/>
      <c r="M483" s="29" t="s">
        <v>45</v>
      </c>
    </row>
    <row r="484" customFormat="false" ht="63.75" hidden="false" customHeight="true" outlineLevel="0" collapsed="false">
      <c r="B484" s="29" t="s">
        <v>2487</v>
      </c>
      <c r="C484" s="29" t="s">
        <v>282</v>
      </c>
      <c r="D484" s="29" t="s">
        <v>2488</v>
      </c>
      <c r="E484" s="29" t="s">
        <v>340</v>
      </c>
      <c r="F484" s="29" t="s">
        <v>2489</v>
      </c>
      <c r="G484" s="29" t="s">
        <v>2490</v>
      </c>
      <c r="H484" s="29" t="s">
        <v>2491</v>
      </c>
      <c r="I484" s="29" t="s">
        <v>302</v>
      </c>
      <c r="J484" s="29" t="s">
        <v>202</v>
      </c>
      <c r="K484" s="30" t="s">
        <v>44</v>
      </c>
      <c r="L484" s="31"/>
      <c r="M484" s="29" t="s">
        <v>45</v>
      </c>
    </row>
    <row r="485" customFormat="false" ht="76.5" hidden="false" customHeight="true" outlineLevel="0" collapsed="false">
      <c r="B485" s="29" t="s">
        <v>2492</v>
      </c>
      <c r="C485" s="29" t="s">
        <v>282</v>
      </c>
      <c r="D485" s="29" t="s">
        <v>2493</v>
      </c>
      <c r="E485" s="29" t="s">
        <v>357</v>
      </c>
      <c r="F485" s="29" t="s">
        <v>2464</v>
      </c>
      <c r="G485" s="29" t="s">
        <v>2494</v>
      </c>
      <c r="H485" s="29" t="s">
        <v>2495</v>
      </c>
      <c r="I485" s="29" t="s">
        <v>302</v>
      </c>
      <c r="J485" s="29" t="s">
        <v>202</v>
      </c>
      <c r="K485" s="30" t="s">
        <v>44</v>
      </c>
      <c r="L485" s="31"/>
      <c r="M485" s="29" t="s">
        <v>45</v>
      </c>
    </row>
    <row r="486" customFormat="false" ht="51" hidden="false" customHeight="true" outlineLevel="0" collapsed="false">
      <c r="B486" s="29" t="s">
        <v>2496</v>
      </c>
      <c r="C486" s="29" t="s">
        <v>282</v>
      </c>
      <c r="D486" s="29" t="s">
        <v>2497</v>
      </c>
      <c r="E486" s="29" t="s">
        <v>340</v>
      </c>
      <c r="F486" s="29" t="s">
        <v>2498</v>
      </c>
      <c r="G486" s="29" t="s">
        <v>2499</v>
      </c>
      <c r="H486" s="29" t="s">
        <v>2500</v>
      </c>
      <c r="I486" s="29" t="s">
        <v>302</v>
      </c>
      <c r="J486" s="29" t="s">
        <v>202</v>
      </c>
      <c r="K486" s="30" t="s">
        <v>44</v>
      </c>
      <c r="L486" s="31"/>
      <c r="M486" s="29" t="s">
        <v>45</v>
      </c>
    </row>
    <row r="487" customFormat="false" ht="51" hidden="false" customHeight="true" outlineLevel="0" collapsed="false">
      <c r="B487" s="29" t="s">
        <v>2501</v>
      </c>
      <c r="C487" s="29" t="s">
        <v>282</v>
      </c>
      <c r="D487" s="29" t="s">
        <v>2502</v>
      </c>
      <c r="E487" s="29" t="s">
        <v>39</v>
      </c>
      <c r="F487" s="29" t="s">
        <v>2503</v>
      </c>
      <c r="G487" s="29" t="s">
        <v>2504</v>
      </c>
      <c r="H487" s="29" t="s">
        <v>2505</v>
      </c>
      <c r="I487" s="29" t="s">
        <v>42</v>
      </c>
      <c r="J487" s="29" t="s">
        <v>43</v>
      </c>
      <c r="K487" s="30" t="s">
        <v>44</v>
      </c>
      <c r="L487" s="31"/>
      <c r="M487" s="29" t="s">
        <v>45</v>
      </c>
    </row>
    <row r="488" customFormat="false" ht="51" hidden="false" customHeight="true" outlineLevel="0" collapsed="false">
      <c r="B488" s="29" t="s">
        <v>2506</v>
      </c>
      <c r="C488" s="29" t="s">
        <v>282</v>
      </c>
      <c r="D488" s="29" t="s">
        <v>2507</v>
      </c>
      <c r="E488" s="29" t="s">
        <v>340</v>
      </c>
      <c r="F488" s="29" t="s">
        <v>2503</v>
      </c>
      <c r="G488" s="29" t="s">
        <v>2508</v>
      </c>
      <c r="H488" s="29" t="s">
        <v>2509</v>
      </c>
      <c r="I488" s="29" t="s">
        <v>302</v>
      </c>
      <c r="J488" s="29" t="s">
        <v>202</v>
      </c>
      <c r="K488" s="30" t="s">
        <v>44</v>
      </c>
      <c r="L488" s="31"/>
      <c r="M488" s="29" t="s">
        <v>45</v>
      </c>
    </row>
    <row r="489" customFormat="false" ht="51" hidden="false" customHeight="true" outlineLevel="0" collapsed="false">
      <c r="B489" s="29" t="s">
        <v>2510</v>
      </c>
      <c r="C489" s="29" t="s">
        <v>282</v>
      </c>
      <c r="D489" s="29" t="s">
        <v>2511</v>
      </c>
      <c r="E489" s="29" t="s">
        <v>351</v>
      </c>
      <c r="F489" s="29" t="s">
        <v>2464</v>
      </c>
      <c r="G489" s="29" t="s">
        <v>2512</v>
      </c>
      <c r="H489" s="29" t="s">
        <v>2513</v>
      </c>
      <c r="I489" s="29" t="s">
        <v>302</v>
      </c>
      <c r="J489" s="29" t="s">
        <v>202</v>
      </c>
      <c r="K489" s="30" t="s">
        <v>44</v>
      </c>
      <c r="L489" s="31"/>
      <c r="M489" s="29" t="s">
        <v>45</v>
      </c>
    </row>
    <row r="490" customFormat="false" ht="51" hidden="false" customHeight="true" outlineLevel="0" collapsed="false">
      <c r="B490" s="29" t="s">
        <v>2514</v>
      </c>
      <c r="C490" s="29" t="s">
        <v>282</v>
      </c>
      <c r="D490" s="29" t="s">
        <v>2515</v>
      </c>
      <c r="E490" s="29" t="s">
        <v>340</v>
      </c>
      <c r="F490" s="29" t="s">
        <v>2503</v>
      </c>
      <c r="G490" s="29" t="s">
        <v>2516</v>
      </c>
      <c r="H490" s="29" t="s">
        <v>2517</v>
      </c>
      <c r="I490" s="29" t="s">
        <v>302</v>
      </c>
      <c r="J490" s="29" t="s">
        <v>202</v>
      </c>
      <c r="K490" s="30" t="s">
        <v>44</v>
      </c>
      <c r="L490" s="31"/>
      <c r="M490" s="29" t="s">
        <v>45</v>
      </c>
    </row>
    <row r="491" customFormat="false" ht="89.25" hidden="false" customHeight="true" outlineLevel="0" collapsed="false">
      <c r="B491" s="29" t="s">
        <v>2518</v>
      </c>
      <c r="C491" s="29" t="s">
        <v>282</v>
      </c>
      <c r="D491" s="29" t="s">
        <v>2519</v>
      </c>
      <c r="E491" s="29" t="s">
        <v>206</v>
      </c>
      <c r="F491" s="29" t="s">
        <v>2520</v>
      </c>
      <c r="G491" s="29" t="s">
        <v>2521</v>
      </c>
      <c r="H491" s="29" t="s">
        <v>2522</v>
      </c>
      <c r="I491" s="29" t="s">
        <v>302</v>
      </c>
      <c r="J491" s="29" t="s">
        <v>202</v>
      </c>
      <c r="K491" s="30" t="s">
        <v>44</v>
      </c>
      <c r="L491" s="31"/>
      <c r="M491" s="29" t="s">
        <v>45</v>
      </c>
    </row>
    <row r="492" customFormat="false" ht="102" hidden="false" customHeight="true" outlineLevel="0" collapsed="false">
      <c r="B492" s="29" t="s">
        <v>2523</v>
      </c>
      <c r="C492" s="29" t="s">
        <v>282</v>
      </c>
      <c r="D492" s="29" t="s">
        <v>2524</v>
      </c>
      <c r="E492" s="29" t="s">
        <v>600</v>
      </c>
      <c r="F492" s="29" t="s">
        <v>2423</v>
      </c>
      <c r="G492" s="29" t="s">
        <v>2525</v>
      </c>
      <c r="H492" s="29" t="s">
        <v>2526</v>
      </c>
      <c r="I492" s="29" t="s">
        <v>154</v>
      </c>
      <c r="J492" s="29" t="s">
        <v>155</v>
      </c>
      <c r="K492" s="30" t="s">
        <v>44</v>
      </c>
      <c r="L492" s="31"/>
      <c r="M492" s="29" t="s">
        <v>45</v>
      </c>
    </row>
    <row r="493" customFormat="false" ht="76.5" hidden="false" customHeight="true" outlineLevel="0" collapsed="false">
      <c r="B493" s="29" t="s">
        <v>2527</v>
      </c>
      <c r="C493" s="29" t="s">
        <v>282</v>
      </c>
      <c r="D493" s="29" t="s">
        <v>2528</v>
      </c>
      <c r="E493" s="29" t="s">
        <v>357</v>
      </c>
      <c r="F493" s="29" t="s">
        <v>2529</v>
      </c>
      <c r="G493" s="29" t="s">
        <v>2530</v>
      </c>
      <c r="H493" s="29" t="s">
        <v>2531</v>
      </c>
      <c r="I493" s="29" t="s">
        <v>302</v>
      </c>
      <c r="J493" s="29" t="s">
        <v>202</v>
      </c>
      <c r="K493" s="30" t="s">
        <v>44</v>
      </c>
      <c r="L493" s="31"/>
      <c r="M493" s="29" t="s">
        <v>45</v>
      </c>
    </row>
    <row r="494" customFormat="false" ht="76.5" hidden="false" customHeight="true" outlineLevel="0" collapsed="false">
      <c r="B494" s="29" t="s">
        <v>2532</v>
      </c>
      <c r="C494" s="29" t="s">
        <v>282</v>
      </c>
      <c r="D494" s="29" t="s">
        <v>2533</v>
      </c>
      <c r="E494" s="29" t="s">
        <v>78</v>
      </c>
      <c r="F494" s="29" t="s">
        <v>2534</v>
      </c>
      <c r="G494" s="29" t="s">
        <v>2535</v>
      </c>
      <c r="H494" s="29" t="s">
        <v>2536</v>
      </c>
      <c r="I494" s="29" t="s">
        <v>2537</v>
      </c>
      <c r="J494" s="29" t="s">
        <v>2538</v>
      </c>
      <c r="K494" s="30" t="s">
        <v>62</v>
      </c>
      <c r="L494" s="31"/>
      <c r="M494" s="29"/>
    </row>
    <row r="495" customFormat="false" ht="89.25" hidden="false" customHeight="true" outlineLevel="0" collapsed="false">
      <c r="B495" s="29" t="s">
        <v>2539</v>
      </c>
      <c r="C495" s="29" t="s">
        <v>282</v>
      </c>
      <c r="D495" s="29" t="s">
        <v>2540</v>
      </c>
      <c r="E495" s="29" t="s">
        <v>91</v>
      </c>
      <c r="F495" s="29" t="s">
        <v>2541</v>
      </c>
      <c r="G495" s="29" t="s">
        <v>2542</v>
      </c>
      <c r="H495" s="29" t="s">
        <v>2543</v>
      </c>
      <c r="I495" s="29" t="s">
        <v>539</v>
      </c>
      <c r="J495" s="29" t="s">
        <v>2544</v>
      </c>
      <c r="K495" s="30" t="s">
        <v>44</v>
      </c>
      <c r="L495" s="31"/>
      <c r="M495" s="29" t="s">
        <v>45</v>
      </c>
    </row>
    <row r="496" customFormat="false" ht="76.5" hidden="false" customHeight="true" outlineLevel="0" collapsed="false">
      <c r="B496" s="29" t="s">
        <v>2545</v>
      </c>
      <c r="C496" s="29" t="s">
        <v>282</v>
      </c>
      <c r="D496" s="29" t="s">
        <v>2546</v>
      </c>
      <c r="E496" s="29" t="s">
        <v>91</v>
      </c>
      <c r="F496" s="29" t="s">
        <v>2547</v>
      </c>
      <c r="G496" s="29" t="s">
        <v>2548</v>
      </c>
      <c r="H496" s="29" t="s">
        <v>2549</v>
      </c>
      <c r="I496" s="29" t="s">
        <v>539</v>
      </c>
      <c r="J496" s="29" t="s">
        <v>2544</v>
      </c>
      <c r="K496" s="30" t="s">
        <v>44</v>
      </c>
      <c r="L496" s="31"/>
      <c r="M496" s="29" t="s">
        <v>45</v>
      </c>
    </row>
    <row r="497" customFormat="false" ht="63.75" hidden="false" customHeight="true" outlineLevel="0" collapsed="false">
      <c r="B497" s="29" t="s">
        <v>2550</v>
      </c>
      <c r="C497" s="29" t="s">
        <v>282</v>
      </c>
      <c r="D497" s="29" t="s">
        <v>2551</v>
      </c>
      <c r="E497" s="29" t="s">
        <v>340</v>
      </c>
      <c r="F497" s="29" t="s">
        <v>2552</v>
      </c>
      <c r="G497" s="29" t="s">
        <v>2553</v>
      </c>
      <c r="H497" s="29" t="s">
        <v>2554</v>
      </c>
      <c r="I497" s="29" t="s">
        <v>302</v>
      </c>
      <c r="J497" s="29" t="s">
        <v>202</v>
      </c>
      <c r="K497" s="30" t="s">
        <v>44</v>
      </c>
      <c r="L497" s="31"/>
      <c r="M497" s="29" t="s">
        <v>45</v>
      </c>
    </row>
    <row r="498" customFormat="false" ht="102" hidden="false" customHeight="true" outlineLevel="0" collapsed="false">
      <c r="B498" s="29" t="s">
        <v>2555</v>
      </c>
      <c r="C498" s="29" t="s">
        <v>282</v>
      </c>
      <c r="D498" s="29" t="s">
        <v>2556</v>
      </c>
      <c r="E498" s="29" t="s">
        <v>340</v>
      </c>
      <c r="F498" s="29" t="s">
        <v>2557</v>
      </c>
      <c r="G498" s="29" t="s">
        <v>2558</v>
      </c>
      <c r="H498" s="29" t="s">
        <v>2559</v>
      </c>
      <c r="I498" s="29" t="s">
        <v>302</v>
      </c>
      <c r="J498" s="29" t="s">
        <v>202</v>
      </c>
      <c r="K498" s="30" t="s">
        <v>44</v>
      </c>
      <c r="L498" s="31"/>
      <c r="M498" s="29" t="s">
        <v>45</v>
      </c>
    </row>
    <row r="499" customFormat="false" ht="153" hidden="false" customHeight="true" outlineLevel="0" collapsed="false">
      <c r="B499" s="29" t="s">
        <v>2560</v>
      </c>
      <c r="C499" s="29" t="s">
        <v>282</v>
      </c>
      <c r="D499" s="29" t="s">
        <v>2561</v>
      </c>
      <c r="E499" s="29" t="s">
        <v>340</v>
      </c>
      <c r="F499" s="29" t="s">
        <v>2562</v>
      </c>
      <c r="G499" s="29" t="s">
        <v>2563</v>
      </c>
      <c r="H499" s="29" t="s">
        <v>2564</v>
      </c>
      <c r="I499" s="29" t="s">
        <v>472</v>
      </c>
      <c r="J499" s="29" t="s">
        <v>472</v>
      </c>
      <c r="K499" s="30" t="s">
        <v>44</v>
      </c>
      <c r="L499" s="31"/>
      <c r="M499" s="29" t="s">
        <v>45</v>
      </c>
    </row>
    <row r="500" customFormat="false" ht="191.25" hidden="false" customHeight="true" outlineLevel="0" collapsed="false">
      <c r="B500" s="29" t="s">
        <v>2565</v>
      </c>
      <c r="C500" s="29" t="s">
        <v>282</v>
      </c>
      <c r="D500" s="29" t="s">
        <v>2566</v>
      </c>
      <c r="E500" s="29" t="s">
        <v>340</v>
      </c>
      <c r="F500" s="29" t="s">
        <v>2567</v>
      </c>
      <c r="G500" s="29" t="s">
        <v>2568</v>
      </c>
      <c r="H500" s="29" t="s">
        <v>2569</v>
      </c>
      <c r="I500" s="29" t="s">
        <v>302</v>
      </c>
      <c r="J500" s="29" t="s">
        <v>202</v>
      </c>
      <c r="K500" s="30" t="s">
        <v>44</v>
      </c>
      <c r="L500" s="31"/>
      <c r="M500" s="29" t="s">
        <v>45</v>
      </c>
    </row>
    <row r="501" customFormat="false" ht="51" hidden="false" customHeight="true" outlineLevel="0" collapsed="false">
      <c r="B501" s="29" t="s">
        <v>2570</v>
      </c>
      <c r="C501" s="29" t="s">
        <v>282</v>
      </c>
      <c r="D501" s="29" t="s">
        <v>2571</v>
      </c>
      <c r="E501" s="29" t="s">
        <v>340</v>
      </c>
      <c r="F501" s="29" t="s">
        <v>2572</v>
      </c>
      <c r="G501" s="29" t="s">
        <v>2573</v>
      </c>
      <c r="H501" s="29" t="s">
        <v>2574</v>
      </c>
      <c r="I501" s="29" t="s">
        <v>302</v>
      </c>
      <c r="J501" s="29" t="s">
        <v>202</v>
      </c>
      <c r="K501" s="30" t="s">
        <v>44</v>
      </c>
      <c r="L501" s="31"/>
      <c r="M501" s="29" t="s">
        <v>625</v>
      </c>
    </row>
    <row r="502" customFormat="false" ht="51" hidden="false" customHeight="true" outlineLevel="0" collapsed="false">
      <c r="B502" s="29" t="s">
        <v>2575</v>
      </c>
      <c r="C502" s="29" t="s">
        <v>282</v>
      </c>
      <c r="D502" s="29" t="s">
        <v>2576</v>
      </c>
      <c r="E502" s="29" t="s">
        <v>340</v>
      </c>
      <c r="F502" s="29" t="s">
        <v>2577</v>
      </c>
      <c r="G502" s="29" t="s">
        <v>2578</v>
      </c>
      <c r="H502" s="29" t="s">
        <v>2579</v>
      </c>
      <c r="I502" s="29" t="s">
        <v>302</v>
      </c>
      <c r="J502" s="29" t="s">
        <v>202</v>
      </c>
      <c r="K502" s="30" t="s">
        <v>44</v>
      </c>
      <c r="L502" s="31"/>
      <c r="M502" s="29" t="s">
        <v>45</v>
      </c>
    </row>
    <row r="503" customFormat="false" ht="38.25" hidden="false" customHeight="true" outlineLevel="0" collapsed="false">
      <c r="B503" s="29" t="s">
        <v>2580</v>
      </c>
      <c r="C503" s="29" t="s">
        <v>282</v>
      </c>
      <c r="D503" s="29" t="s">
        <v>2581</v>
      </c>
      <c r="E503" s="29" t="s">
        <v>340</v>
      </c>
      <c r="F503" s="29" t="s">
        <v>2582</v>
      </c>
      <c r="G503" s="29" t="s">
        <v>2583</v>
      </c>
      <c r="H503" s="29" t="s">
        <v>2584</v>
      </c>
      <c r="I503" s="29" t="s">
        <v>302</v>
      </c>
      <c r="J503" s="29" t="s">
        <v>202</v>
      </c>
      <c r="K503" s="30" t="s">
        <v>44</v>
      </c>
      <c r="L503" s="31"/>
      <c r="M503" s="29" t="s">
        <v>45</v>
      </c>
    </row>
    <row r="504" customFormat="false" ht="51" hidden="false" customHeight="true" outlineLevel="0" collapsed="false">
      <c r="B504" s="29" t="s">
        <v>2585</v>
      </c>
      <c r="C504" s="29" t="s">
        <v>282</v>
      </c>
      <c r="D504" s="29" t="s">
        <v>2586</v>
      </c>
      <c r="E504" s="29" t="s">
        <v>340</v>
      </c>
      <c r="F504" s="29" t="s">
        <v>2587</v>
      </c>
      <c r="G504" s="29" t="s">
        <v>2588</v>
      </c>
      <c r="H504" s="29" t="s">
        <v>2589</v>
      </c>
      <c r="I504" s="29" t="s">
        <v>302</v>
      </c>
      <c r="J504" s="29" t="s">
        <v>202</v>
      </c>
      <c r="K504" s="30" t="s">
        <v>44</v>
      </c>
      <c r="L504" s="31"/>
      <c r="M504" s="29" t="s">
        <v>45</v>
      </c>
    </row>
    <row r="505" customFormat="false" ht="38.25" hidden="false" customHeight="true" outlineLevel="0" collapsed="false">
      <c r="B505" s="29" t="s">
        <v>2590</v>
      </c>
      <c r="C505" s="29" t="s">
        <v>282</v>
      </c>
      <c r="D505" s="29" t="s">
        <v>2591</v>
      </c>
      <c r="E505" s="29" t="s">
        <v>340</v>
      </c>
      <c r="F505" s="29" t="s">
        <v>2592</v>
      </c>
      <c r="G505" s="29" t="s">
        <v>2593</v>
      </c>
      <c r="H505" s="29" t="s">
        <v>2594</v>
      </c>
      <c r="I505" s="29" t="s">
        <v>302</v>
      </c>
      <c r="J505" s="29" t="s">
        <v>202</v>
      </c>
      <c r="K505" s="30" t="s">
        <v>44</v>
      </c>
      <c r="L505" s="31"/>
      <c r="M505" s="29" t="s">
        <v>45</v>
      </c>
    </row>
    <row r="506" customFormat="false" ht="76.5" hidden="false" customHeight="true" outlineLevel="0" collapsed="false">
      <c r="B506" s="29" t="s">
        <v>2595</v>
      </c>
      <c r="C506" s="29" t="s">
        <v>282</v>
      </c>
      <c r="D506" s="29" t="s">
        <v>2596</v>
      </c>
      <c r="E506" s="29" t="s">
        <v>99</v>
      </c>
      <c r="F506" s="29" t="s">
        <v>2597</v>
      </c>
      <c r="G506" s="29" t="s">
        <v>2598</v>
      </c>
      <c r="H506" s="29" t="s">
        <v>2599</v>
      </c>
      <c r="I506" s="29" t="s">
        <v>539</v>
      </c>
      <c r="J506" s="29" t="s">
        <v>540</v>
      </c>
      <c r="K506" s="30" t="s">
        <v>44</v>
      </c>
      <c r="L506" s="31"/>
      <c r="M506" s="29" t="s">
        <v>45</v>
      </c>
    </row>
    <row r="507" customFormat="false" ht="63.75" hidden="false" customHeight="true" outlineLevel="0" collapsed="false">
      <c r="B507" s="29" t="s">
        <v>2600</v>
      </c>
      <c r="C507" s="29" t="s">
        <v>282</v>
      </c>
      <c r="D507" s="29" t="s">
        <v>2601</v>
      </c>
      <c r="E507" s="29" t="s">
        <v>340</v>
      </c>
      <c r="F507" s="29" t="s">
        <v>2602</v>
      </c>
      <c r="G507" s="29" t="s">
        <v>2603</v>
      </c>
      <c r="H507" s="29" t="s">
        <v>2604</v>
      </c>
      <c r="I507" s="29" t="s">
        <v>302</v>
      </c>
      <c r="J507" s="29" t="s">
        <v>202</v>
      </c>
      <c r="K507" s="30" t="s">
        <v>44</v>
      </c>
      <c r="L507" s="31"/>
      <c r="M507" s="29" t="s">
        <v>45</v>
      </c>
    </row>
    <row r="508" customFormat="false" ht="76.5" hidden="false" customHeight="true" outlineLevel="0" collapsed="false">
      <c r="B508" s="29" t="s">
        <v>2605</v>
      </c>
      <c r="C508" s="29" t="s">
        <v>282</v>
      </c>
      <c r="D508" s="29" t="s">
        <v>2606</v>
      </c>
      <c r="E508" s="29" t="s">
        <v>151</v>
      </c>
      <c r="F508" s="29" t="s">
        <v>2607</v>
      </c>
      <c r="G508" s="29" t="s">
        <v>2608</v>
      </c>
      <c r="H508" s="29" t="s">
        <v>2609</v>
      </c>
      <c r="I508" s="29" t="s">
        <v>472</v>
      </c>
      <c r="J508" s="29" t="s">
        <v>472</v>
      </c>
      <c r="K508" s="30" t="s">
        <v>44</v>
      </c>
      <c r="L508" s="31"/>
      <c r="M508" s="29" t="s">
        <v>45</v>
      </c>
    </row>
    <row r="509" customFormat="false" ht="63.75" hidden="false" customHeight="true" outlineLevel="0" collapsed="false">
      <c r="B509" s="29" t="s">
        <v>2610</v>
      </c>
      <c r="C509" s="29" t="s">
        <v>282</v>
      </c>
      <c r="D509" s="29" t="s">
        <v>2611</v>
      </c>
      <c r="E509" s="29" t="s">
        <v>39</v>
      </c>
      <c r="F509" s="29" t="s">
        <v>2423</v>
      </c>
      <c r="G509" s="29" t="s">
        <v>2612</v>
      </c>
      <c r="H509" s="29" t="s">
        <v>2613</v>
      </c>
      <c r="I509" s="29" t="s">
        <v>2614</v>
      </c>
      <c r="J509" s="29" t="s">
        <v>2615</v>
      </c>
      <c r="K509" s="30" t="s">
        <v>62</v>
      </c>
      <c r="L509" s="31"/>
      <c r="M509" s="29"/>
    </row>
    <row r="510" customFormat="false" ht="63.75" hidden="false" customHeight="true" outlineLevel="0" collapsed="false">
      <c r="B510" s="29" t="s">
        <v>2616</v>
      </c>
      <c r="C510" s="29" t="s">
        <v>282</v>
      </c>
      <c r="D510" s="29" t="s">
        <v>2617</v>
      </c>
      <c r="E510" s="29" t="s">
        <v>327</v>
      </c>
      <c r="F510" s="29" t="s">
        <v>2520</v>
      </c>
      <c r="G510" s="29" t="s">
        <v>2618</v>
      </c>
      <c r="H510" s="29" t="s">
        <v>2619</v>
      </c>
      <c r="I510" s="29" t="s">
        <v>302</v>
      </c>
      <c r="J510" s="29" t="s">
        <v>202</v>
      </c>
      <c r="K510" s="30" t="s">
        <v>44</v>
      </c>
      <c r="L510" s="31"/>
      <c r="M510" s="29" t="s">
        <v>366</v>
      </c>
    </row>
    <row r="511" customFormat="false" ht="153" hidden="false" customHeight="true" outlineLevel="0" collapsed="false">
      <c r="B511" s="29" t="s">
        <v>2620</v>
      </c>
      <c r="C511" s="29" t="s">
        <v>282</v>
      </c>
      <c r="D511" s="29" t="s">
        <v>2621</v>
      </c>
      <c r="E511" s="29" t="s">
        <v>600</v>
      </c>
      <c r="F511" s="29" t="s">
        <v>2622</v>
      </c>
      <c r="G511" s="29" t="s">
        <v>2623</v>
      </c>
      <c r="H511" s="29" t="s">
        <v>2624</v>
      </c>
      <c r="I511" s="29" t="s">
        <v>154</v>
      </c>
      <c r="J511" s="29" t="s">
        <v>155</v>
      </c>
      <c r="K511" s="30" t="s">
        <v>44</v>
      </c>
      <c r="L511" s="31"/>
      <c r="M511" s="29" t="s">
        <v>45</v>
      </c>
    </row>
    <row r="512" customFormat="false" ht="51" hidden="false" customHeight="true" outlineLevel="0" collapsed="false">
      <c r="B512" s="29" t="s">
        <v>2625</v>
      </c>
      <c r="C512" s="29" t="s">
        <v>282</v>
      </c>
      <c r="D512" s="29" t="s">
        <v>2626</v>
      </c>
      <c r="E512" s="29" t="s">
        <v>357</v>
      </c>
      <c r="F512" s="29" t="s">
        <v>2627</v>
      </c>
      <c r="G512" s="29" t="s">
        <v>2628</v>
      </c>
      <c r="H512" s="29" t="s">
        <v>2629</v>
      </c>
      <c r="I512" s="29" t="s">
        <v>302</v>
      </c>
      <c r="J512" s="29" t="s">
        <v>202</v>
      </c>
      <c r="K512" s="30" t="s">
        <v>44</v>
      </c>
      <c r="L512" s="31"/>
      <c r="M512" s="29" t="s">
        <v>45</v>
      </c>
    </row>
    <row r="513" customFormat="false" ht="102" hidden="false" customHeight="true" outlineLevel="0" collapsed="false">
      <c r="B513" s="29" t="s">
        <v>2630</v>
      </c>
      <c r="C513" s="29" t="s">
        <v>282</v>
      </c>
      <c r="D513" s="29" t="s">
        <v>2631</v>
      </c>
      <c r="E513" s="29" t="s">
        <v>91</v>
      </c>
      <c r="F513" s="29" t="s">
        <v>2632</v>
      </c>
      <c r="G513" s="29" t="s">
        <v>2633</v>
      </c>
      <c r="H513" s="29" t="s">
        <v>2634</v>
      </c>
      <c r="I513" s="29" t="s">
        <v>95</v>
      </c>
      <c r="J513" s="29" t="s">
        <v>2635</v>
      </c>
      <c r="K513" s="30" t="s">
        <v>62</v>
      </c>
      <c r="L513" s="31"/>
      <c r="M513" s="29"/>
    </row>
    <row r="514" customFormat="false" ht="89.25" hidden="false" customHeight="true" outlineLevel="0" collapsed="false">
      <c r="B514" s="29" t="s">
        <v>2636</v>
      </c>
      <c r="C514" s="29" t="s">
        <v>282</v>
      </c>
      <c r="D514" s="29" t="s">
        <v>2637</v>
      </c>
      <c r="E514" s="29" t="s">
        <v>340</v>
      </c>
      <c r="F514" s="29" t="s">
        <v>2638</v>
      </c>
      <c r="G514" s="29" t="s">
        <v>2639</v>
      </c>
      <c r="H514" s="29" t="s">
        <v>2640</v>
      </c>
      <c r="I514" s="29" t="s">
        <v>302</v>
      </c>
      <c r="J514" s="29" t="s">
        <v>202</v>
      </c>
      <c r="K514" s="30" t="s">
        <v>44</v>
      </c>
      <c r="L514" s="31"/>
      <c r="M514" s="29" t="s">
        <v>45</v>
      </c>
    </row>
    <row r="515" customFormat="false" ht="76.5" hidden="false" customHeight="true" outlineLevel="0" collapsed="false">
      <c r="B515" s="29" t="s">
        <v>2641</v>
      </c>
      <c r="C515" s="29" t="s">
        <v>282</v>
      </c>
      <c r="D515" s="29" t="s">
        <v>2642</v>
      </c>
      <c r="E515" s="29" t="s">
        <v>151</v>
      </c>
      <c r="F515" s="29" t="s">
        <v>2643</v>
      </c>
      <c r="G515" s="29" t="s">
        <v>2644</v>
      </c>
      <c r="H515" s="29" t="s">
        <v>2645</v>
      </c>
      <c r="I515" s="29" t="s">
        <v>472</v>
      </c>
      <c r="J515" s="29" t="s">
        <v>472</v>
      </c>
      <c r="K515" s="30" t="s">
        <v>44</v>
      </c>
      <c r="L515" s="31"/>
      <c r="M515" s="29" t="s">
        <v>45</v>
      </c>
    </row>
    <row r="516" customFormat="false" ht="89.25" hidden="false" customHeight="true" outlineLevel="0" collapsed="false">
      <c r="B516" s="29" t="s">
        <v>2646</v>
      </c>
      <c r="C516" s="29" t="s">
        <v>282</v>
      </c>
      <c r="D516" s="29" t="s">
        <v>2647</v>
      </c>
      <c r="E516" s="29" t="s">
        <v>357</v>
      </c>
      <c r="F516" s="29" t="s">
        <v>2648</v>
      </c>
      <c r="G516" s="29" t="s">
        <v>2649</v>
      </c>
      <c r="H516" s="29" t="s">
        <v>2650</v>
      </c>
      <c r="I516" s="29" t="s">
        <v>302</v>
      </c>
      <c r="J516" s="29" t="s">
        <v>202</v>
      </c>
      <c r="K516" s="30" t="s">
        <v>44</v>
      </c>
      <c r="L516" s="31"/>
      <c r="M516" s="29" t="s">
        <v>45</v>
      </c>
    </row>
    <row r="517" customFormat="false" ht="204" hidden="false" customHeight="true" outlineLevel="0" collapsed="false">
      <c r="B517" s="29" t="s">
        <v>2651</v>
      </c>
      <c r="C517" s="29" t="s">
        <v>282</v>
      </c>
      <c r="D517" s="29" t="s">
        <v>2652</v>
      </c>
      <c r="E517" s="29" t="s">
        <v>151</v>
      </c>
      <c r="F517" s="29" t="s">
        <v>2653</v>
      </c>
      <c r="G517" s="29" t="s">
        <v>2654</v>
      </c>
      <c r="H517" s="29" t="s">
        <v>2655</v>
      </c>
      <c r="I517" s="29" t="s">
        <v>286</v>
      </c>
      <c r="J517" s="29" t="s">
        <v>804</v>
      </c>
      <c r="K517" s="30" t="s">
        <v>44</v>
      </c>
      <c r="L517" s="31"/>
      <c r="M517" s="29" t="s">
        <v>45</v>
      </c>
    </row>
    <row r="518" customFormat="false" ht="76.5" hidden="false" customHeight="true" outlineLevel="0" collapsed="false">
      <c r="B518" s="29" t="s">
        <v>2656</v>
      </c>
      <c r="C518" s="29" t="s">
        <v>282</v>
      </c>
      <c r="D518" s="29" t="s">
        <v>2657</v>
      </c>
      <c r="E518" s="29" t="s">
        <v>206</v>
      </c>
      <c r="F518" s="29" t="s">
        <v>2658</v>
      </c>
      <c r="G518" s="29" t="s">
        <v>2659</v>
      </c>
      <c r="H518" s="29" t="s">
        <v>2660</v>
      </c>
      <c r="I518" s="29" t="s">
        <v>302</v>
      </c>
      <c r="J518" s="29" t="s">
        <v>202</v>
      </c>
      <c r="K518" s="30" t="s">
        <v>44</v>
      </c>
      <c r="L518" s="31"/>
      <c r="M518" s="29" t="s">
        <v>45</v>
      </c>
    </row>
    <row r="519" customFormat="false" ht="76.5" hidden="false" customHeight="true" outlineLevel="0" collapsed="false">
      <c r="B519" s="29" t="s">
        <v>2661</v>
      </c>
      <c r="C519" s="29" t="s">
        <v>282</v>
      </c>
      <c r="D519" s="29" t="s">
        <v>2662</v>
      </c>
      <c r="E519" s="29" t="s">
        <v>340</v>
      </c>
      <c r="F519" s="29" t="s">
        <v>2663</v>
      </c>
      <c r="G519" s="29" t="s">
        <v>2664</v>
      </c>
      <c r="H519" s="29" t="s">
        <v>2665</v>
      </c>
      <c r="I519" s="29" t="s">
        <v>302</v>
      </c>
      <c r="J519" s="29" t="s">
        <v>202</v>
      </c>
      <c r="K519" s="30" t="s">
        <v>44</v>
      </c>
      <c r="L519" s="31"/>
      <c r="M519" s="29" t="s">
        <v>45</v>
      </c>
    </row>
    <row r="520" customFormat="false" ht="102" hidden="false" customHeight="true" outlineLevel="0" collapsed="false">
      <c r="B520" s="29" t="s">
        <v>2666</v>
      </c>
      <c r="C520" s="29" t="s">
        <v>282</v>
      </c>
      <c r="D520" s="29" t="s">
        <v>2667</v>
      </c>
      <c r="E520" s="29" t="s">
        <v>351</v>
      </c>
      <c r="F520" s="29" t="s">
        <v>2668</v>
      </c>
      <c r="G520" s="29" t="s">
        <v>2669</v>
      </c>
      <c r="H520" s="29" t="s">
        <v>2670</v>
      </c>
      <c r="I520" s="29" t="s">
        <v>302</v>
      </c>
      <c r="J520" s="29" t="s">
        <v>202</v>
      </c>
      <c r="K520" s="30" t="s">
        <v>44</v>
      </c>
      <c r="L520" s="31"/>
      <c r="M520" s="29" t="s">
        <v>45</v>
      </c>
    </row>
    <row r="521" customFormat="false" ht="267.75" hidden="false" customHeight="true" outlineLevel="0" collapsed="false">
      <c r="B521" s="29" t="s">
        <v>2671</v>
      </c>
      <c r="C521" s="29" t="s">
        <v>282</v>
      </c>
      <c r="D521" s="29" t="s">
        <v>2672</v>
      </c>
      <c r="E521" s="29" t="s">
        <v>357</v>
      </c>
      <c r="F521" s="29" t="s">
        <v>2673</v>
      </c>
      <c r="G521" s="29" t="s">
        <v>2674</v>
      </c>
      <c r="H521" s="29" t="s">
        <v>2675</v>
      </c>
      <c r="I521" s="29" t="s">
        <v>302</v>
      </c>
      <c r="J521" s="29" t="s">
        <v>202</v>
      </c>
      <c r="K521" s="30" t="s">
        <v>44</v>
      </c>
      <c r="L521" s="31"/>
      <c r="M521" s="29" t="s">
        <v>45</v>
      </c>
    </row>
    <row r="522" customFormat="false" ht="63.75" hidden="false" customHeight="true" outlineLevel="0" collapsed="false">
      <c r="B522" s="29" t="s">
        <v>2676</v>
      </c>
      <c r="C522" s="29" t="s">
        <v>282</v>
      </c>
      <c r="D522" s="29" t="s">
        <v>2677</v>
      </c>
      <c r="E522" s="29" t="s">
        <v>39</v>
      </c>
      <c r="F522" s="29" t="s">
        <v>2678</v>
      </c>
      <c r="G522" s="29" t="s">
        <v>2679</v>
      </c>
      <c r="H522" s="29" t="s">
        <v>2680</v>
      </c>
      <c r="I522" s="29" t="s">
        <v>95</v>
      </c>
      <c r="J522" s="29" t="s">
        <v>2681</v>
      </c>
      <c r="K522" s="30" t="s">
        <v>44</v>
      </c>
      <c r="L522" s="31"/>
      <c r="M522" s="29" t="s">
        <v>45</v>
      </c>
    </row>
    <row r="523" customFormat="false" ht="140.25" hidden="false" customHeight="true" outlineLevel="0" collapsed="false">
      <c r="B523" s="29" t="s">
        <v>2682</v>
      </c>
      <c r="C523" s="29" t="s">
        <v>282</v>
      </c>
      <c r="D523" s="29" t="s">
        <v>2683</v>
      </c>
      <c r="E523" s="29" t="s">
        <v>357</v>
      </c>
      <c r="F523" s="29" t="s">
        <v>2684</v>
      </c>
      <c r="G523" s="29" t="s">
        <v>2685</v>
      </c>
      <c r="H523" s="29" t="s">
        <v>2686</v>
      </c>
      <c r="I523" s="29" t="s">
        <v>302</v>
      </c>
      <c r="J523" s="29" t="s">
        <v>202</v>
      </c>
      <c r="K523" s="30" t="s">
        <v>44</v>
      </c>
      <c r="L523" s="31"/>
      <c r="M523" s="29" t="s">
        <v>45</v>
      </c>
    </row>
    <row r="524" customFormat="false" ht="140.25" hidden="false" customHeight="true" outlineLevel="0" collapsed="false">
      <c r="B524" s="29" t="s">
        <v>2687</v>
      </c>
      <c r="C524" s="29" t="s">
        <v>282</v>
      </c>
      <c r="D524" s="29" t="s">
        <v>2688</v>
      </c>
      <c r="E524" s="29" t="s">
        <v>357</v>
      </c>
      <c r="F524" s="29" t="s">
        <v>2689</v>
      </c>
      <c r="G524" s="29" t="s">
        <v>2690</v>
      </c>
      <c r="H524" s="29" t="s">
        <v>2691</v>
      </c>
      <c r="I524" s="29" t="s">
        <v>302</v>
      </c>
      <c r="J524" s="29" t="s">
        <v>202</v>
      </c>
      <c r="K524" s="30" t="s">
        <v>44</v>
      </c>
      <c r="L524" s="31"/>
      <c r="M524" s="29" t="s">
        <v>45</v>
      </c>
    </row>
    <row r="525" customFormat="false" ht="63.75" hidden="false" customHeight="true" outlineLevel="0" collapsed="false">
      <c r="B525" s="29" t="s">
        <v>2692</v>
      </c>
      <c r="C525" s="29" t="s">
        <v>282</v>
      </c>
      <c r="D525" s="29" t="s">
        <v>2693</v>
      </c>
      <c r="E525" s="29" t="s">
        <v>327</v>
      </c>
      <c r="F525" s="29" t="s">
        <v>2694</v>
      </c>
      <c r="G525" s="29" t="s">
        <v>2695</v>
      </c>
      <c r="H525" s="29" t="s">
        <v>2696</v>
      </c>
      <c r="I525" s="29" t="s">
        <v>302</v>
      </c>
      <c r="J525" s="29" t="s">
        <v>202</v>
      </c>
      <c r="K525" s="30" t="s">
        <v>44</v>
      </c>
      <c r="L525" s="31"/>
      <c r="M525" s="29" t="s">
        <v>625</v>
      </c>
    </row>
    <row r="526" customFormat="false" ht="63.75" hidden="false" customHeight="true" outlineLevel="0" collapsed="false">
      <c r="B526" s="29" t="s">
        <v>2697</v>
      </c>
      <c r="C526" s="29" t="s">
        <v>282</v>
      </c>
      <c r="D526" s="29" t="s">
        <v>2698</v>
      </c>
      <c r="E526" s="29" t="s">
        <v>543</v>
      </c>
      <c r="F526" s="29" t="s">
        <v>2699</v>
      </c>
      <c r="G526" s="29" t="s">
        <v>2700</v>
      </c>
      <c r="H526" s="29" t="s">
        <v>2701</v>
      </c>
      <c r="I526" s="29" t="s">
        <v>472</v>
      </c>
      <c r="J526" s="29" t="s">
        <v>472</v>
      </c>
      <c r="K526" s="30" t="s">
        <v>44</v>
      </c>
      <c r="L526" s="31"/>
      <c r="M526" s="29" t="s">
        <v>45</v>
      </c>
    </row>
    <row r="527" customFormat="false" ht="63.75" hidden="false" customHeight="true" outlineLevel="0" collapsed="false">
      <c r="B527" s="29" t="s">
        <v>2702</v>
      </c>
      <c r="C527" s="29" t="s">
        <v>282</v>
      </c>
      <c r="D527" s="29" t="s">
        <v>2703</v>
      </c>
      <c r="E527" s="29" t="s">
        <v>340</v>
      </c>
      <c r="F527" s="29" t="s">
        <v>2704</v>
      </c>
      <c r="G527" s="29" t="s">
        <v>2705</v>
      </c>
      <c r="H527" s="29" t="s">
        <v>2706</v>
      </c>
      <c r="I527" s="29" t="s">
        <v>302</v>
      </c>
      <c r="J527" s="29" t="s">
        <v>202</v>
      </c>
      <c r="K527" s="30" t="s">
        <v>44</v>
      </c>
      <c r="L527" s="31"/>
      <c r="M527" s="29" t="s">
        <v>45</v>
      </c>
    </row>
    <row r="528" customFormat="false" ht="114.75" hidden="false" customHeight="true" outlineLevel="0" collapsed="false">
      <c r="B528" s="29" t="s">
        <v>2707</v>
      </c>
      <c r="C528" s="29" t="s">
        <v>282</v>
      </c>
      <c r="D528" s="29" t="s">
        <v>2708</v>
      </c>
      <c r="E528" s="29" t="s">
        <v>357</v>
      </c>
      <c r="F528" s="29" t="s">
        <v>2709</v>
      </c>
      <c r="G528" s="29" t="s">
        <v>2710</v>
      </c>
      <c r="H528" s="29" t="s">
        <v>2711</v>
      </c>
      <c r="I528" s="29" t="s">
        <v>302</v>
      </c>
      <c r="J528" s="29" t="s">
        <v>202</v>
      </c>
      <c r="K528" s="30" t="s">
        <v>44</v>
      </c>
      <c r="L528" s="31"/>
      <c r="M528" s="29" t="s">
        <v>45</v>
      </c>
    </row>
    <row r="529" customFormat="false" ht="114.75" hidden="false" customHeight="true" outlineLevel="0" collapsed="false">
      <c r="B529" s="29" t="s">
        <v>2712</v>
      </c>
      <c r="C529" s="29" t="s">
        <v>282</v>
      </c>
      <c r="D529" s="29" t="s">
        <v>2713</v>
      </c>
      <c r="E529" s="29" t="s">
        <v>340</v>
      </c>
      <c r="F529" s="29" t="s">
        <v>2714</v>
      </c>
      <c r="G529" s="29" t="s">
        <v>2715</v>
      </c>
      <c r="H529" s="29" t="s">
        <v>2716</v>
      </c>
      <c r="I529" s="29" t="s">
        <v>302</v>
      </c>
      <c r="J529" s="29" t="s">
        <v>202</v>
      </c>
      <c r="K529" s="30" t="s">
        <v>44</v>
      </c>
      <c r="L529" s="31"/>
      <c r="M529" s="29" t="s">
        <v>45</v>
      </c>
    </row>
    <row r="530" customFormat="false" ht="153" hidden="false" customHeight="true" outlineLevel="0" collapsed="false">
      <c r="B530" s="29" t="s">
        <v>2717</v>
      </c>
      <c r="C530" s="29" t="s">
        <v>282</v>
      </c>
      <c r="D530" s="29" t="s">
        <v>2718</v>
      </c>
      <c r="E530" s="29" t="s">
        <v>78</v>
      </c>
      <c r="F530" s="29" t="s">
        <v>2719</v>
      </c>
      <c r="G530" s="29" t="s">
        <v>2720</v>
      </c>
      <c r="H530" s="29" t="s">
        <v>2721</v>
      </c>
      <c r="I530" s="29" t="s">
        <v>1247</v>
      </c>
      <c r="J530" s="29" t="s">
        <v>2722</v>
      </c>
      <c r="K530" s="30" t="s">
        <v>62</v>
      </c>
      <c r="L530" s="31"/>
      <c r="M530" s="29"/>
    </row>
    <row r="531" customFormat="false" ht="178.5" hidden="false" customHeight="true" outlineLevel="0" collapsed="false">
      <c r="B531" s="29" t="s">
        <v>2723</v>
      </c>
      <c r="C531" s="29" t="s">
        <v>282</v>
      </c>
      <c r="D531" s="29" t="s">
        <v>2724</v>
      </c>
      <c r="E531" s="29" t="s">
        <v>351</v>
      </c>
      <c r="F531" s="29" t="s">
        <v>2725</v>
      </c>
      <c r="G531" s="29" t="s">
        <v>2726</v>
      </c>
      <c r="H531" s="29" t="s">
        <v>2727</v>
      </c>
      <c r="I531" s="29" t="s">
        <v>472</v>
      </c>
      <c r="J531" s="29" t="s">
        <v>472</v>
      </c>
      <c r="K531" s="30" t="s">
        <v>44</v>
      </c>
      <c r="L531" s="31"/>
      <c r="M531" s="29" t="s">
        <v>45</v>
      </c>
    </row>
    <row r="532" customFormat="false" ht="76.5" hidden="false" customHeight="true" outlineLevel="0" collapsed="false">
      <c r="B532" s="29" t="s">
        <v>2728</v>
      </c>
      <c r="C532" s="29" t="s">
        <v>282</v>
      </c>
      <c r="D532" s="29" t="s">
        <v>2729</v>
      </c>
      <c r="E532" s="29" t="s">
        <v>340</v>
      </c>
      <c r="F532" s="29" t="s">
        <v>2730</v>
      </c>
      <c r="G532" s="29" t="s">
        <v>2731</v>
      </c>
      <c r="H532" s="29" t="s">
        <v>2732</v>
      </c>
      <c r="I532" s="29" t="s">
        <v>302</v>
      </c>
      <c r="J532" s="29" t="s">
        <v>202</v>
      </c>
      <c r="K532" s="30" t="s">
        <v>44</v>
      </c>
      <c r="L532" s="31"/>
      <c r="M532" s="29" t="s">
        <v>45</v>
      </c>
    </row>
    <row r="533" customFormat="false" ht="76.5" hidden="false" customHeight="true" outlineLevel="0" collapsed="false">
      <c r="B533" s="29" t="s">
        <v>2733</v>
      </c>
      <c r="C533" s="29" t="s">
        <v>282</v>
      </c>
      <c r="D533" s="29" t="s">
        <v>2734</v>
      </c>
      <c r="E533" s="29" t="s">
        <v>340</v>
      </c>
      <c r="F533" s="29" t="s">
        <v>2735</v>
      </c>
      <c r="G533" s="29" t="s">
        <v>2736</v>
      </c>
      <c r="H533" s="29" t="s">
        <v>2737</v>
      </c>
      <c r="I533" s="29" t="s">
        <v>302</v>
      </c>
      <c r="J533" s="29" t="s">
        <v>202</v>
      </c>
      <c r="K533" s="30" t="s">
        <v>44</v>
      </c>
      <c r="L533" s="31"/>
      <c r="M533" s="29" t="s">
        <v>45</v>
      </c>
    </row>
    <row r="534" customFormat="false" ht="63.75" hidden="false" customHeight="true" outlineLevel="0" collapsed="false">
      <c r="B534" s="29" t="s">
        <v>2738</v>
      </c>
      <c r="C534" s="29" t="s">
        <v>282</v>
      </c>
      <c r="D534" s="29" t="s">
        <v>2739</v>
      </c>
      <c r="E534" s="29" t="s">
        <v>340</v>
      </c>
      <c r="F534" s="29" t="s">
        <v>2740</v>
      </c>
      <c r="G534" s="29" t="s">
        <v>2741</v>
      </c>
      <c r="H534" s="29" t="s">
        <v>2742</v>
      </c>
      <c r="I534" s="29" t="s">
        <v>154</v>
      </c>
      <c r="J534" s="29" t="s">
        <v>155</v>
      </c>
      <c r="K534" s="30" t="s">
        <v>44</v>
      </c>
      <c r="L534" s="31"/>
      <c r="M534" s="29" t="s">
        <v>45</v>
      </c>
    </row>
    <row r="535" customFormat="false" ht="76.5" hidden="false" customHeight="true" outlineLevel="0" collapsed="false">
      <c r="B535" s="29" t="s">
        <v>2743</v>
      </c>
      <c r="C535" s="29" t="s">
        <v>282</v>
      </c>
      <c r="D535" s="29" t="s">
        <v>2744</v>
      </c>
      <c r="E535" s="29" t="s">
        <v>357</v>
      </c>
      <c r="F535" s="29" t="s">
        <v>2745</v>
      </c>
      <c r="G535" s="29" t="s">
        <v>2746</v>
      </c>
      <c r="H535" s="29" t="s">
        <v>2747</v>
      </c>
      <c r="I535" s="29" t="s">
        <v>472</v>
      </c>
      <c r="J535" s="29" t="s">
        <v>472</v>
      </c>
      <c r="K535" s="30" t="s">
        <v>44</v>
      </c>
      <c r="L535" s="31"/>
      <c r="M535" s="29" t="s">
        <v>45</v>
      </c>
    </row>
    <row r="536" customFormat="false" ht="89.25" hidden="false" customHeight="true" outlineLevel="0" collapsed="false">
      <c r="B536" s="29" t="s">
        <v>2748</v>
      </c>
      <c r="C536" s="29" t="s">
        <v>282</v>
      </c>
      <c r="D536" s="29" t="s">
        <v>2749</v>
      </c>
      <c r="E536" s="29" t="s">
        <v>78</v>
      </c>
      <c r="F536" s="29" t="s">
        <v>2750</v>
      </c>
      <c r="G536" s="29" t="s">
        <v>2751</v>
      </c>
      <c r="H536" s="29" t="s">
        <v>2752</v>
      </c>
      <c r="I536" s="29" t="s">
        <v>286</v>
      </c>
      <c r="J536" s="29" t="s">
        <v>81</v>
      </c>
      <c r="K536" s="30" t="s">
        <v>62</v>
      </c>
      <c r="L536" s="31"/>
      <c r="M536" s="29"/>
    </row>
    <row r="537" customFormat="false" ht="153" hidden="false" customHeight="true" outlineLevel="0" collapsed="false">
      <c r="B537" s="29" t="s">
        <v>2753</v>
      </c>
      <c r="C537" s="29" t="s">
        <v>282</v>
      </c>
      <c r="D537" s="29" t="s">
        <v>2754</v>
      </c>
      <c r="E537" s="29" t="s">
        <v>78</v>
      </c>
      <c r="F537" s="29" t="s">
        <v>2755</v>
      </c>
      <c r="G537" s="29" t="s">
        <v>2756</v>
      </c>
      <c r="H537" s="29" t="s">
        <v>2757</v>
      </c>
      <c r="I537" s="29" t="s">
        <v>2758</v>
      </c>
      <c r="J537" s="29" t="s">
        <v>2759</v>
      </c>
      <c r="K537" s="30" t="s">
        <v>62</v>
      </c>
      <c r="L537" s="31"/>
      <c r="M537" s="29"/>
    </row>
    <row r="538" customFormat="false" ht="114.75" hidden="false" customHeight="true" outlineLevel="0" collapsed="false">
      <c r="B538" s="29" t="s">
        <v>2760</v>
      </c>
      <c r="C538" s="29" t="s">
        <v>282</v>
      </c>
      <c r="D538" s="29" t="s">
        <v>2761</v>
      </c>
      <c r="E538" s="29" t="s">
        <v>340</v>
      </c>
      <c r="F538" s="29" t="s">
        <v>2762</v>
      </c>
      <c r="G538" s="29" t="s">
        <v>2763</v>
      </c>
      <c r="H538" s="29" t="s">
        <v>2764</v>
      </c>
      <c r="I538" s="29" t="s">
        <v>302</v>
      </c>
      <c r="J538" s="29" t="s">
        <v>202</v>
      </c>
      <c r="K538" s="30" t="s">
        <v>44</v>
      </c>
      <c r="L538" s="31"/>
      <c r="M538" s="29" t="s">
        <v>45</v>
      </c>
    </row>
    <row r="539" customFormat="false" ht="89.25" hidden="false" customHeight="true" outlineLevel="0" collapsed="false">
      <c r="B539" s="29" t="s">
        <v>2765</v>
      </c>
      <c r="C539" s="29" t="s">
        <v>282</v>
      </c>
      <c r="D539" s="29" t="s">
        <v>2766</v>
      </c>
      <c r="E539" s="29" t="s">
        <v>340</v>
      </c>
      <c r="F539" s="29" t="s">
        <v>2767</v>
      </c>
      <c r="G539" s="29" t="s">
        <v>2768</v>
      </c>
      <c r="H539" s="29" t="s">
        <v>2769</v>
      </c>
      <c r="I539" s="29" t="s">
        <v>302</v>
      </c>
      <c r="J539" s="29" t="s">
        <v>202</v>
      </c>
      <c r="K539" s="30" t="s">
        <v>44</v>
      </c>
      <c r="L539" s="31"/>
      <c r="M539" s="29" t="s">
        <v>45</v>
      </c>
    </row>
    <row r="540" customFormat="false" ht="38.25" hidden="false" customHeight="true" outlineLevel="0" collapsed="false">
      <c r="B540" s="29" t="s">
        <v>2770</v>
      </c>
      <c r="C540" s="29" t="s">
        <v>282</v>
      </c>
      <c r="D540" s="29" t="s">
        <v>2771</v>
      </c>
      <c r="E540" s="29" t="s">
        <v>351</v>
      </c>
      <c r="F540" s="29" t="s">
        <v>2772</v>
      </c>
      <c r="G540" s="29" t="s">
        <v>2773</v>
      </c>
      <c r="H540" s="29" t="s">
        <v>2774</v>
      </c>
      <c r="I540" s="29" t="s">
        <v>302</v>
      </c>
      <c r="J540" s="29" t="s">
        <v>202</v>
      </c>
      <c r="K540" s="30" t="s">
        <v>44</v>
      </c>
      <c r="L540" s="31"/>
      <c r="M540" s="29" t="s">
        <v>2775</v>
      </c>
    </row>
    <row r="541" customFormat="false" ht="178.5" hidden="false" customHeight="true" outlineLevel="0" collapsed="false">
      <c r="B541" s="29" t="s">
        <v>2776</v>
      </c>
      <c r="C541" s="29" t="s">
        <v>282</v>
      </c>
      <c r="D541" s="29" t="s">
        <v>2777</v>
      </c>
      <c r="E541" s="29" t="s">
        <v>340</v>
      </c>
      <c r="F541" s="29" t="s">
        <v>2778</v>
      </c>
      <c r="G541" s="29" t="s">
        <v>2779</v>
      </c>
      <c r="H541" s="29" t="s">
        <v>2780</v>
      </c>
      <c r="I541" s="29" t="s">
        <v>472</v>
      </c>
      <c r="J541" s="29" t="s">
        <v>472</v>
      </c>
      <c r="K541" s="30" t="s">
        <v>44</v>
      </c>
      <c r="L541" s="31"/>
      <c r="M541" s="29" t="s">
        <v>45</v>
      </c>
    </row>
    <row r="542" customFormat="false" ht="76.5" hidden="false" customHeight="true" outlineLevel="0" collapsed="false">
      <c r="B542" s="29" t="s">
        <v>2781</v>
      </c>
      <c r="C542" s="29" t="s">
        <v>282</v>
      </c>
      <c r="D542" s="29" t="s">
        <v>2782</v>
      </c>
      <c r="E542" s="29" t="s">
        <v>357</v>
      </c>
      <c r="F542" s="29" t="s">
        <v>2783</v>
      </c>
      <c r="G542" s="29" t="s">
        <v>2784</v>
      </c>
      <c r="H542" s="29" t="s">
        <v>2785</v>
      </c>
      <c r="I542" s="29" t="s">
        <v>154</v>
      </c>
      <c r="J542" s="29" t="s">
        <v>155</v>
      </c>
      <c r="K542" s="30" t="s">
        <v>44</v>
      </c>
      <c r="L542" s="31"/>
      <c r="M542" s="29" t="s">
        <v>45</v>
      </c>
    </row>
    <row r="543" customFormat="false" ht="114.75" hidden="false" customHeight="true" outlineLevel="0" collapsed="false">
      <c r="B543" s="29" t="s">
        <v>2786</v>
      </c>
      <c r="C543" s="29" t="s">
        <v>282</v>
      </c>
      <c r="D543" s="29" t="s">
        <v>2787</v>
      </c>
      <c r="E543" s="29" t="s">
        <v>600</v>
      </c>
      <c r="F543" s="29" t="s">
        <v>2788</v>
      </c>
      <c r="G543" s="29" t="s">
        <v>2789</v>
      </c>
      <c r="H543" s="29" t="s">
        <v>2790</v>
      </c>
      <c r="I543" s="29" t="s">
        <v>472</v>
      </c>
      <c r="J543" s="29" t="s">
        <v>472</v>
      </c>
      <c r="K543" s="30" t="s">
        <v>44</v>
      </c>
      <c r="L543" s="31"/>
      <c r="M543" s="29" t="s">
        <v>45</v>
      </c>
    </row>
    <row r="544" customFormat="false" ht="140.25" hidden="false" customHeight="true" outlineLevel="0" collapsed="false">
      <c r="B544" s="29" t="s">
        <v>2791</v>
      </c>
      <c r="C544" s="29" t="s">
        <v>282</v>
      </c>
      <c r="D544" s="29" t="s">
        <v>2792</v>
      </c>
      <c r="E544" s="29" t="s">
        <v>357</v>
      </c>
      <c r="F544" s="29" t="s">
        <v>2793</v>
      </c>
      <c r="G544" s="29" t="s">
        <v>2794</v>
      </c>
      <c r="H544" s="29" t="s">
        <v>2795</v>
      </c>
      <c r="I544" s="29" t="s">
        <v>286</v>
      </c>
      <c r="J544" s="29" t="s">
        <v>804</v>
      </c>
      <c r="K544" s="30" t="s">
        <v>44</v>
      </c>
      <c r="L544" s="31"/>
      <c r="M544" s="29" t="s">
        <v>45</v>
      </c>
    </row>
    <row r="545" customFormat="false" ht="89.25" hidden="false" customHeight="true" outlineLevel="0" collapsed="false">
      <c r="B545" s="29" t="s">
        <v>2796</v>
      </c>
      <c r="C545" s="29" t="s">
        <v>282</v>
      </c>
      <c r="D545" s="29" t="s">
        <v>2797</v>
      </c>
      <c r="E545" s="29" t="s">
        <v>600</v>
      </c>
      <c r="F545" s="29" t="s">
        <v>2798</v>
      </c>
      <c r="G545" s="29" t="s">
        <v>2799</v>
      </c>
      <c r="H545" s="29" t="s">
        <v>2800</v>
      </c>
      <c r="I545" s="29" t="s">
        <v>472</v>
      </c>
      <c r="J545" s="29" t="s">
        <v>472</v>
      </c>
      <c r="K545" s="30" t="s">
        <v>44</v>
      </c>
      <c r="L545" s="31"/>
      <c r="M545" s="29" t="s">
        <v>45</v>
      </c>
    </row>
    <row r="546" customFormat="false" ht="140.25" hidden="false" customHeight="true" outlineLevel="0" collapsed="false">
      <c r="B546" s="29" t="s">
        <v>2801</v>
      </c>
      <c r="C546" s="29" t="s">
        <v>282</v>
      </c>
      <c r="D546" s="29" t="s">
        <v>2802</v>
      </c>
      <c r="E546" s="29" t="s">
        <v>351</v>
      </c>
      <c r="F546" s="29" t="s">
        <v>2803</v>
      </c>
      <c r="G546" s="29" t="s">
        <v>2804</v>
      </c>
      <c r="H546" s="29" t="s">
        <v>2805</v>
      </c>
      <c r="I546" s="29" t="s">
        <v>302</v>
      </c>
      <c r="J546" s="29" t="s">
        <v>202</v>
      </c>
      <c r="K546" s="30" t="s">
        <v>44</v>
      </c>
      <c r="L546" s="31"/>
      <c r="M546" s="29" t="s">
        <v>45</v>
      </c>
    </row>
    <row r="547" customFormat="false" ht="89.25" hidden="false" customHeight="true" outlineLevel="0" collapsed="false">
      <c r="B547" s="29" t="s">
        <v>2806</v>
      </c>
      <c r="C547" s="29" t="s">
        <v>282</v>
      </c>
      <c r="D547" s="29" t="s">
        <v>2807</v>
      </c>
      <c r="E547" s="29" t="s">
        <v>357</v>
      </c>
      <c r="F547" s="29" t="s">
        <v>2808</v>
      </c>
      <c r="G547" s="29" t="s">
        <v>2809</v>
      </c>
      <c r="H547" s="29" t="s">
        <v>2810</v>
      </c>
      <c r="I547" s="29" t="s">
        <v>302</v>
      </c>
      <c r="J547" s="29" t="s">
        <v>202</v>
      </c>
      <c r="K547" s="30" t="s">
        <v>44</v>
      </c>
      <c r="L547" s="31"/>
      <c r="M547" s="29" t="s">
        <v>45</v>
      </c>
    </row>
    <row r="548" customFormat="false" ht="63.75" hidden="false" customHeight="true" outlineLevel="0" collapsed="false">
      <c r="B548" s="29" t="s">
        <v>2811</v>
      </c>
      <c r="C548" s="29" t="s">
        <v>282</v>
      </c>
      <c r="D548" s="29" t="s">
        <v>2812</v>
      </c>
      <c r="E548" s="29" t="s">
        <v>327</v>
      </c>
      <c r="F548" s="29" t="s">
        <v>2813</v>
      </c>
      <c r="G548" s="29" t="s">
        <v>2814</v>
      </c>
      <c r="H548" s="29" t="s">
        <v>2815</v>
      </c>
      <c r="I548" s="29" t="s">
        <v>302</v>
      </c>
      <c r="J548" s="29" t="s">
        <v>202</v>
      </c>
      <c r="K548" s="30" t="s">
        <v>44</v>
      </c>
      <c r="L548" s="31"/>
      <c r="M548" s="29" t="s">
        <v>366</v>
      </c>
    </row>
    <row r="549" customFormat="false" ht="165.75" hidden="false" customHeight="true" outlineLevel="0" collapsed="false">
      <c r="B549" s="29" t="s">
        <v>2816</v>
      </c>
      <c r="C549" s="29" t="s">
        <v>282</v>
      </c>
      <c r="D549" s="29" t="s">
        <v>2817</v>
      </c>
      <c r="E549" s="29" t="s">
        <v>351</v>
      </c>
      <c r="F549" s="29" t="s">
        <v>2818</v>
      </c>
      <c r="G549" s="29" t="s">
        <v>2819</v>
      </c>
      <c r="H549" s="29" t="s">
        <v>2820</v>
      </c>
      <c r="I549" s="29" t="s">
        <v>302</v>
      </c>
      <c r="J549" s="29" t="s">
        <v>202</v>
      </c>
      <c r="K549" s="30" t="s">
        <v>44</v>
      </c>
      <c r="L549" s="31"/>
      <c r="M549" s="29" t="s">
        <v>45</v>
      </c>
    </row>
    <row r="550" customFormat="false" ht="191.25" hidden="false" customHeight="true" outlineLevel="0" collapsed="false">
      <c r="B550" s="29" t="s">
        <v>2821</v>
      </c>
      <c r="C550" s="29" t="s">
        <v>282</v>
      </c>
      <c r="D550" s="29" t="s">
        <v>2822</v>
      </c>
      <c r="E550" s="29" t="s">
        <v>357</v>
      </c>
      <c r="F550" s="29" t="s">
        <v>2823</v>
      </c>
      <c r="G550" s="29" t="s">
        <v>2824</v>
      </c>
      <c r="H550" s="29" t="s">
        <v>2825</v>
      </c>
      <c r="I550" s="29" t="s">
        <v>154</v>
      </c>
      <c r="J550" s="29" t="s">
        <v>155</v>
      </c>
      <c r="K550" s="30" t="s">
        <v>44</v>
      </c>
      <c r="L550" s="31"/>
      <c r="M550" s="29" t="s">
        <v>45</v>
      </c>
    </row>
    <row r="551" customFormat="false" ht="63.75" hidden="false" customHeight="true" outlineLevel="0" collapsed="false">
      <c r="B551" s="29" t="s">
        <v>2826</v>
      </c>
      <c r="C551" s="29" t="s">
        <v>282</v>
      </c>
      <c r="D551" s="29" t="s">
        <v>2827</v>
      </c>
      <c r="E551" s="29" t="s">
        <v>39</v>
      </c>
      <c r="F551" s="29" t="s">
        <v>2828</v>
      </c>
      <c r="G551" s="29" t="s">
        <v>2829</v>
      </c>
      <c r="H551" s="29" t="s">
        <v>2830</v>
      </c>
      <c r="I551" s="29" t="s">
        <v>42</v>
      </c>
      <c r="J551" s="29" t="s">
        <v>43</v>
      </c>
      <c r="K551" s="30" t="s">
        <v>44</v>
      </c>
      <c r="L551" s="31"/>
      <c r="M551" s="29" t="s">
        <v>45</v>
      </c>
    </row>
    <row r="552" customFormat="false" ht="140.25" hidden="false" customHeight="true" outlineLevel="0" collapsed="false">
      <c r="B552" s="29" t="s">
        <v>2831</v>
      </c>
      <c r="C552" s="29" t="s">
        <v>282</v>
      </c>
      <c r="D552" s="29" t="s">
        <v>2832</v>
      </c>
      <c r="E552" s="29" t="s">
        <v>78</v>
      </c>
      <c r="F552" s="29" t="s">
        <v>2833</v>
      </c>
      <c r="G552" s="29" t="s">
        <v>2834</v>
      </c>
      <c r="H552" s="29" t="s">
        <v>2835</v>
      </c>
      <c r="I552" s="29" t="s">
        <v>286</v>
      </c>
      <c r="J552" s="29" t="s">
        <v>81</v>
      </c>
      <c r="K552" s="30" t="s">
        <v>62</v>
      </c>
      <c r="L552" s="31"/>
      <c r="M552" s="29"/>
    </row>
    <row r="553" customFormat="false" ht="204" hidden="false" customHeight="true" outlineLevel="0" collapsed="false">
      <c r="B553" s="29" t="s">
        <v>2836</v>
      </c>
      <c r="C553" s="29" t="s">
        <v>282</v>
      </c>
      <c r="D553" s="29" t="s">
        <v>2837</v>
      </c>
      <c r="E553" s="29" t="s">
        <v>78</v>
      </c>
      <c r="F553" s="29" t="s">
        <v>2838</v>
      </c>
      <c r="G553" s="29" t="s">
        <v>2839</v>
      </c>
      <c r="H553" s="29" t="s">
        <v>2840</v>
      </c>
      <c r="I553" s="29" t="s">
        <v>336</v>
      </c>
      <c r="J553" s="29" t="s">
        <v>83</v>
      </c>
      <c r="K553" s="30" t="s">
        <v>62</v>
      </c>
      <c r="L553" s="31"/>
      <c r="M553" s="29"/>
    </row>
    <row r="554" customFormat="false" ht="89.25" hidden="false" customHeight="true" outlineLevel="0" collapsed="false">
      <c r="B554" s="29" t="s">
        <v>2841</v>
      </c>
      <c r="C554" s="29" t="s">
        <v>282</v>
      </c>
      <c r="D554" s="29" t="s">
        <v>2842</v>
      </c>
      <c r="E554" s="29" t="s">
        <v>78</v>
      </c>
      <c r="F554" s="29" t="s">
        <v>2843</v>
      </c>
      <c r="G554" s="29" t="s">
        <v>2844</v>
      </c>
      <c r="H554" s="29" t="s">
        <v>2845</v>
      </c>
      <c r="I554" s="29" t="s">
        <v>1247</v>
      </c>
      <c r="J554" s="29" t="s">
        <v>2846</v>
      </c>
      <c r="K554" s="30" t="s">
        <v>62</v>
      </c>
      <c r="L554" s="31"/>
      <c r="M554" s="29"/>
    </row>
    <row r="555" customFormat="false" ht="63.75" hidden="false" customHeight="true" outlineLevel="0" collapsed="false">
      <c r="B555" s="29" t="s">
        <v>2847</v>
      </c>
      <c r="C555" s="29" t="s">
        <v>282</v>
      </c>
      <c r="D555" s="29" t="s">
        <v>2848</v>
      </c>
      <c r="E555" s="29" t="s">
        <v>39</v>
      </c>
      <c r="F555" s="29" t="s">
        <v>2849</v>
      </c>
      <c r="G555" s="29" t="s">
        <v>2850</v>
      </c>
      <c r="H555" s="29" t="s">
        <v>2851</v>
      </c>
      <c r="I555" s="29" t="s">
        <v>42</v>
      </c>
      <c r="J555" s="29" t="s">
        <v>43</v>
      </c>
      <c r="K555" s="30" t="s">
        <v>44</v>
      </c>
      <c r="L555" s="31"/>
      <c r="M555" s="29" t="s">
        <v>45</v>
      </c>
    </row>
    <row r="556" customFormat="false" ht="114.75" hidden="false" customHeight="true" outlineLevel="0" collapsed="false">
      <c r="B556" s="29" t="s">
        <v>2852</v>
      </c>
      <c r="C556" s="29" t="s">
        <v>282</v>
      </c>
      <c r="D556" s="29" t="s">
        <v>2853</v>
      </c>
      <c r="E556" s="29" t="s">
        <v>39</v>
      </c>
      <c r="F556" s="29" t="s">
        <v>2854</v>
      </c>
      <c r="G556" s="29" t="s">
        <v>2855</v>
      </c>
      <c r="H556" s="29" t="s">
        <v>2856</v>
      </c>
      <c r="I556" s="29" t="s">
        <v>42</v>
      </c>
      <c r="J556" s="29" t="s">
        <v>43</v>
      </c>
      <c r="K556" s="30" t="s">
        <v>44</v>
      </c>
      <c r="L556" s="31"/>
      <c r="M556" s="29" t="s">
        <v>45</v>
      </c>
    </row>
    <row r="557" customFormat="false" ht="51" hidden="false" customHeight="true" outlineLevel="0" collapsed="false">
      <c r="B557" s="29" t="s">
        <v>2857</v>
      </c>
      <c r="C557" s="29" t="s">
        <v>282</v>
      </c>
      <c r="D557" s="29" t="s">
        <v>2858</v>
      </c>
      <c r="E557" s="29" t="s">
        <v>327</v>
      </c>
      <c r="F557" s="29" t="s">
        <v>2859</v>
      </c>
      <c r="G557" s="29" t="s">
        <v>2860</v>
      </c>
      <c r="H557" s="29" t="s">
        <v>2861</v>
      </c>
      <c r="I557" s="29" t="s">
        <v>302</v>
      </c>
      <c r="J557" s="29" t="s">
        <v>202</v>
      </c>
      <c r="K557" s="30" t="s">
        <v>44</v>
      </c>
      <c r="L557" s="31"/>
      <c r="M557" s="29" t="s">
        <v>366</v>
      </c>
    </row>
    <row r="558" customFormat="false" ht="204" hidden="false" customHeight="true" outlineLevel="0" collapsed="false">
      <c r="B558" s="29" t="s">
        <v>2862</v>
      </c>
      <c r="C558" s="29" t="s">
        <v>282</v>
      </c>
      <c r="D558" s="29" t="s">
        <v>2863</v>
      </c>
      <c r="E558" s="29" t="s">
        <v>206</v>
      </c>
      <c r="F558" s="29" t="s">
        <v>2864</v>
      </c>
      <c r="G558" s="29" t="s">
        <v>2865</v>
      </c>
      <c r="H558" s="29" t="s">
        <v>2866</v>
      </c>
      <c r="I558" s="29" t="s">
        <v>302</v>
      </c>
      <c r="J558" s="29" t="s">
        <v>202</v>
      </c>
      <c r="K558" s="30" t="s">
        <v>44</v>
      </c>
      <c r="L558" s="31"/>
      <c r="M558" s="29" t="s">
        <v>45</v>
      </c>
    </row>
    <row r="559" customFormat="false" ht="102" hidden="false" customHeight="true" outlineLevel="0" collapsed="false">
      <c r="B559" s="29" t="s">
        <v>2867</v>
      </c>
      <c r="C559" s="29" t="s">
        <v>282</v>
      </c>
      <c r="D559" s="29" t="s">
        <v>2868</v>
      </c>
      <c r="E559" s="29" t="s">
        <v>357</v>
      </c>
      <c r="F559" s="29" t="s">
        <v>2869</v>
      </c>
      <c r="G559" s="29" t="s">
        <v>2870</v>
      </c>
      <c r="H559" s="29" t="s">
        <v>2871</v>
      </c>
      <c r="I559" s="29" t="s">
        <v>302</v>
      </c>
      <c r="J559" s="29" t="s">
        <v>202</v>
      </c>
      <c r="K559" s="30" t="s">
        <v>44</v>
      </c>
      <c r="L559" s="31"/>
      <c r="M559" s="29" t="s">
        <v>45</v>
      </c>
    </row>
    <row r="560" customFormat="false" ht="89.25" hidden="false" customHeight="true" outlineLevel="0" collapsed="false">
      <c r="B560" s="29" t="s">
        <v>2872</v>
      </c>
      <c r="C560" s="29" t="s">
        <v>282</v>
      </c>
      <c r="D560" s="29" t="s">
        <v>2873</v>
      </c>
      <c r="E560" s="29" t="s">
        <v>340</v>
      </c>
      <c r="F560" s="29" t="s">
        <v>2874</v>
      </c>
      <c r="G560" s="29" t="s">
        <v>2875</v>
      </c>
      <c r="H560" s="29" t="s">
        <v>2876</v>
      </c>
      <c r="I560" s="29" t="s">
        <v>302</v>
      </c>
      <c r="J560" s="29" t="s">
        <v>202</v>
      </c>
      <c r="K560" s="30" t="s">
        <v>44</v>
      </c>
      <c r="L560" s="31"/>
      <c r="M560" s="29" t="s">
        <v>45</v>
      </c>
    </row>
    <row r="561" customFormat="false" ht="409.5" hidden="false" customHeight="true" outlineLevel="0" collapsed="false">
      <c r="B561" s="29" t="s">
        <v>2877</v>
      </c>
      <c r="C561" s="29" t="s">
        <v>282</v>
      </c>
      <c r="D561" s="29" t="s">
        <v>2878</v>
      </c>
      <c r="E561" s="29" t="s">
        <v>600</v>
      </c>
      <c r="F561" s="29" t="s">
        <v>2879</v>
      </c>
      <c r="G561" s="29" t="s">
        <v>2880</v>
      </c>
      <c r="H561" s="29" t="s">
        <v>2881</v>
      </c>
      <c r="I561" s="29" t="s">
        <v>472</v>
      </c>
      <c r="J561" s="29" t="s">
        <v>472</v>
      </c>
      <c r="K561" s="30" t="s">
        <v>44</v>
      </c>
      <c r="L561" s="31"/>
      <c r="M561" s="29" t="s">
        <v>45</v>
      </c>
    </row>
    <row r="562" customFormat="false" ht="76.5" hidden="false" customHeight="true" outlineLevel="0" collapsed="false">
      <c r="B562" s="29" t="s">
        <v>2882</v>
      </c>
      <c r="C562" s="29" t="s">
        <v>282</v>
      </c>
      <c r="D562" s="29" t="s">
        <v>2883</v>
      </c>
      <c r="E562" s="29" t="s">
        <v>206</v>
      </c>
      <c r="F562" s="29" t="s">
        <v>2884</v>
      </c>
      <c r="G562" s="29" t="s">
        <v>2885</v>
      </c>
      <c r="H562" s="29" t="s">
        <v>2886</v>
      </c>
      <c r="I562" s="29" t="s">
        <v>302</v>
      </c>
      <c r="J562" s="29" t="s">
        <v>202</v>
      </c>
      <c r="K562" s="30" t="s">
        <v>44</v>
      </c>
      <c r="L562" s="31"/>
      <c r="M562" s="29" t="s">
        <v>45</v>
      </c>
    </row>
    <row r="563" customFormat="false" ht="165.75" hidden="false" customHeight="true" outlineLevel="0" collapsed="false">
      <c r="B563" s="29" t="s">
        <v>2887</v>
      </c>
      <c r="C563" s="29" t="s">
        <v>282</v>
      </c>
      <c r="D563" s="29" t="s">
        <v>2888</v>
      </c>
      <c r="E563" s="29" t="s">
        <v>340</v>
      </c>
      <c r="F563" s="29" t="s">
        <v>2889</v>
      </c>
      <c r="G563" s="29" t="s">
        <v>2890</v>
      </c>
      <c r="H563" s="29" t="s">
        <v>2891</v>
      </c>
      <c r="I563" s="29" t="s">
        <v>302</v>
      </c>
      <c r="J563" s="29" t="s">
        <v>202</v>
      </c>
      <c r="K563" s="30" t="s">
        <v>44</v>
      </c>
      <c r="L563" s="31"/>
      <c r="M563" s="29" t="s">
        <v>45</v>
      </c>
    </row>
    <row r="564" customFormat="false" ht="51" hidden="false" customHeight="true" outlineLevel="0" collapsed="false">
      <c r="B564" s="29" t="s">
        <v>2892</v>
      </c>
      <c r="C564" s="29" t="s">
        <v>282</v>
      </c>
      <c r="D564" s="29" t="s">
        <v>2893</v>
      </c>
      <c r="E564" s="29" t="s">
        <v>340</v>
      </c>
      <c r="F564" s="29" t="s">
        <v>2894</v>
      </c>
      <c r="G564" s="29" t="s">
        <v>2895</v>
      </c>
      <c r="H564" s="29" t="s">
        <v>2896</v>
      </c>
      <c r="I564" s="29" t="s">
        <v>302</v>
      </c>
      <c r="J564" s="29" t="s">
        <v>202</v>
      </c>
      <c r="K564" s="30" t="s">
        <v>44</v>
      </c>
      <c r="L564" s="31"/>
      <c r="M564" s="29" t="s">
        <v>45</v>
      </c>
    </row>
    <row r="565" customFormat="false" ht="63.75" hidden="false" customHeight="true" outlineLevel="0" collapsed="false">
      <c r="B565" s="29" t="s">
        <v>2897</v>
      </c>
      <c r="C565" s="29" t="s">
        <v>282</v>
      </c>
      <c r="D565" s="29" t="s">
        <v>2898</v>
      </c>
      <c r="E565" s="29" t="s">
        <v>39</v>
      </c>
      <c r="F565" s="29" t="s">
        <v>2899</v>
      </c>
      <c r="G565" s="29" t="s">
        <v>2900</v>
      </c>
      <c r="H565" s="29" t="s">
        <v>2901</v>
      </c>
      <c r="I565" s="29" t="s">
        <v>42</v>
      </c>
      <c r="J565" s="29" t="s">
        <v>43</v>
      </c>
      <c r="K565" s="30" t="s">
        <v>44</v>
      </c>
      <c r="L565" s="31"/>
      <c r="M565" s="29" t="s">
        <v>45</v>
      </c>
    </row>
    <row r="566" customFormat="false" ht="89.25" hidden="false" customHeight="true" outlineLevel="0" collapsed="false">
      <c r="B566" s="29" t="s">
        <v>2902</v>
      </c>
      <c r="C566" s="29" t="s">
        <v>282</v>
      </c>
      <c r="D566" s="29" t="s">
        <v>2903</v>
      </c>
      <c r="E566" s="29" t="s">
        <v>340</v>
      </c>
      <c r="F566" s="29" t="s">
        <v>2904</v>
      </c>
      <c r="G566" s="29" t="s">
        <v>2905</v>
      </c>
      <c r="H566" s="29" t="s">
        <v>2906</v>
      </c>
      <c r="I566" s="29" t="s">
        <v>302</v>
      </c>
      <c r="J566" s="29" t="s">
        <v>202</v>
      </c>
      <c r="K566" s="30" t="s">
        <v>44</v>
      </c>
      <c r="L566" s="31"/>
      <c r="M566" s="29" t="s">
        <v>45</v>
      </c>
    </row>
    <row r="567" customFormat="false" ht="127.5" hidden="false" customHeight="true" outlineLevel="0" collapsed="false">
      <c r="B567" s="29" t="s">
        <v>2907</v>
      </c>
      <c r="C567" s="29" t="s">
        <v>282</v>
      </c>
      <c r="D567" s="29" t="s">
        <v>2908</v>
      </c>
      <c r="E567" s="29" t="s">
        <v>340</v>
      </c>
      <c r="F567" s="29" t="s">
        <v>2909</v>
      </c>
      <c r="G567" s="29" t="s">
        <v>2910</v>
      </c>
      <c r="H567" s="29" t="s">
        <v>2911</v>
      </c>
      <c r="I567" s="29" t="s">
        <v>302</v>
      </c>
      <c r="J567" s="29" t="s">
        <v>202</v>
      </c>
      <c r="K567" s="30" t="s">
        <v>44</v>
      </c>
      <c r="L567" s="31"/>
      <c r="M567" s="29" t="s">
        <v>45</v>
      </c>
    </row>
    <row r="568" customFormat="false" ht="63.75" hidden="false" customHeight="true" outlineLevel="0" collapsed="false">
      <c r="B568" s="29" t="s">
        <v>2912</v>
      </c>
      <c r="C568" s="29" t="s">
        <v>282</v>
      </c>
      <c r="D568" s="29" t="s">
        <v>2913</v>
      </c>
      <c r="E568" s="29" t="s">
        <v>340</v>
      </c>
      <c r="F568" s="29" t="s">
        <v>2914</v>
      </c>
      <c r="G568" s="29" t="s">
        <v>2915</v>
      </c>
      <c r="H568" s="29" t="s">
        <v>2916</v>
      </c>
      <c r="I568" s="29" t="s">
        <v>302</v>
      </c>
      <c r="J568" s="29" t="s">
        <v>202</v>
      </c>
      <c r="K568" s="30" t="s">
        <v>44</v>
      </c>
      <c r="L568" s="31"/>
      <c r="M568" s="29" t="s">
        <v>45</v>
      </c>
    </row>
    <row r="569" customFormat="false" ht="63.75" hidden="false" customHeight="true" outlineLevel="0" collapsed="false">
      <c r="B569" s="29" t="s">
        <v>2917</v>
      </c>
      <c r="C569" s="29" t="s">
        <v>282</v>
      </c>
      <c r="D569" s="29" t="s">
        <v>2918</v>
      </c>
      <c r="E569" s="29" t="s">
        <v>357</v>
      </c>
      <c r="F569" s="29" t="s">
        <v>2919</v>
      </c>
      <c r="G569" s="29" t="s">
        <v>2920</v>
      </c>
      <c r="H569" s="29" t="s">
        <v>2921</v>
      </c>
      <c r="I569" s="29" t="s">
        <v>302</v>
      </c>
      <c r="J569" s="29" t="s">
        <v>202</v>
      </c>
      <c r="K569" s="30" t="s">
        <v>44</v>
      </c>
      <c r="L569" s="31"/>
      <c r="M569" s="29" t="s">
        <v>45</v>
      </c>
    </row>
    <row r="570" customFormat="false" ht="102" hidden="false" customHeight="true" outlineLevel="0" collapsed="false">
      <c r="B570" s="29" t="s">
        <v>2922</v>
      </c>
      <c r="C570" s="29" t="s">
        <v>282</v>
      </c>
      <c r="D570" s="29" t="s">
        <v>2923</v>
      </c>
      <c r="E570" s="29" t="s">
        <v>340</v>
      </c>
      <c r="F570" s="29" t="s">
        <v>2924</v>
      </c>
      <c r="G570" s="29" t="s">
        <v>2925</v>
      </c>
      <c r="H570" s="29" t="s">
        <v>2926</v>
      </c>
      <c r="I570" s="29" t="s">
        <v>302</v>
      </c>
      <c r="J570" s="29" t="s">
        <v>202</v>
      </c>
      <c r="K570" s="30" t="s">
        <v>44</v>
      </c>
      <c r="L570" s="31"/>
      <c r="M570" s="29" t="s">
        <v>45</v>
      </c>
    </row>
    <row r="571" customFormat="false" ht="255" hidden="false" customHeight="true" outlineLevel="0" collapsed="false">
      <c r="B571" s="29" t="s">
        <v>2927</v>
      </c>
      <c r="C571" s="29" t="s">
        <v>282</v>
      </c>
      <c r="D571" s="29" t="s">
        <v>2928</v>
      </c>
      <c r="E571" s="29" t="s">
        <v>357</v>
      </c>
      <c r="F571" s="29" t="s">
        <v>2929</v>
      </c>
      <c r="G571" s="29" t="s">
        <v>2930</v>
      </c>
      <c r="H571" s="29" t="s">
        <v>2931</v>
      </c>
      <c r="I571" s="29" t="s">
        <v>154</v>
      </c>
      <c r="J571" s="29" t="s">
        <v>155</v>
      </c>
      <c r="K571" s="30" t="s">
        <v>44</v>
      </c>
      <c r="L571" s="31"/>
      <c r="M571" s="29" t="s">
        <v>45</v>
      </c>
    </row>
    <row r="572" customFormat="false" ht="38.25" hidden="false" customHeight="true" outlineLevel="0" collapsed="false">
      <c r="B572" s="29" t="s">
        <v>2932</v>
      </c>
      <c r="C572" s="29" t="s">
        <v>282</v>
      </c>
      <c r="D572" s="29" t="s">
        <v>2933</v>
      </c>
      <c r="E572" s="29" t="s">
        <v>340</v>
      </c>
      <c r="F572" s="29" t="s">
        <v>2394</v>
      </c>
      <c r="G572" s="29" t="s">
        <v>2934</v>
      </c>
      <c r="H572" s="29" t="s">
        <v>2935</v>
      </c>
      <c r="I572" s="29" t="s">
        <v>302</v>
      </c>
      <c r="J572" s="29" t="s">
        <v>202</v>
      </c>
      <c r="K572" s="30" t="s">
        <v>44</v>
      </c>
      <c r="L572" s="31"/>
      <c r="M572" s="29" t="s">
        <v>45</v>
      </c>
    </row>
    <row r="573" customFormat="false" ht="409.5" hidden="false" customHeight="true" outlineLevel="0" collapsed="false">
      <c r="B573" s="29" t="s">
        <v>2936</v>
      </c>
      <c r="C573" s="29" t="s">
        <v>282</v>
      </c>
      <c r="D573" s="29" t="s">
        <v>2937</v>
      </c>
      <c r="E573" s="29" t="s">
        <v>340</v>
      </c>
      <c r="F573" s="29" t="s">
        <v>2938</v>
      </c>
      <c r="G573" s="29" t="s">
        <v>2939</v>
      </c>
      <c r="H573" s="29" t="s">
        <v>2940</v>
      </c>
      <c r="I573" s="29" t="s">
        <v>302</v>
      </c>
      <c r="J573" s="29" t="s">
        <v>202</v>
      </c>
      <c r="K573" s="30" t="s">
        <v>44</v>
      </c>
      <c r="L573" s="31"/>
      <c r="M573" s="29" t="s">
        <v>45</v>
      </c>
    </row>
    <row r="574" customFormat="false" ht="76.5" hidden="false" customHeight="true" outlineLevel="0" collapsed="false">
      <c r="B574" s="29" t="s">
        <v>2941</v>
      </c>
      <c r="C574" s="29" t="s">
        <v>282</v>
      </c>
      <c r="D574" s="29" t="s">
        <v>2942</v>
      </c>
      <c r="E574" s="29" t="s">
        <v>39</v>
      </c>
      <c r="F574" s="29" t="s">
        <v>2943</v>
      </c>
      <c r="G574" s="29" t="s">
        <v>2944</v>
      </c>
      <c r="H574" s="29" t="s">
        <v>2945</v>
      </c>
      <c r="I574" s="29" t="s">
        <v>460</v>
      </c>
      <c r="J574" s="29" t="s">
        <v>763</v>
      </c>
      <c r="K574" s="30" t="s">
        <v>44</v>
      </c>
      <c r="L574" s="31"/>
      <c r="M574" s="29" t="s">
        <v>45</v>
      </c>
    </row>
    <row r="575" customFormat="false" ht="153" hidden="false" customHeight="true" outlineLevel="0" collapsed="false">
      <c r="B575" s="29" t="s">
        <v>2946</v>
      </c>
      <c r="C575" s="29" t="s">
        <v>282</v>
      </c>
      <c r="D575" s="29" t="s">
        <v>2947</v>
      </c>
      <c r="E575" s="29" t="s">
        <v>39</v>
      </c>
      <c r="F575" s="29" t="s">
        <v>2948</v>
      </c>
      <c r="G575" s="29" t="s">
        <v>2949</v>
      </c>
      <c r="H575" s="29" t="s">
        <v>2950</v>
      </c>
      <c r="I575" s="29" t="s">
        <v>1943</v>
      </c>
      <c r="J575" s="29" t="s">
        <v>1944</v>
      </c>
      <c r="K575" s="30" t="s">
        <v>62</v>
      </c>
      <c r="L575" s="31"/>
      <c r="M575" s="29"/>
    </row>
    <row r="576" customFormat="false" ht="114.75" hidden="false" customHeight="true" outlineLevel="0" collapsed="false">
      <c r="B576" s="29" t="s">
        <v>2951</v>
      </c>
      <c r="C576" s="29" t="s">
        <v>282</v>
      </c>
      <c r="D576" s="29" t="s">
        <v>2952</v>
      </c>
      <c r="E576" s="29" t="s">
        <v>206</v>
      </c>
      <c r="F576" s="29" t="s">
        <v>2953</v>
      </c>
      <c r="G576" s="29" t="s">
        <v>2954</v>
      </c>
      <c r="H576" s="29" t="s">
        <v>2955</v>
      </c>
      <c r="I576" s="29" t="s">
        <v>302</v>
      </c>
      <c r="J576" s="29" t="s">
        <v>202</v>
      </c>
      <c r="K576" s="30" t="s">
        <v>44</v>
      </c>
      <c r="L576" s="31"/>
      <c r="M576" s="29" t="s">
        <v>45</v>
      </c>
    </row>
    <row r="577" customFormat="false" ht="51" hidden="false" customHeight="true" outlineLevel="0" collapsed="false">
      <c r="B577" s="29" t="s">
        <v>2956</v>
      </c>
      <c r="C577" s="29" t="s">
        <v>282</v>
      </c>
      <c r="D577" s="29" t="s">
        <v>2957</v>
      </c>
      <c r="E577" s="29" t="s">
        <v>340</v>
      </c>
      <c r="F577" s="29" t="s">
        <v>2958</v>
      </c>
      <c r="G577" s="29" t="s">
        <v>2959</v>
      </c>
      <c r="H577" s="29" t="s">
        <v>2960</v>
      </c>
      <c r="I577" s="29" t="s">
        <v>302</v>
      </c>
      <c r="J577" s="29" t="s">
        <v>202</v>
      </c>
      <c r="K577" s="30" t="s">
        <v>44</v>
      </c>
      <c r="L577" s="31"/>
      <c r="M577" s="29" t="s">
        <v>45</v>
      </c>
    </row>
    <row r="578" customFormat="false" ht="127.5" hidden="false" customHeight="true" outlineLevel="0" collapsed="false">
      <c r="B578" s="29" t="s">
        <v>2961</v>
      </c>
      <c r="C578" s="29" t="s">
        <v>282</v>
      </c>
      <c r="D578" s="29" t="s">
        <v>2962</v>
      </c>
      <c r="E578" s="29" t="s">
        <v>78</v>
      </c>
      <c r="F578" s="29" t="s">
        <v>2963</v>
      </c>
      <c r="G578" s="29" t="s">
        <v>2964</v>
      </c>
      <c r="H578" s="29" t="s">
        <v>2965</v>
      </c>
      <c r="I578" s="29" t="s">
        <v>1247</v>
      </c>
      <c r="J578" s="29" t="s">
        <v>1248</v>
      </c>
      <c r="K578" s="30" t="s">
        <v>62</v>
      </c>
      <c r="L578" s="31"/>
      <c r="M578" s="29"/>
    </row>
    <row r="579" customFormat="false" ht="255" hidden="false" customHeight="true" outlineLevel="0" collapsed="false">
      <c r="B579" s="29" t="s">
        <v>2966</v>
      </c>
      <c r="C579" s="29" t="s">
        <v>282</v>
      </c>
      <c r="D579" s="29" t="s">
        <v>2967</v>
      </c>
      <c r="E579" s="29" t="s">
        <v>357</v>
      </c>
      <c r="F579" s="29" t="s">
        <v>2968</v>
      </c>
      <c r="G579" s="29" t="s">
        <v>2969</v>
      </c>
      <c r="H579" s="29" t="s">
        <v>2970</v>
      </c>
      <c r="I579" s="29" t="s">
        <v>302</v>
      </c>
      <c r="J579" s="29" t="s">
        <v>202</v>
      </c>
      <c r="K579" s="30" t="s">
        <v>44</v>
      </c>
      <c r="L579" s="31"/>
      <c r="M579" s="29" t="s">
        <v>45</v>
      </c>
    </row>
    <row r="580" customFormat="false" ht="127.5" hidden="false" customHeight="true" outlineLevel="0" collapsed="false">
      <c r="B580" s="29" t="s">
        <v>2971</v>
      </c>
      <c r="C580" s="29" t="s">
        <v>282</v>
      </c>
      <c r="D580" s="29" t="s">
        <v>2972</v>
      </c>
      <c r="E580" s="29" t="s">
        <v>357</v>
      </c>
      <c r="F580" s="29" t="s">
        <v>2973</v>
      </c>
      <c r="G580" s="29" t="s">
        <v>2974</v>
      </c>
      <c r="H580" s="29" t="s">
        <v>2975</v>
      </c>
      <c r="I580" s="29" t="s">
        <v>302</v>
      </c>
      <c r="J580" s="29" t="s">
        <v>202</v>
      </c>
      <c r="K580" s="30" t="s">
        <v>44</v>
      </c>
      <c r="L580" s="31"/>
      <c r="M580" s="29" t="s">
        <v>45</v>
      </c>
    </row>
    <row r="581" customFormat="false" ht="153" hidden="false" customHeight="true" outlineLevel="0" collapsed="false">
      <c r="B581" s="29" t="s">
        <v>2976</v>
      </c>
      <c r="C581" s="29" t="s">
        <v>282</v>
      </c>
      <c r="D581" s="29" t="s">
        <v>2977</v>
      </c>
      <c r="E581" s="29" t="s">
        <v>39</v>
      </c>
      <c r="F581" s="29" t="s">
        <v>2978</v>
      </c>
      <c r="G581" s="29" t="s">
        <v>2979</v>
      </c>
      <c r="H581" s="29" t="s">
        <v>2980</v>
      </c>
      <c r="I581" s="29" t="s">
        <v>2981</v>
      </c>
      <c r="J581" s="29" t="s">
        <v>2982</v>
      </c>
      <c r="K581" s="30" t="s">
        <v>62</v>
      </c>
      <c r="L581" s="31"/>
      <c r="M581" s="29"/>
    </row>
    <row r="582" customFormat="false" ht="267.75" hidden="false" customHeight="true" outlineLevel="0" collapsed="false">
      <c r="B582" s="29" t="s">
        <v>2983</v>
      </c>
      <c r="C582" s="29" t="s">
        <v>282</v>
      </c>
      <c r="D582" s="29" t="s">
        <v>2984</v>
      </c>
      <c r="E582" s="29" t="s">
        <v>78</v>
      </c>
      <c r="F582" s="29" t="s">
        <v>2985</v>
      </c>
      <c r="G582" s="29" t="s">
        <v>2986</v>
      </c>
      <c r="H582" s="29" t="s">
        <v>2987</v>
      </c>
      <c r="I582" s="29" t="s">
        <v>2981</v>
      </c>
      <c r="J582" s="29" t="s">
        <v>2988</v>
      </c>
      <c r="K582" s="30" t="s">
        <v>62</v>
      </c>
      <c r="L582" s="31"/>
      <c r="M582" s="29"/>
    </row>
    <row r="583" customFormat="false" ht="102" hidden="false" customHeight="true" outlineLevel="0" collapsed="false">
      <c r="B583" s="29" t="s">
        <v>2989</v>
      </c>
      <c r="C583" s="29" t="s">
        <v>282</v>
      </c>
      <c r="D583" s="29" t="s">
        <v>2990</v>
      </c>
      <c r="E583" s="29" t="s">
        <v>186</v>
      </c>
      <c r="F583" s="29" t="s">
        <v>2991</v>
      </c>
      <c r="G583" s="29" t="s">
        <v>2992</v>
      </c>
      <c r="H583" s="29" t="s">
        <v>2993</v>
      </c>
      <c r="I583" s="29" t="s">
        <v>286</v>
      </c>
      <c r="J583" s="29" t="s">
        <v>190</v>
      </c>
      <c r="K583" s="30" t="s">
        <v>62</v>
      </c>
      <c r="L583" s="31"/>
      <c r="M583" s="29"/>
    </row>
    <row r="584" customFormat="false" ht="127.5" hidden="false" customHeight="true" outlineLevel="0" collapsed="false">
      <c r="B584" s="29" t="s">
        <v>2994</v>
      </c>
      <c r="C584" s="29" t="s">
        <v>282</v>
      </c>
      <c r="D584" s="29" t="s">
        <v>2995</v>
      </c>
      <c r="E584" s="29" t="s">
        <v>600</v>
      </c>
      <c r="F584" s="29" t="s">
        <v>2996</v>
      </c>
      <c r="G584" s="29" t="s">
        <v>2997</v>
      </c>
      <c r="H584" s="29" t="s">
        <v>2998</v>
      </c>
      <c r="I584" s="29" t="s">
        <v>154</v>
      </c>
      <c r="J584" s="29" t="s">
        <v>155</v>
      </c>
      <c r="K584" s="30" t="s">
        <v>44</v>
      </c>
      <c r="L584" s="31"/>
      <c r="M584" s="29" t="s">
        <v>45</v>
      </c>
    </row>
    <row r="585" customFormat="false" ht="191.25" hidden="false" customHeight="true" outlineLevel="0" collapsed="false">
      <c r="B585" s="29" t="s">
        <v>2999</v>
      </c>
      <c r="C585" s="29" t="s">
        <v>282</v>
      </c>
      <c r="D585" s="29" t="s">
        <v>3000</v>
      </c>
      <c r="E585" s="29" t="s">
        <v>600</v>
      </c>
      <c r="F585" s="29" t="s">
        <v>3001</v>
      </c>
      <c r="G585" s="29" t="s">
        <v>3002</v>
      </c>
      <c r="H585" s="29" t="s">
        <v>3003</v>
      </c>
      <c r="I585" s="29" t="s">
        <v>154</v>
      </c>
      <c r="J585" s="29" t="s">
        <v>155</v>
      </c>
      <c r="K585" s="30" t="s">
        <v>44</v>
      </c>
      <c r="L585" s="31"/>
      <c r="M585" s="29" t="s">
        <v>45</v>
      </c>
    </row>
    <row r="586" customFormat="false" ht="140.25" hidden="false" customHeight="true" outlineLevel="0" collapsed="false">
      <c r="B586" s="29" t="s">
        <v>3004</v>
      </c>
      <c r="C586" s="29" t="s">
        <v>282</v>
      </c>
      <c r="D586" s="29" t="s">
        <v>3005</v>
      </c>
      <c r="E586" s="29" t="s">
        <v>78</v>
      </c>
      <c r="F586" s="29" t="s">
        <v>3006</v>
      </c>
      <c r="G586" s="29" t="s">
        <v>3007</v>
      </c>
      <c r="H586" s="29" t="s">
        <v>3008</v>
      </c>
      <c r="I586" s="29" t="s">
        <v>1247</v>
      </c>
      <c r="J586" s="29" t="s">
        <v>3009</v>
      </c>
      <c r="K586" s="30" t="s">
        <v>62</v>
      </c>
      <c r="L586" s="31"/>
      <c r="M586" s="29"/>
    </row>
    <row r="587" customFormat="false" ht="102" hidden="false" customHeight="true" outlineLevel="0" collapsed="false">
      <c r="B587" s="29" t="s">
        <v>3010</v>
      </c>
      <c r="C587" s="29" t="s">
        <v>282</v>
      </c>
      <c r="D587" s="29" t="s">
        <v>3011</v>
      </c>
      <c r="E587" s="29" t="s">
        <v>39</v>
      </c>
      <c r="F587" s="29" t="s">
        <v>3012</v>
      </c>
      <c r="G587" s="29" t="s">
        <v>3013</v>
      </c>
      <c r="H587" s="29" t="s">
        <v>3014</v>
      </c>
      <c r="I587" s="29" t="s">
        <v>42</v>
      </c>
      <c r="J587" s="29" t="s">
        <v>597</v>
      </c>
      <c r="K587" s="30" t="s">
        <v>44</v>
      </c>
      <c r="L587" s="31"/>
      <c r="M587" s="29" t="s">
        <v>45</v>
      </c>
    </row>
    <row r="588" customFormat="false" ht="51" hidden="false" customHeight="true" outlineLevel="0" collapsed="false">
      <c r="B588" s="29" t="s">
        <v>3015</v>
      </c>
      <c r="C588" s="29" t="s">
        <v>282</v>
      </c>
      <c r="D588" s="29" t="s">
        <v>3016</v>
      </c>
      <c r="E588" s="29" t="s">
        <v>357</v>
      </c>
      <c r="F588" s="29" t="s">
        <v>3017</v>
      </c>
      <c r="G588" s="29" t="s">
        <v>3018</v>
      </c>
      <c r="H588" s="29" t="s">
        <v>3019</v>
      </c>
      <c r="I588" s="29" t="s">
        <v>302</v>
      </c>
      <c r="J588" s="29" t="s">
        <v>202</v>
      </c>
      <c r="K588" s="30" t="s">
        <v>44</v>
      </c>
      <c r="L588" s="31"/>
      <c r="M588" s="29" t="s">
        <v>45</v>
      </c>
    </row>
    <row r="589" customFormat="false" ht="267.75" hidden="false" customHeight="true" outlineLevel="0" collapsed="false">
      <c r="B589" s="29" t="s">
        <v>3020</v>
      </c>
      <c r="C589" s="29" t="s">
        <v>282</v>
      </c>
      <c r="D589" s="29" t="s">
        <v>3021</v>
      </c>
      <c r="E589" s="29" t="s">
        <v>39</v>
      </c>
      <c r="F589" s="29" t="s">
        <v>3022</v>
      </c>
      <c r="G589" s="29" t="s">
        <v>3023</v>
      </c>
      <c r="H589" s="29" t="s">
        <v>3024</v>
      </c>
      <c r="I589" s="29" t="s">
        <v>42</v>
      </c>
      <c r="J589" s="29" t="s">
        <v>597</v>
      </c>
      <c r="K589" s="30" t="s">
        <v>44</v>
      </c>
      <c r="L589" s="31"/>
      <c r="M589" s="29" t="s">
        <v>45</v>
      </c>
    </row>
    <row r="590" customFormat="false" ht="293.25" hidden="false" customHeight="true" outlineLevel="0" collapsed="false">
      <c r="B590" s="29" t="s">
        <v>3025</v>
      </c>
      <c r="C590" s="29" t="s">
        <v>282</v>
      </c>
      <c r="D590" s="29" t="s">
        <v>3026</v>
      </c>
      <c r="E590" s="29" t="s">
        <v>327</v>
      </c>
      <c r="F590" s="29" t="s">
        <v>3027</v>
      </c>
      <c r="G590" s="29" t="s">
        <v>3028</v>
      </c>
      <c r="H590" s="29" t="s">
        <v>3029</v>
      </c>
      <c r="I590" s="29" t="s">
        <v>302</v>
      </c>
      <c r="J590" s="29" t="s">
        <v>202</v>
      </c>
      <c r="K590" s="30" t="s">
        <v>44</v>
      </c>
      <c r="L590" s="31"/>
      <c r="M590" s="29" t="s">
        <v>366</v>
      </c>
    </row>
    <row r="591" customFormat="false" ht="306" hidden="false" customHeight="true" outlineLevel="0" collapsed="false">
      <c r="B591" s="29" t="s">
        <v>3030</v>
      </c>
      <c r="C591" s="29" t="s">
        <v>282</v>
      </c>
      <c r="D591" s="29" t="s">
        <v>3031</v>
      </c>
      <c r="E591" s="29" t="s">
        <v>357</v>
      </c>
      <c r="F591" s="29" t="s">
        <v>3032</v>
      </c>
      <c r="G591" s="29" t="s">
        <v>3033</v>
      </c>
      <c r="H591" s="29" t="s">
        <v>3034</v>
      </c>
      <c r="I591" s="29" t="s">
        <v>302</v>
      </c>
      <c r="J591" s="29" t="s">
        <v>202</v>
      </c>
      <c r="K591" s="30" t="s">
        <v>44</v>
      </c>
      <c r="L591" s="31"/>
      <c r="M591" s="29" t="s">
        <v>45</v>
      </c>
    </row>
    <row r="592" customFormat="false" ht="89.25" hidden="false" customHeight="true" outlineLevel="0" collapsed="false">
      <c r="B592" s="29" t="s">
        <v>3035</v>
      </c>
      <c r="C592" s="29" t="s">
        <v>282</v>
      </c>
      <c r="D592" s="29" t="s">
        <v>3036</v>
      </c>
      <c r="E592" s="29" t="s">
        <v>357</v>
      </c>
      <c r="F592" s="29" t="s">
        <v>3037</v>
      </c>
      <c r="G592" s="29" t="s">
        <v>3038</v>
      </c>
      <c r="H592" s="29" t="s">
        <v>3039</v>
      </c>
      <c r="I592" s="29" t="s">
        <v>302</v>
      </c>
      <c r="J592" s="29" t="s">
        <v>202</v>
      </c>
      <c r="K592" s="30" t="s">
        <v>44</v>
      </c>
      <c r="L592" s="31"/>
      <c r="M592" s="29" t="s">
        <v>45</v>
      </c>
    </row>
    <row r="593" customFormat="false" ht="89.25" hidden="false" customHeight="true" outlineLevel="0" collapsed="false">
      <c r="B593" s="29" t="s">
        <v>3040</v>
      </c>
      <c r="C593" s="29" t="s">
        <v>282</v>
      </c>
      <c r="D593" s="29" t="s">
        <v>3041</v>
      </c>
      <c r="E593" s="29" t="s">
        <v>327</v>
      </c>
      <c r="F593" s="29" t="s">
        <v>3042</v>
      </c>
      <c r="G593" s="29" t="s">
        <v>3043</v>
      </c>
      <c r="H593" s="29" t="s">
        <v>3044</v>
      </c>
      <c r="I593" s="29" t="s">
        <v>302</v>
      </c>
      <c r="J593" s="29" t="s">
        <v>202</v>
      </c>
      <c r="K593" s="30" t="s">
        <v>44</v>
      </c>
      <c r="L593" s="31"/>
      <c r="M593" s="29" t="s">
        <v>366</v>
      </c>
    </row>
    <row r="594" customFormat="false" ht="127.5" hidden="false" customHeight="true" outlineLevel="0" collapsed="false">
      <c r="B594" s="29" t="s">
        <v>3045</v>
      </c>
      <c r="C594" s="29" t="s">
        <v>282</v>
      </c>
      <c r="D594" s="29" t="s">
        <v>3046</v>
      </c>
      <c r="E594" s="29" t="s">
        <v>351</v>
      </c>
      <c r="F594" s="29" t="s">
        <v>3047</v>
      </c>
      <c r="G594" s="29" t="s">
        <v>3048</v>
      </c>
      <c r="H594" s="29" t="s">
        <v>3049</v>
      </c>
      <c r="I594" s="29" t="s">
        <v>302</v>
      </c>
      <c r="J594" s="29" t="s">
        <v>202</v>
      </c>
      <c r="K594" s="30" t="s">
        <v>44</v>
      </c>
      <c r="L594" s="31"/>
      <c r="M594" s="29" t="s">
        <v>45</v>
      </c>
    </row>
    <row r="595" customFormat="false" ht="127.5" hidden="false" customHeight="true" outlineLevel="0" collapsed="false">
      <c r="B595" s="29" t="s">
        <v>3050</v>
      </c>
      <c r="C595" s="29" t="s">
        <v>282</v>
      </c>
      <c r="D595" s="29" t="s">
        <v>3051</v>
      </c>
      <c r="E595" s="29" t="s">
        <v>206</v>
      </c>
      <c r="F595" s="29" t="s">
        <v>3052</v>
      </c>
      <c r="G595" s="29" t="s">
        <v>3053</v>
      </c>
      <c r="H595" s="29" t="s">
        <v>3054</v>
      </c>
      <c r="I595" s="29" t="s">
        <v>302</v>
      </c>
      <c r="J595" s="29" t="s">
        <v>202</v>
      </c>
      <c r="K595" s="30" t="s">
        <v>44</v>
      </c>
      <c r="L595" s="31"/>
      <c r="M595" s="29" t="s">
        <v>45</v>
      </c>
    </row>
    <row r="596" customFormat="false" ht="51" hidden="false" customHeight="true" outlineLevel="0" collapsed="false">
      <c r="B596" s="29" t="s">
        <v>3055</v>
      </c>
      <c r="C596" s="29" t="s">
        <v>282</v>
      </c>
      <c r="D596" s="29" t="s">
        <v>3056</v>
      </c>
      <c r="E596" s="29" t="s">
        <v>340</v>
      </c>
      <c r="F596" s="29" t="s">
        <v>3057</v>
      </c>
      <c r="G596" s="29" t="s">
        <v>3058</v>
      </c>
      <c r="H596" s="29" t="s">
        <v>3059</v>
      </c>
      <c r="I596" s="29" t="s">
        <v>302</v>
      </c>
      <c r="J596" s="29" t="s">
        <v>202</v>
      </c>
      <c r="K596" s="30" t="s">
        <v>44</v>
      </c>
      <c r="L596" s="31"/>
      <c r="M596" s="29" t="s">
        <v>625</v>
      </c>
    </row>
    <row r="597" customFormat="false" ht="89.25" hidden="false" customHeight="true" outlineLevel="0" collapsed="false">
      <c r="B597" s="29" t="s">
        <v>3060</v>
      </c>
      <c r="C597" s="29" t="s">
        <v>282</v>
      </c>
      <c r="D597" s="29" t="s">
        <v>3061</v>
      </c>
      <c r="E597" s="29" t="s">
        <v>340</v>
      </c>
      <c r="F597" s="29" t="s">
        <v>3062</v>
      </c>
      <c r="G597" s="29" t="s">
        <v>3063</v>
      </c>
      <c r="H597" s="29" t="s">
        <v>3064</v>
      </c>
      <c r="I597" s="29" t="s">
        <v>302</v>
      </c>
      <c r="J597" s="29" t="s">
        <v>202</v>
      </c>
      <c r="K597" s="30" t="s">
        <v>44</v>
      </c>
      <c r="L597" s="31"/>
      <c r="M597" s="29" t="s">
        <v>45</v>
      </c>
    </row>
    <row r="598" customFormat="false" ht="63.75" hidden="false" customHeight="true" outlineLevel="0" collapsed="false">
      <c r="B598" s="29" t="s">
        <v>3065</v>
      </c>
      <c r="C598" s="29" t="s">
        <v>282</v>
      </c>
      <c r="D598" s="29" t="s">
        <v>3066</v>
      </c>
      <c r="E598" s="29" t="s">
        <v>327</v>
      </c>
      <c r="F598" s="29" t="s">
        <v>3067</v>
      </c>
      <c r="G598" s="29" t="s">
        <v>3068</v>
      </c>
      <c r="H598" s="29" t="s">
        <v>3069</v>
      </c>
      <c r="I598" s="29" t="s">
        <v>302</v>
      </c>
      <c r="J598" s="29" t="s">
        <v>202</v>
      </c>
      <c r="K598" s="30" t="s">
        <v>44</v>
      </c>
      <c r="L598" s="31"/>
      <c r="M598" s="29" t="s">
        <v>366</v>
      </c>
    </row>
    <row r="599" customFormat="false" ht="153" hidden="false" customHeight="true" outlineLevel="0" collapsed="false">
      <c r="B599" s="29" t="s">
        <v>3070</v>
      </c>
      <c r="C599" s="29" t="s">
        <v>282</v>
      </c>
      <c r="D599" s="29" t="s">
        <v>3071</v>
      </c>
      <c r="E599" s="29" t="s">
        <v>186</v>
      </c>
      <c r="F599" s="29" t="s">
        <v>3072</v>
      </c>
      <c r="G599" s="29" t="s">
        <v>3073</v>
      </c>
      <c r="H599" s="29" t="s">
        <v>3074</v>
      </c>
      <c r="I599" s="29" t="s">
        <v>336</v>
      </c>
      <c r="J599" s="29" t="s">
        <v>337</v>
      </c>
      <c r="K599" s="30" t="s">
        <v>44</v>
      </c>
      <c r="L599" s="31"/>
      <c r="M599" s="29" t="s">
        <v>45</v>
      </c>
    </row>
    <row r="600" customFormat="false" ht="165.75" hidden="false" customHeight="true" outlineLevel="0" collapsed="false">
      <c r="B600" s="29" t="s">
        <v>3075</v>
      </c>
      <c r="C600" s="29" t="s">
        <v>282</v>
      </c>
      <c r="D600" s="29" t="s">
        <v>3076</v>
      </c>
      <c r="E600" s="29" t="s">
        <v>351</v>
      </c>
      <c r="F600" s="29" t="s">
        <v>3077</v>
      </c>
      <c r="G600" s="29" t="s">
        <v>3078</v>
      </c>
      <c r="H600" s="29" t="s">
        <v>3079</v>
      </c>
      <c r="I600" s="29" t="s">
        <v>302</v>
      </c>
      <c r="J600" s="29" t="s">
        <v>202</v>
      </c>
      <c r="K600" s="30" t="s">
        <v>44</v>
      </c>
      <c r="L600" s="31"/>
      <c r="M600" s="29" t="s">
        <v>45</v>
      </c>
    </row>
    <row r="601" customFormat="false" ht="204" hidden="false" customHeight="true" outlineLevel="0" collapsed="false">
      <c r="B601" s="29" t="s">
        <v>3080</v>
      </c>
      <c r="C601" s="29" t="s">
        <v>282</v>
      </c>
      <c r="D601" s="29" t="s">
        <v>3081</v>
      </c>
      <c r="E601" s="29" t="s">
        <v>186</v>
      </c>
      <c r="F601" s="29" t="s">
        <v>3082</v>
      </c>
      <c r="G601" s="29" t="s">
        <v>3083</v>
      </c>
      <c r="H601" s="29" t="s">
        <v>3084</v>
      </c>
      <c r="I601" s="29" t="s">
        <v>336</v>
      </c>
      <c r="J601" s="29" t="s">
        <v>337</v>
      </c>
      <c r="K601" s="30" t="s">
        <v>44</v>
      </c>
      <c r="L601" s="31"/>
      <c r="M601" s="29" t="s">
        <v>45</v>
      </c>
    </row>
    <row r="602" customFormat="false" ht="229.5" hidden="false" customHeight="true" outlineLevel="0" collapsed="false">
      <c r="B602" s="29" t="s">
        <v>3085</v>
      </c>
      <c r="C602" s="29" t="s">
        <v>282</v>
      </c>
      <c r="D602" s="29" t="s">
        <v>3086</v>
      </c>
      <c r="E602" s="29" t="s">
        <v>357</v>
      </c>
      <c r="F602" s="29" t="s">
        <v>3087</v>
      </c>
      <c r="G602" s="29" t="s">
        <v>3088</v>
      </c>
      <c r="H602" s="29" t="s">
        <v>3089</v>
      </c>
      <c r="I602" s="29" t="s">
        <v>302</v>
      </c>
      <c r="J602" s="29" t="s">
        <v>202</v>
      </c>
      <c r="K602" s="30" t="s">
        <v>44</v>
      </c>
      <c r="L602" s="31"/>
      <c r="M602" s="29" t="s">
        <v>3090</v>
      </c>
    </row>
    <row r="603" customFormat="false" ht="191.25" hidden="false" customHeight="true" outlineLevel="0" collapsed="false">
      <c r="B603" s="29" t="s">
        <v>3091</v>
      </c>
      <c r="C603" s="29" t="s">
        <v>282</v>
      </c>
      <c r="D603" s="29" t="s">
        <v>3092</v>
      </c>
      <c r="E603" s="29" t="s">
        <v>91</v>
      </c>
      <c r="F603" s="29" t="s">
        <v>3093</v>
      </c>
      <c r="G603" s="29" t="s">
        <v>3094</v>
      </c>
      <c r="H603" s="29" t="s">
        <v>3095</v>
      </c>
      <c r="I603" s="29" t="s">
        <v>539</v>
      </c>
      <c r="J603" s="29" t="s">
        <v>2544</v>
      </c>
      <c r="K603" s="30" t="s">
        <v>44</v>
      </c>
      <c r="L603" s="31"/>
      <c r="M603" s="29" t="s">
        <v>45</v>
      </c>
    </row>
    <row r="604" customFormat="false" ht="102" hidden="false" customHeight="true" outlineLevel="0" collapsed="false">
      <c r="B604" s="29" t="s">
        <v>3096</v>
      </c>
      <c r="C604" s="29" t="s">
        <v>282</v>
      </c>
      <c r="D604" s="29" t="s">
        <v>3097</v>
      </c>
      <c r="E604" s="29" t="s">
        <v>340</v>
      </c>
      <c r="F604" s="29" t="s">
        <v>3098</v>
      </c>
      <c r="G604" s="29" t="s">
        <v>3099</v>
      </c>
      <c r="H604" s="29" t="s">
        <v>3100</v>
      </c>
      <c r="I604" s="29" t="s">
        <v>302</v>
      </c>
      <c r="J604" s="29" t="s">
        <v>202</v>
      </c>
      <c r="K604" s="30" t="s">
        <v>44</v>
      </c>
      <c r="L604" s="31"/>
      <c r="M604" s="29" t="s">
        <v>45</v>
      </c>
    </row>
    <row r="605" customFormat="false" ht="102" hidden="false" customHeight="true" outlineLevel="0" collapsed="false">
      <c r="B605" s="29" t="s">
        <v>3101</v>
      </c>
      <c r="C605" s="29" t="s">
        <v>282</v>
      </c>
      <c r="D605" s="29" t="s">
        <v>3102</v>
      </c>
      <c r="E605" s="29" t="s">
        <v>39</v>
      </c>
      <c r="F605" s="29" t="s">
        <v>3103</v>
      </c>
      <c r="G605" s="29" t="s">
        <v>3104</v>
      </c>
      <c r="H605" s="29" t="s">
        <v>3105</v>
      </c>
      <c r="I605" s="29" t="s">
        <v>42</v>
      </c>
      <c r="J605" s="29" t="s">
        <v>43</v>
      </c>
      <c r="K605" s="30" t="s">
        <v>44</v>
      </c>
      <c r="L605" s="31"/>
      <c r="M605" s="29" t="s">
        <v>45</v>
      </c>
    </row>
    <row r="606" customFormat="false" ht="89.25" hidden="false" customHeight="true" outlineLevel="0" collapsed="false">
      <c r="B606" s="29" t="s">
        <v>3106</v>
      </c>
      <c r="C606" s="29" t="s">
        <v>282</v>
      </c>
      <c r="D606" s="29" t="s">
        <v>3107</v>
      </c>
      <c r="E606" s="29" t="s">
        <v>151</v>
      </c>
      <c r="F606" s="29" t="s">
        <v>3108</v>
      </c>
      <c r="G606" s="29" t="s">
        <v>3109</v>
      </c>
      <c r="H606" s="29" t="s">
        <v>3110</v>
      </c>
      <c r="I606" s="29" t="s">
        <v>286</v>
      </c>
      <c r="J606" s="29" t="s">
        <v>804</v>
      </c>
      <c r="K606" s="30" t="s">
        <v>44</v>
      </c>
      <c r="L606" s="31"/>
      <c r="M606" s="29" t="s">
        <v>45</v>
      </c>
    </row>
    <row r="607" customFormat="false" ht="140.25" hidden="false" customHeight="true" outlineLevel="0" collapsed="false">
      <c r="B607" s="29" t="s">
        <v>3111</v>
      </c>
      <c r="C607" s="29" t="s">
        <v>282</v>
      </c>
      <c r="D607" s="29" t="s">
        <v>3112</v>
      </c>
      <c r="E607" s="29" t="s">
        <v>151</v>
      </c>
      <c r="F607" s="29" t="s">
        <v>3113</v>
      </c>
      <c r="G607" s="29" t="s">
        <v>3114</v>
      </c>
      <c r="H607" s="29" t="s">
        <v>3115</v>
      </c>
      <c r="I607" s="29" t="s">
        <v>472</v>
      </c>
      <c r="J607" s="29" t="s">
        <v>472</v>
      </c>
      <c r="K607" s="30" t="s">
        <v>44</v>
      </c>
      <c r="L607" s="31"/>
      <c r="M607" s="29" t="s">
        <v>45</v>
      </c>
    </row>
    <row r="608" customFormat="false" ht="153" hidden="false" customHeight="true" outlineLevel="0" collapsed="false">
      <c r="B608" s="29" t="s">
        <v>3116</v>
      </c>
      <c r="C608" s="29" t="s">
        <v>282</v>
      </c>
      <c r="D608" s="29" t="s">
        <v>3117</v>
      </c>
      <c r="E608" s="29" t="s">
        <v>600</v>
      </c>
      <c r="F608" s="29" t="s">
        <v>3118</v>
      </c>
      <c r="G608" s="29" t="s">
        <v>3119</v>
      </c>
      <c r="H608" s="29" t="s">
        <v>3120</v>
      </c>
      <c r="I608" s="29" t="s">
        <v>472</v>
      </c>
      <c r="J608" s="29" t="s">
        <v>472</v>
      </c>
      <c r="K608" s="30" t="s">
        <v>44</v>
      </c>
      <c r="L608" s="31"/>
      <c r="M608" s="29" t="s">
        <v>45</v>
      </c>
    </row>
    <row r="609" customFormat="false" ht="242.25" hidden="false" customHeight="true" outlineLevel="0" collapsed="false">
      <c r="B609" s="29" t="s">
        <v>3121</v>
      </c>
      <c r="C609" s="29" t="s">
        <v>282</v>
      </c>
      <c r="D609" s="29" t="s">
        <v>3122</v>
      </c>
      <c r="E609" s="29" t="s">
        <v>357</v>
      </c>
      <c r="F609" s="29" t="s">
        <v>3123</v>
      </c>
      <c r="G609" s="29" t="s">
        <v>3124</v>
      </c>
      <c r="H609" s="29" t="s">
        <v>3125</v>
      </c>
      <c r="I609" s="29" t="s">
        <v>302</v>
      </c>
      <c r="J609" s="29" t="s">
        <v>202</v>
      </c>
      <c r="K609" s="30" t="s">
        <v>44</v>
      </c>
      <c r="L609" s="31"/>
      <c r="M609" s="29" t="s">
        <v>45</v>
      </c>
    </row>
    <row r="610" customFormat="false" ht="357" hidden="false" customHeight="true" outlineLevel="0" collapsed="false">
      <c r="B610" s="29" t="s">
        <v>3126</v>
      </c>
      <c r="C610" s="29" t="s">
        <v>282</v>
      </c>
      <c r="D610" s="29" t="s">
        <v>3127</v>
      </c>
      <c r="E610" s="29" t="s">
        <v>357</v>
      </c>
      <c r="F610" s="29" t="s">
        <v>3128</v>
      </c>
      <c r="G610" s="29" t="s">
        <v>3129</v>
      </c>
      <c r="H610" s="29" t="s">
        <v>3130</v>
      </c>
      <c r="I610" s="29" t="s">
        <v>302</v>
      </c>
      <c r="J610" s="29" t="s">
        <v>202</v>
      </c>
      <c r="K610" s="30" t="s">
        <v>44</v>
      </c>
      <c r="L610" s="31"/>
      <c r="M610" s="29" t="s">
        <v>45</v>
      </c>
    </row>
    <row r="611" customFormat="false" ht="38.25" hidden="false" customHeight="true" outlineLevel="0" collapsed="false">
      <c r="B611" s="29" t="s">
        <v>3131</v>
      </c>
      <c r="C611" s="29" t="s">
        <v>282</v>
      </c>
      <c r="D611" s="29" t="s">
        <v>3132</v>
      </c>
      <c r="E611" s="29" t="s">
        <v>357</v>
      </c>
      <c r="F611" s="29" t="s">
        <v>3133</v>
      </c>
      <c r="G611" s="29" t="s">
        <v>3134</v>
      </c>
      <c r="H611" s="29" t="s">
        <v>3135</v>
      </c>
      <c r="I611" s="29" t="s">
        <v>302</v>
      </c>
      <c r="J611" s="29" t="s">
        <v>202</v>
      </c>
      <c r="K611" s="30" t="s">
        <v>44</v>
      </c>
      <c r="L611" s="31"/>
      <c r="M611" s="29" t="s">
        <v>45</v>
      </c>
    </row>
    <row r="612" customFormat="false" ht="140.25" hidden="false" customHeight="true" outlineLevel="0" collapsed="false">
      <c r="B612" s="29" t="s">
        <v>3136</v>
      </c>
      <c r="C612" s="29" t="s">
        <v>282</v>
      </c>
      <c r="D612" s="29" t="s">
        <v>3137</v>
      </c>
      <c r="E612" s="29" t="s">
        <v>351</v>
      </c>
      <c r="F612" s="29" t="s">
        <v>3138</v>
      </c>
      <c r="G612" s="29" t="s">
        <v>3139</v>
      </c>
      <c r="H612" s="29" t="s">
        <v>3140</v>
      </c>
      <c r="I612" s="29" t="s">
        <v>472</v>
      </c>
      <c r="J612" s="29" t="s">
        <v>472</v>
      </c>
      <c r="K612" s="30" t="s">
        <v>44</v>
      </c>
      <c r="L612" s="31"/>
      <c r="M612" s="29" t="s">
        <v>45</v>
      </c>
    </row>
    <row r="613" customFormat="false" ht="153" hidden="false" customHeight="true" outlineLevel="0" collapsed="false">
      <c r="B613" s="29" t="s">
        <v>3141</v>
      </c>
      <c r="C613" s="29" t="s">
        <v>282</v>
      </c>
      <c r="D613" s="29" t="s">
        <v>3142</v>
      </c>
      <c r="E613" s="29" t="s">
        <v>357</v>
      </c>
      <c r="F613" s="29" t="s">
        <v>3143</v>
      </c>
      <c r="G613" s="29" t="s">
        <v>3144</v>
      </c>
      <c r="H613" s="29" t="s">
        <v>3145</v>
      </c>
      <c r="I613" s="29" t="s">
        <v>302</v>
      </c>
      <c r="J613" s="29" t="s">
        <v>202</v>
      </c>
      <c r="K613" s="30" t="s">
        <v>44</v>
      </c>
      <c r="L613" s="31"/>
      <c r="M613" s="29" t="s">
        <v>45</v>
      </c>
    </row>
    <row r="614" customFormat="false" ht="178.5" hidden="false" customHeight="true" outlineLevel="0" collapsed="false">
      <c r="B614" s="29" t="s">
        <v>3146</v>
      </c>
      <c r="C614" s="29" t="s">
        <v>282</v>
      </c>
      <c r="D614" s="29" t="s">
        <v>3147</v>
      </c>
      <c r="E614" s="29" t="s">
        <v>357</v>
      </c>
      <c r="F614" s="29" t="s">
        <v>3148</v>
      </c>
      <c r="G614" s="29" t="s">
        <v>3149</v>
      </c>
      <c r="H614" s="29" t="s">
        <v>3150</v>
      </c>
      <c r="I614" s="29" t="s">
        <v>302</v>
      </c>
      <c r="J614" s="29" t="s">
        <v>202</v>
      </c>
      <c r="K614" s="30" t="s">
        <v>44</v>
      </c>
      <c r="L614" s="31"/>
      <c r="M614" s="29" t="s">
        <v>45</v>
      </c>
    </row>
    <row r="615" customFormat="false" ht="114.75" hidden="false" customHeight="true" outlineLevel="0" collapsed="false">
      <c r="B615" s="29" t="s">
        <v>3151</v>
      </c>
      <c r="C615" s="29" t="s">
        <v>282</v>
      </c>
      <c r="D615" s="29" t="s">
        <v>3152</v>
      </c>
      <c r="E615" s="29" t="s">
        <v>151</v>
      </c>
      <c r="F615" s="29" t="s">
        <v>3153</v>
      </c>
      <c r="G615" s="29" t="s">
        <v>3154</v>
      </c>
      <c r="H615" s="29" t="s">
        <v>3155</v>
      </c>
      <c r="I615" s="29" t="s">
        <v>154</v>
      </c>
      <c r="J615" s="29" t="s">
        <v>155</v>
      </c>
      <c r="K615" s="30" t="s">
        <v>44</v>
      </c>
      <c r="L615" s="31"/>
      <c r="M615" s="29" t="s">
        <v>45</v>
      </c>
    </row>
    <row r="616" customFormat="false" ht="89.25" hidden="false" customHeight="true" outlineLevel="0" collapsed="false">
      <c r="B616" s="29" t="s">
        <v>3156</v>
      </c>
      <c r="C616" s="29" t="s">
        <v>282</v>
      </c>
      <c r="D616" s="29" t="s">
        <v>3157</v>
      </c>
      <c r="E616" s="29" t="s">
        <v>357</v>
      </c>
      <c r="F616" s="29" t="s">
        <v>3158</v>
      </c>
      <c r="G616" s="29" t="s">
        <v>3159</v>
      </c>
      <c r="H616" s="29" t="s">
        <v>3160</v>
      </c>
      <c r="I616" s="29" t="s">
        <v>302</v>
      </c>
      <c r="J616" s="29" t="s">
        <v>202</v>
      </c>
      <c r="K616" s="30" t="s">
        <v>44</v>
      </c>
      <c r="L616" s="31"/>
      <c r="M616" s="29" t="s">
        <v>45</v>
      </c>
    </row>
    <row r="617" customFormat="false" ht="127.5" hidden="false" customHeight="true" outlineLevel="0" collapsed="false">
      <c r="B617" s="29" t="s">
        <v>3161</v>
      </c>
      <c r="C617" s="29" t="s">
        <v>282</v>
      </c>
      <c r="D617" s="29" t="s">
        <v>3162</v>
      </c>
      <c r="E617" s="29" t="s">
        <v>78</v>
      </c>
      <c r="F617" s="29" t="s">
        <v>3163</v>
      </c>
      <c r="G617" s="29" t="s">
        <v>3164</v>
      </c>
      <c r="H617" s="29" t="s">
        <v>3165</v>
      </c>
      <c r="I617" s="29" t="s">
        <v>336</v>
      </c>
      <c r="J617" s="29" t="s">
        <v>83</v>
      </c>
      <c r="K617" s="30" t="s">
        <v>62</v>
      </c>
      <c r="L617" s="31"/>
      <c r="M617" s="29"/>
    </row>
    <row r="618" customFormat="false" ht="153" hidden="false" customHeight="true" outlineLevel="0" collapsed="false">
      <c r="B618" s="29" t="s">
        <v>3166</v>
      </c>
      <c r="C618" s="29" t="s">
        <v>282</v>
      </c>
      <c r="D618" s="29" t="s">
        <v>3167</v>
      </c>
      <c r="E618" s="29" t="s">
        <v>351</v>
      </c>
      <c r="F618" s="29" t="s">
        <v>3168</v>
      </c>
      <c r="G618" s="29" t="s">
        <v>3169</v>
      </c>
      <c r="H618" s="29" t="s">
        <v>3170</v>
      </c>
      <c r="I618" s="29" t="s">
        <v>302</v>
      </c>
      <c r="J618" s="29" t="s">
        <v>202</v>
      </c>
      <c r="K618" s="30" t="s">
        <v>44</v>
      </c>
      <c r="L618" s="31"/>
      <c r="M618" s="29" t="s">
        <v>45</v>
      </c>
    </row>
    <row r="619" customFormat="false" ht="114.75" hidden="false" customHeight="true" outlineLevel="0" collapsed="false">
      <c r="B619" s="29" t="s">
        <v>3171</v>
      </c>
      <c r="C619" s="29" t="s">
        <v>282</v>
      </c>
      <c r="D619" s="29" t="s">
        <v>3172</v>
      </c>
      <c r="E619" s="29" t="s">
        <v>99</v>
      </c>
      <c r="F619" s="29" t="s">
        <v>3173</v>
      </c>
      <c r="G619" s="29" t="s">
        <v>3174</v>
      </c>
      <c r="H619" s="29" t="s">
        <v>3175</v>
      </c>
      <c r="I619" s="29" t="s">
        <v>42</v>
      </c>
      <c r="J619" s="29" t="s">
        <v>67</v>
      </c>
      <c r="K619" s="30" t="s">
        <v>44</v>
      </c>
      <c r="L619" s="31"/>
      <c r="M619" s="29" t="s">
        <v>45</v>
      </c>
    </row>
    <row r="620" customFormat="false" ht="102" hidden="false" customHeight="true" outlineLevel="0" collapsed="false">
      <c r="B620" s="29" t="s">
        <v>3176</v>
      </c>
      <c r="C620" s="29" t="s">
        <v>282</v>
      </c>
      <c r="D620" s="29" t="s">
        <v>3177</v>
      </c>
      <c r="E620" s="29" t="s">
        <v>351</v>
      </c>
      <c r="F620" s="29" t="s">
        <v>3178</v>
      </c>
      <c r="G620" s="29" t="s">
        <v>3179</v>
      </c>
      <c r="H620" s="29" t="s">
        <v>3180</v>
      </c>
      <c r="I620" s="29" t="s">
        <v>302</v>
      </c>
      <c r="J620" s="29" t="s">
        <v>202</v>
      </c>
      <c r="K620" s="30" t="s">
        <v>44</v>
      </c>
      <c r="L620" s="31"/>
      <c r="M620" s="29" t="s">
        <v>45</v>
      </c>
    </row>
    <row r="621" customFormat="false" ht="280.5" hidden="false" customHeight="true" outlineLevel="0" collapsed="false">
      <c r="B621" s="29" t="s">
        <v>3181</v>
      </c>
      <c r="C621" s="29" t="s">
        <v>282</v>
      </c>
      <c r="D621" s="29" t="s">
        <v>3182</v>
      </c>
      <c r="E621" s="29" t="s">
        <v>357</v>
      </c>
      <c r="F621" s="29" t="s">
        <v>3183</v>
      </c>
      <c r="G621" s="29" t="s">
        <v>3184</v>
      </c>
      <c r="H621" s="29" t="s">
        <v>3185</v>
      </c>
      <c r="I621" s="29" t="s">
        <v>302</v>
      </c>
      <c r="J621" s="29" t="s">
        <v>202</v>
      </c>
      <c r="K621" s="30" t="s">
        <v>44</v>
      </c>
      <c r="L621" s="31"/>
      <c r="M621" s="29" t="s">
        <v>45</v>
      </c>
    </row>
    <row r="622" customFormat="false" ht="76.5" hidden="false" customHeight="true" outlineLevel="0" collapsed="false">
      <c r="B622" s="29" t="s">
        <v>3186</v>
      </c>
      <c r="C622" s="29" t="s">
        <v>282</v>
      </c>
      <c r="D622" s="29" t="s">
        <v>3187</v>
      </c>
      <c r="E622" s="29" t="s">
        <v>340</v>
      </c>
      <c r="F622" s="29" t="s">
        <v>3188</v>
      </c>
      <c r="G622" s="29" t="s">
        <v>3189</v>
      </c>
      <c r="H622" s="29" t="s">
        <v>3190</v>
      </c>
      <c r="I622" s="29" t="s">
        <v>302</v>
      </c>
      <c r="J622" s="29" t="s">
        <v>202</v>
      </c>
      <c r="K622" s="30" t="s">
        <v>44</v>
      </c>
      <c r="L622" s="31"/>
      <c r="M622" s="29" t="s">
        <v>45</v>
      </c>
    </row>
    <row r="623" customFormat="false" ht="242.25" hidden="false" customHeight="true" outlineLevel="0" collapsed="false">
      <c r="B623" s="29" t="s">
        <v>3191</v>
      </c>
      <c r="C623" s="29" t="s">
        <v>282</v>
      </c>
      <c r="D623" s="29" t="s">
        <v>3192</v>
      </c>
      <c r="E623" s="29" t="s">
        <v>357</v>
      </c>
      <c r="F623" s="29" t="s">
        <v>3193</v>
      </c>
      <c r="G623" s="29" t="s">
        <v>3194</v>
      </c>
      <c r="H623" s="29" t="s">
        <v>3195</v>
      </c>
      <c r="I623" s="29" t="s">
        <v>154</v>
      </c>
      <c r="J623" s="29" t="s">
        <v>155</v>
      </c>
      <c r="K623" s="30" t="s">
        <v>44</v>
      </c>
      <c r="L623" s="31"/>
      <c r="M623" s="29" t="s">
        <v>45</v>
      </c>
    </row>
    <row r="624" customFormat="false" ht="204" hidden="false" customHeight="true" outlineLevel="0" collapsed="false">
      <c r="B624" s="29" t="s">
        <v>3196</v>
      </c>
      <c r="C624" s="29" t="s">
        <v>282</v>
      </c>
      <c r="D624" s="29" t="s">
        <v>3197</v>
      </c>
      <c r="E624" s="29" t="s">
        <v>357</v>
      </c>
      <c r="F624" s="29" t="s">
        <v>3198</v>
      </c>
      <c r="G624" s="29" t="s">
        <v>3199</v>
      </c>
      <c r="H624" s="29" t="s">
        <v>3200</v>
      </c>
      <c r="I624" s="29" t="s">
        <v>302</v>
      </c>
      <c r="J624" s="29" t="s">
        <v>202</v>
      </c>
      <c r="K624" s="30" t="s">
        <v>44</v>
      </c>
      <c r="L624" s="31"/>
      <c r="M624" s="29" t="s">
        <v>45</v>
      </c>
    </row>
    <row r="625" customFormat="false" ht="165.75" hidden="false" customHeight="true" outlineLevel="0" collapsed="false">
      <c r="B625" s="29" t="s">
        <v>3201</v>
      </c>
      <c r="C625" s="29" t="s">
        <v>282</v>
      </c>
      <c r="D625" s="29" t="s">
        <v>3202</v>
      </c>
      <c r="E625" s="29" t="s">
        <v>357</v>
      </c>
      <c r="F625" s="29" t="s">
        <v>3203</v>
      </c>
      <c r="G625" s="29" t="s">
        <v>3204</v>
      </c>
      <c r="H625" s="29" t="s">
        <v>3205</v>
      </c>
      <c r="I625" s="29" t="s">
        <v>302</v>
      </c>
      <c r="J625" s="29" t="s">
        <v>202</v>
      </c>
      <c r="K625" s="30" t="s">
        <v>44</v>
      </c>
      <c r="L625" s="31"/>
      <c r="M625" s="29" t="s">
        <v>45</v>
      </c>
    </row>
    <row r="626" customFormat="false" ht="229.5" hidden="false" customHeight="true" outlineLevel="0" collapsed="false">
      <c r="B626" s="29" t="s">
        <v>3206</v>
      </c>
      <c r="C626" s="29" t="s">
        <v>282</v>
      </c>
      <c r="D626" s="29" t="s">
        <v>3207</v>
      </c>
      <c r="E626" s="29" t="s">
        <v>340</v>
      </c>
      <c r="F626" s="29" t="s">
        <v>3208</v>
      </c>
      <c r="G626" s="29" t="s">
        <v>3209</v>
      </c>
      <c r="H626" s="29" t="s">
        <v>3210</v>
      </c>
      <c r="I626" s="29" t="s">
        <v>302</v>
      </c>
      <c r="J626" s="29" t="s">
        <v>202</v>
      </c>
      <c r="K626" s="30" t="s">
        <v>44</v>
      </c>
      <c r="L626" s="31"/>
      <c r="M626" s="29" t="s">
        <v>45</v>
      </c>
    </row>
    <row r="627" customFormat="false" ht="51" hidden="false" customHeight="true" outlineLevel="0" collapsed="false">
      <c r="B627" s="29" t="s">
        <v>3211</v>
      </c>
      <c r="C627" s="29" t="s">
        <v>282</v>
      </c>
      <c r="D627" s="29" t="s">
        <v>3212</v>
      </c>
      <c r="E627" s="29" t="s">
        <v>327</v>
      </c>
      <c r="F627" s="29" t="s">
        <v>3213</v>
      </c>
      <c r="G627" s="29" t="s">
        <v>3214</v>
      </c>
      <c r="H627" s="29" t="s">
        <v>3215</v>
      </c>
      <c r="I627" s="29" t="s">
        <v>302</v>
      </c>
      <c r="J627" s="29" t="s">
        <v>202</v>
      </c>
      <c r="K627" s="30" t="s">
        <v>44</v>
      </c>
      <c r="L627" s="31"/>
      <c r="M627" s="29" t="s">
        <v>366</v>
      </c>
    </row>
    <row r="628" customFormat="false" ht="204" hidden="false" customHeight="true" outlineLevel="0" collapsed="false">
      <c r="B628" s="29" t="s">
        <v>3216</v>
      </c>
      <c r="C628" s="29" t="s">
        <v>282</v>
      </c>
      <c r="D628" s="29" t="s">
        <v>3217</v>
      </c>
      <c r="E628" s="29" t="s">
        <v>99</v>
      </c>
      <c r="F628" s="29" t="s">
        <v>3218</v>
      </c>
      <c r="G628" s="29" t="s">
        <v>3219</v>
      </c>
      <c r="H628" s="29" t="s">
        <v>3220</v>
      </c>
      <c r="I628" s="29" t="s">
        <v>42</v>
      </c>
      <c r="J628" s="29" t="s">
        <v>67</v>
      </c>
      <c r="K628" s="30" t="s">
        <v>44</v>
      </c>
      <c r="L628" s="31"/>
      <c r="M628" s="29" t="s">
        <v>45</v>
      </c>
    </row>
    <row r="629" customFormat="false" ht="127.5" hidden="false" customHeight="true" outlineLevel="0" collapsed="false">
      <c r="B629" s="29" t="s">
        <v>3221</v>
      </c>
      <c r="C629" s="29" t="s">
        <v>282</v>
      </c>
      <c r="D629" s="29" t="s">
        <v>3222</v>
      </c>
      <c r="E629" s="29" t="s">
        <v>151</v>
      </c>
      <c r="F629" s="29" t="s">
        <v>3223</v>
      </c>
      <c r="G629" s="29" t="s">
        <v>3224</v>
      </c>
      <c r="H629" s="29" t="s">
        <v>3225</v>
      </c>
      <c r="I629" s="29" t="s">
        <v>472</v>
      </c>
      <c r="J629" s="29" t="s">
        <v>472</v>
      </c>
      <c r="K629" s="30" t="s">
        <v>44</v>
      </c>
      <c r="L629" s="31"/>
      <c r="M629" s="29" t="s">
        <v>45</v>
      </c>
    </row>
    <row r="630" customFormat="false" ht="140.25" hidden="false" customHeight="true" outlineLevel="0" collapsed="false">
      <c r="B630" s="29" t="s">
        <v>3226</v>
      </c>
      <c r="C630" s="29" t="s">
        <v>282</v>
      </c>
      <c r="D630" s="29" t="s">
        <v>3227</v>
      </c>
      <c r="E630" s="29" t="s">
        <v>206</v>
      </c>
      <c r="F630" s="29" t="s">
        <v>3228</v>
      </c>
      <c r="G630" s="29" t="s">
        <v>2865</v>
      </c>
      <c r="H630" s="29" t="s">
        <v>3229</v>
      </c>
      <c r="I630" s="29" t="s">
        <v>302</v>
      </c>
      <c r="J630" s="29" t="s">
        <v>202</v>
      </c>
      <c r="K630" s="30" t="s">
        <v>44</v>
      </c>
      <c r="L630" s="31"/>
      <c r="M630" s="29" t="s">
        <v>45</v>
      </c>
    </row>
    <row r="631" customFormat="false" ht="267.75" hidden="false" customHeight="true" outlineLevel="0" collapsed="false">
      <c r="B631" s="29" t="s">
        <v>3230</v>
      </c>
      <c r="C631" s="29" t="s">
        <v>282</v>
      </c>
      <c r="D631" s="29" t="s">
        <v>3231</v>
      </c>
      <c r="E631" s="29" t="s">
        <v>357</v>
      </c>
      <c r="F631" s="29" t="s">
        <v>3232</v>
      </c>
      <c r="G631" s="29" t="s">
        <v>3233</v>
      </c>
      <c r="H631" s="29" t="s">
        <v>3234</v>
      </c>
      <c r="I631" s="29" t="s">
        <v>302</v>
      </c>
      <c r="J631" s="29" t="s">
        <v>202</v>
      </c>
      <c r="K631" s="30" t="s">
        <v>44</v>
      </c>
      <c r="L631" s="31"/>
      <c r="M631" s="29" t="s">
        <v>45</v>
      </c>
    </row>
    <row r="632" customFormat="false" ht="191.25" hidden="false" customHeight="true" outlineLevel="0" collapsed="false">
      <c r="B632" s="29" t="s">
        <v>3235</v>
      </c>
      <c r="C632" s="29" t="s">
        <v>282</v>
      </c>
      <c r="D632" s="29" t="s">
        <v>3236</v>
      </c>
      <c r="E632" s="29" t="s">
        <v>357</v>
      </c>
      <c r="F632" s="29" t="s">
        <v>3237</v>
      </c>
      <c r="G632" s="29" t="s">
        <v>3238</v>
      </c>
      <c r="H632" s="29" t="s">
        <v>3239</v>
      </c>
      <c r="I632" s="29" t="s">
        <v>154</v>
      </c>
      <c r="J632" s="29" t="s">
        <v>155</v>
      </c>
      <c r="K632" s="30" t="s">
        <v>44</v>
      </c>
      <c r="L632" s="31"/>
      <c r="M632" s="29" t="s">
        <v>45</v>
      </c>
    </row>
    <row r="633" customFormat="false" ht="38.25" hidden="false" customHeight="true" outlineLevel="0" collapsed="false">
      <c r="B633" s="29" t="s">
        <v>3240</v>
      </c>
      <c r="C633" s="29" t="s">
        <v>282</v>
      </c>
      <c r="D633" s="29" t="s">
        <v>3241</v>
      </c>
      <c r="E633" s="29" t="s">
        <v>340</v>
      </c>
      <c r="F633" s="29" t="s">
        <v>3242</v>
      </c>
      <c r="G633" s="29" t="s">
        <v>3243</v>
      </c>
      <c r="H633" s="29" t="s">
        <v>3244</v>
      </c>
      <c r="I633" s="29" t="s">
        <v>302</v>
      </c>
      <c r="J633" s="29" t="s">
        <v>202</v>
      </c>
      <c r="K633" s="30" t="s">
        <v>44</v>
      </c>
      <c r="L633" s="31"/>
      <c r="M633" s="29" t="s">
        <v>625</v>
      </c>
    </row>
    <row r="634" customFormat="false" ht="63.75" hidden="false" customHeight="true" outlineLevel="0" collapsed="false">
      <c r="B634" s="29" t="s">
        <v>3245</v>
      </c>
      <c r="C634" s="29" t="s">
        <v>282</v>
      </c>
      <c r="D634" s="29" t="s">
        <v>3246</v>
      </c>
      <c r="E634" s="29" t="s">
        <v>357</v>
      </c>
      <c r="F634" s="29" t="s">
        <v>3247</v>
      </c>
      <c r="G634" s="29" t="s">
        <v>3248</v>
      </c>
      <c r="H634" s="29" t="s">
        <v>3249</v>
      </c>
      <c r="I634" s="29" t="s">
        <v>302</v>
      </c>
      <c r="J634" s="29" t="s">
        <v>202</v>
      </c>
      <c r="K634" s="30" t="s">
        <v>44</v>
      </c>
      <c r="L634" s="31"/>
      <c r="M634" s="29" t="s">
        <v>45</v>
      </c>
    </row>
    <row r="635" customFormat="false" ht="51" hidden="false" customHeight="true" outlineLevel="0" collapsed="false">
      <c r="B635" s="29" t="s">
        <v>3250</v>
      </c>
      <c r="C635" s="29" t="s">
        <v>282</v>
      </c>
      <c r="D635" s="29" t="s">
        <v>3251</v>
      </c>
      <c r="E635" s="29" t="s">
        <v>206</v>
      </c>
      <c r="F635" s="29" t="s">
        <v>3252</v>
      </c>
      <c r="G635" s="29" t="s">
        <v>3253</v>
      </c>
      <c r="H635" s="29" t="s">
        <v>3254</v>
      </c>
      <c r="I635" s="29" t="s">
        <v>302</v>
      </c>
      <c r="J635" s="29" t="s">
        <v>202</v>
      </c>
      <c r="K635" s="30" t="s">
        <v>44</v>
      </c>
      <c r="L635" s="31"/>
      <c r="M635" s="29" t="s">
        <v>45</v>
      </c>
    </row>
    <row r="636" customFormat="false" ht="102" hidden="false" customHeight="true" outlineLevel="0" collapsed="false">
      <c r="B636" s="29" t="s">
        <v>3255</v>
      </c>
      <c r="C636" s="29" t="s">
        <v>282</v>
      </c>
      <c r="D636" s="29" t="s">
        <v>3256</v>
      </c>
      <c r="E636" s="29" t="s">
        <v>357</v>
      </c>
      <c r="F636" s="29" t="s">
        <v>3257</v>
      </c>
      <c r="G636" s="29" t="s">
        <v>3258</v>
      </c>
      <c r="H636" s="29" t="s">
        <v>3259</v>
      </c>
      <c r="I636" s="29" t="s">
        <v>302</v>
      </c>
      <c r="J636" s="29" t="s">
        <v>202</v>
      </c>
      <c r="K636" s="30" t="s">
        <v>44</v>
      </c>
      <c r="L636" s="31"/>
      <c r="M636" s="29" t="s">
        <v>45</v>
      </c>
    </row>
    <row r="637" customFormat="false" ht="76.5" hidden="false" customHeight="true" outlineLevel="0" collapsed="false">
      <c r="B637" s="29" t="s">
        <v>3260</v>
      </c>
      <c r="C637" s="29" t="s">
        <v>282</v>
      </c>
      <c r="D637" s="29" t="s">
        <v>3261</v>
      </c>
      <c r="E637" s="29" t="s">
        <v>340</v>
      </c>
      <c r="F637" s="29" t="s">
        <v>3262</v>
      </c>
      <c r="G637" s="29" t="s">
        <v>3263</v>
      </c>
      <c r="H637" s="29" t="s">
        <v>3264</v>
      </c>
      <c r="I637" s="29" t="s">
        <v>302</v>
      </c>
      <c r="J637" s="29" t="s">
        <v>202</v>
      </c>
      <c r="K637" s="30" t="s">
        <v>44</v>
      </c>
      <c r="L637" s="31"/>
      <c r="M637" s="29" t="s">
        <v>45</v>
      </c>
    </row>
    <row r="638" customFormat="false" ht="76.5" hidden="false" customHeight="true" outlineLevel="0" collapsed="false">
      <c r="B638" s="29" t="s">
        <v>3265</v>
      </c>
      <c r="C638" s="29" t="s">
        <v>282</v>
      </c>
      <c r="D638" s="29" t="s">
        <v>3266</v>
      </c>
      <c r="E638" s="29" t="s">
        <v>357</v>
      </c>
      <c r="F638" s="29" t="s">
        <v>3267</v>
      </c>
      <c r="G638" s="29" t="s">
        <v>3268</v>
      </c>
      <c r="H638" s="29" t="s">
        <v>3269</v>
      </c>
      <c r="I638" s="29" t="s">
        <v>302</v>
      </c>
      <c r="J638" s="29" t="s">
        <v>202</v>
      </c>
      <c r="K638" s="30" t="s">
        <v>44</v>
      </c>
      <c r="L638" s="31"/>
      <c r="M638" s="29" t="s">
        <v>45</v>
      </c>
    </row>
    <row r="639" customFormat="false" ht="306" hidden="false" customHeight="true" outlineLevel="0" collapsed="false">
      <c r="B639" s="29" t="s">
        <v>3270</v>
      </c>
      <c r="C639" s="29" t="s">
        <v>282</v>
      </c>
      <c r="D639" s="29" t="s">
        <v>3271</v>
      </c>
      <c r="E639" s="29" t="s">
        <v>357</v>
      </c>
      <c r="F639" s="29" t="s">
        <v>3272</v>
      </c>
      <c r="G639" s="29" t="s">
        <v>3273</v>
      </c>
      <c r="H639" s="29" t="s">
        <v>3274</v>
      </c>
      <c r="I639" s="29" t="s">
        <v>286</v>
      </c>
      <c r="J639" s="29" t="s">
        <v>804</v>
      </c>
      <c r="K639" s="30" t="s">
        <v>44</v>
      </c>
      <c r="L639" s="31"/>
      <c r="M639" s="29" t="s">
        <v>45</v>
      </c>
    </row>
    <row r="640" customFormat="false" ht="165.75" hidden="false" customHeight="true" outlineLevel="0" collapsed="false">
      <c r="B640" s="29" t="s">
        <v>3275</v>
      </c>
      <c r="C640" s="29" t="s">
        <v>282</v>
      </c>
      <c r="D640" s="29" t="s">
        <v>3276</v>
      </c>
      <c r="E640" s="29" t="s">
        <v>39</v>
      </c>
      <c r="F640" s="29" t="s">
        <v>3277</v>
      </c>
      <c r="G640" s="29" t="s">
        <v>3278</v>
      </c>
      <c r="H640" s="29" t="s">
        <v>3279</v>
      </c>
      <c r="I640" s="29" t="s">
        <v>2758</v>
      </c>
      <c r="J640" s="29" t="s">
        <v>3280</v>
      </c>
      <c r="K640" s="30" t="s">
        <v>62</v>
      </c>
      <c r="L640" s="31"/>
      <c r="M640" s="29"/>
    </row>
    <row r="641" customFormat="false" ht="140.25" hidden="false" customHeight="true" outlineLevel="0" collapsed="false">
      <c r="B641" s="29" t="s">
        <v>3281</v>
      </c>
      <c r="C641" s="29" t="s">
        <v>282</v>
      </c>
      <c r="D641" s="29" t="s">
        <v>3282</v>
      </c>
      <c r="E641" s="29" t="s">
        <v>151</v>
      </c>
      <c r="F641" s="29" t="s">
        <v>3283</v>
      </c>
      <c r="G641" s="29" t="s">
        <v>3284</v>
      </c>
      <c r="H641" s="29" t="s">
        <v>3285</v>
      </c>
      <c r="I641" s="29" t="s">
        <v>472</v>
      </c>
      <c r="J641" s="29" t="s">
        <v>472</v>
      </c>
      <c r="K641" s="30" t="s">
        <v>44</v>
      </c>
      <c r="L641" s="31"/>
      <c r="M641" s="29" t="s">
        <v>45</v>
      </c>
    </row>
    <row r="642" customFormat="false" ht="409.5" hidden="false" customHeight="true" outlineLevel="0" collapsed="false">
      <c r="B642" s="29" t="s">
        <v>3286</v>
      </c>
      <c r="C642" s="29" t="s">
        <v>282</v>
      </c>
      <c r="D642" s="29" t="s">
        <v>3287</v>
      </c>
      <c r="E642" s="29" t="s">
        <v>206</v>
      </c>
      <c r="F642" s="29" t="s">
        <v>3288</v>
      </c>
      <c r="G642" s="29" t="s">
        <v>3289</v>
      </c>
      <c r="H642" s="29" t="s">
        <v>3290</v>
      </c>
      <c r="I642" s="29" t="s">
        <v>302</v>
      </c>
      <c r="J642" s="29" t="s">
        <v>202</v>
      </c>
      <c r="K642" s="30" t="s">
        <v>44</v>
      </c>
      <c r="L642" s="31"/>
      <c r="M642" s="29" t="s">
        <v>45</v>
      </c>
    </row>
    <row r="643" customFormat="false" ht="409.5" hidden="false" customHeight="true" outlineLevel="0" collapsed="false">
      <c r="B643" s="29" t="s">
        <v>3291</v>
      </c>
      <c r="C643" s="29" t="s">
        <v>282</v>
      </c>
      <c r="D643" s="29" t="s">
        <v>3292</v>
      </c>
      <c r="E643" s="29" t="s">
        <v>351</v>
      </c>
      <c r="F643" s="29" t="s">
        <v>3293</v>
      </c>
      <c r="G643" s="29" t="s">
        <v>3294</v>
      </c>
      <c r="H643" s="29" t="s">
        <v>3295</v>
      </c>
      <c r="I643" s="29" t="s">
        <v>154</v>
      </c>
      <c r="J643" s="29" t="s">
        <v>155</v>
      </c>
      <c r="K643" s="30" t="s">
        <v>44</v>
      </c>
      <c r="L643" s="31"/>
      <c r="M643" s="29" t="s">
        <v>45</v>
      </c>
    </row>
    <row r="644" customFormat="false" ht="63.75" hidden="false" customHeight="true" outlineLevel="0" collapsed="false">
      <c r="B644" s="29" t="s">
        <v>3296</v>
      </c>
      <c r="C644" s="29" t="s">
        <v>282</v>
      </c>
      <c r="D644" s="29" t="s">
        <v>3297</v>
      </c>
      <c r="E644" s="29" t="s">
        <v>327</v>
      </c>
      <c r="F644" s="29" t="s">
        <v>3298</v>
      </c>
      <c r="G644" s="29" t="s">
        <v>3299</v>
      </c>
      <c r="H644" s="29" t="s">
        <v>3300</v>
      </c>
      <c r="I644" s="29" t="s">
        <v>302</v>
      </c>
      <c r="J644" s="29" t="s">
        <v>202</v>
      </c>
      <c r="K644" s="30" t="s">
        <v>44</v>
      </c>
      <c r="L644" s="31"/>
      <c r="M644" s="29" t="s">
        <v>625</v>
      </c>
    </row>
    <row r="645" customFormat="false" ht="331.5" hidden="false" customHeight="true" outlineLevel="0" collapsed="false">
      <c r="B645" s="29" t="s">
        <v>3301</v>
      </c>
      <c r="C645" s="29" t="s">
        <v>282</v>
      </c>
      <c r="D645" s="29" t="s">
        <v>3302</v>
      </c>
      <c r="E645" s="29" t="s">
        <v>39</v>
      </c>
      <c r="F645" s="29" t="s">
        <v>3303</v>
      </c>
      <c r="G645" s="29" t="s">
        <v>3304</v>
      </c>
      <c r="H645" s="29" t="s">
        <v>3305</v>
      </c>
      <c r="I645" s="29" t="s">
        <v>1943</v>
      </c>
      <c r="J645" s="29" t="s">
        <v>3306</v>
      </c>
      <c r="K645" s="30" t="s">
        <v>62</v>
      </c>
      <c r="L645" s="31"/>
      <c r="M645" s="29"/>
    </row>
    <row r="646" customFormat="false" ht="127.5" hidden="false" customHeight="true" outlineLevel="0" collapsed="false">
      <c r="B646" s="29" t="s">
        <v>3307</v>
      </c>
      <c r="C646" s="29" t="s">
        <v>282</v>
      </c>
      <c r="D646" s="29" t="s">
        <v>3308</v>
      </c>
      <c r="E646" s="29" t="s">
        <v>351</v>
      </c>
      <c r="F646" s="29" t="s">
        <v>3309</v>
      </c>
      <c r="G646" s="29" t="s">
        <v>3310</v>
      </c>
      <c r="H646" s="29" t="s">
        <v>3311</v>
      </c>
      <c r="I646" s="29" t="s">
        <v>154</v>
      </c>
      <c r="J646" s="29" t="s">
        <v>155</v>
      </c>
      <c r="K646" s="30" t="s">
        <v>44</v>
      </c>
      <c r="L646" s="31"/>
      <c r="M646" s="29" t="s">
        <v>45</v>
      </c>
    </row>
    <row r="647" customFormat="false" ht="63.75" hidden="false" customHeight="true" outlineLevel="0" collapsed="false">
      <c r="B647" s="29" t="s">
        <v>3312</v>
      </c>
      <c r="C647" s="29" t="s">
        <v>282</v>
      </c>
      <c r="D647" s="29" t="s">
        <v>3313</v>
      </c>
      <c r="E647" s="29" t="s">
        <v>78</v>
      </c>
      <c r="F647" s="29" t="s">
        <v>3314</v>
      </c>
      <c r="G647" s="29" t="s">
        <v>3315</v>
      </c>
      <c r="H647" s="29" t="s">
        <v>3316</v>
      </c>
      <c r="I647" s="29" t="s">
        <v>336</v>
      </c>
      <c r="J647" s="29" t="s">
        <v>83</v>
      </c>
      <c r="K647" s="30" t="s">
        <v>62</v>
      </c>
      <c r="L647" s="31"/>
      <c r="M647" s="29"/>
    </row>
    <row r="648" customFormat="false" ht="89.25" hidden="false" customHeight="true" outlineLevel="0" collapsed="false">
      <c r="B648" s="29" t="s">
        <v>3317</v>
      </c>
      <c r="C648" s="29" t="s">
        <v>282</v>
      </c>
      <c r="D648" s="29" t="s">
        <v>3318</v>
      </c>
      <c r="E648" s="29" t="s">
        <v>340</v>
      </c>
      <c r="F648" s="29" t="s">
        <v>3319</v>
      </c>
      <c r="G648" s="29" t="s">
        <v>3320</v>
      </c>
      <c r="H648" s="29" t="s">
        <v>3321</v>
      </c>
      <c r="I648" s="29" t="s">
        <v>302</v>
      </c>
      <c r="J648" s="29" t="s">
        <v>202</v>
      </c>
      <c r="K648" s="30" t="s">
        <v>44</v>
      </c>
      <c r="L648" s="31"/>
      <c r="M648" s="29" t="s">
        <v>45</v>
      </c>
    </row>
    <row r="649" customFormat="false" ht="114.75" hidden="false" customHeight="true" outlineLevel="0" collapsed="false">
      <c r="B649" s="29" t="s">
        <v>3322</v>
      </c>
      <c r="C649" s="29" t="s">
        <v>282</v>
      </c>
      <c r="D649" s="29" t="s">
        <v>3323</v>
      </c>
      <c r="E649" s="29" t="s">
        <v>151</v>
      </c>
      <c r="F649" s="29" t="s">
        <v>3324</v>
      </c>
      <c r="G649" s="29" t="s">
        <v>3325</v>
      </c>
      <c r="H649" s="29" t="s">
        <v>3326</v>
      </c>
      <c r="I649" s="29" t="s">
        <v>286</v>
      </c>
      <c r="J649" s="29" t="s">
        <v>804</v>
      </c>
      <c r="K649" s="30" t="s">
        <v>44</v>
      </c>
      <c r="L649" s="31"/>
      <c r="M649" s="29" t="s">
        <v>45</v>
      </c>
    </row>
    <row r="650" customFormat="false" ht="89.25" hidden="false" customHeight="true" outlineLevel="0" collapsed="false">
      <c r="B650" s="29" t="s">
        <v>3327</v>
      </c>
      <c r="C650" s="29" t="s">
        <v>282</v>
      </c>
      <c r="D650" s="29" t="s">
        <v>3328</v>
      </c>
      <c r="E650" s="29" t="s">
        <v>151</v>
      </c>
      <c r="F650" s="29" t="s">
        <v>3329</v>
      </c>
      <c r="G650" s="29" t="s">
        <v>3330</v>
      </c>
      <c r="H650" s="29" t="s">
        <v>3331</v>
      </c>
      <c r="I650" s="29" t="s">
        <v>286</v>
      </c>
      <c r="J650" s="29" t="s">
        <v>804</v>
      </c>
      <c r="K650" s="30" t="s">
        <v>44</v>
      </c>
      <c r="L650" s="31"/>
      <c r="M650" s="29" t="s">
        <v>45</v>
      </c>
    </row>
    <row r="651" customFormat="false" ht="216.75" hidden="false" customHeight="true" outlineLevel="0" collapsed="false">
      <c r="B651" s="29" t="s">
        <v>3332</v>
      </c>
      <c r="C651" s="29" t="s">
        <v>282</v>
      </c>
      <c r="D651" s="29" t="s">
        <v>3333</v>
      </c>
      <c r="E651" s="29" t="s">
        <v>151</v>
      </c>
      <c r="F651" s="29" t="s">
        <v>3334</v>
      </c>
      <c r="G651" s="29" t="s">
        <v>3335</v>
      </c>
      <c r="H651" s="29" t="s">
        <v>3336</v>
      </c>
      <c r="I651" s="29" t="s">
        <v>286</v>
      </c>
      <c r="J651" s="29" t="s">
        <v>804</v>
      </c>
      <c r="K651" s="30" t="s">
        <v>44</v>
      </c>
      <c r="L651" s="31"/>
      <c r="M651" s="29" t="s">
        <v>45</v>
      </c>
    </row>
    <row r="652" customFormat="false" ht="102" hidden="false" customHeight="true" outlineLevel="0" collapsed="false">
      <c r="B652" s="29" t="s">
        <v>3337</v>
      </c>
      <c r="C652" s="29" t="s">
        <v>282</v>
      </c>
      <c r="D652" s="29" t="s">
        <v>3338</v>
      </c>
      <c r="E652" s="29" t="s">
        <v>39</v>
      </c>
      <c r="F652" s="29" t="s">
        <v>3339</v>
      </c>
      <c r="G652" s="29" t="s">
        <v>3340</v>
      </c>
      <c r="H652" s="29" t="s">
        <v>3341</v>
      </c>
      <c r="I652" s="29" t="s">
        <v>3342</v>
      </c>
      <c r="J652" s="29" t="s">
        <v>3343</v>
      </c>
      <c r="K652" s="30" t="s">
        <v>44</v>
      </c>
      <c r="L652" s="31"/>
      <c r="M652" s="29" t="s">
        <v>45</v>
      </c>
    </row>
    <row r="653" customFormat="false" ht="280.5" hidden="false" customHeight="true" outlineLevel="0" collapsed="false">
      <c r="B653" s="29" t="s">
        <v>3344</v>
      </c>
      <c r="C653" s="29" t="s">
        <v>282</v>
      </c>
      <c r="D653" s="29" t="s">
        <v>3345</v>
      </c>
      <c r="E653" s="29" t="s">
        <v>78</v>
      </c>
      <c r="F653" s="29" t="s">
        <v>3346</v>
      </c>
      <c r="G653" s="29" t="s">
        <v>3347</v>
      </c>
      <c r="H653" s="29" t="s">
        <v>3348</v>
      </c>
      <c r="I653" s="29" t="s">
        <v>2537</v>
      </c>
      <c r="J653" s="29" t="s">
        <v>3349</v>
      </c>
      <c r="K653" s="30" t="s">
        <v>62</v>
      </c>
      <c r="L653" s="31"/>
      <c r="M653" s="29"/>
    </row>
    <row r="654" customFormat="false" ht="114.75" hidden="false" customHeight="true" outlineLevel="0" collapsed="false">
      <c r="B654" s="29" t="s">
        <v>3350</v>
      </c>
      <c r="C654" s="29" t="s">
        <v>282</v>
      </c>
      <c r="D654" s="29" t="s">
        <v>3351</v>
      </c>
      <c r="E654" s="29" t="s">
        <v>78</v>
      </c>
      <c r="F654" s="29" t="s">
        <v>3352</v>
      </c>
      <c r="G654" s="29" t="s">
        <v>3353</v>
      </c>
      <c r="H654" s="29" t="s">
        <v>3354</v>
      </c>
      <c r="I654" s="29" t="s">
        <v>286</v>
      </c>
      <c r="J654" s="29" t="s">
        <v>81</v>
      </c>
      <c r="K654" s="30" t="s">
        <v>62</v>
      </c>
      <c r="L654" s="31"/>
      <c r="M654" s="29"/>
    </row>
    <row r="655" customFormat="false" ht="409.5" hidden="false" customHeight="true" outlineLevel="0" collapsed="false">
      <c r="B655" s="29" t="s">
        <v>3355</v>
      </c>
      <c r="C655" s="29" t="s">
        <v>282</v>
      </c>
      <c r="D655" s="29" t="s">
        <v>3356</v>
      </c>
      <c r="E655" s="29" t="s">
        <v>357</v>
      </c>
      <c r="F655" s="29" t="s">
        <v>3357</v>
      </c>
      <c r="G655" s="29" t="s">
        <v>3358</v>
      </c>
      <c r="H655" s="29" t="s">
        <v>3359</v>
      </c>
      <c r="I655" s="29" t="s">
        <v>302</v>
      </c>
      <c r="J655" s="29" t="s">
        <v>202</v>
      </c>
      <c r="K655" s="30" t="s">
        <v>44</v>
      </c>
      <c r="L655" s="31"/>
      <c r="M655" s="29" t="s">
        <v>45</v>
      </c>
    </row>
    <row r="656" customFormat="false" ht="89.25" hidden="false" customHeight="true" outlineLevel="0" collapsed="false">
      <c r="B656" s="29" t="s">
        <v>3360</v>
      </c>
      <c r="C656" s="29" t="s">
        <v>282</v>
      </c>
      <c r="D656" s="29" t="s">
        <v>3361</v>
      </c>
      <c r="E656" s="29" t="s">
        <v>340</v>
      </c>
      <c r="F656" s="29" t="s">
        <v>3362</v>
      </c>
      <c r="G656" s="29" t="s">
        <v>3363</v>
      </c>
      <c r="H656" s="29" t="s">
        <v>3364</v>
      </c>
      <c r="I656" s="29" t="s">
        <v>302</v>
      </c>
      <c r="J656" s="29" t="s">
        <v>202</v>
      </c>
      <c r="K656" s="30" t="s">
        <v>44</v>
      </c>
      <c r="L656" s="31"/>
      <c r="M656" s="29" t="s">
        <v>45</v>
      </c>
    </row>
    <row r="657" customFormat="false" ht="216.75" hidden="false" customHeight="true" outlineLevel="0" collapsed="false">
      <c r="B657" s="29" t="s">
        <v>3365</v>
      </c>
      <c r="C657" s="29" t="s">
        <v>282</v>
      </c>
      <c r="D657" s="29" t="s">
        <v>3366</v>
      </c>
      <c r="E657" s="29" t="s">
        <v>357</v>
      </c>
      <c r="F657" s="29" t="s">
        <v>3367</v>
      </c>
      <c r="G657" s="29" t="s">
        <v>3368</v>
      </c>
      <c r="H657" s="29" t="s">
        <v>3369</v>
      </c>
      <c r="I657" s="29" t="s">
        <v>302</v>
      </c>
      <c r="J657" s="29" t="s">
        <v>202</v>
      </c>
      <c r="K657" s="30" t="s">
        <v>44</v>
      </c>
      <c r="L657" s="31"/>
      <c r="M657" s="29" t="s">
        <v>45</v>
      </c>
    </row>
    <row r="658" customFormat="false" ht="127.5" hidden="false" customHeight="true" outlineLevel="0" collapsed="false">
      <c r="B658" s="29" t="s">
        <v>3370</v>
      </c>
      <c r="C658" s="29" t="s">
        <v>282</v>
      </c>
      <c r="D658" s="29" t="s">
        <v>3371</v>
      </c>
      <c r="E658" s="29" t="s">
        <v>340</v>
      </c>
      <c r="F658" s="29" t="s">
        <v>3372</v>
      </c>
      <c r="G658" s="29" t="s">
        <v>3373</v>
      </c>
      <c r="H658" s="29" t="s">
        <v>3374</v>
      </c>
      <c r="I658" s="29" t="s">
        <v>302</v>
      </c>
      <c r="J658" s="29" t="s">
        <v>202</v>
      </c>
      <c r="K658" s="30" t="s">
        <v>44</v>
      </c>
      <c r="L658" s="31"/>
      <c r="M658" s="29" t="s">
        <v>45</v>
      </c>
    </row>
    <row r="659" customFormat="false" ht="102" hidden="false" customHeight="true" outlineLevel="0" collapsed="false">
      <c r="B659" s="29" t="s">
        <v>3375</v>
      </c>
      <c r="C659" s="29" t="s">
        <v>282</v>
      </c>
      <c r="D659" s="29" t="s">
        <v>3376</v>
      </c>
      <c r="E659" s="29" t="s">
        <v>351</v>
      </c>
      <c r="F659" s="29" t="s">
        <v>1557</v>
      </c>
      <c r="G659" s="29" t="s">
        <v>3377</v>
      </c>
      <c r="H659" s="29" t="s">
        <v>3378</v>
      </c>
      <c r="I659" s="29" t="s">
        <v>302</v>
      </c>
      <c r="J659" s="29" t="s">
        <v>202</v>
      </c>
      <c r="K659" s="30" t="s">
        <v>44</v>
      </c>
      <c r="L659" s="31"/>
      <c r="M659" s="29" t="s">
        <v>45</v>
      </c>
    </row>
    <row r="660" customFormat="false" ht="102" hidden="false" customHeight="true" outlineLevel="0" collapsed="false">
      <c r="B660" s="29" t="s">
        <v>3379</v>
      </c>
      <c r="C660" s="29" t="s">
        <v>282</v>
      </c>
      <c r="D660" s="29" t="s">
        <v>3380</v>
      </c>
      <c r="E660" s="29" t="s">
        <v>357</v>
      </c>
      <c r="F660" s="29" t="s">
        <v>3381</v>
      </c>
      <c r="G660" s="29" t="s">
        <v>3382</v>
      </c>
      <c r="H660" s="29" t="s">
        <v>3383</v>
      </c>
      <c r="I660" s="29" t="s">
        <v>302</v>
      </c>
      <c r="J660" s="29" t="s">
        <v>202</v>
      </c>
      <c r="K660" s="30" t="s">
        <v>44</v>
      </c>
      <c r="L660" s="31"/>
      <c r="M660" s="29" t="s">
        <v>45</v>
      </c>
    </row>
    <row r="661" customFormat="false" ht="204" hidden="false" customHeight="true" outlineLevel="0" collapsed="false">
      <c r="B661" s="29" t="s">
        <v>3384</v>
      </c>
      <c r="C661" s="29" t="s">
        <v>282</v>
      </c>
      <c r="D661" s="29" t="s">
        <v>3385</v>
      </c>
      <c r="E661" s="29" t="s">
        <v>351</v>
      </c>
      <c r="F661" s="29" t="s">
        <v>3386</v>
      </c>
      <c r="G661" s="29" t="s">
        <v>3387</v>
      </c>
      <c r="H661" s="29" t="s">
        <v>3388</v>
      </c>
      <c r="I661" s="29" t="s">
        <v>302</v>
      </c>
      <c r="J661" s="29" t="s">
        <v>202</v>
      </c>
      <c r="K661" s="30" t="s">
        <v>44</v>
      </c>
      <c r="L661" s="31"/>
      <c r="M661" s="29" t="s">
        <v>45</v>
      </c>
    </row>
    <row r="662" customFormat="false" ht="255" hidden="false" customHeight="true" outlineLevel="0" collapsed="false">
      <c r="B662" s="29" t="s">
        <v>3389</v>
      </c>
      <c r="C662" s="29" t="s">
        <v>282</v>
      </c>
      <c r="D662" s="29" t="s">
        <v>3390</v>
      </c>
      <c r="E662" s="29" t="s">
        <v>351</v>
      </c>
      <c r="F662" s="29" t="s">
        <v>3391</v>
      </c>
      <c r="G662" s="29" t="s">
        <v>3392</v>
      </c>
      <c r="H662" s="29" t="s">
        <v>3393</v>
      </c>
      <c r="I662" s="29" t="s">
        <v>302</v>
      </c>
      <c r="J662" s="29" t="s">
        <v>202</v>
      </c>
      <c r="K662" s="30" t="s">
        <v>44</v>
      </c>
      <c r="L662" s="31"/>
      <c r="M662" s="29" t="s">
        <v>45</v>
      </c>
    </row>
    <row r="663" customFormat="false" ht="140.25" hidden="false" customHeight="true" outlineLevel="0" collapsed="false">
      <c r="B663" s="29" t="s">
        <v>3394</v>
      </c>
      <c r="C663" s="29" t="s">
        <v>282</v>
      </c>
      <c r="D663" s="29" t="s">
        <v>3395</v>
      </c>
      <c r="E663" s="29" t="s">
        <v>351</v>
      </c>
      <c r="F663" s="29" t="s">
        <v>3396</v>
      </c>
      <c r="G663" s="29" t="s">
        <v>3397</v>
      </c>
      <c r="H663" s="29" t="s">
        <v>3398</v>
      </c>
      <c r="I663" s="29" t="s">
        <v>302</v>
      </c>
      <c r="J663" s="29" t="s">
        <v>202</v>
      </c>
      <c r="K663" s="30" t="s">
        <v>44</v>
      </c>
      <c r="L663" s="31"/>
      <c r="M663" s="29" t="s">
        <v>45</v>
      </c>
    </row>
    <row r="664" customFormat="false" ht="165.75" hidden="false" customHeight="true" outlineLevel="0" collapsed="false">
      <c r="B664" s="29" t="s">
        <v>3399</v>
      </c>
      <c r="C664" s="29" t="s">
        <v>282</v>
      </c>
      <c r="D664" s="29" t="s">
        <v>3400</v>
      </c>
      <c r="E664" s="29" t="s">
        <v>351</v>
      </c>
      <c r="F664" s="29" t="s">
        <v>3401</v>
      </c>
      <c r="G664" s="29" t="s">
        <v>3402</v>
      </c>
      <c r="H664" s="29" t="s">
        <v>3403</v>
      </c>
      <c r="I664" s="29" t="s">
        <v>286</v>
      </c>
      <c r="J664" s="29" t="s">
        <v>3404</v>
      </c>
      <c r="K664" s="30" t="s">
        <v>62</v>
      </c>
      <c r="L664" s="31"/>
      <c r="M664" s="29"/>
    </row>
    <row r="665" customFormat="false" ht="76.5" hidden="false" customHeight="true" outlineLevel="0" collapsed="false">
      <c r="B665" s="29" t="s">
        <v>3405</v>
      </c>
      <c r="C665" s="29" t="s">
        <v>282</v>
      </c>
      <c r="D665" s="29" t="s">
        <v>3406</v>
      </c>
      <c r="E665" s="29" t="s">
        <v>340</v>
      </c>
      <c r="F665" s="29" t="s">
        <v>3407</v>
      </c>
      <c r="G665" s="29" t="s">
        <v>3408</v>
      </c>
      <c r="H665" s="29" t="s">
        <v>3409</v>
      </c>
      <c r="I665" s="29" t="s">
        <v>302</v>
      </c>
      <c r="J665" s="29" t="s">
        <v>202</v>
      </c>
      <c r="K665" s="30" t="s">
        <v>44</v>
      </c>
      <c r="L665" s="31"/>
      <c r="M665" s="29" t="s">
        <v>45</v>
      </c>
    </row>
    <row r="666" customFormat="false" ht="409.5" hidden="false" customHeight="true" outlineLevel="0" collapsed="false">
      <c r="B666" s="29" t="s">
        <v>3410</v>
      </c>
      <c r="C666" s="29" t="s">
        <v>282</v>
      </c>
      <c r="D666" s="29" t="s">
        <v>3411</v>
      </c>
      <c r="E666" s="29" t="s">
        <v>39</v>
      </c>
      <c r="F666" s="29" t="s">
        <v>3412</v>
      </c>
      <c r="G666" s="29" t="s">
        <v>3413</v>
      </c>
      <c r="H666" s="29" t="s">
        <v>3414</v>
      </c>
      <c r="I666" s="29" t="s">
        <v>42</v>
      </c>
      <c r="J666" s="29" t="s">
        <v>1386</v>
      </c>
      <c r="K666" s="30" t="s">
        <v>44</v>
      </c>
      <c r="L666" s="31"/>
      <c r="M666" s="29" t="s">
        <v>45</v>
      </c>
    </row>
    <row r="667" customFormat="false" ht="63.75" hidden="false" customHeight="true" outlineLevel="0" collapsed="false">
      <c r="B667" s="29" t="s">
        <v>3415</v>
      </c>
      <c r="C667" s="29" t="s">
        <v>282</v>
      </c>
      <c r="D667" s="29" t="s">
        <v>3416</v>
      </c>
      <c r="E667" s="29" t="s">
        <v>206</v>
      </c>
      <c r="F667" s="29" t="s">
        <v>3417</v>
      </c>
      <c r="G667" s="29" t="s">
        <v>3418</v>
      </c>
      <c r="H667" s="29" t="s">
        <v>3419</v>
      </c>
      <c r="I667" s="29" t="s">
        <v>302</v>
      </c>
      <c r="J667" s="29" t="s">
        <v>202</v>
      </c>
      <c r="K667" s="30" t="s">
        <v>44</v>
      </c>
      <c r="L667" s="31"/>
      <c r="M667" s="29" t="s">
        <v>45</v>
      </c>
    </row>
    <row r="668" customFormat="false" ht="102" hidden="false" customHeight="true" outlineLevel="0" collapsed="false">
      <c r="B668" s="29" t="s">
        <v>3420</v>
      </c>
      <c r="C668" s="29" t="s">
        <v>282</v>
      </c>
      <c r="D668" s="29" t="s">
        <v>3421</v>
      </c>
      <c r="E668" s="29" t="s">
        <v>206</v>
      </c>
      <c r="F668" s="29" t="s">
        <v>3422</v>
      </c>
      <c r="G668" s="29" t="s">
        <v>3423</v>
      </c>
      <c r="H668" s="29" t="s">
        <v>3424</v>
      </c>
      <c r="I668" s="29" t="s">
        <v>302</v>
      </c>
      <c r="J668" s="29" t="s">
        <v>202</v>
      </c>
      <c r="K668" s="30" t="s">
        <v>44</v>
      </c>
      <c r="L668" s="31"/>
      <c r="M668" s="29" t="s">
        <v>45</v>
      </c>
    </row>
    <row r="669" customFormat="false" ht="38.25" hidden="false" customHeight="true" outlineLevel="0" collapsed="false">
      <c r="B669" s="29" t="s">
        <v>3425</v>
      </c>
      <c r="C669" s="29" t="s">
        <v>282</v>
      </c>
      <c r="D669" s="29" t="s">
        <v>3426</v>
      </c>
      <c r="E669" s="29" t="s">
        <v>340</v>
      </c>
      <c r="F669" s="29" t="s">
        <v>3427</v>
      </c>
      <c r="G669" s="29" t="s">
        <v>3428</v>
      </c>
      <c r="H669" s="29" t="s">
        <v>3429</v>
      </c>
      <c r="I669" s="29" t="s">
        <v>302</v>
      </c>
      <c r="J669" s="29" t="s">
        <v>202</v>
      </c>
      <c r="K669" s="30" t="s">
        <v>44</v>
      </c>
      <c r="L669" s="31"/>
      <c r="M669" s="29" t="s">
        <v>45</v>
      </c>
    </row>
    <row r="670" customFormat="false" ht="38.25" hidden="false" customHeight="true" outlineLevel="0" collapsed="false">
      <c r="B670" s="29" t="s">
        <v>3430</v>
      </c>
      <c r="C670" s="29" t="s">
        <v>282</v>
      </c>
      <c r="D670" s="29" t="s">
        <v>3431</v>
      </c>
      <c r="E670" s="29" t="s">
        <v>340</v>
      </c>
      <c r="F670" s="29" t="s">
        <v>3427</v>
      </c>
      <c r="G670" s="29" t="s">
        <v>3432</v>
      </c>
      <c r="H670" s="29" t="s">
        <v>3429</v>
      </c>
      <c r="I670" s="29" t="s">
        <v>302</v>
      </c>
      <c r="J670" s="29" t="s">
        <v>202</v>
      </c>
      <c r="K670" s="30" t="s">
        <v>44</v>
      </c>
      <c r="L670" s="31"/>
      <c r="M670" s="29" t="s">
        <v>45</v>
      </c>
    </row>
    <row r="671" customFormat="false" ht="63.75" hidden="false" customHeight="true" outlineLevel="0" collapsed="false">
      <c r="B671" s="29" t="s">
        <v>3433</v>
      </c>
      <c r="C671" s="29" t="s">
        <v>282</v>
      </c>
      <c r="D671" s="29" t="s">
        <v>3434</v>
      </c>
      <c r="E671" s="29" t="s">
        <v>340</v>
      </c>
      <c r="F671" s="29" t="s">
        <v>3435</v>
      </c>
      <c r="G671" s="29" t="s">
        <v>3436</v>
      </c>
      <c r="H671" s="29" t="s">
        <v>3437</v>
      </c>
      <c r="I671" s="29" t="s">
        <v>302</v>
      </c>
      <c r="J671" s="29" t="s">
        <v>202</v>
      </c>
      <c r="K671" s="30" t="s">
        <v>44</v>
      </c>
      <c r="L671" s="31"/>
      <c r="M671" s="29" t="s">
        <v>45</v>
      </c>
    </row>
    <row r="672" customFormat="false" ht="114.75" hidden="false" customHeight="true" outlineLevel="0" collapsed="false">
      <c r="B672" s="29" t="s">
        <v>3438</v>
      </c>
      <c r="C672" s="29" t="s">
        <v>282</v>
      </c>
      <c r="D672" s="29" t="s">
        <v>3439</v>
      </c>
      <c r="E672" s="29" t="s">
        <v>340</v>
      </c>
      <c r="F672" s="29" t="s">
        <v>3440</v>
      </c>
      <c r="G672" s="29" t="s">
        <v>3441</v>
      </c>
      <c r="H672" s="29" t="s">
        <v>3442</v>
      </c>
      <c r="I672" s="29" t="s">
        <v>302</v>
      </c>
      <c r="J672" s="29" t="s">
        <v>202</v>
      </c>
      <c r="K672" s="30" t="s">
        <v>44</v>
      </c>
      <c r="L672" s="31"/>
      <c r="M672" s="29" t="s">
        <v>45</v>
      </c>
    </row>
    <row r="673" customFormat="false" ht="76.5" hidden="false" customHeight="true" outlineLevel="0" collapsed="false">
      <c r="B673" s="29" t="s">
        <v>3443</v>
      </c>
      <c r="C673" s="29" t="s">
        <v>282</v>
      </c>
      <c r="D673" s="29" t="s">
        <v>3444</v>
      </c>
      <c r="E673" s="29" t="s">
        <v>340</v>
      </c>
      <c r="F673" s="29" t="s">
        <v>3445</v>
      </c>
      <c r="G673" s="29" t="s">
        <v>3446</v>
      </c>
      <c r="H673" s="29" t="s">
        <v>3447</v>
      </c>
      <c r="I673" s="29" t="s">
        <v>302</v>
      </c>
      <c r="J673" s="29" t="s">
        <v>202</v>
      </c>
      <c r="K673" s="30" t="s">
        <v>44</v>
      </c>
      <c r="L673" s="31"/>
      <c r="M673" s="29" t="s">
        <v>45</v>
      </c>
    </row>
    <row r="674" customFormat="false" ht="153" hidden="false" customHeight="true" outlineLevel="0" collapsed="false">
      <c r="B674" s="29" t="s">
        <v>3448</v>
      </c>
      <c r="C674" s="29" t="s">
        <v>282</v>
      </c>
      <c r="D674" s="29" t="s">
        <v>3449</v>
      </c>
      <c r="E674" s="29" t="s">
        <v>340</v>
      </c>
      <c r="F674" s="29" t="s">
        <v>3450</v>
      </c>
      <c r="G674" s="29" t="s">
        <v>3451</v>
      </c>
      <c r="H674" s="29" t="s">
        <v>3452</v>
      </c>
      <c r="I674" s="29" t="s">
        <v>302</v>
      </c>
      <c r="J674" s="29" t="s">
        <v>202</v>
      </c>
      <c r="K674" s="30" t="s">
        <v>44</v>
      </c>
      <c r="L674" s="31"/>
      <c r="M674" s="29" t="s">
        <v>45</v>
      </c>
    </row>
    <row r="675" customFormat="false" ht="102" hidden="false" customHeight="true" outlineLevel="0" collapsed="false">
      <c r="B675" s="29" t="s">
        <v>3453</v>
      </c>
      <c r="C675" s="29" t="s">
        <v>282</v>
      </c>
      <c r="D675" s="29" t="s">
        <v>3454</v>
      </c>
      <c r="E675" s="29" t="s">
        <v>340</v>
      </c>
      <c r="F675" s="29" t="s">
        <v>3455</v>
      </c>
      <c r="G675" s="29" t="s">
        <v>3456</v>
      </c>
      <c r="H675" s="29" t="s">
        <v>3457</v>
      </c>
      <c r="I675" s="29" t="s">
        <v>302</v>
      </c>
      <c r="J675" s="29" t="s">
        <v>202</v>
      </c>
      <c r="K675" s="30" t="s">
        <v>44</v>
      </c>
      <c r="L675" s="31"/>
      <c r="M675" s="29" t="s">
        <v>45</v>
      </c>
    </row>
    <row r="676" customFormat="false" ht="102" hidden="false" customHeight="true" outlineLevel="0" collapsed="false">
      <c r="B676" s="29" t="s">
        <v>3458</v>
      </c>
      <c r="C676" s="29" t="s">
        <v>282</v>
      </c>
      <c r="D676" s="29" t="s">
        <v>3459</v>
      </c>
      <c r="E676" s="29" t="s">
        <v>340</v>
      </c>
      <c r="F676" s="29" t="s">
        <v>3460</v>
      </c>
      <c r="G676" s="29" t="s">
        <v>3461</v>
      </c>
      <c r="H676" s="29" t="s">
        <v>3462</v>
      </c>
      <c r="I676" s="29" t="s">
        <v>302</v>
      </c>
      <c r="J676" s="29" t="s">
        <v>202</v>
      </c>
      <c r="K676" s="30" t="s">
        <v>44</v>
      </c>
      <c r="L676" s="31"/>
      <c r="M676" s="29" t="s">
        <v>45</v>
      </c>
    </row>
    <row r="677" customFormat="false" ht="102" hidden="false" customHeight="true" outlineLevel="0" collapsed="false">
      <c r="B677" s="29" t="s">
        <v>3463</v>
      </c>
      <c r="C677" s="29" t="s">
        <v>282</v>
      </c>
      <c r="D677" s="29" t="s">
        <v>3464</v>
      </c>
      <c r="E677" s="29" t="s">
        <v>340</v>
      </c>
      <c r="F677" s="29" t="s">
        <v>3465</v>
      </c>
      <c r="G677" s="29" t="s">
        <v>3466</v>
      </c>
      <c r="H677" s="29" t="s">
        <v>3467</v>
      </c>
      <c r="I677" s="29" t="s">
        <v>302</v>
      </c>
      <c r="J677" s="29" t="s">
        <v>202</v>
      </c>
      <c r="K677" s="30" t="s">
        <v>44</v>
      </c>
      <c r="L677" s="31"/>
      <c r="M677" s="29" t="s">
        <v>45</v>
      </c>
    </row>
    <row r="678" customFormat="false" ht="38.25" hidden="false" customHeight="true" outlineLevel="0" collapsed="false">
      <c r="B678" s="29" t="s">
        <v>3468</v>
      </c>
      <c r="C678" s="29" t="s">
        <v>282</v>
      </c>
      <c r="D678" s="29" t="s">
        <v>3469</v>
      </c>
      <c r="E678" s="29" t="s">
        <v>340</v>
      </c>
      <c r="F678" s="29" t="s">
        <v>3470</v>
      </c>
      <c r="G678" s="29" t="s">
        <v>3471</v>
      </c>
      <c r="H678" s="29" t="s">
        <v>3472</v>
      </c>
      <c r="I678" s="29" t="s">
        <v>302</v>
      </c>
      <c r="J678" s="29" t="s">
        <v>202</v>
      </c>
      <c r="K678" s="30" t="s">
        <v>44</v>
      </c>
      <c r="L678" s="31"/>
      <c r="M678" s="29" t="s">
        <v>45</v>
      </c>
    </row>
    <row r="679" customFormat="false" ht="267.75" hidden="false" customHeight="true" outlineLevel="0" collapsed="false">
      <c r="B679" s="29" t="s">
        <v>3473</v>
      </c>
      <c r="C679" s="29" t="s">
        <v>282</v>
      </c>
      <c r="D679" s="29" t="s">
        <v>3474</v>
      </c>
      <c r="E679" s="29" t="s">
        <v>357</v>
      </c>
      <c r="F679" s="29" t="s">
        <v>3475</v>
      </c>
      <c r="G679" s="29" t="s">
        <v>3476</v>
      </c>
      <c r="H679" s="29" t="s">
        <v>3477</v>
      </c>
      <c r="I679" s="29" t="s">
        <v>154</v>
      </c>
      <c r="J679" s="29" t="s">
        <v>155</v>
      </c>
      <c r="K679" s="30" t="s">
        <v>44</v>
      </c>
      <c r="L679" s="31"/>
      <c r="M679" s="29" t="s">
        <v>45</v>
      </c>
    </row>
    <row r="680" customFormat="false" ht="140.25" hidden="false" customHeight="true" outlineLevel="0" collapsed="false">
      <c r="B680" s="29" t="s">
        <v>3478</v>
      </c>
      <c r="C680" s="29" t="s">
        <v>282</v>
      </c>
      <c r="D680" s="29" t="s">
        <v>3479</v>
      </c>
      <c r="E680" s="29" t="s">
        <v>600</v>
      </c>
      <c r="F680" s="29" t="s">
        <v>3480</v>
      </c>
      <c r="G680" s="29" t="s">
        <v>3481</v>
      </c>
      <c r="H680" s="29" t="s">
        <v>3482</v>
      </c>
      <c r="I680" s="29" t="s">
        <v>286</v>
      </c>
      <c r="J680" s="29" t="s">
        <v>804</v>
      </c>
      <c r="K680" s="30" t="s">
        <v>44</v>
      </c>
      <c r="L680" s="31"/>
      <c r="M680" s="29" t="s">
        <v>45</v>
      </c>
    </row>
    <row r="681" customFormat="false" ht="331.5" hidden="false" customHeight="true" outlineLevel="0" collapsed="false">
      <c r="B681" s="29" t="s">
        <v>3483</v>
      </c>
      <c r="C681" s="29" t="s">
        <v>282</v>
      </c>
      <c r="D681" s="29" t="s">
        <v>3484</v>
      </c>
      <c r="E681" s="29" t="s">
        <v>357</v>
      </c>
      <c r="F681" s="29" t="s">
        <v>3485</v>
      </c>
      <c r="G681" s="29" t="s">
        <v>3486</v>
      </c>
      <c r="H681" s="29" t="s">
        <v>3487</v>
      </c>
      <c r="I681" s="29" t="s">
        <v>302</v>
      </c>
      <c r="J681" s="29" t="s">
        <v>202</v>
      </c>
      <c r="K681" s="30" t="s">
        <v>44</v>
      </c>
      <c r="L681" s="31"/>
      <c r="M681" s="29" t="s">
        <v>45</v>
      </c>
    </row>
    <row r="682" customFormat="false" ht="395.25" hidden="false" customHeight="true" outlineLevel="0" collapsed="false">
      <c r="B682" s="29" t="s">
        <v>3488</v>
      </c>
      <c r="C682" s="29" t="s">
        <v>282</v>
      </c>
      <c r="D682" s="29" t="s">
        <v>3489</v>
      </c>
      <c r="E682" s="29" t="s">
        <v>206</v>
      </c>
      <c r="F682" s="29" t="s">
        <v>3490</v>
      </c>
      <c r="G682" s="29" t="s">
        <v>3491</v>
      </c>
      <c r="H682" s="29" t="s">
        <v>3492</v>
      </c>
      <c r="I682" s="29" t="s">
        <v>302</v>
      </c>
      <c r="J682" s="29" t="s">
        <v>202</v>
      </c>
      <c r="K682" s="30" t="s">
        <v>44</v>
      </c>
      <c r="L682" s="31"/>
      <c r="M682" s="29" t="s">
        <v>45</v>
      </c>
    </row>
    <row r="683" customFormat="false" ht="76.5" hidden="false" customHeight="true" outlineLevel="0" collapsed="false">
      <c r="B683" s="29" t="s">
        <v>3493</v>
      </c>
      <c r="C683" s="29" t="s">
        <v>282</v>
      </c>
      <c r="D683" s="29" t="s">
        <v>3494</v>
      </c>
      <c r="E683" s="29" t="s">
        <v>340</v>
      </c>
      <c r="F683" s="29" t="s">
        <v>3495</v>
      </c>
      <c r="G683" s="29" t="s">
        <v>3496</v>
      </c>
      <c r="H683" s="29" t="s">
        <v>3497</v>
      </c>
      <c r="I683" s="29" t="s">
        <v>302</v>
      </c>
      <c r="J683" s="29" t="s">
        <v>202</v>
      </c>
      <c r="K683" s="30" t="s">
        <v>44</v>
      </c>
      <c r="L683" s="31"/>
      <c r="M683" s="29" t="s">
        <v>45</v>
      </c>
    </row>
    <row r="684" customFormat="false" ht="38.25" hidden="false" customHeight="true" outlineLevel="0" collapsed="false">
      <c r="B684" s="29" t="s">
        <v>3498</v>
      </c>
      <c r="C684" s="29" t="s">
        <v>282</v>
      </c>
      <c r="D684" s="29" t="s">
        <v>3499</v>
      </c>
      <c r="E684" s="29" t="s">
        <v>340</v>
      </c>
      <c r="F684" s="29" t="s">
        <v>3500</v>
      </c>
      <c r="G684" s="29" t="s">
        <v>3501</v>
      </c>
      <c r="H684" s="29" t="s">
        <v>3502</v>
      </c>
      <c r="I684" s="29" t="s">
        <v>302</v>
      </c>
      <c r="J684" s="29" t="s">
        <v>202</v>
      </c>
      <c r="K684" s="30" t="s">
        <v>44</v>
      </c>
      <c r="L684" s="31"/>
      <c r="M684" s="29" t="s">
        <v>45</v>
      </c>
    </row>
    <row r="685" customFormat="false" ht="409.5" hidden="false" customHeight="true" outlineLevel="0" collapsed="false">
      <c r="B685" s="29" t="s">
        <v>3503</v>
      </c>
      <c r="C685" s="29" t="s">
        <v>282</v>
      </c>
      <c r="D685" s="29" t="s">
        <v>3504</v>
      </c>
      <c r="E685" s="29" t="s">
        <v>357</v>
      </c>
      <c r="F685" s="29" t="s">
        <v>3505</v>
      </c>
      <c r="G685" s="29" t="s">
        <v>3506</v>
      </c>
      <c r="H685" s="29" t="s">
        <v>3507</v>
      </c>
      <c r="I685" s="29" t="s">
        <v>154</v>
      </c>
      <c r="J685" s="29" t="s">
        <v>155</v>
      </c>
      <c r="K685" s="30" t="s">
        <v>44</v>
      </c>
      <c r="L685" s="31"/>
      <c r="M685" s="29" t="s">
        <v>45</v>
      </c>
    </row>
    <row r="686" customFormat="false" ht="102" hidden="false" customHeight="true" outlineLevel="0" collapsed="false">
      <c r="B686" s="29" t="s">
        <v>3508</v>
      </c>
      <c r="C686" s="29" t="s">
        <v>282</v>
      </c>
      <c r="D686" s="29" t="s">
        <v>3509</v>
      </c>
      <c r="E686" s="29" t="s">
        <v>327</v>
      </c>
      <c r="F686" s="29" t="s">
        <v>3510</v>
      </c>
      <c r="G686" s="29" t="s">
        <v>3511</v>
      </c>
      <c r="H686" s="29" t="s">
        <v>3512</v>
      </c>
      <c r="I686" s="29" t="s">
        <v>302</v>
      </c>
      <c r="J686" s="29" t="s">
        <v>202</v>
      </c>
      <c r="K686" s="30" t="s">
        <v>44</v>
      </c>
      <c r="L686" s="31"/>
      <c r="M686" s="29" t="s">
        <v>366</v>
      </c>
    </row>
    <row r="687" customFormat="false" ht="114.75" hidden="false" customHeight="true" outlineLevel="0" collapsed="false">
      <c r="B687" s="29" t="s">
        <v>3513</v>
      </c>
      <c r="C687" s="29" t="s">
        <v>282</v>
      </c>
      <c r="D687" s="29" t="s">
        <v>3514</v>
      </c>
      <c r="E687" s="29" t="s">
        <v>327</v>
      </c>
      <c r="F687" s="29" t="s">
        <v>3515</v>
      </c>
      <c r="G687" s="29" t="s">
        <v>3516</v>
      </c>
      <c r="H687" s="29" t="s">
        <v>3517</v>
      </c>
      <c r="I687" s="29" t="s">
        <v>302</v>
      </c>
      <c r="J687" s="29" t="s">
        <v>202</v>
      </c>
      <c r="K687" s="30" t="s">
        <v>44</v>
      </c>
      <c r="L687" s="31"/>
      <c r="M687" s="29" t="s">
        <v>366</v>
      </c>
    </row>
    <row r="688" customFormat="false" ht="89.25" hidden="false" customHeight="true" outlineLevel="0" collapsed="false">
      <c r="B688" s="29" t="s">
        <v>3518</v>
      </c>
      <c r="C688" s="29" t="s">
        <v>282</v>
      </c>
      <c r="D688" s="29" t="s">
        <v>3519</v>
      </c>
      <c r="E688" s="29" t="s">
        <v>206</v>
      </c>
      <c r="F688" s="29" t="s">
        <v>3520</v>
      </c>
      <c r="G688" s="29" t="s">
        <v>3521</v>
      </c>
      <c r="H688" s="29" t="s">
        <v>3522</v>
      </c>
      <c r="I688" s="29" t="s">
        <v>302</v>
      </c>
      <c r="J688" s="29" t="s">
        <v>202</v>
      </c>
      <c r="K688" s="30" t="s">
        <v>44</v>
      </c>
      <c r="L688" s="31"/>
      <c r="M688" s="29" t="s">
        <v>45</v>
      </c>
    </row>
    <row r="689" customFormat="false" ht="293.25" hidden="false" customHeight="true" outlineLevel="0" collapsed="false">
      <c r="B689" s="29" t="s">
        <v>3523</v>
      </c>
      <c r="C689" s="29" t="s">
        <v>282</v>
      </c>
      <c r="D689" s="29" t="s">
        <v>3524</v>
      </c>
      <c r="E689" s="29" t="s">
        <v>357</v>
      </c>
      <c r="F689" s="29" t="s">
        <v>3525</v>
      </c>
      <c r="G689" s="29" t="s">
        <v>3526</v>
      </c>
      <c r="H689" s="29" t="s">
        <v>3527</v>
      </c>
      <c r="I689" s="29" t="s">
        <v>302</v>
      </c>
      <c r="J689" s="29" t="s">
        <v>202</v>
      </c>
      <c r="K689" s="30" t="s">
        <v>44</v>
      </c>
      <c r="L689" s="31"/>
      <c r="M689" s="29" t="s">
        <v>45</v>
      </c>
    </row>
    <row r="690" customFormat="false" ht="229.5" hidden="false" customHeight="true" outlineLevel="0" collapsed="false">
      <c r="B690" s="29" t="s">
        <v>3528</v>
      </c>
      <c r="C690" s="29" t="s">
        <v>282</v>
      </c>
      <c r="D690" s="29" t="s">
        <v>3529</v>
      </c>
      <c r="E690" s="29" t="s">
        <v>206</v>
      </c>
      <c r="F690" s="29" t="s">
        <v>3530</v>
      </c>
      <c r="G690" s="29" t="s">
        <v>3531</v>
      </c>
      <c r="H690" s="29" t="s">
        <v>3532</v>
      </c>
      <c r="I690" s="29" t="s">
        <v>302</v>
      </c>
      <c r="J690" s="29" t="s">
        <v>202</v>
      </c>
      <c r="K690" s="30" t="s">
        <v>44</v>
      </c>
      <c r="L690" s="31"/>
      <c r="M690" s="29" t="s">
        <v>45</v>
      </c>
    </row>
    <row r="691" customFormat="false" ht="89.25" hidden="false" customHeight="true" outlineLevel="0" collapsed="false">
      <c r="B691" s="29" t="s">
        <v>3533</v>
      </c>
      <c r="C691" s="29" t="s">
        <v>282</v>
      </c>
      <c r="D691" s="29" t="s">
        <v>3534</v>
      </c>
      <c r="E691" s="29" t="s">
        <v>340</v>
      </c>
      <c r="F691" s="29" t="s">
        <v>3535</v>
      </c>
      <c r="G691" s="29" t="s">
        <v>3536</v>
      </c>
      <c r="H691" s="29" t="s">
        <v>3537</v>
      </c>
      <c r="I691" s="29" t="s">
        <v>302</v>
      </c>
      <c r="J691" s="29" t="s">
        <v>202</v>
      </c>
      <c r="K691" s="30" t="s">
        <v>44</v>
      </c>
      <c r="L691" s="31"/>
      <c r="M691" s="29" t="s">
        <v>45</v>
      </c>
    </row>
    <row r="692" customFormat="false" ht="255" hidden="false" customHeight="true" outlineLevel="0" collapsed="false">
      <c r="B692" s="29" t="s">
        <v>3538</v>
      </c>
      <c r="C692" s="29" t="s">
        <v>282</v>
      </c>
      <c r="D692" s="29" t="s">
        <v>3539</v>
      </c>
      <c r="E692" s="29" t="s">
        <v>340</v>
      </c>
      <c r="F692" s="29" t="s">
        <v>3540</v>
      </c>
      <c r="G692" s="29" t="s">
        <v>3541</v>
      </c>
      <c r="H692" s="29" t="s">
        <v>3542</v>
      </c>
      <c r="I692" s="29" t="s">
        <v>302</v>
      </c>
      <c r="J692" s="29" t="s">
        <v>202</v>
      </c>
      <c r="K692" s="30" t="s">
        <v>44</v>
      </c>
      <c r="L692" s="31"/>
      <c r="M692" s="29" t="s">
        <v>45</v>
      </c>
    </row>
    <row r="693" customFormat="false" ht="89.25" hidden="false" customHeight="true" outlineLevel="0" collapsed="false">
      <c r="B693" s="29" t="s">
        <v>3543</v>
      </c>
      <c r="C693" s="29" t="s">
        <v>282</v>
      </c>
      <c r="D693" s="29" t="s">
        <v>3544</v>
      </c>
      <c r="E693" s="29" t="s">
        <v>39</v>
      </c>
      <c r="F693" s="29" t="s">
        <v>3545</v>
      </c>
      <c r="G693" s="29" t="s">
        <v>3546</v>
      </c>
      <c r="H693" s="29" t="s">
        <v>3547</v>
      </c>
      <c r="I693" s="29" t="s">
        <v>42</v>
      </c>
      <c r="J693" s="29" t="s">
        <v>43</v>
      </c>
      <c r="K693" s="30" t="s">
        <v>44</v>
      </c>
      <c r="L693" s="31"/>
      <c r="M693" s="29" t="s">
        <v>45</v>
      </c>
    </row>
    <row r="694" customFormat="false" ht="293.25" hidden="false" customHeight="true" outlineLevel="0" collapsed="false">
      <c r="B694" s="29" t="s">
        <v>3548</v>
      </c>
      <c r="C694" s="29" t="s">
        <v>282</v>
      </c>
      <c r="D694" s="29" t="s">
        <v>3549</v>
      </c>
      <c r="E694" s="29" t="s">
        <v>99</v>
      </c>
      <c r="F694" s="29" t="s">
        <v>3550</v>
      </c>
      <c r="G694" s="29" t="s">
        <v>3551</v>
      </c>
      <c r="H694" s="29" t="s">
        <v>3552</v>
      </c>
      <c r="I694" s="29" t="s">
        <v>42</v>
      </c>
      <c r="J694" s="29" t="s">
        <v>67</v>
      </c>
      <c r="K694" s="30" t="s">
        <v>44</v>
      </c>
      <c r="L694" s="31"/>
      <c r="M694" s="29" t="s">
        <v>45</v>
      </c>
    </row>
    <row r="695" customFormat="false" ht="140.25" hidden="false" customHeight="true" outlineLevel="0" collapsed="false">
      <c r="B695" s="29" t="s">
        <v>3553</v>
      </c>
      <c r="C695" s="29" t="s">
        <v>282</v>
      </c>
      <c r="D695" s="29" t="s">
        <v>3554</v>
      </c>
      <c r="E695" s="29" t="s">
        <v>340</v>
      </c>
      <c r="F695" s="29" t="s">
        <v>3555</v>
      </c>
      <c r="G695" s="29" t="s">
        <v>3556</v>
      </c>
      <c r="H695" s="29" t="s">
        <v>3557</v>
      </c>
      <c r="I695" s="29" t="s">
        <v>302</v>
      </c>
      <c r="J695" s="29" t="s">
        <v>202</v>
      </c>
      <c r="K695" s="30" t="s">
        <v>44</v>
      </c>
      <c r="L695" s="31"/>
      <c r="M695" s="29" t="s">
        <v>45</v>
      </c>
    </row>
    <row r="696" customFormat="false" ht="127.5" hidden="false" customHeight="true" outlineLevel="0" collapsed="false">
      <c r="B696" s="29" t="s">
        <v>3558</v>
      </c>
      <c r="C696" s="29" t="s">
        <v>282</v>
      </c>
      <c r="D696" s="29" t="s">
        <v>3559</v>
      </c>
      <c r="E696" s="29" t="s">
        <v>206</v>
      </c>
      <c r="F696" s="29" t="s">
        <v>3560</v>
      </c>
      <c r="G696" s="29" t="s">
        <v>3561</v>
      </c>
      <c r="H696" s="29" t="s">
        <v>3562</v>
      </c>
      <c r="I696" s="29" t="s">
        <v>302</v>
      </c>
      <c r="J696" s="29" t="s">
        <v>202</v>
      </c>
      <c r="K696" s="30" t="s">
        <v>44</v>
      </c>
      <c r="L696" s="31"/>
      <c r="M696" s="29" t="s">
        <v>45</v>
      </c>
    </row>
    <row r="697" customFormat="false" ht="102" hidden="false" customHeight="true" outlineLevel="0" collapsed="false">
      <c r="B697" s="29" t="s">
        <v>3563</v>
      </c>
      <c r="C697" s="29" t="s">
        <v>282</v>
      </c>
      <c r="D697" s="29" t="s">
        <v>3564</v>
      </c>
      <c r="E697" s="29" t="s">
        <v>327</v>
      </c>
      <c r="F697" s="29" t="s">
        <v>3565</v>
      </c>
      <c r="G697" s="29" t="s">
        <v>3566</v>
      </c>
      <c r="H697" s="29" t="s">
        <v>3567</v>
      </c>
      <c r="I697" s="29" t="s">
        <v>302</v>
      </c>
      <c r="J697" s="29" t="s">
        <v>202</v>
      </c>
      <c r="K697" s="30" t="s">
        <v>44</v>
      </c>
      <c r="L697" s="31"/>
      <c r="M697" s="29" t="s">
        <v>366</v>
      </c>
    </row>
    <row r="698" customFormat="false" ht="89.25" hidden="false" customHeight="true" outlineLevel="0" collapsed="false">
      <c r="B698" s="29" t="s">
        <v>3568</v>
      </c>
      <c r="C698" s="29" t="s">
        <v>282</v>
      </c>
      <c r="D698" s="29" t="s">
        <v>3569</v>
      </c>
      <c r="E698" s="29" t="s">
        <v>327</v>
      </c>
      <c r="F698" s="29" t="s">
        <v>3570</v>
      </c>
      <c r="G698" s="29" t="s">
        <v>3571</v>
      </c>
      <c r="H698" s="29" t="s">
        <v>3572</v>
      </c>
      <c r="I698" s="29" t="s">
        <v>302</v>
      </c>
      <c r="J698" s="29" t="s">
        <v>202</v>
      </c>
      <c r="K698" s="30" t="s">
        <v>44</v>
      </c>
      <c r="L698" s="31"/>
      <c r="M698" s="29" t="s">
        <v>366</v>
      </c>
    </row>
    <row r="699" customFormat="false" ht="76.5" hidden="false" customHeight="true" outlineLevel="0" collapsed="false">
      <c r="B699" s="29" t="s">
        <v>3573</v>
      </c>
      <c r="C699" s="29" t="s">
        <v>282</v>
      </c>
      <c r="D699" s="29" t="s">
        <v>3574</v>
      </c>
      <c r="E699" s="29" t="s">
        <v>340</v>
      </c>
      <c r="F699" s="29" t="s">
        <v>3575</v>
      </c>
      <c r="G699" s="29" t="s">
        <v>3576</v>
      </c>
      <c r="H699" s="29" t="s">
        <v>3577</v>
      </c>
      <c r="I699" s="29" t="s">
        <v>302</v>
      </c>
      <c r="J699" s="29" t="s">
        <v>202</v>
      </c>
      <c r="K699" s="30" t="s">
        <v>44</v>
      </c>
      <c r="L699" s="31"/>
      <c r="M699" s="29" t="s">
        <v>45</v>
      </c>
    </row>
    <row r="700" customFormat="false" ht="242.25" hidden="false" customHeight="true" outlineLevel="0" collapsed="false">
      <c r="B700" s="29" t="s">
        <v>3578</v>
      </c>
      <c r="C700" s="29" t="s">
        <v>282</v>
      </c>
      <c r="D700" s="29" t="s">
        <v>3579</v>
      </c>
      <c r="E700" s="29" t="s">
        <v>357</v>
      </c>
      <c r="F700" s="29" t="s">
        <v>3580</v>
      </c>
      <c r="G700" s="29" t="s">
        <v>3581</v>
      </c>
      <c r="H700" s="29" t="s">
        <v>3582</v>
      </c>
      <c r="I700" s="29" t="s">
        <v>302</v>
      </c>
      <c r="J700" s="29" t="s">
        <v>202</v>
      </c>
      <c r="K700" s="30" t="s">
        <v>44</v>
      </c>
      <c r="L700" s="31"/>
      <c r="M700" s="29" t="s">
        <v>45</v>
      </c>
    </row>
    <row r="701" customFormat="false" ht="331.5" hidden="false" customHeight="true" outlineLevel="0" collapsed="false">
      <c r="B701" s="29" t="s">
        <v>3583</v>
      </c>
      <c r="C701" s="29" t="s">
        <v>282</v>
      </c>
      <c r="D701" s="29" t="s">
        <v>3584</v>
      </c>
      <c r="E701" s="29" t="s">
        <v>357</v>
      </c>
      <c r="F701" s="29" t="s">
        <v>3585</v>
      </c>
      <c r="G701" s="29" t="s">
        <v>3586</v>
      </c>
      <c r="H701" s="29" t="s">
        <v>3587</v>
      </c>
      <c r="I701" s="29" t="s">
        <v>302</v>
      </c>
      <c r="J701" s="29" t="s">
        <v>202</v>
      </c>
      <c r="K701" s="30" t="s">
        <v>44</v>
      </c>
      <c r="L701" s="31"/>
      <c r="M701" s="29" t="s">
        <v>45</v>
      </c>
    </row>
    <row r="702" customFormat="false" ht="178.5" hidden="false" customHeight="true" outlineLevel="0" collapsed="false">
      <c r="B702" s="29" t="s">
        <v>3588</v>
      </c>
      <c r="C702" s="29" t="s">
        <v>282</v>
      </c>
      <c r="D702" s="29" t="s">
        <v>3589</v>
      </c>
      <c r="E702" s="29" t="s">
        <v>357</v>
      </c>
      <c r="F702" s="29" t="s">
        <v>3590</v>
      </c>
      <c r="G702" s="29" t="s">
        <v>3591</v>
      </c>
      <c r="H702" s="29" t="s">
        <v>3592</v>
      </c>
      <c r="I702" s="29" t="s">
        <v>302</v>
      </c>
      <c r="J702" s="29" t="s">
        <v>202</v>
      </c>
      <c r="K702" s="30" t="s">
        <v>44</v>
      </c>
      <c r="L702" s="31"/>
      <c r="M702" s="29" t="s">
        <v>45</v>
      </c>
    </row>
    <row r="703" customFormat="false" ht="102" hidden="false" customHeight="true" outlineLevel="0" collapsed="false">
      <c r="B703" s="29" t="s">
        <v>3593</v>
      </c>
      <c r="C703" s="29" t="s">
        <v>282</v>
      </c>
      <c r="D703" s="29" t="s">
        <v>3594</v>
      </c>
      <c r="E703" s="29" t="s">
        <v>327</v>
      </c>
      <c r="F703" s="29" t="s">
        <v>3595</v>
      </c>
      <c r="G703" s="29" t="s">
        <v>3596</v>
      </c>
      <c r="H703" s="29" t="s">
        <v>3597</v>
      </c>
      <c r="I703" s="29" t="s">
        <v>302</v>
      </c>
      <c r="J703" s="29" t="s">
        <v>202</v>
      </c>
      <c r="K703" s="30" t="s">
        <v>44</v>
      </c>
      <c r="L703" s="31"/>
      <c r="M703" s="29" t="s">
        <v>366</v>
      </c>
    </row>
    <row r="704" customFormat="false" ht="165.75" hidden="false" customHeight="true" outlineLevel="0" collapsed="false">
      <c r="B704" s="29" t="s">
        <v>3598</v>
      </c>
      <c r="C704" s="29" t="s">
        <v>282</v>
      </c>
      <c r="D704" s="29" t="s">
        <v>3599</v>
      </c>
      <c r="E704" s="29" t="s">
        <v>327</v>
      </c>
      <c r="F704" s="29" t="s">
        <v>3600</v>
      </c>
      <c r="G704" s="29" t="s">
        <v>3601</v>
      </c>
      <c r="H704" s="29" t="s">
        <v>3602</v>
      </c>
      <c r="I704" s="29" t="s">
        <v>302</v>
      </c>
      <c r="J704" s="29" t="s">
        <v>202</v>
      </c>
      <c r="K704" s="30" t="s">
        <v>44</v>
      </c>
      <c r="L704" s="31"/>
      <c r="M704" s="29" t="s">
        <v>366</v>
      </c>
    </row>
    <row r="705" customFormat="false" ht="165.75" hidden="false" customHeight="true" outlineLevel="0" collapsed="false">
      <c r="B705" s="29" t="s">
        <v>3603</v>
      </c>
      <c r="C705" s="29" t="s">
        <v>282</v>
      </c>
      <c r="D705" s="29" t="s">
        <v>3604</v>
      </c>
      <c r="E705" s="29" t="s">
        <v>340</v>
      </c>
      <c r="F705" s="29" t="s">
        <v>3605</v>
      </c>
      <c r="G705" s="29" t="s">
        <v>3606</v>
      </c>
      <c r="H705" s="29" t="s">
        <v>3607</v>
      </c>
      <c r="I705" s="29" t="s">
        <v>302</v>
      </c>
      <c r="J705" s="29" t="s">
        <v>202</v>
      </c>
      <c r="K705" s="30" t="s">
        <v>44</v>
      </c>
      <c r="L705" s="31"/>
      <c r="M705" s="29" t="s">
        <v>45</v>
      </c>
    </row>
    <row r="706" customFormat="false" ht="76.5" hidden="false" customHeight="true" outlineLevel="0" collapsed="false">
      <c r="B706" s="29" t="s">
        <v>3608</v>
      </c>
      <c r="C706" s="29" t="s">
        <v>282</v>
      </c>
      <c r="D706" s="29" t="s">
        <v>3609</v>
      </c>
      <c r="E706" s="29" t="s">
        <v>327</v>
      </c>
      <c r="F706" s="29" t="s">
        <v>3610</v>
      </c>
      <c r="G706" s="29" t="s">
        <v>3611</v>
      </c>
      <c r="H706" s="29" t="s">
        <v>3612</v>
      </c>
      <c r="I706" s="29" t="s">
        <v>302</v>
      </c>
      <c r="J706" s="29" t="s">
        <v>202</v>
      </c>
      <c r="K706" s="30" t="s">
        <v>44</v>
      </c>
      <c r="L706" s="31"/>
      <c r="M706" s="29" t="s">
        <v>625</v>
      </c>
    </row>
    <row r="707" customFormat="false" ht="114.75" hidden="false" customHeight="true" outlineLevel="0" collapsed="false">
      <c r="B707" s="29" t="s">
        <v>3613</v>
      </c>
      <c r="C707" s="29" t="s">
        <v>282</v>
      </c>
      <c r="D707" s="29" t="s">
        <v>3614</v>
      </c>
      <c r="E707" s="29" t="s">
        <v>327</v>
      </c>
      <c r="F707" s="29" t="s">
        <v>3615</v>
      </c>
      <c r="G707" s="29" t="s">
        <v>3616</v>
      </c>
      <c r="H707" s="29" t="s">
        <v>3617</v>
      </c>
      <c r="I707" s="29" t="s">
        <v>302</v>
      </c>
      <c r="J707" s="29" t="s">
        <v>202</v>
      </c>
      <c r="K707" s="30" t="s">
        <v>44</v>
      </c>
      <c r="L707" s="31"/>
      <c r="M707" s="29" t="s">
        <v>366</v>
      </c>
    </row>
    <row r="708" customFormat="false" ht="153" hidden="false" customHeight="true" outlineLevel="0" collapsed="false">
      <c r="B708" s="29" t="s">
        <v>3618</v>
      </c>
      <c r="C708" s="29" t="s">
        <v>282</v>
      </c>
      <c r="D708" s="29" t="s">
        <v>3619</v>
      </c>
      <c r="E708" s="29" t="s">
        <v>340</v>
      </c>
      <c r="F708" s="29" t="s">
        <v>3620</v>
      </c>
      <c r="G708" s="29" t="s">
        <v>3621</v>
      </c>
      <c r="H708" s="29" t="s">
        <v>3622</v>
      </c>
      <c r="I708" s="29" t="s">
        <v>302</v>
      </c>
      <c r="J708" s="29" t="s">
        <v>202</v>
      </c>
      <c r="K708" s="30" t="s">
        <v>44</v>
      </c>
      <c r="L708" s="31"/>
      <c r="M708" s="29" t="s">
        <v>45</v>
      </c>
    </row>
    <row r="709" customFormat="false" ht="76.5" hidden="false" customHeight="true" outlineLevel="0" collapsed="false">
      <c r="B709" s="29" t="s">
        <v>3623</v>
      </c>
      <c r="C709" s="29" t="s">
        <v>282</v>
      </c>
      <c r="D709" s="29" t="s">
        <v>3624</v>
      </c>
      <c r="E709" s="29" t="s">
        <v>340</v>
      </c>
      <c r="F709" s="29" t="s">
        <v>3625</v>
      </c>
      <c r="G709" s="29" t="s">
        <v>3626</v>
      </c>
      <c r="H709" s="29" t="s">
        <v>3627</v>
      </c>
      <c r="I709" s="29" t="s">
        <v>302</v>
      </c>
      <c r="J709" s="29" t="s">
        <v>202</v>
      </c>
      <c r="K709" s="30" t="s">
        <v>44</v>
      </c>
      <c r="L709" s="31"/>
      <c r="M709" s="29" t="s">
        <v>45</v>
      </c>
    </row>
    <row r="710" customFormat="false" ht="216.75" hidden="false" customHeight="true" outlineLevel="0" collapsed="false">
      <c r="B710" s="29" t="s">
        <v>3628</v>
      </c>
      <c r="C710" s="29" t="s">
        <v>282</v>
      </c>
      <c r="D710" s="29" t="s">
        <v>3629</v>
      </c>
      <c r="E710" s="29" t="s">
        <v>357</v>
      </c>
      <c r="F710" s="29" t="s">
        <v>3630</v>
      </c>
      <c r="G710" s="29" t="s">
        <v>3631</v>
      </c>
      <c r="H710" s="29" t="s">
        <v>3632</v>
      </c>
      <c r="I710" s="29" t="s">
        <v>302</v>
      </c>
      <c r="J710" s="29" t="s">
        <v>202</v>
      </c>
      <c r="K710" s="30" t="s">
        <v>44</v>
      </c>
      <c r="L710" s="31"/>
      <c r="M710" s="29" t="s">
        <v>45</v>
      </c>
    </row>
    <row r="711" customFormat="false" ht="140.25" hidden="false" customHeight="true" outlineLevel="0" collapsed="false">
      <c r="B711" s="29" t="s">
        <v>3633</v>
      </c>
      <c r="C711" s="29" t="s">
        <v>282</v>
      </c>
      <c r="D711" s="29" t="s">
        <v>3634</v>
      </c>
      <c r="E711" s="29" t="s">
        <v>327</v>
      </c>
      <c r="F711" s="29" t="s">
        <v>3635</v>
      </c>
      <c r="G711" s="29" t="s">
        <v>3636</v>
      </c>
      <c r="H711" s="29" t="s">
        <v>3637</v>
      </c>
      <c r="I711" s="29" t="s">
        <v>302</v>
      </c>
      <c r="J711" s="29" t="s">
        <v>202</v>
      </c>
      <c r="K711" s="30" t="s">
        <v>44</v>
      </c>
      <c r="L711" s="31"/>
      <c r="M711" s="29" t="s">
        <v>366</v>
      </c>
    </row>
    <row r="712" customFormat="false" ht="102" hidden="false" customHeight="true" outlineLevel="0" collapsed="false">
      <c r="B712" s="29" t="s">
        <v>3638</v>
      </c>
      <c r="C712" s="29" t="s">
        <v>282</v>
      </c>
      <c r="D712" s="29" t="s">
        <v>3639</v>
      </c>
      <c r="E712" s="29" t="s">
        <v>351</v>
      </c>
      <c r="F712" s="29" t="s">
        <v>3640</v>
      </c>
      <c r="G712" s="29" t="s">
        <v>3641</v>
      </c>
      <c r="H712" s="29" t="s">
        <v>3642</v>
      </c>
      <c r="I712" s="29" t="s">
        <v>302</v>
      </c>
      <c r="J712" s="29" t="s">
        <v>202</v>
      </c>
      <c r="K712" s="30" t="s">
        <v>44</v>
      </c>
      <c r="L712" s="31"/>
      <c r="M712" s="29" t="s">
        <v>45</v>
      </c>
    </row>
    <row r="713" customFormat="false" ht="51" hidden="false" customHeight="true" outlineLevel="0" collapsed="false">
      <c r="B713" s="29" t="s">
        <v>3643</v>
      </c>
      <c r="C713" s="29" t="s">
        <v>37</v>
      </c>
      <c r="D713" s="29" t="s">
        <v>3644</v>
      </c>
      <c r="E713" s="29" t="s">
        <v>340</v>
      </c>
      <c r="F713" s="29" t="s">
        <v>3645</v>
      </c>
      <c r="G713" s="29" t="s">
        <v>3645</v>
      </c>
      <c r="H713" s="29" t="s">
        <v>3646</v>
      </c>
      <c r="I713" s="29" t="s">
        <v>302</v>
      </c>
      <c r="J713" s="29" t="s">
        <v>202</v>
      </c>
      <c r="K713" s="30" t="s">
        <v>44</v>
      </c>
      <c r="L713" s="31"/>
      <c r="M713" s="32" t="s">
        <v>45</v>
      </c>
    </row>
    <row r="714" customFormat="false" ht="51" hidden="false" customHeight="true" outlineLevel="0" collapsed="false">
      <c r="B714" s="29" t="s">
        <v>3647</v>
      </c>
      <c r="C714" s="29" t="s">
        <v>37</v>
      </c>
      <c r="D714" s="29" t="s">
        <v>3648</v>
      </c>
      <c r="E714" s="29" t="s">
        <v>340</v>
      </c>
      <c r="F714" s="29" t="s">
        <v>3649</v>
      </c>
      <c r="G714" s="29" t="s">
        <v>3649</v>
      </c>
      <c r="H714" s="29" t="s">
        <v>3646</v>
      </c>
      <c r="I714" s="29" t="s">
        <v>302</v>
      </c>
      <c r="J714" s="29" t="s">
        <v>202</v>
      </c>
      <c r="K714" s="30" t="s">
        <v>44</v>
      </c>
      <c r="L714" s="31"/>
      <c r="M714" s="32" t="s">
        <v>45</v>
      </c>
    </row>
    <row r="715" customFormat="false" ht="51" hidden="false" customHeight="true" outlineLevel="0" collapsed="false">
      <c r="B715" s="29" t="s">
        <v>3650</v>
      </c>
      <c r="C715" s="29" t="s">
        <v>37</v>
      </c>
      <c r="D715" s="29" t="s">
        <v>3651</v>
      </c>
      <c r="E715" s="29" t="s">
        <v>340</v>
      </c>
      <c r="F715" s="29" t="s">
        <v>3652</v>
      </c>
      <c r="G715" s="29" t="s">
        <v>3652</v>
      </c>
      <c r="H715" s="29" t="s">
        <v>3646</v>
      </c>
      <c r="I715" s="29" t="s">
        <v>302</v>
      </c>
      <c r="J715" s="29" t="s">
        <v>202</v>
      </c>
      <c r="K715" s="30" t="s">
        <v>44</v>
      </c>
      <c r="L715" s="31"/>
      <c r="M715" s="32" t="s">
        <v>45</v>
      </c>
    </row>
    <row r="716" customFormat="false" ht="51" hidden="false" customHeight="true" outlineLevel="0" collapsed="false">
      <c r="B716" s="29" t="s">
        <v>3653</v>
      </c>
      <c r="C716" s="29" t="s">
        <v>37</v>
      </c>
      <c r="D716" s="29" t="s">
        <v>3654</v>
      </c>
      <c r="E716" s="29" t="s">
        <v>340</v>
      </c>
      <c r="F716" s="29" t="s">
        <v>3655</v>
      </c>
      <c r="G716" s="29" t="s">
        <v>3656</v>
      </c>
      <c r="H716" s="29" t="s">
        <v>3646</v>
      </c>
      <c r="I716" s="29" t="s">
        <v>302</v>
      </c>
      <c r="J716" s="29" t="s">
        <v>202</v>
      </c>
      <c r="K716" s="30" t="s">
        <v>44</v>
      </c>
      <c r="L716" s="31"/>
      <c r="M716" s="32" t="s">
        <v>45</v>
      </c>
    </row>
    <row r="717" customFormat="false" ht="51" hidden="false" customHeight="true" outlineLevel="0" collapsed="false">
      <c r="B717" s="29" t="s">
        <v>3657</v>
      </c>
      <c r="C717" s="29" t="s">
        <v>37</v>
      </c>
      <c r="D717" s="29" t="s">
        <v>3658</v>
      </c>
      <c r="E717" s="29" t="s">
        <v>340</v>
      </c>
      <c r="F717" s="29" t="s">
        <v>3659</v>
      </c>
      <c r="G717" s="29" t="s">
        <v>3660</v>
      </c>
      <c r="H717" s="29" t="s">
        <v>3646</v>
      </c>
      <c r="I717" s="29" t="s">
        <v>302</v>
      </c>
      <c r="J717" s="29" t="s">
        <v>202</v>
      </c>
      <c r="K717" s="30" t="s">
        <v>44</v>
      </c>
      <c r="L717" s="31"/>
      <c r="M717" s="32" t="s">
        <v>45</v>
      </c>
    </row>
    <row r="718" customFormat="false" ht="51" hidden="false" customHeight="true" outlineLevel="0" collapsed="false">
      <c r="B718" s="29" t="s">
        <v>3661</v>
      </c>
      <c r="C718" s="29" t="s">
        <v>37</v>
      </c>
      <c r="D718" s="29" t="s">
        <v>3662</v>
      </c>
      <c r="E718" s="29" t="s">
        <v>340</v>
      </c>
      <c r="F718" s="29" t="s">
        <v>3663</v>
      </c>
      <c r="G718" s="29" t="s">
        <v>3664</v>
      </c>
      <c r="H718" s="29" t="s">
        <v>3665</v>
      </c>
      <c r="I718" s="29" t="s">
        <v>302</v>
      </c>
      <c r="J718" s="29" t="s">
        <v>202</v>
      </c>
      <c r="K718" s="30" t="s">
        <v>44</v>
      </c>
      <c r="L718" s="31"/>
      <c r="M718" s="32" t="s">
        <v>45</v>
      </c>
    </row>
    <row r="719" customFormat="false" ht="51" hidden="false" customHeight="true" outlineLevel="0" collapsed="false">
      <c r="B719" s="29" t="s">
        <v>3666</v>
      </c>
      <c r="C719" s="29" t="s">
        <v>37</v>
      </c>
      <c r="D719" s="29" t="s">
        <v>3667</v>
      </c>
      <c r="E719" s="29" t="s">
        <v>340</v>
      </c>
      <c r="F719" s="29" t="s">
        <v>3668</v>
      </c>
      <c r="G719" s="29" t="s">
        <v>3668</v>
      </c>
      <c r="H719" s="29" t="s">
        <v>3669</v>
      </c>
      <c r="I719" s="29" t="s">
        <v>302</v>
      </c>
      <c r="J719" s="29" t="s">
        <v>202</v>
      </c>
      <c r="K719" s="30" t="s">
        <v>44</v>
      </c>
      <c r="L719" s="31"/>
      <c r="M719" s="32" t="s">
        <v>45</v>
      </c>
    </row>
    <row r="720" customFormat="false" ht="51" hidden="false" customHeight="true" outlineLevel="0" collapsed="false">
      <c r="B720" s="29" t="s">
        <v>3670</v>
      </c>
      <c r="C720" s="29" t="s">
        <v>37</v>
      </c>
      <c r="D720" s="29" t="s">
        <v>3671</v>
      </c>
      <c r="E720" s="29" t="s">
        <v>151</v>
      </c>
      <c r="F720" s="29" t="s">
        <v>3672</v>
      </c>
      <c r="G720" s="29" t="s">
        <v>3673</v>
      </c>
      <c r="H720" s="29" t="s">
        <v>3674</v>
      </c>
      <c r="I720" s="29" t="s">
        <v>472</v>
      </c>
      <c r="J720" s="29" t="s">
        <v>472</v>
      </c>
      <c r="K720" s="30" t="s">
        <v>44</v>
      </c>
      <c r="L720" s="31"/>
      <c r="M720" s="32" t="s">
        <v>45</v>
      </c>
    </row>
    <row r="721" customFormat="false" ht="51" hidden="false" customHeight="true" outlineLevel="0" collapsed="false">
      <c r="B721" s="29" t="s">
        <v>3675</v>
      </c>
      <c r="C721" s="29" t="s">
        <v>37</v>
      </c>
      <c r="D721" s="29" t="s">
        <v>3676</v>
      </c>
      <c r="E721" s="29" t="s">
        <v>91</v>
      </c>
      <c r="F721" s="29" t="s">
        <v>3677</v>
      </c>
      <c r="G721" s="29" t="s">
        <v>3678</v>
      </c>
      <c r="H721" s="29" t="s">
        <v>3669</v>
      </c>
      <c r="I721" s="29" t="s">
        <v>42</v>
      </c>
      <c r="J721" s="29" t="s">
        <v>261</v>
      </c>
      <c r="K721" s="30" t="s">
        <v>44</v>
      </c>
      <c r="L721" s="31"/>
      <c r="M721" s="32" t="s">
        <v>45</v>
      </c>
    </row>
    <row r="722" customFormat="false" ht="51" hidden="false" customHeight="true" outlineLevel="0" collapsed="false">
      <c r="B722" s="29" t="s">
        <v>3679</v>
      </c>
      <c r="C722" s="29" t="s">
        <v>37</v>
      </c>
      <c r="D722" s="29" t="s">
        <v>3680</v>
      </c>
      <c r="E722" s="29" t="s">
        <v>340</v>
      </c>
      <c r="F722" s="29" t="s">
        <v>3681</v>
      </c>
      <c r="G722" s="29" t="s">
        <v>3681</v>
      </c>
      <c r="H722" s="29" t="s">
        <v>3669</v>
      </c>
      <c r="I722" s="29" t="s">
        <v>302</v>
      </c>
      <c r="J722" s="29" t="s">
        <v>202</v>
      </c>
      <c r="K722" s="30" t="s">
        <v>44</v>
      </c>
      <c r="L722" s="31"/>
      <c r="M722" s="32" t="s">
        <v>45</v>
      </c>
    </row>
    <row r="723" customFormat="false" ht="51" hidden="false" customHeight="true" outlineLevel="0" collapsed="false">
      <c r="B723" s="29" t="s">
        <v>3682</v>
      </c>
      <c r="C723" s="29" t="s">
        <v>37</v>
      </c>
      <c r="D723" s="29" t="s">
        <v>3683</v>
      </c>
      <c r="E723" s="29" t="s">
        <v>340</v>
      </c>
      <c r="F723" s="29" t="s">
        <v>3684</v>
      </c>
      <c r="G723" s="29" t="s">
        <v>3684</v>
      </c>
      <c r="H723" s="29" t="s">
        <v>3669</v>
      </c>
      <c r="I723" s="29" t="s">
        <v>302</v>
      </c>
      <c r="J723" s="29" t="s">
        <v>202</v>
      </c>
      <c r="K723" s="30" t="s">
        <v>44</v>
      </c>
      <c r="L723" s="31"/>
      <c r="M723" s="32" t="s">
        <v>45</v>
      </c>
    </row>
    <row r="724" customFormat="false" ht="51" hidden="false" customHeight="true" outlineLevel="0" collapsed="false">
      <c r="B724" s="29" t="s">
        <v>3685</v>
      </c>
      <c r="C724" s="29" t="s">
        <v>37</v>
      </c>
      <c r="D724" s="29" t="s">
        <v>3686</v>
      </c>
      <c r="E724" s="29" t="s">
        <v>340</v>
      </c>
      <c r="F724" s="29" t="s">
        <v>3687</v>
      </c>
      <c r="G724" s="29" t="s">
        <v>3687</v>
      </c>
      <c r="H724" s="29" t="s">
        <v>3669</v>
      </c>
      <c r="I724" s="29" t="s">
        <v>302</v>
      </c>
      <c r="J724" s="29" t="s">
        <v>202</v>
      </c>
      <c r="K724" s="30" t="s">
        <v>44</v>
      </c>
      <c r="L724" s="31"/>
      <c r="M724" s="32" t="s">
        <v>45</v>
      </c>
    </row>
    <row r="725" customFormat="false" ht="51" hidden="false" customHeight="true" outlineLevel="0" collapsed="false">
      <c r="B725" s="29" t="s">
        <v>3688</v>
      </c>
      <c r="C725" s="29" t="s">
        <v>37</v>
      </c>
      <c r="D725" s="29" t="s">
        <v>3689</v>
      </c>
      <c r="E725" s="29" t="s">
        <v>340</v>
      </c>
      <c r="F725" s="29" t="s">
        <v>3690</v>
      </c>
      <c r="G725" s="29" t="s">
        <v>3691</v>
      </c>
      <c r="H725" s="29" t="s">
        <v>3669</v>
      </c>
      <c r="I725" s="29" t="s">
        <v>302</v>
      </c>
      <c r="J725" s="29" t="s">
        <v>202</v>
      </c>
      <c r="K725" s="30" t="s">
        <v>44</v>
      </c>
      <c r="L725" s="31"/>
      <c r="M725" s="32" t="s">
        <v>45</v>
      </c>
    </row>
    <row r="726" customFormat="false" ht="51" hidden="false" customHeight="true" outlineLevel="0" collapsed="false">
      <c r="B726" s="29" t="s">
        <v>3692</v>
      </c>
      <c r="C726" s="29" t="s">
        <v>37</v>
      </c>
      <c r="D726" s="29" t="s">
        <v>3693</v>
      </c>
      <c r="E726" s="29" t="s">
        <v>600</v>
      </c>
      <c r="F726" s="29" t="s">
        <v>3694</v>
      </c>
      <c r="G726" s="29" t="s">
        <v>3694</v>
      </c>
      <c r="H726" s="29" t="s">
        <v>3695</v>
      </c>
      <c r="I726" s="29" t="s">
        <v>3696</v>
      </c>
      <c r="J726" s="29" t="s">
        <v>155</v>
      </c>
      <c r="K726" s="30" t="s">
        <v>44</v>
      </c>
      <c r="L726" s="31"/>
      <c r="M726" s="32" t="s">
        <v>3697</v>
      </c>
    </row>
    <row r="727" customFormat="false" ht="51" hidden="false" customHeight="true" outlineLevel="0" collapsed="false">
      <c r="B727" s="29" t="s">
        <v>3698</v>
      </c>
      <c r="C727" s="29" t="s">
        <v>37</v>
      </c>
      <c r="D727" s="29" t="s">
        <v>3699</v>
      </c>
      <c r="E727" s="29" t="s">
        <v>91</v>
      </c>
      <c r="F727" s="29" t="s">
        <v>3700</v>
      </c>
      <c r="G727" s="29" t="s">
        <v>3701</v>
      </c>
      <c r="H727" s="29" t="s">
        <v>3695</v>
      </c>
      <c r="I727" s="29" t="s">
        <v>42</v>
      </c>
      <c r="J727" s="29" t="s">
        <v>261</v>
      </c>
      <c r="K727" s="30" t="s">
        <v>44</v>
      </c>
      <c r="L727" s="31"/>
      <c r="M727" s="32" t="s">
        <v>3697</v>
      </c>
    </row>
    <row r="728" customFormat="false" ht="51" hidden="false" customHeight="true" outlineLevel="0" collapsed="false">
      <c r="B728" s="29" t="s">
        <v>3702</v>
      </c>
      <c r="C728" s="29" t="s">
        <v>37</v>
      </c>
      <c r="D728" s="29" t="s">
        <v>3703</v>
      </c>
      <c r="E728" s="29" t="s">
        <v>99</v>
      </c>
      <c r="F728" s="29" t="s">
        <v>3704</v>
      </c>
      <c r="G728" s="29" t="s">
        <v>3704</v>
      </c>
      <c r="H728" s="29" t="s">
        <v>3695</v>
      </c>
      <c r="I728" s="29" t="s">
        <v>42</v>
      </c>
      <c r="J728" s="29" t="s">
        <v>67</v>
      </c>
      <c r="K728" s="30" t="s">
        <v>44</v>
      </c>
      <c r="L728" s="31"/>
      <c r="M728" s="32" t="s">
        <v>3697</v>
      </c>
    </row>
    <row r="729" customFormat="false" ht="51" hidden="false" customHeight="true" outlineLevel="0" collapsed="false">
      <c r="B729" s="29" t="s">
        <v>3705</v>
      </c>
      <c r="C729" s="29" t="s">
        <v>37</v>
      </c>
      <c r="D729" s="29" t="s">
        <v>3706</v>
      </c>
      <c r="E729" s="29" t="s">
        <v>543</v>
      </c>
      <c r="F729" s="29" t="s">
        <v>3707</v>
      </c>
      <c r="G729" s="29" t="s">
        <v>3707</v>
      </c>
      <c r="H729" s="29" t="s">
        <v>3708</v>
      </c>
      <c r="I729" s="29" t="s">
        <v>472</v>
      </c>
      <c r="J729" s="29" t="s">
        <v>472</v>
      </c>
      <c r="K729" s="30" t="s">
        <v>44</v>
      </c>
      <c r="L729" s="31"/>
      <c r="M729" s="32" t="s">
        <v>3697</v>
      </c>
    </row>
    <row r="730" customFormat="false" ht="51" hidden="false" customHeight="true" outlineLevel="0" collapsed="false">
      <c r="B730" s="29" t="s">
        <v>3709</v>
      </c>
      <c r="C730" s="29" t="s">
        <v>37</v>
      </c>
      <c r="D730" s="29" t="s">
        <v>3710</v>
      </c>
      <c r="E730" s="29" t="s">
        <v>543</v>
      </c>
      <c r="F730" s="29" t="s">
        <v>3711</v>
      </c>
      <c r="G730" s="29" t="s">
        <v>3711</v>
      </c>
      <c r="H730" s="29" t="s">
        <v>3708</v>
      </c>
      <c r="I730" s="29" t="s">
        <v>472</v>
      </c>
      <c r="J730" s="29" t="s">
        <v>472</v>
      </c>
      <c r="K730" s="30" t="s">
        <v>44</v>
      </c>
      <c r="L730" s="31"/>
      <c r="M730" s="32" t="s">
        <v>3697</v>
      </c>
    </row>
    <row r="731" customFormat="false" ht="51" hidden="false" customHeight="true" outlineLevel="0" collapsed="false">
      <c r="B731" s="29" t="s">
        <v>3712</v>
      </c>
      <c r="C731" s="29" t="s">
        <v>37</v>
      </c>
      <c r="D731" s="29" t="s">
        <v>3713</v>
      </c>
      <c r="E731" s="29" t="s">
        <v>600</v>
      </c>
      <c r="F731" s="29" t="s">
        <v>3714</v>
      </c>
      <c r="G731" s="29" t="s">
        <v>3715</v>
      </c>
      <c r="H731" s="29" t="s">
        <v>3695</v>
      </c>
      <c r="I731" s="29" t="s">
        <v>3696</v>
      </c>
      <c r="J731" s="29" t="s">
        <v>155</v>
      </c>
      <c r="K731" s="30" t="s">
        <v>44</v>
      </c>
      <c r="L731" s="31"/>
      <c r="M731" s="32" t="s">
        <v>3697</v>
      </c>
    </row>
    <row r="732" customFormat="false" ht="51" hidden="false" customHeight="true" outlineLevel="0" collapsed="false">
      <c r="B732" s="29" t="s">
        <v>3716</v>
      </c>
      <c r="C732" s="29" t="s">
        <v>37</v>
      </c>
      <c r="D732" s="29" t="s">
        <v>3717</v>
      </c>
      <c r="E732" s="29" t="s">
        <v>543</v>
      </c>
      <c r="F732" s="29" t="s">
        <v>3718</v>
      </c>
      <c r="G732" s="29" t="s">
        <v>3719</v>
      </c>
      <c r="H732" s="29" t="s">
        <v>3708</v>
      </c>
      <c r="I732" s="29" t="s">
        <v>472</v>
      </c>
      <c r="J732" s="29" t="s">
        <v>472</v>
      </c>
      <c r="K732" s="30" t="s">
        <v>44</v>
      </c>
      <c r="L732" s="31"/>
      <c r="M732" s="32" t="s">
        <v>3697</v>
      </c>
    </row>
    <row r="733" customFormat="false" ht="51" hidden="false" customHeight="true" outlineLevel="0" collapsed="false">
      <c r="B733" s="29" t="s">
        <v>3720</v>
      </c>
      <c r="C733" s="29" t="s">
        <v>37</v>
      </c>
      <c r="D733" s="29" t="s">
        <v>3721</v>
      </c>
      <c r="E733" s="29" t="s">
        <v>206</v>
      </c>
      <c r="F733" s="29" t="s">
        <v>3722</v>
      </c>
      <c r="G733" s="29" t="s">
        <v>3722</v>
      </c>
      <c r="H733" s="29" t="s">
        <v>3695</v>
      </c>
      <c r="I733" s="29" t="s">
        <v>302</v>
      </c>
      <c r="J733" s="29" t="s">
        <v>202</v>
      </c>
      <c r="K733" s="30" t="s">
        <v>44</v>
      </c>
      <c r="L733" s="31"/>
      <c r="M733" s="32" t="s">
        <v>3697</v>
      </c>
    </row>
    <row r="734" customFormat="false" ht="51" hidden="false" customHeight="true" outlineLevel="0" collapsed="false">
      <c r="B734" s="29" t="s">
        <v>3723</v>
      </c>
      <c r="C734" s="29" t="s">
        <v>37</v>
      </c>
      <c r="D734" s="29" t="s">
        <v>3724</v>
      </c>
      <c r="E734" s="29" t="s">
        <v>543</v>
      </c>
      <c r="F734" s="29" t="s">
        <v>3725</v>
      </c>
      <c r="G734" s="29" t="s">
        <v>3726</v>
      </c>
      <c r="H734" s="29" t="s">
        <v>3708</v>
      </c>
      <c r="I734" s="29" t="s">
        <v>472</v>
      </c>
      <c r="J734" s="29" t="s">
        <v>472</v>
      </c>
      <c r="K734" s="30" t="s">
        <v>44</v>
      </c>
      <c r="L734" s="31"/>
      <c r="M734" s="32" t="s">
        <v>3697</v>
      </c>
    </row>
    <row r="735" customFormat="false" ht="51" hidden="false" customHeight="true" outlineLevel="0" collapsed="false">
      <c r="B735" s="29" t="s">
        <v>3727</v>
      </c>
      <c r="C735" s="29" t="s">
        <v>37</v>
      </c>
      <c r="D735" s="29" t="s">
        <v>3728</v>
      </c>
      <c r="E735" s="29" t="s">
        <v>600</v>
      </c>
      <c r="F735" s="29" t="s">
        <v>3729</v>
      </c>
      <c r="G735" s="29" t="s">
        <v>3729</v>
      </c>
      <c r="H735" s="29" t="s">
        <v>3695</v>
      </c>
      <c r="I735" s="29" t="s">
        <v>3696</v>
      </c>
      <c r="J735" s="29" t="s">
        <v>155</v>
      </c>
      <c r="K735" s="30" t="s">
        <v>44</v>
      </c>
      <c r="L735" s="31"/>
      <c r="M735" s="32" t="s">
        <v>3697</v>
      </c>
    </row>
    <row r="736" customFormat="false" ht="51" hidden="false" customHeight="true" outlineLevel="0" collapsed="false">
      <c r="B736" s="29" t="s">
        <v>3730</v>
      </c>
      <c r="C736" s="29" t="s">
        <v>37</v>
      </c>
      <c r="D736" s="29" t="s">
        <v>3731</v>
      </c>
      <c r="E736" s="29" t="s">
        <v>206</v>
      </c>
      <c r="F736" s="29" t="s">
        <v>3732</v>
      </c>
      <c r="G736" s="29" t="s">
        <v>3732</v>
      </c>
      <c r="H736" s="29" t="s">
        <v>3695</v>
      </c>
      <c r="I736" s="29" t="s">
        <v>302</v>
      </c>
      <c r="J736" s="29" t="s">
        <v>202</v>
      </c>
      <c r="K736" s="30" t="s">
        <v>44</v>
      </c>
      <c r="L736" s="31"/>
      <c r="M736" s="32" t="s">
        <v>3697</v>
      </c>
    </row>
    <row r="737" customFormat="false" ht="51" hidden="false" customHeight="true" outlineLevel="0" collapsed="false">
      <c r="B737" s="29" t="s">
        <v>3733</v>
      </c>
      <c r="C737" s="29" t="s">
        <v>37</v>
      </c>
      <c r="D737" s="29" t="s">
        <v>3734</v>
      </c>
      <c r="E737" s="29" t="s">
        <v>600</v>
      </c>
      <c r="F737" s="29" t="s">
        <v>3735</v>
      </c>
      <c r="G737" s="29" t="s">
        <v>3735</v>
      </c>
      <c r="H737" s="29" t="s">
        <v>3708</v>
      </c>
      <c r="I737" s="29" t="s">
        <v>472</v>
      </c>
      <c r="J737" s="29" t="s">
        <v>472</v>
      </c>
      <c r="K737" s="30" t="s">
        <v>44</v>
      </c>
      <c r="L737" s="31"/>
      <c r="M737" s="32" t="s">
        <v>3697</v>
      </c>
    </row>
    <row r="738" customFormat="false" ht="51" hidden="false" customHeight="true" outlineLevel="0" collapsed="false">
      <c r="B738" s="29" t="s">
        <v>3736</v>
      </c>
      <c r="C738" s="29" t="s">
        <v>37</v>
      </c>
      <c r="D738" s="29" t="s">
        <v>3737</v>
      </c>
      <c r="E738" s="29" t="s">
        <v>600</v>
      </c>
      <c r="F738" s="29" t="s">
        <v>3738</v>
      </c>
      <c r="G738" s="29" t="s">
        <v>3738</v>
      </c>
      <c r="H738" s="29" t="s">
        <v>3708</v>
      </c>
      <c r="I738" s="29" t="s">
        <v>472</v>
      </c>
      <c r="J738" s="29" t="s">
        <v>472</v>
      </c>
      <c r="K738" s="30" t="s">
        <v>44</v>
      </c>
      <c r="L738" s="31"/>
      <c r="M738" s="32" t="s">
        <v>3697</v>
      </c>
    </row>
    <row r="739" customFormat="false" ht="51" hidden="false" customHeight="true" outlineLevel="0" collapsed="false">
      <c r="B739" s="29" t="s">
        <v>3739</v>
      </c>
      <c r="C739" s="29" t="s">
        <v>37</v>
      </c>
      <c r="D739" s="29" t="s">
        <v>3710</v>
      </c>
      <c r="E739" s="29" t="s">
        <v>600</v>
      </c>
      <c r="F739" s="29" t="s">
        <v>3740</v>
      </c>
      <c r="G739" s="29" t="s">
        <v>3741</v>
      </c>
      <c r="H739" s="29" t="s">
        <v>3695</v>
      </c>
      <c r="I739" s="29" t="s">
        <v>3696</v>
      </c>
      <c r="J739" s="29" t="s">
        <v>155</v>
      </c>
      <c r="K739" s="30" t="s">
        <v>44</v>
      </c>
      <c r="L739" s="31"/>
      <c r="M739" s="32" t="s">
        <v>3697</v>
      </c>
    </row>
    <row r="740" customFormat="false" ht="51" hidden="false" customHeight="true" outlineLevel="0" collapsed="false">
      <c r="B740" s="29" t="s">
        <v>3742</v>
      </c>
      <c r="C740" s="29" t="s">
        <v>37</v>
      </c>
      <c r="D740" s="29" t="s">
        <v>3743</v>
      </c>
      <c r="E740" s="29" t="s">
        <v>543</v>
      </c>
      <c r="F740" s="29" t="s">
        <v>3744</v>
      </c>
      <c r="G740" s="29" t="s">
        <v>3745</v>
      </c>
      <c r="H740" s="29" t="s">
        <v>3708</v>
      </c>
      <c r="I740" s="29" t="s">
        <v>472</v>
      </c>
      <c r="J740" s="29" t="s">
        <v>472</v>
      </c>
      <c r="K740" s="30" t="s">
        <v>44</v>
      </c>
      <c r="L740" s="31"/>
      <c r="M740" s="32" t="s">
        <v>3697</v>
      </c>
    </row>
    <row r="741" customFormat="false" ht="51" hidden="false" customHeight="true" outlineLevel="0" collapsed="false">
      <c r="B741" s="29" t="s">
        <v>3746</v>
      </c>
      <c r="C741" s="29" t="s">
        <v>37</v>
      </c>
      <c r="D741" s="29" t="s">
        <v>3747</v>
      </c>
      <c r="E741" s="29" t="s">
        <v>543</v>
      </c>
      <c r="F741" s="29" t="s">
        <v>3748</v>
      </c>
      <c r="G741" s="29" t="s">
        <v>3749</v>
      </c>
      <c r="H741" s="29" t="s">
        <v>3708</v>
      </c>
      <c r="I741" s="29" t="s">
        <v>472</v>
      </c>
      <c r="J741" s="29" t="s">
        <v>472</v>
      </c>
      <c r="K741" s="30" t="s">
        <v>44</v>
      </c>
      <c r="L741" s="31"/>
      <c r="M741" s="32" t="s">
        <v>3697</v>
      </c>
    </row>
    <row r="742" customFormat="false" ht="51" hidden="false" customHeight="true" outlineLevel="0" collapsed="false">
      <c r="B742" s="29" t="s">
        <v>3750</v>
      </c>
      <c r="C742" s="29" t="s">
        <v>37</v>
      </c>
      <c r="D742" s="29" t="s">
        <v>3751</v>
      </c>
      <c r="E742" s="29" t="s">
        <v>340</v>
      </c>
      <c r="F742" s="29" t="s">
        <v>3752</v>
      </c>
      <c r="G742" s="29" t="s">
        <v>3753</v>
      </c>
      <c r="H742" s="29" t="s">
        <v>3695</v>
      </c>
      <c r="I742" s="29" t="s">
        <v>302</v>
      </c>
      <c r="J742" s="29" t="s">
        <v>202</v>
      </c>
      <c r="K742" s="30" t="s">
        <v>44</v>
      </c>
      <c r="L742" s="31"/>
      <c r="M742" s="32" t="s">
        <v>3697</v>
      </c>
    </row>
    <row r="743" customFormat="false" ht="51" hidden="false" customHeight="true" outlineLevel="0" collapsed="false">
      <c r="B743" s="29" t="s">
        <v>3754</v>
      </c>
      <c r="C743" s="29" t="s">
        <v>37</v>
      </c>
      <c r="D743" s="29" t="s">
        <v>3755</v>
      </c>
      <c r="E743" s="29" t="s">
        <v>600</v>
      </c>
      <c r="F743" s="29" t="s">
        <v>3756</v>
      </c>
      <c r="G743" s="29" t="s">
        <v>3756</v>
      </c>
      <c r="H743" s="29" t="s">
        <v>3695</v>
      </c>
      <c r="I743" s="29" t="s">
        <v>3696</v>
      </c>
      <c r="J743" s="29" t="s">
        <v>155</v>
      </c>
      <c r="K743" s="30" t="s">
        <v>44</v>
      </c>
      <c r="L743" s="31"/>
      <c r="M743" s="32" t="s">
        <v>3697</v>
      </c>
    </row>
    <row r="744" customFormat="false" ht="51" hidden="false" customHeight="true" outlineLevel="0" collapsed="false">
      <c r="B744" s="29" t="s">
        <v>3757</v>
      </c>
      <c r="C744" s="29" t="s">
        <v>37</v>
      </c>
      <c r="D744" s="29" t="s">
        <v>3758</v>
      </c>
      <c r="E744" s="29" t="s">
        <v>351</v>
      </c>
      <c r="F744" s="29" t="s">
        <v>3759</v>
      </c>
      <c r="G744" s="29" t="s">
        <v>3760</v>
      </c>
      <c r="H744" s="29" t="s">
        <v>3695</v>
      </c>
      <c r="I744" s="29" t="s">
        <v>302</v>
      </c>
      <c r="J744" s="29" t="s">
        <v>202</v>
      </c>
      <c r="K744" s="30" t="s">
        <v>44</v>
      </c>
      <c r="L744" s="31"/>
      <c r="M744" s="32" t="s">
        <v>3697</v>
      </c>
    </row>
    <row r="745" customFormat="false" ht="51" hidden="false" customHeight="true" outlineLevel="0" collapsed="false">
      <c r="B745" s="29" t="s">
        <v>3761</v>
      </c>
      <c r="C745" s="29" t="s">
        <v>37</v>
      </c>
      <c r="D745" s="29" t="s">
        <v>3762</v>
      </c>
      <c r="E745" s="29" t="s">
        <v>543</v>
      </c>
      <c r="F745" s="29" t="s">
        <v>3763</v>
      </c>
      <c r="G745" s="29" t="s">
        <v>3764</v>
      </c>
      <c r="H745" s="29" t="s">
        <v>3708</v>
      </c>
      <c r="I745" s="29" t="s">
        <v>472</v>
      </c>
      <c r="J745" s="29" t="s">
        <v>472</v>
      </c>
      <c r="K745" s="30" t="s">
        <v>44</v>
      </c>
      <c r="L745" s="31"/>
      <c r="M745" s="32" t="s">
        <v>3697</v>
      </c>
    </row>
    <row r="746" customFormat="false" ht="51" hidden="false" customHeight="true" outlineLevel="0" collapsed="false">
      <c r="B746" s="29" t="s">
        <v>3765</v>
      </c>
      <c r="C746" s="29" t="s">
        <v>37</v>
      </c>
      <c r="D746" s="29" t="s">
        <v>3766</v>
      </c>
      <c r="E746" s="29" t="s">
        <v>600</v>
      </c>
      <c r="F746" s="29" t="s">
        <v>3767</v>
      </c>
      <c r="G746" s="29" t="s">
        <v>3768</v>
      </c>
      <c r="H746" s="29" t="s">
        <v>3695</v>
      </c>
      <c r="I746" s="29" t="s">
        <v>42</v>
      </c>
      <c r="J746" s="29" t="s">
        <v>43</v>
      </c>
      <c r="K746" s="30" t="s">
        <v>44</v>
      </c>
      <c r="L746" s="31"/>
      <c r="M746" s="32" t="s">
        <v>3697</v>
      </c>
    </row>
    <row r="747" customFormat="false" ht="51" hidden="false" customHeight="true" outlineLevel="0" collapsed="false">
      <c r="B747" s="29" t="s">
        <v>3769</v>
      </c>
      <c r="C747" s="29" t="s">
        <v>37</v>
      </c>
      <c r="D747" s="29" t="s">
        <v>3770</v>
      </c>
      <c r="E747" s="29" t="s">
        <v>340</v>
      </c>
      <c r="F747" s="29" t="s">
        <v>3771</v>
      </c>
      <c r="G747" s="29" t="s">
        <v>3771</v>
      </c>
      <c r="H747" s="29" t="s">
        <v>3695</v>
      </c>
      <c r="I747" s="29" t="s">
        <v>302</v>
      </c>
      <c r="J747" s="29" t="s">
        <v>202</v>
      </c>
      <c r="K747" s="30" t="s">
        <v>44</v>
      </c>
      <c r="L747" s="31"/>
      <c r="M747" s="32" t="s">
        <v>3697</v>
      </c>
    </row>
    <row r="748" customFormat="false" ht="51" hidden="false" customHeight="true" outlineLevel="0" collapsed="false">
      <c r="B748" s="29" t="s">
        <v>3772</v>
      </c>
      <c r="C748" s="29" t="s">
        <v>37</v>
      </c>
      <c r="D748" s="29" t="s">
        <v>3773</v>
      </c>
      <c r="E748" s="29" t="s">
        <v>543</v>
      </c>
      <c r="F748" s="29" t="s">
        <v>3774</v>
      </c>
      <c r="G748" s="29" t="s">
        <v>3775</v>
      </c>
      <c r="H748" s="29" t="s">
        <v>3708</v>
      </c>
      <c r="I748" s="29" t="s">
        <v>472</v>
      </c>
      <c r="J748" s="29" t="s">
        <v>472</v>
      </c>
      <c r="K748" s="30" t="s">
        <v>44</v>
      </c>
      <c r="L748" s="31"/>
      <c r="M748" s="32" t="s">
        <v>3697</v>
      </c>
    </row>
    <row r="749" customFormat="false" ht="51" hidden="false" customHeight="true" outlineLevel="0" collapsed="false">
      <c r="B749" s="29" t="s">
        <v>3776</v>
      </c>
      <c r="C749" s="29" t="s">
        <v>37</v>
      </c>
      <c r="D749" s="29" t="s">
        <v>3777</v>
      </c>
      <c r="E749" s="29" t="s">
        <v>151</v>
      </c>
      <c r="F749" s="29" t="s">
        <v>3778</v>
      </c>
      <c r="G749" s="29" t="s">
        <v>3779</v>
      </c>
      <c r="H749" s="29" t="s">
        <v>3708</v>
      </c>
      <c r="I749" s="29" t="s">
        <v>472</v>
      </c>
      <c r="J749" s="29" t="s">
        <v>472</v>
      </c>
      <c r="K749" s="30" t="s">
        <v>44</v>
      </c>
      <c r="L749" s="31"/>
      <c r="M749" s="32" t="s">
        <v>3697</v>
      </c>
    </row>
    <row r="750" customFormat="false" ht="51" hidden="false" customHeight="true" outlineLevel="0" collapsed="false">
      <c r="B750" s="29" t="s">
        <v>3780</v>
      </c>
      <c r="C750" s="29" t="s">
        <v>37</v>
      </c>
      <c r="D750" s="29" t="s">
        <v>3781</v>
      </c>
      <c r="E750" s="29" t="s">
        <v>340</v>
      </c>
      <c r="F750" s="29" t="s">
        <v>3782</v>
      </c>
      <c r="G750" s="29" t="s">
        <v>3782</v>
      </c>
      <c r="H750" s="29" t="s">
        <v>3695</v>
      </c>
      <c r="I750" s="29" t="s">
        <v>302</v>
      </c>
      <c r="J750" s="29" t="s">
        <v>202</v>
      </c>
      <c r="K750" s="30" t="s">
        <v>44</v>
      </c>
      <c r="L750" s="31"/>
      <c r="M750" s="32" t="s">
        <v>3697</v>
      </c>
    </row>
    <row r="751" customFormat="false" ht="51" hidden="false" customHeight="true" outlineLevel="0" collapsed="false">
      <c r="B751" s="29" t="s">
        <v>3783</v>
      </c>
      <c r="C751" s="29" t="s">
        <v>37</v>
      </c>
      <c r="D751" s="29" t="s">
        <v>3784</v>
      </c>
      <c r="E751" s="29" t="s">
        <v>357</v>
      </c>
      <c r="F751" s="29" t="s">
        <v>3785</v>
      </c>
      <c r="G751" s="29" t="s">
        <v>3786</v>
      </c>
      <c r="H751" s="29" t="s">
        <v>3695</v>
      </c>
      <c r="I751" s="29" t="s">
        <v>3696</v>
      </c>
      <c r="J751" s="29" t="s">
        <v>155</v>
      </c>
      <c r="K751" s="30" t="s">
        <v>44</v>
      </c>
      <c r="L751" s="31"/>
      <c r="M751" s="32" t="s">
        <v>3697</v>
      </c>
    </row>
    <row r="752" customFormat="false" ht="51" hidden="false" customHeight="true" outlineLevel="0" collapsed="false">
      <c r="B752" s="29" t="s">
        <v>3787</v>
      </c>
      <c r="C752" s="29" t="s">
        <v>37</v>
      </c>
      <c r="D752" s="29" t="s">
        <v>3788</v>
      </c>
      <c r="E752" s="29" t="s">
        <v>357</v>
      </c>
      <c r="F752" s="29" t="s">
        <v>3789</v>
      </c>
      <c r="G752" s="29" t="s">
        <v>3790</v>
      </c>
      <c r="H752" s="29" t="s">
        <v>3695</v>
      </c>
      <c r="I752" s="29" t="s">
        <v>3696</v>
      </c>
      <c r="J752" s="29" t="s">
        <v>155</v>
      </c>
      <c r="K752" s="30" t="s">
        <v>44</v>
      </c>
      <c r="L752" s="31"/>
      <c r="M752" s="32" t="s">
        <v>3697</v>
      </c>
    </row>
    <row r="753" customFormat="false" ht="51" hidden="false" customHeight="true" outlineLevel="0" collapsed="false">
      <c r="B753" s="29" t="s">
        <v>3791</v>
      </c>
      <c r="C753" s="29" t="s">
        <v>37</v>
      </c>
      <c r="D753" s="29" t="s">
        <v>3792</v>
      </c>
      <c r="E753" s="29" t="s">
        <v>600</v>
      </c>
      <c r="F753" s="29" t="s">
        <v>3793</v>
      </c>
      <c r="G753" s="29" t="s">
        <v>3794</v>
      </c>
      <c r="H753" s="29" t="s">
        <v>3708</v>
      </c>
      <c r="I753" s="29" t="s">
        <v>472</v>
      </c>
      <c r="J753" s="29" t="s">
        <v>472</v>
      </c>
      <c r="K753" s="30" t="s">
        <v>44</v>
      </c>
      <c r="L753" s="31"/>
      <c r="M753" s="32" t="s">
        <v>3697</v>
      </c>
    </row>
    <row r="754" customFormat="false" ht="51" hidden="false" customHeight="true" outlineLevel="0" collapsed="false">
      <c r="B754" s="29" t="s">
        <v>3795</v>
      </c>
      <c r="C754" s="29" t="s">
        <v>37</v>
      </c>
      <c r="D754" s="29" t="s">
        <v>3796</v>
      </c>
      <c r="E754" s="29" t="s">
        <v>600</v>
      </c>
      <c r="F754" s="29" t="s">
        <v>3797</v>
      </c>
      <c r="G754" s="29" t="s">
        <v>3798</v>
      </c>
      <c r="H754" s="29" t="s">
        <v>3708</v>
      </c>
      <c r="I754" s="29" t="s">
        <v>472</v>
      </c>
      <c r="J754" s="29" t="s">
        <v>472</v>
      </c>
      <c r="K754" s="30" t="s">
        <v>44</v>
      </c>
      <c r="L754" s="31"/>
      <c r="M754" s="32" t="s">
        <v>3697</v>
      </c>
    </row>
    <row r="755" customFormat="false" ht="51" hidden="false" customHeight="true" outlineLevel="0" collapsed="false">
      <c r="B755" s="29" t="s">
        <v>3799</v>
      </c>
      <c r="C755" s="29" t="s">
        <v>37</v>
      </c>
      <c r="D755" s="29" t="s">
        <v>3800</v>
      </c>
      <c r="E755" s="29" t="s">
        <v>340</v>
      </c>
      <c r="F755" s="29" t="s">
        <v>3801</v>
      </c>
      <c r="G755" s="29" t="s">
        <v>3802</v>
      </c>
      <c r="H755" s="29" t="s">
        <v>3695</v>
      </c>
      <c r="I755" s="29" t="s">
        <v>302</v>
      </c>
      <c r="J755" s="29" t="s">
        <v>202</v>
      </c>
      <c r="K755" s="30" t="s">
        <v>44</v>
      </c>
      <c r="L755" s="31"/>
      <c r="M755" s="32" t="s">
        <v>3697</v>
      </c>
    </row>
    <row r="756" customFormat="false" ht="51" hidden="false" customHeight="true" outlineLevel="0" collapsed="false">
      <c r="B756" s="29" t="s">
        <v>3803</v>
      </c>
      <c r="C756" s="29" t="s">
        <v>37</v>
      </c>
      <c r="D756" s="29" t="s">
        <v>3804</v>
      </c>
      <c r="E756" s="29" t="s">
        <v>543</v>
      </c>
      <c r="F756" s="29" t="s">
        <v>3805</v>
      </c>
      <c r="G756" s="29" t="s">
        <v>3805</v>
      </c>
      <c r="H756" s="29" t="s">
        <v>3708</v>
      </c>
      <c r="I756" s="29" t="s">
        <v>472</v>
      </c>
      <c r="J756" s="29" t="s">
        <v>472</v>
      </c>
      <c r="K756" s="30" t="s">
        <v>44</v>
      </c>
      <c r="L756" s="31"/>
      <c r="M756" s="32" t="s">
        <v>3697</v>
      </c>
    </row>
    <row r="757" customFormat="false" ht="51" hidden="false" customHeight="true" outlineLevel="0" collapsed="false">
      <c r="B757" s="29" t="s">
        <v>3806</v>
      </c>
      <c r="C757" s="29" t="s">
        <v>37</v>
      </c>
      <c r="D757" s="29" t="s">
        <v>3807</v>
      </c>
      <c r="E757" s="29" t="s">
        <v>600</v>
      </c>
      <c r="F757" s="29" t="s">
        <v>3808</v>
      </c>
      <c r="G757" s="29" t="s">
        <v>3808</v>
      </c>
      <c r="H757" s="29" t="s">
        <v>3708</v>
      </c>
      <c r="I757" s="29" t="s">
        <v>472</v>
      </c>
      <c r="J757" s="29" t="s">
        <v>472</v>
      </c>
      <c r="K757" s="30" t="s">
        <v>44</v>
      </c>
      <c r="L757" s="31"/>
      <c r="M757" s="32" t="s">
        <v>3697</v>
      </c>
    </row>
    <row r="758" customFormat="false" ht="51" hidden="false" customHeight="true" outlineLevel="0" collapsed="false">
      <c r="B758" s="29" t="s">
        <v>3809</v>
      </c>
      <c r="C758" s="29" t="s">
        <v>37</v>
      </c>
      <c r="D758" s="29" t="s">
        <v>3810</v>
      </c>
      <c r="E758" s="29" t="s">
        <v>600</v>
      </c>
      <c r="F758" s="29" t="s">
        <v>3811</v>
      </c>
      <c r="G758" s="29" t="s">
        <v>3812</v>
      </c>
      <c r="H758" s="29" t="s">
        <v>3695</v>
      </c>
      <c r="I758" s="29" t="s">
        <v>3696</v>
      </c>
      <c r="J758" s="29" t="s">
        <v>155</v>
      </c>
      <c r="K758" s="30" t="s">
        <v>44</v>
      </c>
      <c r="L758" s="31"/>
      <c r="M758" s="32" t="s">
        <v>3697</v>
      </c>
    </row>
    <row r="759" customFormat="false" ht="51" hidden="false" customHeight="true" outlineLevel="0" collapsed="false">
      <c r="B759" s="29" t="s">
        <v>3813</v>
      </c>
      <c r="C759" s="29" t="s">
        <v>37</v>
      </c>
      <c r="D759" s="29" t="s">
        <v>3814</v>
      </c>
      <c r="E759" s="29" t="s">
        <v>543</v>
      </c>
      <c r="F759" s="29" t="s">
        <v>3815</v>
      </c>
      <c r="G759" s="29" t="s">
        <v>3816</v>
      </c>
      <c r="H759" s="29" t="s">
        <v>3708</v>
      </c>
      <c r="I759" s="29" t="s">
        <v>472</v>
      </c>
      <c r="J759" s="29" t="s">
        <v>472</v>
      </c>
      <c r="K759" s="30" t="s">
        <v>44</v>
      </c>
      <c r="L759" s="31"/>
      <c r="M759" s="32" t="s">
        <v>3697</v>
      </c>
    </row>
    <row r="760" customFormat="false" ht="51" hidden="false" customHeight="true" outlineLevel="0" collapsed="false">
      <c r="B760" s="29" t="s">
        <v>3817</v>
      </c>
      <c r="C760" s="29" t="s">
        <v>37</v>
      </c>
      <c r="D760" s="29" t="s">
        <v>3818</v>
      </c>
      <c r="E760" s="29" t="s">
        <v>91</v>
      </c>
      <c r="F760" s="29" t="s">
        <v>3819</v>
      </c>
      <c r="G760" s="29" t="s">
        <v>3820</v>
      </c>
      <c r="H760" s="29" t="s">
        <v>3695</v>
      </c>
      <c r="I760" s="29" t="s">
        <v>42</v>
      </c>
      <c r="J760" s="29" t="s">
        <v>261</v>
      </c>
      <c r="K760" s="30" t="s">
        <v>44</v>
      </c>
      <c r="L760" s="31"/>
      <c r="M760" s="32" t="s">
        <v>3697</v>
      </c>
    </row>
    <row r="761" customFormat="false" ht="51" hidden="false" customHeight="true" outlineLevel="0" collapsed="false">
      <c r="B761" s="29" t="s">
        <v>3821</v>
      </c>
      <c r="C761" s="29" t="s">
        <v>37</v>
      </c>
      <c r="D761" s="29" t="s">
        <v>3822</v>
      </c>
      <c r="E761" s="29" t="s">
        <v>357</v>
      </c>
      <c r="F761" s="29" t="s">
        <v>3823</v>
      </c>
      <c r="G761" s="29" t="s">
        <v>3824</v>
      </c>
      <c r="H761" s="29" t="s">
        <v>3695</v>
      </c>
      <c r="I761" s="29" t="s">
        <v>302</v>
      </c>
      <c r="J761" s="29" t="s">
        <v>202</v>
      </c>
      <c r="K761" s="30" t="s">
        <v>44</v>
      </c>
      <c r="L761" s="31"/>
      <c r="M761" s="32" t="s">
        <v>3697</v>
      </c>
    </row>
    <row r="762" customFormat="false" ht="51" hidden="false" customHeight="true" outlineLevel="0" collapsed="false">
      <c r="B762" s="29" t="s">
        <v>3825</v>
      </c>
      <c r="C762" s="29" t="s">
        <v>37</v>
      </c>
      <c r="D762" s="29" t="s">
        <v>3826</v>
      </c>
      <c r="E762" s="29" t="s">
        <v>357</v>
      </c>
      <c r="F762" s="29" t="s">
        <v>3827</v>
      </c>
      <c r="G762" s="29" t="s">
        <v>3827</v>
      </c>
      <c r="H762" s="29" t="s">
        <v>3695</v>
      </c>
      <c r="I762" s="29" t="s">
        <v>3696</v>
      </c>
      <c r="J762" s="29" t="s">
        <v>155</v>
      </c>
      <c r="K762" s="30" t="s">
        <v>44</v>
      </c>
      <c r="L762" s="31"/>
      <c r="M762" s="32" t="s">
        <v>3697</v>
      </c>
    </row>
    <row r="763" customFormat="false" ht="51" hidden="false" customHeight="true" outlineLevel="0" collapsed="false">
      <c r="B763" s="29" t="s">
        <v>3828</v>
      </c>
      <c r="C763" s="29" t="s">
        <v>37</v>
      </c>
      <c r="D763" s="29" t="s">
        <v>3829</v>
      </c>
      <c r="E763" s="29" t="s">
        <v>543</v>
      </c>
      <c r="F763" s="29" t="s">
        <v>3830</v>
      </c>
      <c r="G763" s="29" t="s">
        <v>3830</v>
      </c>
      <c r="H763" s="29" t="s">
        <v>3708</v>
      </c>
      <c r="I763" s="29" t="s">
        <v>472</v>
      </c>
      <c r="J763" s="29" t="s">
        <v>472</v>
      </c>
      <c r="K763" s="30" t="s">
        <v>44</v>
      </c>
      <c r="L763" s="31"/>
      <c r="M763" s="32" t="s">
        <v>3697</v>
      </c>
    </row>
    <row r="764" customFormat="false" ht="51" hidden="false" customHeight="true" outlineLevel="0" collapsed="false">
      <c r="B764" s="29" t="s">
        <v>3831</v>
      </c>
      <c r="C764" s="29" t="s">
        <v>37</v>
      </c>
      <c r="D764" s="29" t="s">
        <v>3832</v>
      </c>
      <c r="E764" s="29" t="s">
        <v>340</v>
      </c>
      <c r="F764" s="29" t="s">
        <v>3833</v>
      </c>
      <c r="G764" s="29" t="s">
        <v>3833</v>
      </c>
      <c r="H764" s="29" t="s">
        <v>3695</v>
      </c>
      <c r="I764" s="29" t="s">
        <v>302</v>
      </c>
      <c r="J764" s="29" t="s">
        <v>202</v>
      </c>
      <c r="K764" s="30" t="s">
        <v>44</v>
      </c>
      <c r="L764" s="31"/>
      <c r="M764" s="32" t="s">
        <v>3697</v>
      </c>
    </row>
    <row r="765" customFormat="false" ht="51" hidden="false" customHeight="true" outlineLevel="0" collapsed="false">
      <c r="B765" s="29" t="s">
        <v>3834</v>
      </c>
      <c r="C765" s="29" t="s">
        <v>37</v>
      </c>
      <c r="D765" s="29" t="s">
        <v>3835</v>
      </c>
      <c r="E765" s="29" t="s">
        <v>91</v>
      </c>
      <c r="F765" s="29" t="s">
        <v>3836</v>
      </c>
      <c r="G765" s="29" t="s">
        <v>3836</v>
      </c>
      <c r="H765" s="29" t="s">
        <v>3695</v>
      </c>
      <c r="I765" s="29" t="s">
        <v>42</v>
      </c>
      <c r="J765" s="29" t="s">
        <v>261</v>
      </c>
      <c r="K765" s="30" t="s">
        <v>44</v>
      </c>
      <c r="L765" s="31"/>
      <c r="M765" s="32" t="s">
        <v>3697</v>
      </c>
    </row>
    <row r="766" customFormat="false" ht="51" hidden="false" customHeight="true" outlineLevel="0" collapsed="false">
      <c r="B766" s="29" t="s">
        <v>3837</v>
      </c>
      <c r="C766" s="29" t="s">
        <v>37</v>
      </c>
      <c r="D766" s="29" t="s">
        <v>3838</v>
      </c>
      <c r="E766" s="29" t="s">
        <v>543</v>
      </c>
      <c r="F766" s="29" t="s">
        <v>3839</v>
      </c>
      <c r="G766" s="29" t="s">
        <v>3839</v>
      </c>
      <c r="H766" s="29" t="s">
        <v>3708</v>
      </c>
      <c r="I766" s="29" t="s">
        <v>472</v>
      </c>
      <c r="J766" s="29" t="s">
        <v>472</v>
      </c>
      <c r="K766" s="30" t="s">
        <v>44</v>
      </c>
      <c r="L766" s="31"/>
      <c r="M766" s="32" t="s">
        <v>3697</v>
      </c>
    </row>
    <row r="767" customFormat="false" ht="51" hidden="false" customHeight="true" outlineLevel="0" collapsed="false">
      <c r="B767" s="29" t="s">
        <v>3840</v>
      </c>
      <c r="C767" s="29" t="s">
        <v>37</v>
      </c>
      <c r="D767" s="29" t="s">
        <v>3841</v>
      </c>
      <c r="E767" s="29" t="s">
        <v>91</v>
      </c>
      <c r="F767" s="29" t="s">
        <v>3842</v>
      </c>
      <c r="G767" s="29" t="s">
        <v>3842</v>
      </c>
      <c r="H767" s="29" t="s">
        <v>3695</v>
      </c>
      <c r="I767" s="29" t="s">
        <v>3843</v>
      </c>
      <c r="J767" s="29" t="s">
        <v>2544</v>
      </c>
      <c r="K767" s="30" t="s">
        <v>44</v>
      </c>
      <c r="L767" s="31"/>
      <c r="M767" s="32" t="s">
        <v>3697</v>
      </c>
    </row>
    <row r="768" customFormat="false" ht="51" hidden="false" customHeight="true" outlineLevel="0" collapsed="false">
      <c r="B768" s="29" t="s">
        <v>3844</v>
      </c>
      <c r="C768" s="29" t="s">
        <v>37</v>
      </c>
      <c r="D768" s="29" t="s">
        <v>3845</v>
      </c>
      <c r="E768" s="29" t="s">
        <v>600</v>
      </c>
      <c r="F768" s="29" t="s">
        <v>3846</v>
      </c>
      <c r="G768" s="29" t="s">
        <v>3846</v>
      </c>
      <c r="H768" s="29" t="s">
        <v>3695</v>
      </c>
      <c r="I768" s="29" t="s">
        <v>3696</v>
      </c>
      <c r="J768" s="29" t="s">
        <v>155</v>
      </c>
      <c r="K768" s="30" t="s">
        <v>44</v>
      </c>
      <c r="L768" s="31"/>
      <c r="M768" s="32" t="s">
        <v>3697</v>
      </c>
    </row>
    <row r="769" customFormat="false" ht="51" hidden="false" customHeight="true" outlineLevel="0" collapsed="false">
      <c r="B769" s="29" t="s">
        <v>3847</v>
      </c>
      <c r="C769" s="29" t="s">
        <v>37</v>
      </c>
      <c r="D769" s="29" t="s">
        <v>3848</v>
      </c>
      <c r="E769" s="29" t="s">
        <v>351</v>
      </c>
      <c r="F769" s="29" t="s">
        <v>3849</v>
      </c>
      <c r="G769" s="29" t="s">
        <v>3849</v>
      </c>
      <c r="H769" s="29" t="s">
        <v>3695</v>
      </c>
      <c r="I769" s="29" t="s">
        <v>302</v>
      </c>
      <c r="J769" s="29" t="s">
        <v>202</v>
      </c>
      <c r="K769" s="30" t="s">
        <v>44</v>
      </c>
      <c r="L769" s="31"/>
      <c r="M769" s="32" t="s">
        <v>3697</v>
      </c>
    </row>
    <row r="770" customFormat="false" ht="51" hidden="false" customHeight="true" outlineLevel="0" collapsed="false">
      <c r="B770" s="29" t="s">
        <v>3850</v>
      </c>
      <c r="C770" s="29" t="s">
        <v>37</v>
      </c>
      <c r="D770" s="29" t="s">
        <v>3851</v>
      </c>
      <c r="E770" s="29" t="s">
        <v>151</v>
      </c>
      <c r="F770" s="29" t="s">
        <v>3852</v>
      </c>
      <c r="G770" s="29" t="s">
        <v>3853</v>
      </c>
      <c r="H770" s="29" t="s">
        <v>3695</v>
      </c>
      <c r="I770" s="29" t="s">
        <v>3696</v>
      </c>
      <c r="J770" s="29" t="s">
        <v>155</v>
      </c>
      <c r="K770" s="30" t="s">
        <v>44</v>
      </c>
      <c r="L770" s="31"/>
      <c r="M770" s="32" t="s">
        <v>3697</v>
      </c>
    </row>
    <row r="771" customFormat="false" ht="51" hidden="false" customHeight="true" outlineLevel="0" collapsed="false">
      <c r="B771" s="29" t="s">
        <v>3854</v>
      </c>
      <c r="C771" s="29" t="s">
        <v>37</v>
      </c>
      <c r="D771" s="29" t="s">
        <v>3855</v>
      </c>
      <c r="E771" s="29" t="s">
        <v>600</v>
      </c>
      <c r="F771" s="29" t="s">
        <v>3856</v>
      </c>
      <c r="G771" s="29" t="s">
        <v>3856</v>
      </c>
      <c r="H771" s="29" t="s">
        <v>3695</v>
      </c>
      <c r="I771" s="29" t="s">
        <v>3696</v>
      </c>
      <c r="J771" s="29" t="s">
        <v>155</v>
      </c>
      <c r="K771" s="30" t="s">
        <v>44</v>
      </c>
      <c r="L771" s="31"/>
      <c r="M771" s="32" t="s">
        <v>3697</v>
      </c>
    </row>
    <row r="772" customFormat="false" ht="51" hidden="false" customHeight="true" outlineLevel="0" collapsed="false">
      <c r="B772" s="29" t="s">
        <v>3857</v>
      </c>
      <c r="C772" s="29" t="s">
        <v>37</v>
      </c>
      <c r="D772" s="29" t="s">
        <v>3858</v>
      </c>
      <c r="E772" s="29" t="s">
        <v>340</v>
      </c>
      <c r="F772" s="29" t="s">
        <v>3859</v>
      </c>
      <c r="G772" s="29" t="s">
        <v>3859</v>
      </c>
      <c r="H772" s="29" t="s">
        <v>3708</v>
      </c>
      <c r="I772" s="29" t="s">
        <v>472</v>
      </c>
      <c r="J772" s="29" t="s">
        <v>472</v>
      </c>
      <c r="K772" s="30" t="s">
        <v>44</v>
      </c>
      <c r="L772" s="31"/>
      <c r="M772" s="32" t="s">
        <v>3697</v>
      </c>
    </row>
    <row r="773" customFormat="false" ht="51" hidden="false" customHeight="true" outlineLevel="0" collapsed="false">
      <c r="B773" s="29" t="s">
        <v>3860</v>
      </c>
      <c r="C773" s="29" t="s">
        <v>37</v>
      </c>
      <c r="D773" s="29" t="s">
        <v>3861</v>
      </c>
      <c r="E773" s="29" t="s">
        <v>206</v>
      </c>
      <c r="F773" s="29" t="s">
        <v>3862</v>
      </c>
      <c r="G773" s="29" t="s">
        <v>3863</v>
      </c>
      <c r="H773" s="29" t="s">
        <v>3695</v>
      </c>
      <c r="I773" s="29" t="s">
        <v>302</v>
      </c>
      <c r="J773" s="29" t="s">
        <v>202</v>
      </c>
      <c r="K773" s="30" t="s">
        <v>44</v>
      </c>
      <c r="L773" s="31"/>
      <c r="M773" s="32" t="s">
        <v>3697</v>
      </c>
    </row>
    <row r="774" customFormat="false" ht="51" hidden="false" customHeight="true" outlineLevel="0" collapsed="false">
      <c r="B774" s="29" t="s">
        <v>3864</v>
      </c>
      <c r="C774" s="29" t="s">
        <v>37</v>
      </c>
      <c r="D774" s="29" t="s">
        <v>3865</v>
      </c>
      <c r="E774" s="29" t="s">
        <v>600</v>
      </c>
      <c r="F774" s="29" t="s">
        <v>3866</v>
      </c>
      <c r="G774" s="29" t="s">
        <v>3867</v>
      </c>
      <c r="H774" s="29" t="s">
        <v>3708</v>
      </c>
      <c r="I774" s="29" t="s">
        <v>472</v>
      </c>
      <c r="J774" s="29" t="s">
        <v>472</v>
      </c>
      <c r="K774" s="30" t="s">
        <v>44</v>
      </c>
      <c r="L774" s="31"/>
      <c r="M774" s="32" t="s">
        <v>3697</v>
      </c>
    </row>
    <row r="775" customFormat="false" ht="51" hidden="false" customHeight="true" outlineLevel="0" collapsed="false">
      <c r="B775" s="29" t="s">
        <v>3868</v>
      </c>
      <c r="C775" s="29" t="s">
        <v>37</v>
      </c>
      <c r="D775" s="29" t="s">
        <v>3869</v>
      </c>
      <c r="E775" s="29" t="s">
        <v>600</v>
      </c>
      <c r="F775" s="29" t="s">
        <v>3870</v>
      </c>
      <c r="G775" s="29" t="s">
        <v>3870</v>
      </c>
      <c r="H775" s="29" t="s">
        <v>3695</v>
      </c>
      <c r="I775" s="29" t="s">
        <v>3696</v>
      </c>
      <c r="J775" s="29" t="s">
        <v>155</v>
      </c>
      <c r="K775" s="30" t="s">
        <v>44</v>
      </c>
      <c r="L775" s="31"/>
      <c r="M775" s="32" t="s">
        <v>3697</v>
      </c>
    </row>
    <row r="776" customFormat="false" ht="51" hidden="false" customHeight="true" outlineLevel="0" collapsed="false">
      <c r="B776" s="29" t="s">
        <v>3871</v>
      </c>
      <c r="C776" s="29" t="s">
        <v>37</v>
      </c>
      <c r="D776" s="29" t="s">
        <v>3872</v>
      </c>
      <c r="E776" s="29" t="s">
        <v>340</v>
      </c>
      <c r="F776" s="29" t="s">
        <v>3873</v>
      </c>
      <c r="G776" s="29" t="s">
        <v>3873</v>
      </c>
      <c r="H776" s="29" t="s">
        <v>3695</v>
      </c>
      <c r="I776" s="29" t="s">
        <v>302</v>
      </c>
      <c r="J776" s="29" t="s">
        <v>202</v>
      </c>
      <c r="K776" s="30" t="s">
        <v>44</v>
      </c>
      <c r="L776" s="31"/>
      <c r="M776" s="32" t="s">
        <v>3697</v>
      </c>
    </row>
    <row r="777" customFormat="false" ht="51" hidden="false" customHeight="true" outlineLevel="0" collapsed="false">
      <c r="B777" s="29" t="s">
        <v>3874</v>
      </c>
      <c r="C777" s="29" t="s">
        <v>37</v>
      </c>
      <c r="D777" s="29" t="s">
        <v>166</v>
      </c>
      <c r="E777" s="29" t="s">
        <v>543</v>
      </c>
      <c r="F777" s="29" t="s">
        <v>3875</v>
      </c>
      <c r="G777" s="29" t="s">
        <v>3875</v>
      </c>
      <c r="H777" s="29" t="s">
        <v>3876</v>
      </c>
      <c r="I777" s="29" t="s">
        <v>472</v>
      </c>
      <c r="J777" s="29" t="s">
        <v>472</v>
      </c>
      <c r="K777" s="30" t="s">
        <v>44</v>
      </c>
      <c r="L777" s="31"/>
      <c r="M777" s="32" t="s">
        <v>3697</v>
      </c>
    </row>
    <row r="778" customFormat="false" ht="51" hidden="false" customHeight="true" outlineLevel="0" collapsed="false">
      <c r="B778" s="29" t="s">
        <v>3877</v>
      </c>
      <c r="C778" s="29" t="s">
        <v>37</v>
      </c>
      <c r="D778" s="29" t="s">
        <v>3878</v>
      </c>
      <c r="E778" s="29" t="s">
        <v>600</v>
      </c>
      <c r="F778" s="29" t="s">
        <v>3879</v>
      </c>
      <c r="G778" s="29" t="s">
        <v>3880</v>
      </c>
      <c r="H778" s="29" t="s">
        <v>3708</v>
      </c>
      <c r="I778" s="29" t="s">
        <v>472</v>
      </c>
      <c r="J778" s="29" t="s">
        <v>472</v>
      </c>
      <c r="K778" s="30" t="s">
        <v>44</v>
      </c>
      <c r="L778" s="31"/>
      <c r="M778" s="32" t="s">
        <v>3697</v>
      </c>
    </row>
    <row r="779" customFormat="false" ht="51" hidden="false" customHeight="true" outlineLevel="0" collapsed="false">
      <c r="B779" s="29" t="s">
        <v>3881</v>
      </c>
      <c r="C779" s="29" t="s">
        <v>37</v>
      </c>
      <c r="D779" s="29" t="s">
        <v>3882</v>
      </c>
      <c r="E779" s="29" t="s">
        <v>206</v>
      </c>
      <c r="F779" s="29" t="s">
        <v>3883</v>
      </c>
      <c r="G779" s="29" t="s">
        <v>3884</v>
      </c>
      <c r="H779" s="29" t="s">
        <v>3885</v>
      </c>
      <c r="I779" s="29" t="s">
        <v>302</v>
      </c>
      <c r="J779" s="29" t="s">
        <v>202</v>
      </c>
      <c r="K779" s="30" t="s">
        <v>44</v>
      </c>
      <c r="L779" s="31"/>
      <c r="M779" s="32" t="s">
        <v>45</v>
      </c>
    </row>
    <row r="780" customFormat="false" ht="51" hidden="false" customHeight="true" outlineLevel="0" collapsed="false">
      <c r="B780" s="29" t="s">
        <v>3886</v>
      </c>
      <c r="C780" s="29" t="s">
        <v>37</v>
      </c>
      <c r="D780" s="29" t="s">
        <v>3887</v>
      </c>
      <c r="E780" s="29" t="s">
        <v>206</v>
      </c>
      <c r="F780" s="29" t="s">
        <v>3888</v>
      </c>
      <c r="G780" s="29" t="s">
        <v>3888</v>
      </c>
      <c r="H780" s="29" t="s">
        <v>3889</v>
      </c>
      <c r="I780" s="29" t="s">
        <v>302</v>
      </c>
      <c r="J780" s="29" t="s">
        <v>202</v>
      </c>
      <c r="K780" s="30" t="s">
        <v>44</v>
      </c>
      <c r="L780" s="31"/>
      <c r="M780" s="32" t="s">
        <v>45</v>
      </c>
    </row>
    <row r="781" customFormat="false" ht="51" hidden="false" customHeight="true" outlineLevel="0" collapsed="false">
      <c r="B781" s="29" t="s">
        <v>3890</v>
      </c>
      <c r="C781" s="29" t="s">
        <v>37</v>
      </c>
      <c r="D781" s="29" t="s">
        <v>3891</v>
      </c>
      <c r="E781" s="29" t="s">
        <v>206</v>
      </c>
      <c r="F781" s="29" t="s">
        <v>3892</v>
      </c>
      <c r="G781" s="29" t="s">
        <v>3893</v>
      </c>
      <c r="H781" s="29" t="s">
        <v>3889</v>
      </c>
      <c r="I781" s="29" t="s">
        <v>302</v>
      </c>
      <c r="J781" s="29" t="s">
        <v>202</v>
      </c>
      <c r="K781" s="30" t="s">
        <v>44</v>
      </c>
      <c r="L781" s="31"/>
      <c r="M781" s="32" t="s">
        <v>45</v>
      </c>
    </row>
    <row r="782" customFormat="false" ht="51" hidden="false" customHeight="true" outlineLevel="0" collapsed="false">
      <c r="B782" s="29" t="s">
        <v>3894</v>
      </c>
      <c r="C782" s="29" t="s">
        <v>37</v>
      </c>
      <c r="D782" s="29" t="s">
        <v>3895</v>
      </c>
      <c r="E782" s="29" t="s">
        <v>206</v>
      </c>
      <c r="F782" s="29" t="s">
        <v>3896</v>
      </c>
      <c r="G782" s="29" t="s">
        <v>3897</v>
      </c>
      <c r="H782" s="29" t="s">
        <v>3889</v>
      </c>
      <c r="I782" s="29" t="s">
        <v>302</v>
      </c>
      <c r="J782" s="29" t="s">
        <v>202</v>
      </c>
      <c r="K782" s="30" t="s">
        <v>44</v>
      </c>
      <c r="L782" s="31"/>
      <c r="M782" s="32" t="s">
        <v>45</v>
      </c>
    </row>
    <row r="783" customFormat="false" ht="51" hidden="false" customHeight="true" outlineLevel="0" collapsed="false">
      <c r="B783" s="29" t="s">
        <v>3898</v>
      </c>
      <c r="C783" s="29" t="s">
        <v>37</v>
      </c>
      <c r="D783" s="29" t="s">
        <v>3899</v>
      </c>
      <c r="E783" s="29" t="s">
        <v>206</v>
      </c>
      <c r="F783" s="29" t="s">
        <v>3900</v>
      </c>
      <c r="G783" s="29" t="s">
        <v>3901</v>
      </c>
      <c r="H783" s="29" t="s">
        <v>3889</v>
      </c>
      <c r="I783" s="29" t="s">
        <v>302</v>
      </c>
      <c r="J783" s="29" t="s">
        <v>202</v>
      </c>
      <c r="K783" s="30" t="s">
        <v>44</v>
      </c>
      <c r="L783" s="31"/>
      <c r="M783" s="32" t="s">
        <v>45</v>
      </c>
    </row>
    <row r="784" customFormat="false" ht="51" hidden="false" customHeight="true" outlineLevel="0" collapsed="false">
      <c r="B784" s="29" t="s">
        <v>3902</v>
      </c>
      <c r="C784" s="29" t="s">
        <v>37</v>
      </c>
      <c r="D784" s="29" t="s">
        <v>3903</v>
      </c>
      <c r="E784" s="29" t="s">
        <v>206</v>
      </c>
      <c r="F784" s="29" t="s">
        <v>3904</v>
      </c>
      <c r="G784" s="29" t="s">
        <v>3905</v>
      </c>
      <c r="H784" s="29" t="s">
        <v>3889</v>
      </c>
      <c r="I784" s="29" t="s">
        <v>302</v>
      </c>
      <c r="J784" s="29" t="s">
        <v>202</v>
      </c>
      <c r="K784" s="30" t="s">
        <v>44</v>
      </c>
      <c r="L784" s="31"/>
      <c r="M784" s="32" t="s">
        <v>45</v>
      </c>
    </row>
    <row r="785" customFormat="false" ht="51" hidden="false" customHeight="true" outlineLevel="0" collapsed="false">
      <c r="B785" s="29" t="s">
        <v>3906</v>
      </c>
      <c r="C785" s="29" t="s">
        <v>37</v>
      </c>
      <c r="D785" s="29" t="s">
        <v>3907</v>
      </c>
      <c r="E785" s="29" t="s">
        <v>600</v>
      </c>
      <c r="F785" s="29" t="s">
        <v>3908</v>
      </c>
      <c r="G785" s="29" t="s">
        <v>3908</v>
      </c>
      <c r="H785" s="29" t="s">
        <v>3909</v>
      </c>
      <c r="I785" s="29" t="s">
        <v>472</v>
      </c>
      <c r="J785" s="29" t="s">
        <v>472</v>
      </c>
      <c r="K785" s="30" t="s">
        <v>44</v>
      </c>
      <c r="L785" s="31"/>
      <c r="M785" s="32" t="s">
        <v>45</v>
      </c>
    </row>
    <row r="786" customFormat="false" ht="51" hidden="false" customHeight="true" outlineLevel="0" collapsed="false">
      <c r="B786" s="29" t="s">
        <v>3910</v>
      </c>
      <c r="C786" s="29" t="s">
        <v>37</v>
      </c>
      <c r="D786" s="29" t="s">
        <v>3911</v>
      </c>
      <c r="E786" s="29" t="s">
        <v>357</v>
      </c>
      <c r="F786" s="29" t="s">
        <v>3912</v>
      </c>
      <c r="G786" s="29" t="s">
        <v>3913</v>
      </c>
      <c r="H786" s="29" t="s">
        <v>3914</v>
      </c>
      <c r="I786" s="29" t="s">
        <v>302</v>
      </c>
      <c r="J786" s="29" t="s">
        <v>202</v>
      </c>
      <c r="K786" s="30" t="s">
        <v>44</v>
      </c>
      <c r="L786" s="31"/>
      <c r="M786" s="32" t="s">
        <v>45</v>
      </c>
    </row>
    <row r="787" customFormat="false" ht="51" hidden="false" customHeight="true" outlineLevel="0" collapsed="false">
      <c r="B787" s="29" t="s">
        <v>3915</v>
      </c>
      <c r="C787" s="29" t="s">
        <v>37</v>
      </c>
      <c r="D787" s="29" t="s">
        <v>3916</v>
      </c>
      <c r="E787" s="29" t="s">
        <v>340</v>
      </c>
      <c r="F787" s="29" t="s">
        <v>3917</v>
      </c>
      <c r="G787" s="29" t="s">
        <v>3918</v>
      </c>
      <c r="H787" s="29" t="s">
        <v>3914</v>
      </c>
      <c r="I787" s="29" t="s">
        <v>302</v>
      </c>
      <c r="J787" s="29" t="s">
        <v>202</v>
      </c>
      <c r="K787" s="30" t="s">
        <v>44</v>
      </c>
      <c r="L787" s="31"/>
      <c r="M787" s="32" t="s">
        <v>45</v>
      </c>
    </row>
    <row r="788" customFormat="false" ht="51" hidden="false" customHeight="true" outlineLevel="0" collapsed="false">
      <c r="B788" s="29" t="s">
        <v>3919</v>
      </c>
      <c r="C788" s="29" t="s">
        <v>37</v>
      </c>
      <c r="D788" s="29" t="s">
        <v>3920</v>
      </c>
      <c r="E788" s="29" t="s">
        <v>543</v>
      </c>
      <c r="F788" s="29" t="s">
        <v>3921</v>
      </c>
      <c r="G788" s="29" t="s">
        <v>3921</v>
      </c>
      <c r="H788" s="29" t="s">
        <v>3909</v>
      </c>
      <c r="I788" s="29" t="s">
        <v>472</v>
      </c>
      <c r="J788" s="29" t="s">
        <v>472</v>
      </c>
      <c r="K788" s="30" t="s">
        <v>44</v>
      </c>
      <c r="L788" s="31"/>
      <c r="M788" s="32" t="s">
        <v>45</v>
      </c>
    </row>
    <row r="789" customFormat="false" ht="51" hidden="false" customHeight="true" outlineLevel="0" collapsed="false">
      <c r="B789" s="29" t="s">
        <v>3922</v>
      </c>
      <c r="C789" s="29" t="s">
        <v>37</v>
      </c>
      <c r="D789" s="29" t="s">
        <v>3923</v>
      </c>
      <c r="E789" s="29" t="s">
        <v>351</v>
      </c>
      <c r="F789" s="29" t="s">
        <v>3924</v>
      </c>
      <c r="G789" s="29" t="s">
        <v>3925</v>
      </c>
      <c r="H789" s="29" t="s">
        <v>3914</v>
      </c>
      <c r="I789" s="29" t="s">
        <v>302</v>
      </c>
      <c r="J789" s="29" t="s">
        <v>202</v>
      </c>
      <c r="K789" s="30" t="s">
        <v>44</v>
      </c>
      <c r="L789" s="31"/>
      <c r="M789" s="32" t="s">
        <v>45</v>
      </c>
    </row>
    <row r="790" customFormat="false" ht="51" hidden="false" customHeight="true" outlineLevel="0" collapsed="false">
      <c r="B790" s="29" t="s">
        <v>3926</v>
      </c>
      <c r="C790" s="29" t="s">
        <v>37</v>
      </c>
      <c r="D790" s="29" t="s">
        <v>3927</v>
      </c>
      <c r="E790" s="29" t="s">
        <v>357</v>
      </c>
      <c r="F790" s="29" t="s">
        <v>3928</v>
      </c>
      <c r="G790" s="29" t="s">
        <v>3929</v>
      </c>
      <c r="H790" s="29" t="s">
        <v>3914</v>
      </c>
      <c r="I790" s="29" t="s">
        <v>302</v>
      </c>
      <c r="J790" s="29" t="s">
        <v>202</v>
      </c>
      <c r="K790" s="30" t="s">
        <v>44</v>
      </c>
      <c r="L790" s="31"/>
      <c r="M790" s="32" t="s">
        <v>45</v>
      </c>
    </row>
    <row r="791" customFormat="false" ht="51" hidden="false" customHeight="true" outlineLevel="0" collapsed="false">
      <c r="B791" s="29" t="s">
        <v>3930</v>
      </c>
      <c r="C791" s="29" t="s">
        <v>37</v>
      </c>
      <c r="D791" s="29" t="s">
        <v>3931</v>
      </c>
      <c r="E791" s="29" t="s">
        <v>357</v>
      </c>
      <c r="F791" s="29" t="s">
        <v>3932</v>
      </c>
      <c r="G791" s="29" t="s">
        <v>3933</v>
      </c>
      <c r="H791" s="29" t="s">
        <v>3914</v>
      </c>
      <c r="I791" s="29" t="s">
        <v>302</v>
      </c>
      <c r="J791" s="29" t="s">
        <v>202</v>
      </c>
      <c r="K791" s="30" t="s">
        <v>44</v>
      </c>
      <c r="L791" s="31"/>
      <c r="M791" s="32" t="s">
        <v>45</v>
      </c>
    </row>
    <row r="792" customFormat="false" ht="51" hidden="false" customHeight="true" outlineLevel="0" collapsed="false">
      <c r="B792" s="29" t="s">
        <v>3934</v>
      </c>
      <c r="C792" s="29" t="s">
        <v>37</v>
      </c>
      <c r="D792" s="29" t="s">
        <v>3935</v>
      </c>
      <c r="E792" s="29" t="s">
        <v>357</v>
      </c>
      <c r="F792" s="29" t="s">
        <v>3936</v>
      </c>
      <c r="G792" s="29" t="s">
        <v>3937</v>
      </c>
      <c r="H792" s="29" t="s">
        <v>3914</v>
      </c>
      <c r="I792" s="29" t="s">
        <v>302</v>
      </c>
      <c r="J792" s="29" t="s">
        <v>202</v>
      </c>
      <c r="K792" s="30" t="s">
        <v>44</v>
      </c>
      <c r="L792" s="31"/>
      <c r="M792" s="32" t="s">
        <v>45</v>
      </c>
    </row>
    <row r="793" customFormat="false" ht="51" hidden="false" customHeight="true" outlineLevel="0" collapsed="false">
      <c r="B793" s="29" t="s">
        <v>3938</v>
      </c>
      <c r="C793" s="29" t="s">
        <v>37</v>
      </c>
      <c r="D793" s="29" t="s">
        <v>3939</v>
      </c>
      <c r="E793" s="29" t="s">
        <v>351</v>
      </c>
      <c r="F793" s="29" t="s">
        <v>3940</v>
      </c>
      <c r="G793" s="29" t="s">
        <v>3941</v>
      </c>
      <c r="H793" s="29" t="s">
        <v>3914</v>
      </c>
      <c r="I793" s="29" t="s">
        <v>302</v>
      </c>
      <c r="J793" s="29" t="s">
        <v>202</v>
      </c>
      <c r="K793" s="30" t="s">
        <v>44</v>
      </c>
      <c r="L793" s="31"/>
      <c r="M793" s="32" t="s">
        <v>45</v>
      </c>
    </row>
    <row r="794" customFormat="false" ht="51" hidden="false" customHeight="true" outlineLevel="0" collapsed="false">
      <c r="B794" s="29" t="s">
        <v>3942</v>
      </c>
      <c r="C794" s="29" t="s">
        <v>37</v>
      </c>
      <c r="D794" s="29" t="s">
        <v>3943</v>
      </c>
      <c r="E794" s="29" t="s">
        <v>351</v>
      </c>
      <c r="F794" s="29" t="s">
        <v>3944</v>
      </c>
      <c r="G794" s="29" t="s">
        <v>3945</v>
      </c>
      <c r="H794" s="29" t="s">
        <v>3914</v>
      </c>
      <c r="I794" s="29" t="s">
        <v>302</v>
      </c>
      <c r="J794" s="29" t="s">
        <v>202</v>
      </c>
      <c r="K794" s="30" t="s">
        <v>44</v>
      </c>
      <c r="L794" s="31"/>
      <c r="M794" s="32" t="s">
        <v>45</v>
      </c>
    </row>
    <row r="795" customFormat="false" ht="51" hidden="false" customHeight="true" outlineLevel="0" collapsed="false">
      <c r="B795" s="29" t="s">
        <v>3946</v>
      </c>
      <c r="C795" s="29" t="s">
        <v>37</v>
      </c>
      <c r="D795" s="29" t="s">
        <v>277</v>
      </c>
      <c r="E795" s="29" t="s">
        <v>600</v>
      </c>
      <c r="F795" s="29" t="s">
        <v>3947</v>
      </c>
      <c r="G795" s="29" t="s">
        <v>3948</v>
      </c>
      <c r="H795" s="29" t="s">
        <v>3949</v>
      </c>
      <c r="I795" s="29" t="s">
        <v>472</v>
      </c>
      <c r="J795" s="29" t="s">
        <v>472</v>
      </c>
      <c r="K795" s="30" t="s">
        <v>44</v>
      </c>
      <c r="L795" s="31"/>
      <c r="M795" s="32" t="s">
        <v>45</v>
      </c>
    </row>
    <row r="796" customFormat="false" ht="51" hidden="false" customHeight="true" outlineLevel="0" collapsed="false">
      <c r="B796" s="29" t="s">
        <v>3950</v>
      </c>
      <c r="C796" s="29" t="s">
        <v>37</v>
      </c>
      <c r="D796" s="29" t="s">
        <v>3951</v>
      </c>
      <c r="E796" s="29" t="s">
        <v>99</v>
      </c>
      <c r="F796" s="29" t="s">
        <v>3952</v>
      </c>
      <c r="G796" s="29" t="s">
        <v>3953</v>
      </c>
      <c r="H796" s="29" t="s">
        <v>3954</v>
      </c>
      <c r="I796" s="29" t="s">
        <v>3843</v>
      </c>
      <c r="J796" s="29" t="s">
        <v>540</v>
      </c>
      <c r="K796" s="30" t="s">
        <v>44</v>
      </c>
      <c r="L796" s="31"/>
      <c r="M796" s="32" t="s">
        <v>45</v>
      </c>
    </row>
    <row r="797" customFormat="false" ht="51" hidden="false" customHeight="true" outlineLevel="0" collapsed="false">
      <c r="B797" s="29" t="s">
        <v>3955</v>
      </c>
      <c r="C797" s="29" t="s">
        <v>37</v>
      </c>
      <c r="D797" s="29" t="s">
        <v>3956</v>
      </c>
      <c r="E797" s="29" t="s">
        <v>99</v>
      </c>
      <c r="F797" s="29" t="s">
        <v>3957</v>
      </c>
      <c r="G797" s="29" t="s">
        <v>3958</v>
      </c>
      <c r="H797" s="29" t="s">
        <v>3954</v>
      </c>
      <c r="I797" s="29" t="s">
        <v>42</v>
      </c>
      <c r="J797" s="29" t="s">
        <v>67</v>
      </c>
      <c r="K797" s="30" t="s">
        <v>44</v>
      </c>
      <c r="L797" s="31"/>
      <c r="M797" s="32" t="s">
        <v>45</v>
      </c>
    </row>
    <row r="798" customFormat="false" ht="51" hidden="false" customHeight="true" outlineLevel="0" collapsed="false">
      <c r="B798" s="29" t="s">
        <v>3959</v>
      </c>
      <c r="C798" s="29" t="s">
        <v>37</v>
      </c>
      <c r="D798" s="29" t="s">
        <v>3960</v>
      </c>
      <c r="E798" s="29" t="s">
        <v>600</v>
      </c>
      <c r="F798" s="29" t="s">
        <v>3961</v>
      </c>
      <c r="G798" s="29" t="s">
        <v>3962</v>
      </c>
      <c r="H798" s="29" t="s">
        <v>3954</v>
      </c>
      <c r="I798" s="29" t="s">
        <v>3696</v>
      </c>
      <c r="J798" s="29" t="s">
        <v>155</v>
      </c>
      <c r="K798" s="30" t="s">
        <v>44</v>
      </c>
      <c r="L798" s="31"/>
      <c r="M798" s="32" t="s">
        <v>45</v>
      </c>
    </row>
    <row r="799" customFormat="false" ht="51" hidden="false" customHeight="true" outlineLevel="0" collapsed="false">
      <c r="B799" s="29" t="s">
        <v>3963</v>
      </c>
      <c r="C799" s="29" t="s">
        <v>37</v>
      </c>
      <c r="D799" s="29" t="s">
        <v>220</v>
      </c>
      <c r="E799" s="29" t="s">
        <v>600</v>
      </c>
      <c r="F799" s="29" t="s">
        <v>3964</v>
      </c>
      <c r="G799" s="29" t="s">
        <v>3965</v>
      </c>
      <c r="H799" s="29" t="s">
        <v>3966</v>
      </c>
      <c r="I799" s="29" t="s">
        <v>3696</v>
      </c>
      <c r="J799" s="29" t="s">
        <v>155</v>
      </c>
      <c r="K799" s="30" t="s">
        <v>44</v>
      </c>
      <c r="L799" s="31"/>
      <c r="M799" s="32" t="s">
        <v>45</v>
      </c>
    </row>
    <row r="800" customFormat="false" ht="51" hidden="false" customHeight="true" outlineLevel="0" collapsed="false">
      <c r="B800" s="29" t="s">
        <v>3967</v>
      </c>
      <c r="C800" s="29" t="s">
        <v>37</v>
      </c>
      <c r="D800" s="29" t="s">
        <v>228</v>
      </c>
      <c r="E800" s="29" t="s">
        <v>600</v>
      </c>
      <c r="F800" s="29" t="s">
        <v>3968</v>
      </c>
      <c r="G800" s="29" t="s">
        <v>3969</v>
      </c>
      <c r="H800" s="29" t="s">
        <v>3966</v>
      </c>
      <c r="I800" s="29" t="s">
        <v>3696</v>
      </c>
      <c r="J800" s="29" t="s">
        <v>155</v>
      </c>
      <c r="K800" s="30" t="s">
        <v>44</v>
      </c>
      <c r="L800" s="31"/>
      <c r="M800" s="32" t="s">
        <v>45</v>
      </c>
    </row>
    <row r="801" customFormat="false" ht="51" hidden="false" customHeight="true" outlineLevel="0" collapsed="false">
      <c r="B801" s="29" t="s">
        <v>3970</v>
      </c>
      <c r="C801" s="29" t="s">
        <v>37</v>
      </c>
      <c r="D801" s="29" t="s">
        <v>3971</v>
      </c>
      <c r="E801" s="29" t="s">
        <v>600</v>
      </c>
      <c r="F801" s="29" t="s">
        <v>3972</v>
      </c>
      <c r="G801" s="29" t="s">
        <v>3973</v>
      </c>
      <c r="H801" s="29" t="s">
        <v>3966</v>
      </c>
      <c r="I801" s="29" t="s">
        <v>3974</v>
      </c>
      <c r="J801" s="29" t="s">
        <v>1944</v>
      </c>
      <c r="K801" s="30" t="s">
        <v>62</v>
      </c>
      <c r="L801" s="31"/>
      <c r="M801" s="32"/>
    </row>
    <row r="802" customFormat="false" ht="51" hidden="false" customHeight="true" outlineLevel="0" collapsed="false">
      <c r="B802" s="29" t="s">
        <v>3975</v>
      </c>
      <c r="C802" s="29" t="s">
        <v>37</v>
      </c>
      <c r="D802" s="29" t="s">
        <v>3976</v>
      </c>
      <c r="E802" s="29" t="s">
        <v>600</v>
      </c>
      <c r="F802" s="29" t="s">
        <v>3977</v>
      </c>
      <c r="G802" s="29" t="s">
        <v>3977</v>
      </c>
      <c r="H802" s="29" t="s">
        <v>3966</v>
      </c>
      <c r="I802" s="29" t="s">
        <v>3696</v>
      </c>
      <c r="J802" s="29" t="s">
        <v>155</v>
      </c>
      <c r="K802" s="30" t="s">
        <v>44</v>
      </c>
      <c r="L802" s="31"/>
      <c r="M802" s="32" t="s">
        <v>45</v>
      </c>
    </row>
    <row r="803" customFormat="false" ht="51" hidden="false" customHeight="true" outlineLevel="0" collapsed="false">
      <c r="B803" s="29" t="s">
        <v>3978</v>
      </c>
      <c r="C803" s="29" t="s">
        <v>37</v>
      </c>
      <c r="D803" s="29" t="s">
        <v>3979</v>
      </c>
      <c r="E803" s="29" t="s">
        <v>600</v>
      </c>
      <c r="F803" s="29" t="s">
        <v>3980</v>
      </c>
      <c r="G803" s="29" t="s">
        <v>3980</v>
      </c>
      <c r="H803" s="29" t="s">
        <v>3966</v>
      </c>
      <c r="I803" s="29" t="s">
        <v>3696</v>
      </c>
      <c r="J803" s="29" t="s">
        <v>155</v>
      </c>
      <c r="K803" s="30" t="s">
        <v>44</v>
      </c>
      <c r="L803" s="31"/>
      <c r="M803" s="32" t="s">
        <v>45</v>
      </c>
    </row>
    <row r="804" customFormat="false" ht="51" hidden="false" customHeight="true" outlineLevel="0" collapsed="false">
      <c r="B804" s="29" t="s">
        <v>3981</v>
      </c>
      <c r="C804" s="29" t="s">
        <v>37</v>
      </c>
      <c r="D804" s="29" t="s">
        <v>3982</v>
      </c>
      <c r="E804" s="29" t="s">
        <v>600</v>
      </c>
      <c r="F804" s="29" t="s">
        <v>3983</v>
      </c>
      <c r="G804" s="29" t="s">
        <v>3983</v>
      </c>
      <c r="H804" s="29" t="s">
        <v>3966</v>
      </c>
      <c r="I804" s="29" t="s">
        <v>3696</v>
      </c>
      <c r="J804" s="29" t="s">
        <v>155</v>
      </c>
      <c r="K804" s="30" t="s">
        <v>44</v>
      </c>
      <c r="L804" s="31"/>
      <c r="M804" s="32" t="s">
        <v>45</v>
      </c>
    </row>
    <row r="805" customFormat="false" ht="51" hidden="false" customHeight="true" outlineLevel="0" collapsed="false">
      <c r="B805" s="29" t="s">
        <v>3984</v>
      </c>
      <c r="C805" s="29" t="s">
        <v>37</v>
      </c>
      <c r="D805" s="29" t="s">
        <v>234</v>
      </c>
      <c r="E805" s="29" t="s">
        <v>186</v>
      </c>
      <c r="F805" s="29" t="s">
        <v>3985</v>
      </c>
      <c r="G805" s="29" t="s">
        <v>3986</v>
      </c>
      <c r="H805" s="29" t="s">
        <v>3987</v>
      </c>
      <c r="I805" s="29" t="s">
        <v>336</v>
      </c>
      <c r="J805" s="29" t="s">
        <v>337</v>
      </c>
      <c r="K805" s="30" t="s">
        <v>44</v>
      </c>
      <c r="L805" s="31"/>
      <c r="M805" s="32" t="s">
        <v>45</v>
      </c>
    </row>
    <row r="806" customFormat="false" ht="51" hidden="false" customHeight="true" outlineLevel="0" collapsed="false">
      <c r="B806" s="29" t="s">
        <v>3988</v>
      </c>
      <c r="C806" s="29" t="s">
        <v>37</v>
      </c>
      <c r="D806" s="29" t="s">
        <v>239</v>
      </c>
      <c r="E806" s="29" t="s">
        <v>186</v>
      </c>
      <c r="F806" s="29" t="s">
        <v>3989</v>
      </c>
      <c r="G806" s="29" t="s">
        <v>3989</v>
      </c>
      <c r="H806" s="29" t="s">
        <v>3987</v>
      </c>
      <c r="I806" s="29" t="s">
        <v>336</v>
      </c>
      <c r="J806" s="29" t="s">
        <v>337</v>
      </c>
      <c r="K806" s="30" t="s">
        <v>44</v>
      </c>
      <c r="L806" s="31"/>
      <c r="M806" s="32" t="s">
        <v>45</v>
      </c>
    </row>
    <row r="807" customFormat="false" ht="51" hidden="false" customHeight="true" outlineLevel="0" collapsed="false">
      <c r="B807" s="29" t="s">
        <v>3990</v>
      </c>
      <c r="C807" s="29" t="s">
        <v>37</v>
      </c>
      <c r="D807" s="29" t="s">
        <v>3991</v>
      </c>
      <c r="E807" s="29" t="s">
        <v>351</v>
      </c>
      <c r="F807" s="29" t="s">
        <v>3992</v>
      </c>
      <c r="G807" s="29" t="s">
        <v>3993</v>
      </c>
      <c r="H807" s="29" t="s">
        <v>3994</v>
      </c>
      <c r="I807" s="29" t="s">
        <v>3696</v>
      </c>
      <c r="J807" s="29" t="s">
        <v>155</v>
      </c>
      <c r="K807" s="30" t="s">
        <v>44</v>
      </c>
      <c r="L807" s="31"/>
      <c r="M807" s="32" t="s">
        <v>45</v>
      </c>
    </row>
    <row r="808" customFormat="false" ht="51" hidden="false" customHeight="true" outlineLevel="0" collapsed="false">
      <c r="B808" s="29" t="s">
        <v>3995</v>
      </c>
      <c r="C808" s="29" t="s">
        <v>37</v>
      </c>
      <c r="D808" s="29" t="s">
        <v>3996</v>
      </c>
      <c r="E808" s="29" t="s">
        <v>206</v>
      </c>
      <c r="F808" s="29" t="s">
        <v>3997</v>
      </c>
      <c r="G808" s="29" t="s">
        <v>3998</v>
      </c>
      <c r="H808" s="29" t="s">
        <v>3994</v>
      </c>
      <c r="I808" s="29" t="s">
        <v>302</v>
      </c>
      <c r="J808" s="29" t="s">
        <v>202</v>
      </c>
      <c r="K808" s="30" t="s">
        <v>44</v>
      </c>
      <c r="L808" s="31"/>
      <c r="M808" s="32" t="s">
        <v>45</v>
      </c>
    </row>
    <row r="809" customFormat="false" ht="51" hidden="false" customHeight="true" outlineLevel="0" collapsed="false">
      <c r="B809" s="29" t="s">
        <v>3999</v>
      </c>
      <c r="C809" s="29" t="s">
        <v>37</v>
      </c>
      <c r="D809" s="29" t="s">
        <v>4000</v>
      </c>
      <c r="E809" s="29" t="s">
        <v>206</v>
      </c>
      <c r="F809" s="29" t="s">
        <v>4001</v>
      </c>
      <c r="G809" s="29" t="s">
        <v>4002</v>
      </c>
      <c r="H809" s="29" t="s">
        <v>3994</v>
      </c>
      <c r="I809" s="29" t="s">
        <v>302</v>
      </c>
      <c r="J809" s="29" t="s">
        <v>202</v>
      </c>
      <c r="K809" s="30" t="s">
        <v>44</v>
      </c>
      <c r="L809" s="31"/>
      <c r="M809" s="32" t="s">
        <v>45</v>
      </c>
    </row>
    <row r="810" customFormat="false" ht="51" hidden="false" customHeight="true" outlineLevel="0" collapsed="false">
      <c r="B810" s="29" t="s">
        <v>4003</v>
      </c>
      <c r="C810" s="29" t="s">
        <v>37</v>
      </c>
      <c r="D810" s="29" t="s">
        <v>4004</v>
      </c>
      <c r="E810" s="29" t="s">
        <v>206</v>
      </c>
      <c r="F810" s="29" t="s">
        <v>4005</v>
      </c>
      <c r="G810" s="29" t="s">
        <v>4006</v>
      </c>
      <c r="H810" s="29" t="s">
        <v>3994</v>
      </c>
      <c r="I810" s="29" t="s">
        <v>302</v>
      </c>
      <c r="J810" s="29" t="s">
        <v>202</v>
      </c>
      <c r="K810" s="30" t="s">
        <v>44</v>
      </c>
      <c r="L810" s="31"/>
      <c r="M810" s="32" t="s">
        <v>45</v>
      </c>
    </row>
    <row r="811" customFormat="false" ht="51" hidden="false" customHeight="true" outlineLevel="0" collapsed="false">
      <c r="B811" s="29" t="s">
        <v>4007</v>
      </c>
      <c r="C811" s="29" t="s">
        <v>37</v>
      </c>
      <c r="D811" s="29" t="s">
        <v>4008</v>
      </c>
      <c r="E811" s="29" t="s">
        <v>357</v>
      </c>
      <c r="F811" s="29" t="s">
        <v>4009</v>
      </c>
      <c r="G811" s="29" t="s">
        <v>4010</v>
      </c>
      <c r="H811" s="29" t="s">
        <v>3994</v>
      </c>
      <c r="I811" s="29" t="s">
        <v>302</v>
      </c>
      <c r="J811" s="29" t="s">
        <v>202</v>
      </c>
      <c r="K811" s="30" t="s">
        <v>44</v>
      </c>
      <c r="L811" s="31"/>
      <c r="M811" s="32" t="s">
        <v>45</v>
      </c>
    </row>
    <row r="812" customFormat="false" ht="51" hidden="false" customHeight="true" outlineLevel="0" collapsed="false">
      <c r="B812" s="29" t="s">
        <v>4011</v>
      </c>
      <c r="C812" s="29" t="s">
        <v>37</v>
      </c>
      <c r="D812" s="29" t="s">
        <v>4012</v>
      </c>
      <c r="E812" s="29" t="s">
        <v>186</v>
      </c>
      <c r="F812" s="29" t="s">
        <v>4013</v>
      </c>
      <c r="G812" s="29" t="s">
        <v>4014</v>
      </c>
      <c r="H812" s="29" t="s">
        <v>3994</v>
      </c>
      <c r="I812" s="29" t="s">
        <v>336</v>
      </c>
      <c r="J812" s="29" t="s">
        <v>337</v>
      </c>
      <c r="K812" s="30" t="s">
        <v>44</v>
      </c>
      <c r="L812" s="31"/>
      <c r="M812" s="32" t="s">
        <v>45</v>
      </c>
    </row>
    <row r="813" customFormat="false" ht="51" hidden="false" customHeight="true" outlineLevel="0" collapsed="false">
      <c r="B813" s="29" t="s">
        <v>4015</v>
      </c>
      <c r="C813" s="29" t="s">
        <v>37</v>
      </c>
      <c r="D813" s="29" t="s">
        <v>4016</v>
      </c>
      <c r="E813" s="29" t="s">
        <v>206</v>
      </c>
      <c r="F813" s="29" t="s">
        <v>4017</v>
      </c>
      <c r="G813" s="29" t="s">
        <v>4018</v>
      </c>
      <c r="H813" s="29" t="s">
        <v>4019</v>
      </c>
      <c r="I813" s="29" t="s">
        <v>302</v>
      </c>
      <c r="J813" s="29" t="s">
        <v>202</v>
      </c>
      <c r="K813" s="30" t="s">
        <v>44</v>
      </c>
      <c r="L813" s="31"/>
      <c r="M813" s="32" t="s">
        <v>45</v>
      </c>
    </row>
    <row r="814" customFormat="false" ht="51" hidden="false" customHeight="true" outlineLevel="0" collapsed="false">
      <c r="B814" s="29" t="s">
        <v>4020</v>
      </c>
      <c r="C814" s="29" t="s">
        <v>37</v>
      </c>
      <c r="D814" s="29" t="s">
        <v>4021</v>
      </c>
      <c r="E814" s="29" t="s">
        <v>206</v>
      </c>
      <c r="F814" s="29" t="s">
        <v>4022</v>
      </c>
      <c r="G814" s="29" t="s">
        <v>4023</v>
      </c>
      <c r="H814" s="29" t="s">
        <v>4019</v>
      </c>
      <c r="I814" s="29" t="s">
        <v>302</v>
      </c>
      <c r="J814" s="29" t="s">
        <v>202</v>
      </c>
      <c r="K814" s="30" t="s">
        <v>44</v>
      </c>
      <c r="L814" s="31"/>
      <c r="M814" s="32" t="s">
        <v>45</v>
      </c>
    </row>
    <row r="815" customFormat="false" ht="51" hidden="false" customHeight="true" outlineLevel="0" collapsed="false">
      <c r="B815" s="29" t="s">
        <v>4024</v>
      </c>
      <c r="C815" s="29" t="s">
        <v>37</v>
      </c>
      <c r="D815" s="29" t="s">
        <v>4025</v>
      </c>
      <c r="E815" s="29" t="s">
        <v>206</v>
      </c>
      <c r="F815" s="29" t="s">
        <v>4026</v>
      </c>
      <c r="G815" s="29" t="s">
        <v>4027</v>
      </c>
      <c r="H815" s="29" t="s">
        <v>4019</v>
      </c>
      <c r="I815" s="29" t="s">
        <v>302</v>
      </c>
      <c r="J815" s="29" t="s">
        <v>202</v>
      </c>
      <c r="K815" s="30" t="s">
        <v>44</v>
      </c>
      <c r="L815" s="31"/>
      <c r="M815" s="32" t="s">
        <v>45</v>
      </c>
    </row>
    <row r="816" customFormat="false" ht="51" hidden="false" customHeight="true" outlineLevel="0" collapsed="false">
      <c r="B816" s="29" t="s">
        <v>4028</v>
      </c>
      <c r="C816" s="29" t="s">
        <v>37</v>
      </c>
      <c r="D816" s="29" t="s">
        <v>4029</v>
      </c>
      <c r="E816" s="29" t="s">
        <v>351</v>
      </c>
      <c r="F816" s="29" t="s">
        <v>4030</v>
      </c>
      <c r="G816" s="29" t="s">
        <v>4031</v>
      </c>
      <c r="H816" s="29" t="s">
        <v>4019</v>
      </c>
      <c r="I816" s="29" t="s">
        <v>302</v>
      </c>
      <c r="J816" s="29" t="s">
        <v>202</v>
      </c>
      <c r="K816" s="30" t="s">
        <v>44</v>
      </c>
      <c r="L816" s="31"/>
      <c r="M816" s="32" t="s">
        <v>45</v>
      </c>
    </row>
    <row r="817" customFormat="false" ht="51" hidden="false" customHeight="true" outlineLevel="0" collapsed="false">
      <c r="B817" s="29" t="s">
        <v>4032</v>
      </c>
      <c r="C817" s="29" t="s">
        <v>37</v>
      </c>
      <c r="D817" s="29" t="s">
        <v>4033</v>
      </c>
      <c r="E817" s="29" t="s">
        <v>357</v>
      </c>
      <c r="F817" s="29" t="s">
        <v>4034</v>
      </c>
      <c r="G817" s="29" t="s">
        <v>4035</v>
      </c>
      <c r="H817" s="29" t="s">
        <v>4019</v>
      </c>
      <c r="I817" s="29" t="s">
        <v>302</v>
      </c>
      <c r="J817" s="29" t="s">
        <v>202</v>
      </c>
      <c r="K817" s="30" t="s">
        <v>44</v>
      </c>
      <c r="L817" s="31"/>
      <c r="M817" s="32" t="s">
        <v>45</v>
      </c>
    </row>
    <row r="818" customFormat="false" ht="51" hidden="false" customHeight="true" outlineLevel="0" collapsed="false">
      <c r="B818" s="29" t="s">
        <v>4036</v>
      </c>
      <c r="C818" s="29" t="s">
        <v>37</v>
      </c>
      <c r="D818" s="29" t="s">
        <v>4037</v>
      </c>
      <c r="E818" s="29" t="s">
        <v>206</v>
      </c>
      <c r="F818" s="29" t="s">
        <v>4038</v>
      </c>
      <c r="G818" s="29" t="s">
        <v>4039</v>
      </c>
      <c r="H818" s="29" t="s">
        <v>4019</v>
      </c>
      <c r="I818" s="29" t="s">
        <v>302</v>
      </c>
      <c r="J818" s="29" t="s">
        <v>202</v>
      </c>
      <c r="K818" s="30" t="s">
        <v>44</v>
      </c>
      <c r="L818" s="31"/>
      <c r="M818" s="32" t="s">
        <v>45</v>
      </c>
    </row>
    <row r="819" customFormat="false" ht="51" hidden="false" customHeight="true" outlineLevel="0" collapsed="false">
      <c r="B819" s="29" t="s">
        <v>4040</v>
      </c>
      <c r="C819" s="29" t="s">
        <v>37</v>
      </c>
      <c r="D819" s="29" t="s">
        <v>4041</v>
      </c>
      <c r="E819" s="29" t="s">
        <v>206</v>
      </c>
      <c r="F819" s="29" t="s">
        <v>4042</v>
      </c>
      <c r="G819" s="29" t="s">
        <v>4043</v>
      </c>
      <c r="H819" s="29" t="s">
        <v>4019</v>
      </c>
      <c r="I819" s="29" t="s">
        <v>302</v>
      </c>
      <c r="J819" s="29" t="s">
        <v>202</v>
      </c>
      <c r="K819" s="30" t="s">
        <v>44</v>
      </c>
      <c r="L819" s="31"/>
      <c r="M819" s="32" t="s">
        <v>45</v>
      </c>
    </row>
    <row r="820" customFormat="false" ht="51" hidden="false" customHeight="true" outlineLevel="0" collapsed="false">
      <c r="B820" s="29" t="s">
        <v>4044</v>
      </c>
      <c r="C820" s="29" t="s">
        <v>37</v>
      </c>
      <c r="D820" s="29" t="s">
        <v>4045</v>
      </c>
      <c r="E820" s="29" t="s">
        <v>206</v>
      </c>
      <c r="F820" s="29" t="s">
        <v>4046</v>
      </c>
      <c r="G820" s="29" t="s">
        <v>4047</v>
      </c>
      <c r="H820" s="29" t="s">
        <v>4048</v>
      </c>
      <c r="I820" s="29" t="s">
        <v>302</v>
      </c>
      <c r="J820" s="29" t="s">
        <v>202</v>
      </c>
      <c r="K820" s="30" t="s">
        <v>44</v>
      </c>
      <c r="L820" s="31"/>
      <c r="M820" s="32" t="s">
        <v>45</v>
      </c>
    </row>
    <row r="821" customFormat="false" ht="51" hidden="false" customHeight="true" outlineLevel="0" collapsed="false">
      <c r="B821" s="29" t="s">
        <v>4049</v>
      </c>
      <c r="C821" s="29" t="s">
        <v>37</v>
      </c>
      <c r="D821" s="29" t="s">
        <v>4050</v>
      </c>
      <c r="E821" s="29" t="s">
        <v>206</v>
      </c>
      <c r="F821" s="29" t="s">
        <v>4051</v>
      </c>
      <c r="G821" s="29" t="s">
        <v>4052</v>
      </c>
      <c r="H821" s="29" t="s">
        <v>4048</v>
      </c>
      <c r="I821" s="29" t="s">
        <v>302</v>
      </c>
      <c r="J821" s="29" t="s">
        <v>202</v>
      </c>
      <c r="K821" s="30" t="s">
        <v>44</v>
      </c>
      <c r="L821" s="31"/>
      <c r="M821" s="32" t="s">
        <v>45</v>
      </c>
    </row>
    <row r="822" customFormat="false" ht="51" hidden="false" customHeight="true" outlineLevel="0" collapsed="false">
      <c r="B822" s="29" t="s">
        <v>4053</v>
      </c>
      <c r="C822" s="29" t="s">
        <v>37</v>
      </c>
      <c r="D822" s="29" t="s">
        <v>4054</v>
      </c>
      <c r="E822" s="29" t="s">
        <v>206</v>
      </c>
      <c r="F822" s="29" t="s">
        <v>4055</v>
      </c>
      <c r="G822" s="29" t="s">
        <v>4056</v>
      </c>
      <c r="H822" s="29" t="s">
        <v>4048</v>
      </c>
      <c r="I822" s="29" t="s">
        <v>302</v>
      </c>
      <c r="J822" s="29" t="s">
        <v>202</v>
      </c>
      <c r="K822" s="30" t="s">
        <v>44</v>
      </c>
      <c r="L822" s="31"/>
      <c r="M822" s="32" t="s">
        <v>45</v>
      </c>
    </row>
    <row r="823" customFormat="false" ht="51" hidden="false" customHeight="true" outlineLevel="0" collapsed="false">
      <c r="B823" s="29" t="s">
        <v>4057</v>
      </c>
      <c r="C823" s="29" t="s">
        <v>37</v>
      </c>
      <c r="D823" s="29" t="s">
        <v>4058</v>
      </c>
      <c r="E823" s="29" t="s">
        <v>206</v>
      </c>
      <c r="F823" s="29" t="s">
        <v>4059</v>
      </c>
      <c r="G823" s="29" t="s">
        <v>4060</v>
      </c>
      <c r="H823" s="29" t="s">
        <v>4048</v>
      </c>
      <c r="I823" s="29" t="s">
        <v>302</v>
      </c>
      <c r="J823" s="29" t="s">
        <v>202</v>
      </c>
      <c r="K823" s="30" t="s">
        <v>44</v>
      </c>
      <c r="L823" s="31"/>
      <c r="M823" s="32" t="s">
        <v>45</v>
      </c>
    </row>
    <row r="824" customFormat="false" ht="51" hidden="false" customHeight="true" outlineLevel="0" collapsed="false">
      <c r="B824" s="29" t="s">
        <v>4061</v>
      </c>
      <c r="C824" s="29" t="s">
        <v>37</v>
      </c>
      <c r="D824" s="29" t="s">
        <v>4062</v>
      </c>
      <c r="E824" s="29" t="s">
        <v>206</v>
      </c>
      <c r="F824" s="29" t="s">
        <v>4063</v>
      </c>
      <c r="G824" s="29" t="s">
        <v>4064</v>
      </c>
      <c r="H824" s="29" t="s">
        <v>4048</v>
      </c>
      <c r="I824" s="29" t="s">
        <v>302</v>
      </c>
      <c r="J824" s="29" t="s">
        <v>202</v>
      </c>
      <c r="K824" s="30" t="s">
        <v>44</v>
      </c>
      <c r="L824" s="31"/>
      <c r="M824" s="32" t="s">
        <v>45</v>
      </c>
    </row>
    <row r="825" customFormat="false" ht="51" hidden="false" customHeight="true" outlineLevel="0" collapsed="false">
      <c r="B825" s="29" t="s">
        <v>4065</v>
      </c>
      <c r="C825" s="29" t="s">
        <v>37</v>
      </c>
      <c r="D825" s="29" t="s">
        <v>4066</v>
      </c>
      <c r="E825" s="29" t="s">
        <v>206</v>
      </c>
      <c r="F825" s="29" t="s">
        <v>4067</v>
      </c>
      <c r="G825" s="29" t="s">
        <v>4068</v>
      </c>
      <c r="H825" s="29" t="s">
        <v>4048</v>
      </c>
      <c r="I825" s="29" t="s">
        <v>3696</v>
      </c>
      <c r="J825" s="29" t="s">
        <v>155</v>
      </c>
      <c r="K825" s="30" t="s">
        <v>44</v>
      </c>
      <c r="L825" s="31"/>
      <c r="M825" s="32" t="s">
        <v>45</v>
      </c>
    </row>
    <row r="826" customFormat="false" ht="51" hidden="false" customHeight="true" outlineLevel="0" collapsed="false">
      <c r="B826" s="29" t="s">
        <v>4069</v>
      </c>
      <c r="C826" s="29" t="s">
        <v>37</v>
      </c>
      <c r="D826" s="29" t="s">
        <v>4070</v>
      </c>
      <c r="E826" s="29" t="s">
        <v>206</v>
      </c>
      <c r="F826" s="29" t="s">
        <v>4071</v>
      </c>
      <c r="G826" s="29" t="s">
        <v>4072</v>
      </c>
      <c r="H826" s="29" t="s">
        <v>4048</v>
      </c>
      <c r="I826" s="29" t="s">
        <v>302</v>
      </c>
      <c r="J826" s="29" t="s">
        <v>202</v>
      </c>
      <c r="K826" s="30" t="s">
        <v>44</v>
      </c>
      <c r="L826" s="31"/>
      <c r="M826" s="32" t="s">
        <v>45</v>
      </c>
    </row>
    <row r="827" customFormat="false" ht="51" hidden="false" customHeight="true" outlineLevel="0" collapsed="false">
      <c r="B827" s="29" t="s">
        <v>4073</v>
      </c>
      <c r="C827" s="29" t="s">
        <v>37</v>
      </c>
      <c r="D827" s="29" t="s">
        <v>4074</v>
      </c>
      <c r="E827" s="29" t="s">
        <v>206</v>
      </c>
      <c r="F827" s="29" t="s">
        <v>4075</v>
      </c>
      <c r="G827" s="29" t="s">
        <v>4076</v>
      </c>
      <c r="H827" s="29" t="s">
        <v>4048</v>
      </c>
      <c r="I827" s="29" t="s">
        <v>302</v>
      </c>
      <c r="J827" s="29" t="s">
        <v>202</v>
      </c>
      <c r="K827" s="30" t="s">
        <v>44</v>
      </c>
      <c r="L827" s="31"/>
      <c r="M827" s="32" t="s">
        <v>45</v>
      </c>
    </row>
    <row r="828" customFormat="false" ht="51" hidden="false" customHeight="true" outlineLevel="0" collapsed="false">
      <c r="B828" s="29" t="s">
        <v>4077</v>
      </c>
      <c r="C828" s="29" t="s">
        <v>37</v>
      </c>
      <c r="D828" s="29" t="s">
        <v>4078</v>
      </c>
      <c r="E828" s="29" t="s">
        <v>206</v>
      </c>
      <c r="F828" s="29" t="s">
        <v>4079</v>
      </c>
      <c r="G828" s="29" t="s">
        <v>4080</v>
      </c>
      <c r="H828" s="29" t="s">
        <v>4081</v>
      </c>
      <c r="I828" s="29" t="s">
        <v>302</v>
      </c>
      <c r="J828" s="29" t="s">
        <v>202</v>
      </c>
      <c r="K828" s="30" t="s">
        <v>44</v>
      </c>
      <c r="L828" s="31"/>
      <c r="M828" s="32" t="s">
        <v>45</v>
      </c>
    </row>
    <row r="829" customFormat="false" ht="51" hidden="false" customHeight="true" outlineLevel="0" collapsed="false">
      <c r="B829" s="29" t="s">
        <v>4082</v>
      </c>
      <c r="C829" s="29" t="s">
        <v>37</v>
      </c>
      <c r="D829" s="29" t="s">
        <v>4083</v>
      </c>
      <c r="E829" s="29" t="s">
        <v>357</v>
      </c>
      <c r="F829" s="29" t="s">
        <v>4084</v>
      </c>
      <c r="G829" s="29" t="s">
        <v>4085</v>
      </c>
      <c r="H829" s="29" t="s">
        <v>4086</v>
      </c>
      <c r="I829" s="29" t="s">
        <v>3696</v>
      </c>
      <c r="J829" s="29" t="s">
        <v>155</v>
      </c>
      <c r="K829" s="30" t="s">
        <v>44</v>
      </c>
      <c r="L829" s="31"/>
      <c r="M829" s="32" t="s">
        <v>45</v>
      </c>
    </row>
    <row r="830" customFormat="false" ht="51" hidden="false" customHeight="true" outlineLevel="0" collapsed="false">
      <c r="B830" s="29" t="s">
        <v>4087</v>
      </c>
      <c r="C830" s="29" t="s">
        <v>37</v>
      </c>
      <c r="D830" s="29" t="s">
        <v>4088</v>
      </c>
      <c r="E830" s="29" t="s">
        <v>357</v>
      </c>
      <c r="F830" s="29" t="s">
        <v>4089</v>
      </c>
      <c r="G830" s="29" t="s">
        <v>4090</v>
      </c>
      <c r="H830" s="29" t="s">
        <v>4086</v>
      </c>
      <c r="I830" s="29" t="s">
        <v>302</v>
      </c>
      <c r="J830" s="29" t="s">
        <v>202</v>
      </c>
      <c r="K830" s="30" t="s">
        <v>44</v>
      </c>
      <c r="L830" s="31"/>
      <c r="M830" s="32" t="s">
        <v>45</v>
      </c>
    </row>
    <row r="831" customFormat="false" ht="51" hidden="false" customHeight="true" outlineLevel="0" collapsed="false">
      <c r="B831" s="29" t="s">
        <v>4091</v>
      </c>
      <c r="C831" s="29" t="s">
        <v>37</v>
      </c>
      <c r="D831" s="29" t="s">
        <v>4092</v>
      </c>
      <c r="E831" s="29" t="s">
        <v>357</v>
      </c>
      <c r="F831" s="29" t="s">
        <v>4093</v>
      </c>
      <c r="G831" s="29" t="s">
        <v>4093</v>
      </c>
      <c r="H831" s="29" t="s">
        <v>4086</v>
      </c>
      <c r="I831" s="29" t="s">
        <v>302</v>
      </c>
      <c r="J831" s="29" t="s">
        <v>202</v>
      </c>
      <c r="K831" s="30" t="s">
        <v>44</v>
      </c>
      <c r="L831" s="31"/>
      <c r="M831" s="32" t="s">
        <v>45</v>
      </c>
    </row>
    <row r="832" customFormat="false" ht="51" hidden="false" customHeight="true" outlineLevel="0" collapsed="false">
      <c r="B832" s="29" t="s">
        <v>4094</v>
      </c>
      <c r="C832" s="29" t="s">
        <v>37</v>
      </c>
      <c r="D832" s="29" t="s">
        <v>4095</v>
      </c>
      <c r="E832" s="29" t="s">
        <v>357</v>
      </c>
      <c r="F832" s="29" t="s">
        <v>4096</v>
      </c>
      <c r="G832" s="29" t="s">
        <v>4097</v>
      </c>
      <c r="H832" s="29" t="s">
        <v>4098</v>
      </c>
      <c r="I832" s="29" t="s">
        <v>302</v>
      </c>
      <c r="J832" s="29" t="s">
        <v>202</v>
      </c>
      <c r="K832" s="30" t="s">
        <v>44</v>
      </c>
      <c r="L832" s="31"/>
      <c r="M832" s="32" t="s">
        <v>45</v>
      </c>
    </row>
    <row r="833" customFormat="false" ht="51" hidden="false" customHeight="true" outlineLevel="0" collapsed="false">
      <c r="B833" s="29" t="s">
        <v>4099</v>
      </c>
      <c r="C833" s="29" t="s">
        <v>37</v>
      </c>
      <c r="D833" s="29" t="s">
        <v>4100</v>
      </c>
      <c r="E833" s="29" t="s">
        <v>600</v>
      </c>
      <c r="F833" s="29" t="s">
        <v>4101</v>
      </c>
      <c r="G833" s="29" t="s">
        <v>4101</v>
      </c>
      <c r="H833" s="29" t="s">
        <v>4102</v>
      </c>
      <c r="I833" s="29" t="s">
        <v>472</v>
      </c>
      <c r="J833" s="29" t="s">
        <v>472</v>
      </c>
      <c r="K833" s="30" t="s">
        <v>44</v>
      </c>
      <c r="L833" s="31"/>
      <c r="M833" s="32" t="s">
        <v>45</v>
      </c>
    </row>
    <row r="834" customFormat="false" ht="51" hidden="false" customHeight="true" outlineLevel="0" collapsed="false">
      <c r="B834" s="29" t="s">
        <v>4103</v>
      </c>
      <c r="C834" s="29" t="s">
        <v>37</v>
      </c>
      <c r="D834" s="29" t="s">
        <v>4104</v>
      </c>
      <c r="E834" s="29" t="s">
        <v>600</v>
      </c>
      <c r="F834" s="29" t="s">
        <v>4105</v>
      </c>
      <c r="G834" s="29" t="s">
        <v>4106</v>
      </c>
      <c r="H834" s="29" t="s">
        <v>4102</v>
      </c>
      <c r="I834" s="29" t="s">
        <v>472</v>
      </c>
      <c r="J834" s="29" t="s">
        <v>472</v>
      </c>
      <c r="K834" s="30" t="s">
        <v>44</v>
      </c>
      <c r="L834" s="31"/>
      <c r="M834" s="32" t="s">
        <v>45</v>
      </c>
    </row>
    <row r="835" customFormat="false" ht="51" hidden="false" customHeight="true" outlineLevel="0" collapsed="false">
      <c r="B835" s="29" t="s">
        <v>4107</v>
      </c>
      <c r="C835" s="29" t="s">
        <v>37</v>
      </c>
      <c r="D835" s="29" t="s">
        <v>4108</v>
      </c>
      <c r="E835" s="29" t="s">
        <v>357</v>
      </c>
      <c r="F835" s="29" t="s">
        <v>4109</v>
      </c>
      <c r="G835" s="29" t="s">
        <v>4110</v>
      </c>
      <c r="H835" s="29" t="s">
        <v>4098</v>
      </c>
      <c r="I835" s="29" t="s">
        <v>302</v>
      </c>
      <c r="J835" s="29" t="s">
        <v>202</v>
      </c>
      <c r="K835" s="30" t="s">
        <v>44</v>
      </c>
      <c r="L835" s="31"/>
      <c r="M835" s="32" t="s">
        <v>45</v>
      </c>
    </row>
    <row r="836" customFormat="false" ht="51" hidden="false" customHeight="true" outlineLevel="0" collapsed="false">
      <c r="B836" s="29" t="s">
        <v>4111</v>
      </c>
      <c r="C836" s="29" t="s">
        <v>37</v>
      </c>
      <c r="D836" s="29" t="s">
        <v>4112</v>
      </c>
      <c r="E836" s="29" t="s">
        <v>600</v>
      </c>
      <c r="F836" s="29" t="s">
        <v>4113</v>
      </c>
      <c r="G836" s="29" t="s">
        <v>4114</v>
      </c>
      <c r="H836" s="29" t="s">
        <v>4102</v>
      </c>
      <c r="I836" s="29" t="s">
        <v>472</v>
      </c>
      <c r="J836" s="29" t="s">
        <v>472</v>
      </c>
      <c r="K836" s="30" t="s">
        <v>44</v>
      </c>
      <c r="L836" s="31"/>
      <c r="M836" s="32" t="s">
        <v>45</v>
      </c>
    </row>
    <row r="837" customFormat="false" ht="51" hidden="false" customHeight="true" outlineLevel="0" collapsed="false">
      <c r="B837" s="29" t="s">
        <v>4115</v>
      </c>
      <c r="C837" s="29" t="s">
        <v>37</v>
      </c>
      <c r="D837" s="29" t="s">
        <v>4116</v>
      </c>
      <c r="E837" s="29" t="s">
        <v>340</v>
      </c>
      <c r="F837" s="29" t="s">
        <v>4117</v>
      </c>
      <c r="G837" s="29" t="s">
        <v>4118</v>
      </c>
      <c r="H837" s="29" t="s">
        <v>4098</v>
      </c>
      <c r="I837" s="29" t="s">
        <v>302</v>
      </c>
      <c r="J837" s="29" t="s">
        <v>202</v>
      </c>
      <c r="K837" s="30" t="s">
        <v>44</v>
      </c>
      <c r="L837" s="31"/>
      <c r="M837" s="32" t="s">
        <v>45</v>
      </c>
    </row>
    <row r="838" customFormat="false" ht="51" hidden="false" customHeight="true" outlineLevel="0" collapsed="false">
      <c r="B838" s="29" t="s">
        <v>4119</v>
      </c>
      <c r="C838" s="29" t="s">
        <v>37</v>
      </c>
      <c r="D838" s="29" t="s">
        <v>4120</v>
      </c>
      <c r="E838" s="29" t="s">
        <v>600</v>
      </c>
      <c r="F838" s="29" t="s">
        <v>4121</v>
      </c>
      <c r="G838" s="29" t="s">
        <v>4121</v>
      </c>
      <c r="H838" s="29" t="s">
        <v>4102</v>
      </c>
      <c r="I838" s="29" t="s">
        <v>472</v>
      </c>
      <c r="J838" s="29" t="s">
        <v>472</v>
      </c>
      <c r="K838" s="30" t="s">
        <v>44</v>
      </c>
      <c r="L838" s="31"/>
      <c r="M838" s="32" t="s">
        <v>45</v>
      </c>
    </row>
    <row r="839" customFormat="false" ht="51" hidden="false" customHeight="true" outlineLevel="0" collapsed="false">
      <c r="B839" s="29" t="s">
        <v>4122</v>
      </c>
      <c r="C839" s="29" t="s">
        <v>37</v>
      </c>
      <c r="D839" s="29" t="s">
        <v>4123</v>
      </c>
      <c r="E839" s="29" t="s">
        <v>357</v>
      </c>
      <c r="F839" s="29" t="s">
        <v>4124</v>
      </c>
      <c r="G839" s="29" t="s">
        <v>4125</v>
      </c>
      <c r="H839" s="29" t="s">
        <v>4126</v>
      </c>
      <c r="I839" s="29" t="s">
        <v>302</v>
      </c>
      <c r="J839" s="29" t="s">
        <v>202</v>
      </c>
      <c r="K839" s="30" t="s">
        <v>44</v>
      </c>
      <c r="L839" s="31"/>
      <c r="M839" s="32" t="s">
        <v>45</v>
      </c>
    </row>
    <row r="840" customFormat="false" ht="51" hidden="false" customHeight="true" outlineLevel="0" collapsed="false">
      <c r="B840" s="29" t="s">
        <v>4127</v>
      </c>
      <c r="C840" s="29" t="s">
        <v>37</v>
      </c>
      <c r="D840" s="29" t="s">
        <v>4128</v>
      </c>
      <c r="E840" s="29" t="s">
        <v>340</v>
      </c>
      <c r="F840" s="29" t="s">
        <v>4129</v>
      </c>
      <c r="G840" s="29" t="s">
        <v>4130</v>
      </c>
      <c r="H840" s="29" t="s">
        <v>4126</v>
      </c>
      <c r="I840" s="29" t="s">
        <v>302</v>
      </c>
      <c r="J840" s="29" t="s">
        <v>202</v>
      </c>
      <c r="K840" s="30" t="s">
        <v>44</v>
      </c>
      <c r="L840" s="31"/>
      <c r="M840" s="32" t="s">
        <v>45</v>
      </c>
    </row>
    <row r="841" customFormat="false" ht="51" hidden="false" customHeight="true" outlineLevel="0" collapsed="false">
      <c r="B841" s="29" t="s">
        <v>4131</v>
      </c>
      <c r="C841" s="29" t="s">
        <v>37</v>
      </c>
      <c r="D841" s="29" t="s">
        <v>4132</v>
      </c>
      <c r="E841" s="29" t="s">
        <v>340</v>
      </c>
      <c r="F841" s="29" t="s">
        <v>4133</v>
      </c>
      <c r="G841" s="29" t="s">
        <v>4134</v>
      </c>
      <c r="H841" s="29" t="s">
        <v>4126</v>
      </c>
      <c r="I841" s="29" t="s">
        <v>302</v>
      </c>
      <c r="J841" s="29" t="s">
        <v>202</v>
      </c>
      <c r="K841" s="30" t="s">
        <v>44</v>
      </c>
      <c r="L841" s="31"/>
      <c r="M841" s="32" t="s">
        <v>45</v>
      </c>
    </row>
    <row r="842" customFormat="false" ht="51" hidden="false" customHeight="true" outlineLevel="0" collapsed="false">
      <c r="B842" s="29" t="s">
        <v>4135</v>
      </c>
      <c r="C842" s="29" t="s">
        <v>37</v>
      </c>
      <c r="D842" s="29" t="s">
        <v>4136</v>
      </c>
      <c r="E842" s="29" t="s">
        <v>340</v>
      </c>
      <c r="F842" s="29" t="s">
        <v>4137</v>
      </c>
      <c r="G842" s="29" t="s">
        <v>4138</v>
      </c>
      <c r="H842" s="29" t="s">
        <v>4126</v>
      </c>
      <c r="I842" s="29" t="s">
        <v>302</v>
      </c>
      <c r="J842" s="29" t="s">
        <v>202</v>
      </c>
      <c r="K842" s="30" t="s">
        <v>44</v>
      </c>
      <c r="L842" s="31"/>
      <c r="M842" s="32" t="s">
        <v>45</v>
      </c>
    </row>
    <row r="843" customFormat="false" ht="51" hidden="false" customHeight="true" outlineLevel="0" collapsed="false">
      <c r="B843" s="29" t="s">
        <v>4139</v>
      </c>
      <c r="C843" s="29" t="s">
        <v>37</v>
      </c>
      <c r="D843" s="29" t="s">
        <v>4140</v>
      </c>
      <c r="E843" s="29" t="s">
        <v>357</v>
      </c>
      <c r="F843" s="29" t="s">
        <v>4141</v>
      </c>
      <c r="G843" s="29" t="s">
        <v>4142</v>
      </c>
      <c r="H843" s="29" t="s">
        <v>4126</v>
      </c>
      <c r="I843" s="29" t="s">
        <v>302</v>
      </c>
      <c r="J843" s="29" t="s">
        <v>202</v>
      </c>
      <c r="K843" s="30" t="s">
        <v>44</v>
      </c>
      <c r="L843" s="31"/>
      <c r="M843" s="32" t="s">
        <v>45</v>
      </c>
    </row>
    <row r="844" customFormat="false" ht="51" hidden="false" customHeight="true" outlineLevel="0" collapsed="false">
      <c r="B844" s="29" t="s">
        <v>4143</v>
      </c>
      <c r="C844" s="29" t="s">
        <v>37</v>
      </c>
      <c r="D844" s="29" t="s">
        <v>4144</v>
      </c>
      <c r="E844" s="29" t="s">
        <v>340</v>
      </c>
      <c r="F844" s="29" t="s">
        <v>4145</v>
      </c>
      <c r="G844" s="29" t="s">
        <v>4146</v>
      </c>
      <c r="H844" s="29" t="s">
        <v>4126</v>
      </c>
      <c r="I844" s="29" t="s">
        <v>302</v>
      </c>
      <c r="J844" s="29" t="s">
        <v>202</v>
      </c>
      <c r="K844" s="30" t="s">
        <v>44</v>
      </c>
      <c r="L844" s="31"/>
      <c r="M844" s="32" t="s">
        <v>45</v>
      </c>
    </row>
    <row r="845" customFormat="false" ht="51" hidden="false" customHeight="true" outlineLevel="0" collapsed="false">
      <c r="B845" s="29" t="s">
        <v>4147</v>
      </c>
      <c r="C845" s="29" t="s">
        <v>37</v>
      </c>
      <c r="D845" s="29" t="s">
        <v>4148</v>
      </c>
      <c r="E845" s="29" t="s">
        <v>340</v>
      </c>
      <c r="F845" s="29" t="s">
        <v>4149</v>
      </c>
      <c r="G845" s="29" t="s">
        <v>4150</v>
      </c>
      <c r="H845" s="29" t="s">
        <v>4126</v>
      </c>
      <c r="I845" s="29" t="s">
        <v>302</v>
      </c>
      <c r="J845" s="29" t="s">
        <v>202</v>
      </c>
      <c r="K845" s="30" t="s">
        <v>44</v>
      </c>
      <c r="L845" s="31"/>
      <c r="M845" s="32" t="s">
        <v>45</v>
      </c>
    </row>
    <row r="846" customFormat="false" ht="51" hidden="false" customHeight="true" outlineLevel="0" collapsed="false">
      <c r="B846" s="29" t="s">
        <v>4151</v>
      </c>
      <c r="C846" s="29" t="s">
        <v>37</v>
      </c>
      <c r="D846" s="29" t="s">
        <v>4152</v>
      </c>
      <c r="E846" s="29" t="s">
        <v>357</v>
      </c>
      <c r="F846" s="29" t="s">
        <v>4153</v>
      </c>
      <c r="G846" s="29" t="s">
        <v>4154</v>
      </c>
      <c r="H846" s="29" t="s">
        <v>4126</v>
      </c>
      <c r="I846" s="29" t="s">
        <v>302</v>
      </c>
      <c r="J846" s="29" t="s">
        <v>202</v>
      </c>
      <c r="K846" s="30" t="s">
        <v>44</v>
      </c>
      <c r="L846" s="31"/>
      <c r="M846" s="32" t="s">
        <v>45</v>
      </c>
    </row>
    <row r="847" customFormat="false" ht="51" hidden="false" customHeight="true" outlineLevel="0" collapsed="false">
      <c r="B847" s="29" t="s">
        <v>4155</v>
      </c>
      <c r="C847" s="29" t="s">
        <v>37</v>
      </c>
      <c r="D847" s="29" t="s">
        <v>4156</v>
      </c>
      <c r="E847" s="29" t="s">
        <v>340</v>
      </c>
      <c r="F847" s="29" t="s">
        <v>4157</v>
      </c>
      <c r="G847" s="29" t="s">
        <v>4158</v>
      </c>
      <c r="H847" s="29" t="s">
        <v>4126</v>
      </c>
      <c r="I847" s="29" t="s">
        <v>302</v>
      </c>
      <c r="J847" s="29" t="s">
        <v>202</v>
      </c>
      <c r="K847" s="30" t="s">
        <v>44</v>
      </c>
      <c r="L847" s="31"/>
      <c r="M847" s="32" t="s">
        <v>45</v>
      </c>
    </row>
    <row r="848" customFormat="false" ht="51" hidden="false" customHeight="true" outlineLevel="0" collapsed="false">
      <c r="B848" s="29" t="s">
        <v>4159</v>
      </c>
      <c r="C848" s="29" t="s">
        <v>37</v>
      </c>
      <c r="D848" s="29" t="s">
        <v>4160</v>
      </c>
      <c r="E848" s="29" t="s">
        <v>340</v>
      </c>
      <c r="F848" s="29" t="s">
        <v>4161</v>
      </c>
      <c r="G848" s="29" t="s">
        <v>4162</v>
      </c>
      <c r="H848" s="29" t="s">
        <v>4126</v>
      </c>
      <c r="I848" s="29" t="s">
        <v>302</v>
      </c>
      <c r="J848" s="29" t="s">
        <v>202</v>
      </c>
      <c r="K848" s="30" t="s">
        <v>44</v>
      </c>
      <c r="L848" s="31"/>
      <c r="M848" s="32" t="s">
        <v>45</v>
      </c>
    </row>
    <row r="849" customFormat="false" ht="51" hidden="false" customHeight="true" outlineLevel="0" collapsed="false">
      <c r="B849" s="29" t="s">
        <v>4163</v>
      </c>
      <c r="C849" s="29" t="s">
        <v>37</v>
      </c>
      <c r="D849" s="29" t="s">
        <v>4164</v>
      </c>
      <c r="E849" s="29" t="s">
        <v>543</v>
      </c>
      <c r="F849" s="29" t="s">
        <v>4165</v>
      </c>
      <c r="G849" s="29" t="s">
        <v>4165</v>
      </c>
      <c r="H849" s="29" t="s">
        <v>4166</v>
      </c>
      <c r="I849" s="29" t="s">
        <v>472</v>
      </c>
      <c r="J849" s="29" t="s">
        <v>472</v>
      </c>
      <c r="K849" s="30" t="s">
        <v>44</v>
      </c>
      <c r="L849" s="31"/>
      <c r="M849" s="32" t="s">
        <v>45</v>
      </c>
    </row>
    <row r="850" customFormat="false" ht="51" hidden="false" customHeight="true" outlineLevel="0" collapsed="false">
      <c r="B850" s="29" t="s">
        <v>4167</v>
      </c>
      <c r="C850" s="29" t="s">
        <v>37</v>
      </c>
      <c r="D850" s="29" t="s">
        <v>4168</v>
      </c>
      <c r="E850" s="29" t="s">
        <v>340</v>
      </c>
      <c r="F850" s="29" t="s">
        <v>4169</v>
      </c>
      <c r="G850" s="29" t="s">
        <v>4170</v>
      </c>
      <c r="H850" s="29" t="s">
        <v>4171</v>
      </c>
      <c r="I850" s="29" t="s">
        <v>302</v>
      </c>
      <c r="J850" s="29" t="s">
        <v>202</v>
      </c>
      <c r="K850" s="30" t="s">
        <v>44</v>
      </c>
      <c r="L850" s="31"/>
      <c r="M850" s="32" t="s">
        <v>45</v>
      </c>
    </row>
    <row r="851" customFormat="false" ht="51" hidden="false" customHeight="true" outlineLevel="0" collapsed="false">
      <c r="B851" s="29" t="s">
        <v>4172</v>
      </c>
      <c r="C851" s="29" t="s">
        <v>37</v>
      </c>
      <c r="D851" s="29" t="s">
        <v>4173</v>
      </c>
      <c r="E851" s="29" t="s">
        <v>357</v>
      </c>
      <c r="F851" s="29" t="s">
        <v>4174</v>
      </c>
      <c r="G851" s="29" t="s">
        <v>4175</v>
      </c>
      <c r="H851" s="29" t="s">
        <v>4171</v>
      </c>
      <c r="I851" s="29" t="s">
        <v>3696</v>
      </c>
      <c r="J851" s="29" t="s">
        <v>155</v>
      </c>
      <c r="K851" s="30" t="s">
        <v>44</v>
      </c>
      <c r="L851" s="31"/>
      <c r="M851" s="32" t="s">
        <v>45</v>
      </c>
    </row>
    <row r="852" customFormat="false" ht="51" hidden="false" customHeight="true" outlineLevel="0" collapsed="false">
      <c r="B852" s="29" t="s">
        <v>4176</v>
      </c>
      <c r="C852" s="29" t="s">
        <v>37</v>
      </c>
      <c r="D852" s="29" t="s">
        <v>4177</v>
      </c>
      <c r="E852" s="29" t="s">
        <v>543</v>
      </c>
      <c r="F852" s="29" t="s">
        <v>4178</v>
      </c>
      <c r="G852" s="29" t="s">
        <v>4179</v>
      </c>
      <c r="H852" s="29" t="s">
        <v>4180</v>
      </c>
      <c r="I852" s="29" t="s">
        <v>472</v>
      </c>
      <c r="J852" s="29" t="s">
        <v>472</v>
      </c>
      <c r="K852" s="30" t="s">
        <v>44</v>
      </c>
      <c r="L852" s="31"/>
      <c r="M852" s="32" t="s">
        <v>45</v>
      </c>
    </row>
    <row r="853" customFormat="false" ht="51" hidden="false" customHeight="true" outlineLevel="0" collapsed="false">
      <c r="B853" s="29" t="s">
        <v>4181</v>
      </c>
      <c r="C853" s="29" t="s">
        <v>37</v>
      </c>
      <c r="D853" s="29" t="s">
        <v>4182</v>
      </c>
      <c r="E853" s="29" t="s">
        <v>543</v>
      </c>
      <c r="F853" s="29" t="s">
        <v>4183</v>
      </c>
      <c r="G853" s="29" t="s">
        <v>4183</v>
      </c>
      <c r="H853" s="29" t="s">
        <v>4180</v>
      </c>
      <c r="I853" s="29" t="s">
        <v>472</v>
      </c>
      <c r="J853" s="29" t="s">
        <v>472</v>
      </c>
      <c r="K853" s="30" t="s">
        <v>44</v>
      </c>
      <c r="L853" s="31"/>
      <c r="M853" s="32" t="s">
        <v>45</v>
      </c>
    </row>
    <row r="854" customFormat="false" ht="51" hidden="false" customHeight="true" outlineLevel="0" collapsed="false">
      <c r="B854" s="29" t="s">
        <v>4184</v>
      </c>
      <c r="C854" s="29" t="s">
        <v>37</v>
      </c>
      <c r="D854" s="29" t="s">
        <v>4185</v>
      </c>
      <c r="E854" s="29" t="s">
        <v>340</v>
      </c>
      <c r="F854" s="29" t="s">
        <v>4186</v>
      </c>
      <c r="G854" s="29" t="s">
        <v>4187</v>
      </c>
      <c r="H854" s="29" t="s">
        <v>4171</v>
      </c>
      <c r="I854" s="29" t="s">
        <v>302</v>
      </c>
      <c r="J854" s="29" t="s">
        <v>202</v>
      </c>
      <c r="K854" s="30" t="s">
        <v>44</v>
      </c>
      <c r="L854" s="31"/>
      <c r="M854" s="32" t="s">
        <v>45</v>
      </c>
    </row>
    <row r="855" customFormat="false" ht="51" hidden="false" customHeight="true" outlineLevel="0" collapsed="false">
      <c r="B855" s="29" t="s">
        <v>4188</v>
      </c>
      <c r="C855" s="29" t="s">
        <v>37</v>
      </c>
      <c r="D855" s="29" t="s">
        <v>4189</v>
      </c>
      <c r="E855" s="29" t="s">
        <v>600</v>
      </c>
      <c r="F855" s="29" t="s">
        <v>4190</v>
      </c>
      <c r="G855" s="29" t="s">
        <v>4191</v>
      </c>
      <c r="H855" s="29" t="s">
        <v>4180</v>
      </c>
      <c r="I855" s="29" t="s">
        <v>472</v>
      </c>
      <c r="J855" s="29" t="s">
        <v>472</v>
      </c>
      <c r="K855" s="30" t="s">
        <v>44</v>
      </c>
      <c r="L855" s="31"/>
      <c r="M855" s="32" t="s">
        <v>45</v>
      </c>
    </row>
    <row r="856" customFormat="false" ht="51" hidden="false" customHeight="true" outlineLevel="0" collapsed="false">
      <c r="B856" s="29" t="s">
        <v>4192</v>
      </c>
      <c r="C856" s="29" t="s">
        <v>37</v>
      </c>
      <c r="D856" s="29" t="s">
        <v>4193</v>
      </c>
      <c r="E856" s="29" t="s">
        <v>357</v>
      </c>
      <c r="F856" s="29" t="s">
        <v>4194</v>
      </c>
      <c r="G856" s="29" t="s">
        <v>4195</v>
      </c>
      <c r="H856" s="29" t="s">
        <v>4171</v>
      </c>
      <c r="I856" s="29" t="s">
        <v>302</v>
      </c>
      <c r="J856" s="29" t="s">
        <v>202</v>
      </c>
      <c r="K856" s="30" t="s">
        <v>44</v>
      </c>
      <c r="L856" s="31"/>
      <c r="M856" s="32" t="s">
        <v>45</v>
      </c>
    </row>
    <row r="857" customFormat="false" ht="51" hidden="false" customHeight="true" outlineLevel="0" collapsed="false">
      <c r="B857" s="29" t="s">
        <v>4196</v>
      </c>
      <c r="C857" s="29" t="s">
        <v>37</v>
      </c>
      <c r="D857" s="29" t="s">
        <v>4197</v>
      </c>
      <c r="E857" s="29" t="s">
        <v>206</v>
      </c>
      <c r="F857" s="29" t="s">
        <v>4198</v>
      </c>
      <c r="G857" s="29" t="s">
        <v>4199</v>
      </c>
      <c r="H857" s="29" t="s">
        <v>4171</v>
      </c>
      <c r="I857" s="29" t="s">
        <v>302</v>
      </c>
      <c r="J857" s="29" t="s">
        <v>202</v>
      </c>
      <c r="K857" s="30" t="s">
        <v>44</v>
      </c>
      <c r="L857" s="31"/>
      <c r="M857" s="32" t="s">
        <v>45</v>
      </c>
    </row>
    <row r="858" customFormat="false" ht="51" hidden="false" customHeight="true" outlineLevel="0" collapsed="false">
      <c r="B858" s="29" t="s">
        <v>4200</v>
      </c>
      <c r="C858" s="29" t="s">
        <v>37</v>
      </c>
      <c r="D858" s="29" t="s">
        <v>4201</v>
      </c>
      <c r="E858" s="29" t="s">
        <v>340</v>
      </c>
      <c r="F858" s="29" t="s">
        <v>4202</v>
      </c>
      <c r="G858" s="29" t="s">
        <v>4203</v>
      </c>
      <c r="H858" s="29" t="s">
        <v>4171</v>
      </c>
      <c r="I858" s="29" t="s">
        <v>302</v>
      </c>
      <c r="J858" s="29" t="s">
        <v>202</v>
      </c>
      <c r="K858" s="30" t="s">
        <v>44</v>
      </c>
      <c r="L858" s="31"/>
      <c r="M858" s="32" t="s">
        <v>45</v>
      </c>
    </row>
    <row r="859" customFormat="false" ht="51" hidden="false" customHeight="true" outlineLevel="0" collapsed="false">
      <c r="B859" s="29" t="s">
        <v>4204</v>
      </c>
      <c r="C859" s="29" t="s">
        <v>37</v>
      </c>
      <c r="D859" s="29" t="s">
        <v>4205</v>
      </c>
      <c r="E859" s="29" t="s">
        <v>351</v>
      </c>
      <c r="F859" s="29" t="s">
        <v>4206</v>
      </c>
      <c r="G859" s="29" t="s">
        <v>4207</v>
      </c>
      <c r="H859" s="29" t="s">
        <v>4208</v>
      </c>
      <c r="I859" s="29" t="s">
        <v>302</v>
      </c>
      <c r="J859" s="29" t="s">
        <v>202</v>
      </c>
      <c r="K859" s="30" t="s">
        <v>44</v>
      </c>
      <c r="L859" s="31"/>
      <c r="M859" s="32" t="s">
        <v>45</v>
      </c>
    </row>
    <row r="860" customFormat="false" ht="51" hidden="false" customHeight="true" outlineLevel="0" collapsed="false">
      <c r="B860" s="29" t="s">
        <v>4209</v>
      </c>
      <c r="C860" s="29" t="s">
        <v>37</v>
      </c>
      <c r="D860" s="29" t="s">
        <v>4210</v>
      </c>
      <c r="E860" s="29" t="s">
        <v>351</v>
      </c>
      <c r="F860" s="29" t="s">
        <v>4211</v>
      </c>
      <c r="G860" s="29" t="s">
        <v>4212</v>
      </c>
      <c r="H860" s="29" t="s">
        <v>4208</v>
      </c>
      <c r="I860" s="29" t="s">
        <v>302</v>
      </c>
      <c r="J860" s="29" t="s">
        <v>202</v>
      </c>
      <c r="K860" s="30" t="s">
        <v>44</v>
      </c>
      <c r="L860" s="31"/>
      <c r="M860" s="32" t="s">
        <v>45</v>
      </c>
    </row>
    <row r="861" customFormat="false" ht="51" hidden="false" customHeight="true" outlineLevel="0" collapsed="false">
      <c r="B861" s="29" t="s">
        <v>4213</v>
      </c>
      <c r="C861" s="29" t="s">
        <v>37</v>
      </c>
      <c r="D861" s="29" t="s">
        <v>4214</v>
      </c>
      <c r="E861" s="29" t="s">
        <v>351</v>
      </c>
      <c r="F861" s="29" t="s">
        <v>4215</v>
      </c>
      <c r="G861" s="29" t="s">
        <v>4216</v>
      </c>
      <c r="H861" s="29" t="s">
        <v>4208</v>
      </c>
      <c r="I861" s="29" t="s">
        <v>302</v>
      </c>
      <c r="J861" s="29" t="s">
        <v>202</v>
      </c>
      <c r="K861" s="30" t="s">
        <v>44</v>
      </c>
      <c r="L861" s="31"/>
      <c r="M861" s="32" t="s">
        <v>45</v>
      </c>
    </row>
    <row r="862" customFormat="false" ht="51" hidden="false" customHeight="true" outlineLevel="0" collapsed="false">
      <c r="B862" s="29" t="s">
        <v>4217</v>
      </c>
      <c r="C862" s="29" t="s">
        <v>37</v>
      </c>
      <c r="D862" s="29" t="s">
        <v>4218</v>
      </c>
      <c r="E862" s="29" t="s">
        <v>351</v>
      </c>
      <c r="F862" s="29" t="s">
        <v>4219</v>
      </c>
      <c r="G862" s="29" t="s">
        <v>4220</v>
      </c>
      <c r="H862" s="29" t="s">
        <v>4208</v>
      </c>
      <c r="I862" s="29" t="s">
        <v>302</v>
      </c>
      <c r="J862" s="29" t="s">
        <v>202</v>
      </c>
      <c r="K862" s="30" t="s">
        <v>44</v>
      </c>
      <c r="L862" s="31"/>
      <c r="M862" s="32" t="s">
        <v>45</v>
      </c>
    </row>
    <row r="863" customFormat="false" ht="51" hidden="false" customHeight="true" outlineLevel="0" collapsed="false">
      <c r="B863" s="29" t="s">
        <v>4221</v>
      </c>
      <c r="C863" s="29" t="s">
        <v>37</v>
      </c>
      <c r="D863" s="29" t="s">
        <v>4222</v>
      </c>
      <c r="E863" s="29" t="s">
        <v>351</v>
      </c>
      <c r="F863" s="29" t="s">
        <v>4223</v>
      </c>
      <c r="G863" s="29" t="s">
        <v>4224</v>
      </c>
      <c r="H863" s="29" t="s">
        <v>4208</v>
      </c>
      <c r="I863" s="29" t="s">
        <v>302</v>
      </c>
      <c r="J863" s="29" t="s">
        <v>202</v>
      </c>
      <c r="K863" s="30" t="s">
        <v>44</v>
      </c>
      <c r="L863" s="31"/>
      <c r="M863" s="32" t="s">
        <v>45</v>
      </c>
    </row>
    <row r="864" customFormat="false" ht="51" hidden="false" customHeight="true" outlineLevel="0" collapsed="false">
      <c r="B864" s="29" t="s">
        <v>4225</v>
      </c>
      <c r="C864" s="29" t="s">
        <v>37</v>
      </c>
      <c r="D864" s="29" t="s">
        <v>4226</v>
      </c>
      <c r="E864" s="29" t="s">
        <v>351</v>
      </c>
      <c r="F864" s="29" t="s">
        <v>4227</v>
      </c>
      <c r="G864" s="29" t="s">
        <v>4228</v>
      </c>
      <c r="H864" s="29" t="s">
        <v>4208</v>
      </c>
      <c r="I864" s="29" t="s">
        <v>302</v>
      </c>
      <c r="J864" s="29" t="s">
        <v>202</v>
      </c>
      <c r="K864" s="30" t="s">
        <v>44</v>
      </c>
      <c r="L864" s="31"/>
      <c r="M864" s="32" t="s">
        <v>45</v>
      </c>
    </row>
    <row r="865" customFormat="false" ht="51" hidden="false" customHeight="true" outlineLevel="0" collapsed="false">
      <c r="B865" s="29" t="s">
        <v>4229</v>
      </c>
      <c r="C865" s="29" t="s">
        <v>37</v>
      </c>
      <c r="D865" s="29" t="s">
        <v>4230</v>
      </c>
      <c r="E865" s="29" t="s">
        <v>351</v>
      </c>
      <c r="F865" s="29" t="s">
        <v>4231</v>
      </c>
      <c r="G865" s="29" t="s">
        <v>4232</v>
      </c>
      <c r="H865" s="29" t="s">
        <v>4233</v>
      </c>
      <c r="I865" s="29" t="s">
        <v>472</v>
      </c>
      <c r="J865" s="29" t="s">
        <v>472</v>
      </c>
      <c r="K865" s="30" t="s">
        <v>44</v>
      </c>
      <c r="L865" s="31"/>
      <c r="M865" s="32" t="s">
        <v>45</v>
      </c>
    </row>
    <row r="866" customFormat="false" ht="51" hidden="false" customHeight="true" outlineLevel="0" collapsed="false">
      <c r="B866" s="29" t="s">
        <v>4234</v>
      </c>
      <c r="C866" s="29" t="s">
        <v>37</v>
      </c>
      <c r="D866" s="29" t="s">
        <v>4235</v>
      </c>
      <c r="E866" s="29" t="s">
        <v>351</v>
      </c>
      <c r="F866" s="29" t="s">
        <v>4236</v>
      </c>
      <c r="G866" s="29" t="s">
        <v>4236</v>
      </c>
      <c r="H866" s="29" t="s">
        <v>4233</v>
      </c>
      <c r="I866" s="29" t="s">
        <v>472</v>
      </c>
      <c r="J866" s="29" t="s">
        <v>472</v>
      </c>
      <c r="K866" s="30" t="s">
        <v>44</v>
      </c>
      <c r="L866" s="31"/>
      <c r="M866" s="32" t="s">
        <v>45</v>
      </c>
    </row>
    <row r="867" customFormat="false" ht="51" hidden="false" customHeight="true" outlineLevel="0" collapsed="false">
      <c r="B867" s="29" t="s">
        <v>4237</v>
      </c>
      <c r="C867" s="29" t="s">
        <v>37</v>
      </c>
      <c r="D867" s="29" t="s">
        <v>4238</v>
      </c>
      <c r="E867" s="29" t="s">
        <v>351</v>
      </c>
      <c r="F867" s="29" t="s">
        <v>4239</v>
      </c>
      <c r="G867" s="29" t="s">
        <v>4240</v>
      </c>
      <c r="H867" s="29" t="s">
        <v>4233</v>
      </c>
      <c r="I867" s="29" t="s">
        <v>472</v>
      </c>
      <c r="J867" s="29" t="s">
        <v>472</v>
      </c>
      <c r="K867" s="30" t="s">
        <v>44</v>
      </c>
      <c r="L867" s="31"/>
      <c r="M867" s="32" t="s">
        <v>45</v>
      </c>
    </row>
    <row r="868" customFormat="false" ht="51" hidden="false" customHeight="true" outlineLevel="0" collapsed="false">
      <c r="B868" s="29" t="s">
        <v>4241</v>
      </c>
      <c r="C868" s="29" t="s">
        <v>37</v>
      </c>
      <c r="D868" s="29" t="s">
        <v>4242</v>
      </c>
      <c r="E868" s="29" t="s">
        <v>351</v>
      </c>
      <c r="F868" s="29" t="s">
        <v>4243</v>
      </c>
      <c r="G868" s="29" t="s">
        <v>4244</v>
      </c>
      <c r="H868" s="29" t="s">
        <v>4208</v>
      </c>
      <c r="I868" s="29" t="s">
        <v>302</v>
      </c>
      <c r="J868" s="29" t="s">
        <v>202</v>
      </c>
      <c r="K868" s="30" t="s">
        <v>44</v>
      </c>
      <c r="L868" s="31"/>
      <c r="M868" s="32" t="s">
        <v>45</v>
      </c>
    </row>
    <row r="869" customFormat="false" ht="51" hidden="false" customHeight="true" outlineLevel="0" collapsed="false">
      <c r="B869" s="29" t="s">
        <v>4245</v>
      </c>
      <c r="C869" s="29" t="s">
        <v>37</v>
      </c>
      <c r="D869" s="29" t="s">
        <v>4246</v>
      </c>
      <c r="E869" s="29" t="s">
        <v>206</v>
      </c>
      <c r="F869" s="29" t="s">
        <v>4247</v>
      </c>
      <c r="G869" s="29" t="s">
        <v>4248</v>
      </c>
      <c r="H869" s="29" t="s">
        <v>4249</v>
      </c>
      <c r="I869" s="29" t="s">
        <v>302</v>
      </c>
      <c r="J869" s="29" t="s">
        <v>202</v>
      </c>
      <c r="K869" s="30" t="s">
        <v>44</v>
      </c>
      <c r="L869" s="31"/>
      <c r="M869" s="32" t="s">
        <v>45</v>
      </c>
    </row>
    <row r="870" customFormat="false" ht="51" hidden="false" customHeight="true" outlineLevel="0" collapsed="false">
      <c r="B870" s="29" t="s">
        <v>4250</v>
      </c>
      <c r="C870" s="29" t="s">
        <v>37</v>
      </c>
      <c r="D870" s="29" t="s">
        <v>4251</v>
      </c>
      <c r="E870" s="29" t="s">
        <v>340</v>
      </c>
      <c r="F870" s="29" t="s">
        <v>4252</v>
      </c>
      <c r="G870" s="29" t="s">
        <v>4253</v>
      </c>
      <c r="H870" s="29" t="s">
        <v>4249</v>
      </c>
      <c r="I870" s="29" t="s">
        <v>302</v>
      </c>
      <c r="J870" s="29" t="s">
        <v>202</v>
      </c>
      <c r="K870" s="30" t="s">
        <v>44</v>
      </c>
      <c r="L870" s="31"/>
      <c r="M870" s="32" t="s">
        <v>45</v>
      </c>
    </row>
    <row r="871" customFormat="false" ht="51" hidden="false" customHeight="true" outlineLevel="0" collapsed="false">
      <c r="B871" s="29" t="s">
        <v>4254</v>
      </c>
      <c r="C871" s="29" t="s">
        <v>37</v>
      </c>
      <c r="D871" s="29" t="s">
        <v>4255</v>
      </c>
      <c r="E871" s="29" t="s">
        <v>340</v>
      </c>
      <c r="F871" s="29" t="s">
        <v>4256</v>
      </c>
      <c r="G871" s="29" t="s">
        <v>4257</v>
      </c>
      <c r="H871" s="29" t="s">
        <v>4249</v>
      </c>
      <c r="I871" s="29" t="s">
        <v>302</v>
      </c>
      <c r="J871" s="29" t="s">
        <v>202</v>
      </c>
      <c r="K871" s="30" t="s">
        <v>44</v>
      </c>
      <c r="L871" s="31"/>
      <c r="M871" s="32" t="s">
        <v>45</v>
      </c>
    </row>
    <row r="872" customFormat="false" ht="51" hidden="false" customHeight="true" outlineLevel="0" collapsed="false">
      <c r="B872" s="29" t="s">
        <v>4258</v>
      </c>
      <c r="C872" s="29" t="s">
        <v>37</v>
      </c>
      <c r="D872" s="29" t="s">
        <v>4259</v>
      </c>
      <c r="E872" s="29" t="s">
        <v>357</v>
      </c>
      <c r="F872" s="29" t="s">
        <v>4260</v>
      </c>
      <c r="G872" s="29" t="s">
        <v>4261</v>
      </c>
      <c r="H872" s="29" t="s">
        <v>4262</v>
      </c>
      <c r="I872" s="29" t="s">
        <v>302</v>
      </c>
      <c r="J872" s="29" t="s">
        <v>202</v>
      </c>
      <c r="K872" s="30" t="s">
        <v>44</v>
      </c>
      <c r="L872" s="31"/>
      <c r="M872" s="32" t="s">
        <v>45</v>
      </c>
    </row>
    <row r="873" customFormat="false" ht="51" hidden="false" customHeight="true" outlineLevel="0" collapsed="false">
      <c r="B873" s="29" t="s">
        <v>4263</v>
      </c>
      <c r="C873" s="29" t="s">
        <v>37</v>
      </c>
      <c r="D873" s="29" t="s">
        <v>4264</v>
      </c>
      <c r="E873" s="29" t="s">
        <v>99</v>
      </c>
      <c r="F873" s="29" t="s">
        <v>4265</v>
      </c>
      <c r="G873" s="29" t="s">
        <v>4266</v>
      </c>
      <c r="H873" s="29" t="s">
        <v>4267</v>
      </c>
      <c r="I873" s="29" t="s">
        <v>42</v>
      </c>
      <c r="J873" s="29" t="s">
        <v>67</v>
      </c>
      <c r="K873" s="30" t="s">
        <v>44</v>
      </c>
      <c r="L873" s="31"/>
      <c r="M873" s="32" t="s">
        <v>45</v>
      </c>
    </row>
    <row r="874" customFormat="false" ht="51" hidden="false" customHeight="true" outlineLevel="0" collapsed="false">
      <c r="B874" s="29" t="s">
        <v>4268</v>
      </c>
      <c r="C874" s="29" t="s">
        <v>37</v>
      </c>
      <c r="D874" s="29" t="s">
        <v>4269</v>
      </c>
      <c r="E874" s="29" t="s">
        <v>600</v>
      </c>
      <c r="F874" s="29" t="s">
        <v>4270</v>
      </c>
      <c r="G874" s="29" t="s">
        <v>4271</v>
      </c>
      <c r="H874" s="29" t="s">
        <v>4267</v>
      </c>
      <c r="I874" s="29" t="s">
        <v>3696</v>
      </c>
      <c r="J874" s="29" t="s">
        <v>155</v>
      </c>
      <c r="K874" s="30" t="s">
        <v>44</v>
      </c>
      <c r="L874" s="31"/>
      <c r="M874" s="32" t="s">
        <v>45</v>
      </c>
    </row>
    <row r="875" customFormat="false" ht="51" hidden="false" customHeight="true" outlineLevel="0" collapsed="false">
      <c r="B875" s="29" t="s">
        <v>4272</v>
      </c>
      <c r="C875" s="29" t="s">
        <v>37</v>
      </c>
      <c r="D875" s="29" t="s">
        <v>4273</v>
      </c>
      <c r="E875" s="29" t="s">
        <v>600</v>
      </c>
      <c r="F875" s="29" t="s">
        <v>4274</v>
      </c>
      <c r="G875" s="29" t="s">
        <v>4275</v>
      </c>
      <c r="H875" s="29" t="s">
        <v>4276</v>
      </c>
      <c r="I875" s="29" t="s">
        <v>3696</v>
      </c>
      <c r="J875" s="29" t="s">
        <v>155</v>
      </c>
      <c r="K875" s="30" t="s">
        <v>44</v>
      </c>
      <c r="L875" s="31"/>
      <c r="M875" s="32" t="s">
        <v>45</v>
      </c>
    </row>
    <row r="876" customFormat="false" ht="51" hidden="false" customHeight="true" outlineLevel="0" collapsed="false">
      <c r="B876" s="29" t="s">
        <v>4277</v>
      </c>
      <c r="C876" s="29" t="s">
        <v>37</v>
      </c>
      <c r="D876" s="29" t="s">
        <v>4278</v>
      </c>
      <c r="E876" s="29" t="s">
        <v>206</v>
      </c>
      <c r="F876" s="29" t="s">
        <v>4279</v>
      </c>
      <c r="G876" s="29" t="s">
        <v>4280</v>
      </c>
      <c r="H876" s="29" t="s">
        <v>4276</v>
      </c>
      <c r="I876" s="29" t="s">
        <v>302</v>
      </c>
      <c r="J876" s="29" t="s">
        <v>202</v>
      </c>
      <c r="K876" s="30" t="s">
        <v>44</v>
      </c>
      <c r="L876" s="31"/>
      <c r="M876" s="32" t="s">
        <v>45</v>
      </c>
    </row>
    <row r="877" customFormat="false" ht="51" hidden="false" customHeight="true" outlineLevel="0" collapsed="false">
      <c r="B877" s="29" t="s">
        <v>4281</v>
      </c>
      <c r="C877" s="29" t="s">
        <v>37</v>
      </c>
      <c r="D877" s="29" t="s">
        <v>4282</v>
      </c>
      <c r="E877" s="29" t="s">
        <v>340</v>
      </c>
      <c r="F877" s="29" t="s">
        <v>4283</v>
      </c>
      <c r="G877" s="29" t="s">
        <v>4284</v>
      </c>
      <c r="H877" s="29" t="s">
        <v>4276</v>
      </c>
      <c r="I877" s="29" t="s">
        <v>302</v>
      </c>
      <c r="J877" s="29" t="s">
        <v>202</v>
      </c>
      <c r="K877" s="30" t="s">
        <v>44</v>
      </c>
      <c r="L877" s="31"/>
      <c r="M877" s="32" t="s">
        <v>45</v>
      </c>
    </row>
    <row r="878" customFormat="false" ht="51" hidden="false" customHeight="true" outlineLevel="0" collapsed="false">
      <c r="B878" s="29" t="s">
        <v>4285</v>
      </c>
      <c r="C878" s="29" t="s">
        <v>37</v>
      </c>
      <c r="D878" s="29" t="s">
        <v>4286</v>
      </c>
      <c r="E878" s="29" t="s">
        <v>543</v>
      </c>
      <c r="F878" s="29" t="s">
        <v>4287</v>
      </c>
      <c r="G878" s="29" t="s">
        <v>4288</v>
      </c>
      <c r="H878" s="29" t="s">
        <v>4289</v>
      </c>
      <c r="I878" s="29" t="s">
        <v>472</v>
      </c>
      <c r="J878" s="29" t="s">
        <v>472</v>
      </c>
      <c r="K878" s="30" t="s">
        <v>44</v>
      </c>
      <c r="L878" s="31"/>
      <c r="M878" s="32" t="s">
        <v>45</v>
      </c>
    </row>
    <row r="879" customFormat="false" ht="51" hidden="false" customHeight="true" outlineLevel="0" collapsed="false">
      <c r="B879" s="29" t="s">
        <v>4290</v>
      </c>
      <c r="C879" s="29" t="s">
        <v>37</v>
      </c>
      <c r="D879" s="29" t="s">
        <v>4291</v>
      </c>
      <c r="E879" s="29" t="s">
        <v>340</v>
      </c>
      <c r="F879" s="29" t="s">
        <v>4292</v>
      </c>
      <c r="G879" s="29" t="s">
        <v>4293</v>
      </c>
      <c r="H879" s="29" t="s">
        <v>4276</v>
      </c>
      <c r="I879" s="29" t="s">
        <v>302</v>
      </c>
      <c r="J879" s="29" t="s">
        <v>202</v>
      </c>
      <c r="K879" s="30" t="s">
        <v>44</v>
      </c>
      <c r="L879" s="31"/>
      <c r="M879" s="32" t="s">
        <v>45</v>
      </c>
    </row>
    <row r="880" customFormat="false" ht="51" hidden="false" customHeight="true" outlineLevel="0" collapsed="false">
      <c r="B880" s="29" t="s">
        <v>4294</v>
      </c>
      <c r="C880" s="29" t="s">
        <v>37</v>
      </c>
      <c r="D880" s="29" t="s">
        <v>4295</v>
      </c>
      <c r="E880" s="29" t="s">
        <v>357</v>
      </c>
      <c r="F880" s="29" t="s">
        <v>4296</v>
      </c>
      <c r="G880" s="29" t="s">
        <v>4297</v>
      </c>
      <c r="H880" s="29" t="s">
        <v>4298</v>
      </c>
      <c r="I880" s="29" t="s">
        <v>302</v>
      </c>
      <c r="J880" s="29" t="s">
        <v>202</v>
      </c>
      <c r="K880" s="30" t="s">
        <v>44</v>
      </c>
      <c r="L880" s="31"/>
      <c r="M880" s="32" t="s">
        <v>45</v>
      </c>
    </row>
    <row r="881" customFormat="false" ht="51" hidden="false" customHeight="true" outlineLevel="0" collapsed="false">
      <c r="B881" s="29" t="s">
        <v>4299</v>
      </c>
      <c r="C881" s="29" t="s">
        <v>37</v>
      </c>
      <c r="D881" s="29" t="s">
        <v>4300</v>
      </c>
      <c r="E881" s="29" t="s">
        <v>91</v>
      </c>
      <c r="F881" s="29" t="s">
        <v>4301</v>
      </c>
      <c r="G881" s="29" t="s">
        <v>4302</v>
      </c>
      <c r="H881" s="29" t="s">
        <v>4298</v>
      </c>
      <c r="I881" s="29" t="s">
        <v>42</v>
      </c>
      <c r="J881" s="29" t="s">
        <v>261</v>
      </c>
      <c r="K881" s="30" t="s">
        <v>44</v>
      </c>
      <c r="L881" s="31"/>
      <c r="M881" s="32" t="s">
        <v>45</v>
      </c>
    </row>
    <row r="882" customFormat="false" ht="51" hidden="false" customHeight="true" outlineLevel="0" collapsed="false">
      <c r="B882" s="29" t="s">
        <v>4303</v>
      </c>
      <c r="C882" s="29" t="s">
        <v>37</v>
      </c>
      <c r="D882" s="29" t="s">
        <v>4304</v>
      </c>
      <c r="E882" s="29" t="s">
        <v>357</v>
      </c>
      <c r="F882" s="29" t="s">
        <v>4305</v>
      </c>
      <c r="G882" s="29" t="s">
        <v>4305</v>
      </c>
      <c r="H882" s="29" t="s">
        <v>4298</v>
      </c>
      <c r="I882" s="29" t="s">
        <v>302</v>
      </c>
      <c r="J882" s="29" t="s">
        <v>202</v>
      </c>
      <c r="K882" s="30" t="s">
        <v>44</v>
      </c>
      <c r="L882" s="31"/>
      <c r="M882" s="32" t="s">
        <v>45</v>
      </c>
    </row>
    <row r="883" customFormat="false" ht="51" hidden="false" customHeight="true" outlineLevel="0" collapsed="false">
      <c r="B883" s="29" t="s">
        <v>4306</v>
      </c>
      <c r="C883" s="29" t="s">
        <v>37</v>
      </c>
      <c r="D883" s="29" t="s">
        <v>4307</v>
      </c>
      <c r="E883" s="29" t="s">
        <v>357</v>
      </c>
      <c r="F883" s="29" t="s">
        <v>4308</v>
      </c>
      <c r="G883" s="29" t="s">
        <v>4309</v>
      </c>
      <c r="H883" s="29" t="s">
        <v>4298</v>
      </c>
      <c r="I883" s="29" t="s">
        <v>302</v>
      </c>
      <c r="J883" s="29" t="s">
        <v>202</v>
      </c>
      <c r="K883" s="30" t="s">
        <v>44</v>
      </c>
      <c r="L883" s="31"/>
      <c r="M883" s="32" t="s">
        <v>45</v>
      </c>
    </row>
    <row r="884" customFormat="false" ht="51" hidden="false" customHeight="true" outlineLevel="0" collapsed="false">
      <c r="B884" s="29" t="s">
        <v>4310</v>
      </c>
      <c r="C884" s="29" t="s">
        <v>37</v>
      </c>
      <c r="D884" s="29" t="s">
        <v>4311</v>
      </c>
      <c r="E884" s="29" t="s">
        <v>340</v>
      </c>
      <c r="F884" s="29" t="s">
        <v>4312</v>
      </c>
      <c r="G884" s="29" t="s">
        <v>4313</v>
      </c>
      <c r="H884" s="29" t="s">
        <v>4298</v>
      </c>
      <c r="I884" s="29" t="s">
        <v>302</v>
      </c>
      <c r="J884" s="29" t="s">
        <v>202</v>
      </c>
      <c r="K884" s="30" t="s">
        <v>44</v>
      </c>
      <c r="L884" s="31"/>
      <c r="M884" s="32" t="s">
        <v>45</v>
      </c>
    </row>
    <row r="885" customFormat="false" ht="51" hidden="false" customHeight="true" outlineLevel="0" collapsed="false">
      <c r="B885" s="29" t="s">
        <v>4314</v>
      </c>
      <c r="C885" s="29" t="s">
        <v>37</v>
      </c>
      <c r="D885" s="29" t="s">
        <v>4315</v>
      </c>
      <c r="E885" s="29" t="s">
        <v>340</v>
      </c>
      <c r="F885" s="29" t="s">
        <v>4316</v>
      </c>
      <c r="G885" s="29" t="s">
        <v>4317</v>
      </c>
      <c r="H885" s="29" t="s">
        <v>4298</v>
      </c>
      <c r="I885" s="29" t="s">
        <v>302</v>
      </c>
      <c r="J885" s="29" t="s">
        <v>202</v>
      </c>
      <c r="K885" s="30" t="s">
        <v>44</v>
      </c>
      <c r="L885" s="31"/>
      <c r="M885" s="32" t="s">
        <v>45</v>
      </c>
    </row>
    <row r="886" customFormat="false" ht="51" hidden="false" customHeight="true" outlineLevel="0" collapsed="false">
      <c r="B886" s="29" t="s">
        <v>4318</v>
      </c>
      <c r="C886" s="29" t="s">
        <v>37</v>
      </c>
      <c r="D886" s="29" t="s">
        <v>4319</v>
      </c>
      <c r="E886" s="29" t="s">
        <v>357</v>
      </c>
      <c r="F886" s="29" t="s">
        <v>4320</v>
      </c>
      <c r="G886" s="29" t="s">
        <v>4321</v>
      </c>
      <c r="H886" s="29" t="s">
        <v>4298</v>
      </c>
      <c r="I886" s="29" t="s">
        <v>302</v>
      </c>
      <c r="J886" s="29" t="s">
        <v>202</v>
      </c>
      <c r="K886" s="30" t="s">
        <v>44</v>
      </c>
      <c r="L886" s="31"/>
      <c r="M886" s="32" t="s">
        <v>45</v>
      </c>
    </row>
    <row r="887" customFormat="false" ht="51" hidden="false" customHeight="true" outlineLevel="0" collapsed="false">
      <c r="B887" s="29" t="s">
        <v>4322</v>
      </c>
      <c r="C887" s="29" t="s">
        <v>37</v>
      </c>
      <c r="D887" s="29" t="s">
        <v>4323</v>
      </c>
      <c r="E887" s="29" t="s">
        <v>340</v>
      </c>
      <c r="F887" s="29" t="s">
        <v>4324</v>
      </c>
      <c r="G887" s="29" t="s">
        <v>4325</v>
      </c>
      <c r="H887" s="29" t="s">
        <v>4298</v>
      </c>
      <c r="I887" s="29" t="s">
        <v>302</v>
      </c>
      <c r="J887" s="29" t="s">
        <v>202</v>
      </c>
      <c r="K887" s="30" t="s">
        <v>44</v>
      </c>
      <c r="L887" s="31"/>
      <c r="M887" s="32" t="s">
        <v>45</v>
      </c>
    </row>
    <row r="888" customFormat="false" ht="51" hidden="false" customHeight="true" outlineLevel="0" collapsed="false">
      <c r="B888" s="29" t="s">
        <v>4326</v>
      </c>
      <c r="C888" s="29" t="s">
        <v>37</v>
      </c>
      <c r="D888" s="29" t="s">
        <v>73</v>
      </c>
      <c r="E888" s="29" t="s">
        <v>39</v>
      </c>
      <c r="F888" s="29" t="s">
        <v>4327</v>
      </c>
      <c r="G888" s="29" t="s">
        <v>4328</v>
      </c>
      <c r="H888" s="29" t="s">
        <v>4329</v>
      </c>
      <c r="I888" s="29" t="s">
        <v>42</v>
      </c>
      <c r="J888" s="29" t="s">
        <v>43</v>
      </c>
      <c r="K888" s="30" t="s">
        <v>44</v>
      </c>
      <c r="L888" s="31"/>
      <c r="M888" s="32" t="s">
        <v>45</v>
      </c>
    </row>
    <row r="889" customFormat="false" ht="51" hidden="false" customHeight="true" outlineLevel="0" collapsed="false">
      <c r="B889" s="29" t="s">
        <v>4330</v>
      </c>
      <c r="C889" s="29" t="s">
        <v>37</v>
      </c>
      <c r="D889" s="29" t="s">
        <v>4331</v>
      </c>
      <c r="E889" s="29" t="s">
        <v>151</v>
      </c>
      <c r="F889" s="29" t="s">
        <v>4332</v>
      </c>
      <c r="G889" s="29" t="s">
        <v>4333</v>
      </c>
      <c r="H889" s="29" t="s">
        <v>4334</v>
      </c>
      <c r="I889" s="29" t="s">
        <v>3696</v>
      </c>
      <c r="J889" s="29" t="s">
        <v>155</v>
      </c>
      <c r="K889" s="30" t="s">
        <v>44</v>
      </c>
      <c r="L889" s="31"/>
      <c r="M889" s="32" t="s">
        <v>45</v>
      </c>
    </row>
    <row r="890" customFormat="false" ht="51" hidden="false" customHeight="true" outlineLevel="0" collapsed="false">
      <c r="B890" s="29" t="s">
        <v>4335</v>
      </c>
      <c r="C890" s="29" t="s">
        <v>37</v>
      </c>
      <c r="D890" s="29" t="s">
        <v>4336</v>
      </c>
      <c r="E890" s="29" t="s">
        <v>600</v>
      </c>
      <c r="F890" s="29" t="s">
        <v>4337</v>
      </c>
      <c r="G890" s="29" t="s">
        <v>4338</v>
      </c>
      <c r="H890" s="29" t="s">
        <v>4334</v>
      </c>
      <c r="I890" s="29" t="s">
        <v>3696</v>
      </c>
      <c r="J890" s="29" t="s">
        <v>155</v>
      </c>
      <c r="K890" s="30" t="s">
        <v>44</v>
      </c>
      <c r="L890" s="31"/>
      <c r="M890" s="32" t="s">
        <v>45</v>
      </c>
    </row>
    <row r="891" customFormat="false" ht="51" hidden="false" customHeight="true" outlineLevel="0" collapsed="false">
      <c r="B891" s="29" t="s">
        <v>4339</v>
      </c>
      <c r="C891" s="29" t="s">
        <v>37</v>
      </c>
      <c r="D891" s="29" t="s">
        <v>4340</v>
      </c>
      <c r="E891" s="29" t="s">
        <v>543</v>
      </c>
      <c r="F891" s="29" t="s">
        <v>4341</v>
      </c>
      <c r="G891" s="29" t="s">
        <v>4342</v>
      </c>
      <c r="H891" s="29" t="s">
        <v>4343</v>
      </c>
      <c r="I891" s="29" t="s">
        <v>472</v>
      </c>
      <c r="J891" s="29" t="s">
        <v>472</v>
      </c>
      <c r="K891" s="30" t="s">
        <v>44</v>
      </c>
      <c r="L891" s="31"/>
      <c r="M891" s="32" t="s">
        <v>45</v>
      </c>
    </row>
    <row r="892" customFormat="false" ht="51" hidden="false" customHeight="true" outlineLevel="0" collapsed="false">
      <c r="B892" s="29" t="s">
        <v>4344</v>
      </c>
      <c r="C892" s="29" t="s">
        <v>37</v>
      </c>
      <c r="D892" s="29" t="s">
        <v>4345</v>
      </c>
      <c r="E892" s="29" t="s">
        <v>151</v>
      </c>
      <c r="F892" s="29" t="s">
        <v>4346</v>
      </c>
      <c r="G892" s="29" t="s">
        <v>4346</v>
      </c>
      <c r="H892" s="29" t="s">
        <v>4343</v>
      </c>
      <c r="I892" s="29" t="s">
        <v>472</v>
      </c>
      <c r="J892" s="29" t="s">
        <v>472</v>
      </c>
      <c r="K892" s="30" t="s">
        <v>44</v>
      </c>
      <c r="L892" s="31"/>
      <c r="M892" s="32" t="s">
        <v>45</v>
      </c>
    </row>
    <row r="893" customFormat="false" ht="51" hidden="false" customHeight="true" outlineLevel="0" collapsed="false">
      <c r="B893" s="29" t="s">
        <v>4347</v>
      </c>
      <c r="C893" s="29" t="s">
        <v>37</v>
      </c>
      <c r="D893" s="29" t="s">
        <v>4348</v>
      </c>
      <c r="E893" s="29" t="s">
        <v>91</v>
      </c>
      <c r="F893" s="29" t="s">
        <v>4349</v>
      </c>
      <c r="G893" s="29" t="s">
        <v>4350</v>
      </c>
      <c r="H893" s="29" t="s">
        <v>4334</v>
      </c>
      <c r="I893" s="29" t="s">
        <v>3843</v>
      </c>
      <c r="J893" s="29" t="s">
        <v>2544</v>
      </c>
      <c r="K893" s="30" t="s">
        <v>44</v>
      </c>
      <c r="L893" s="31"/>
      <c r="M893" s="32" t="s">
        <v>45</v>
      </c>
    </row>
    <row r="894" customFormat="false" ht="51" hidden="false" customHeight="true" outlineLevel="0" collapsed="false">
      <c r="B894" s="29" t="s">
        <v>4351</v>
      </c>
      <c r="C894" s="29" t="s">
        <v>37</v>
      </c>
      <c r="D894" s="29" t="s">
        <v>4352</v>
      </c>
      <c r="E894" s="29" t="s">
        <v>340</v>
      </c>
      <c r="F894" s="29" t="s">
        <v>4353</v>
      </c>
      <c r="G894" s="29" t="s">
        <v>4354</v>
      </c>
      <c r="H894" s="29" t="s">
        <v>4334</v>
      </c>
      <c r="I894" s="29" t="s">
        <v>302</v>
      </c>
      <c r="J894" s="29" t="s">
        <v>202</v>
      </c>
      <c r="K894" s="30" t="s">
        <v>44</v>
      </c>
      <c r="L894" s="31"/>
      <c r="M894" s="32" t="s">
        <v>45</v>
      </c>
    </row>
    <row r="895" customFormat="false" ht="51" hidden="false" customHeight="true" outlineLevel="0" collapsed="false">
      <c r="B895" s="29" t="s">
        <v>4355</v>
      </c>
      <c r="C895" s="29" t="s">
        <v>37</v>
      </c>
      <c r="D895" s="29" t="s">
        <v>4356</v>
      </c>
      <c r="E895" s="29" t="s">
        <v>151</v>
      </c>
      <c r="F895" s="29" t="s">
        <v>4357</v>
      </c>
      <c r="G895" s="29" t="s">
        <v>4358</v>
      </c>
      <c r="H895" s="29" t="s">
        <v>4334</v>
      </c>
      <c r="I895" s="29" t="s">
        <v>3696</v>
      </c>
      <c r="J895" s="29" t="s">
        <v>155</v>
      </c>
      <c r="K895" s="30" t="s">
        <v>44</v>
      </c>
      <c r="L895" s="31"/>
      <c r="M895" s="32" t="s">
        <v>45</v>
      </c>
    </row>
    <row r="896" customFormat="false" ht="51" hidden="false" customHeight="true" outlineLevel="0" collapsed="false">
      <c r="B896" s="29" t="s">
        <v>4359</v>
      </c>
      <c r="C896" s="29" t="s">
        <v>37</v>
      </c>
      <c r="D896" s="29" t="s">
        <v>4360</v>
      </c>
      <c r="E896" s="29" t="s">
        <v>206</v>
      </c>
      <c r="F896" s="29" t="s">
        <v>4361</v>
      </c>
      <c r="G896" s="29" t="s">
        <v>4362</v>
      </c>
      <c r="H896" s="29" t="s">
        <v>4363</v>
      </c>
      <c r="I896" s="29" t="s">
        <v>3696</v>
      </c>
      <c r="J896" s="29" t="s">
        <v>155</v>
      </c>
      <c r="K896" s="30" t="s">
        <v>44</v>
      </c>
      <c r="L896" s="31"/>
      <c r="M896" s="32" t="s">
        <v>45</v>
      </c>
    </row>
    <row r="897" customFormat="false" ht="51" hidden="false" customHeight="true" outlineLevel="0" collapsed="false">
      <c r="B897" s="29" t="s">
        <v>4364</v>
      </c>
      <c r="C897" s="29" t="s">
        <v>37</v>
      </c>
      <c r="D897" s="29" t="s">
        <v>4365</v>
      </c>
      <c r="E897" s="29" t="s">
        <v>151</v>
      </c>
      <c r="F897" s="29" t="s">
        <v>4366</v>
      </c>
      <c r="G897" s="29" t="s">
        <v>4367</v>
      </c>
      <c r="H897" s="29" t="s">
        <v>4363</v>
      </c>
      <c r="I897" s="29" t="s">
        <v>4368</v>
      </c>
      <c r="J897" s="29" t="s">
        <v>4369</v>
      </c>
      <c r="K897" s="30" t="s">
        <v>44</v>
      </c>
      <c r="L897" s="31"/>
      <c r="M897" s="32" t="s">
        <v>45</v>
      </c>
    </row>
    <row r="898" customFormat="false" ht="51" hidden="false" customHeight="true" outlineLevel="0" collapsed="false">
      <c r="B898" s="29" t="s">
        <v>4370</v>
      </c>
      <c r="C898" s="29" t="s">
        <v>37</v>
      </c>
      <c r="D898" s="29" t="s">
        <v>4371</v>
      </c>
      <c r="E898" s="29" t="s">
        <v>151</v>
      </c>
      <c r="F898" s="29" t="s">
        <v>4372</v>
      </c>
      <c r="G898" s="29" t="s">
        <v>4373</v>
      </c>
      <c r="H898" s="29" t="s">
        <v>4363</v>
      </c>
      <c r="I898" s="29" t="s">
        <v>4368</v>
      </c>
      <c r="J898" s="29" t="s">
        <v>4369</v>
      </c>
      <c r="K898" s="30" t="s">
        <v>44</v>
      </c>
      <c r="L898" s="31"/>
      <c r="M898" s="32" t="s">
        <v>45</v>
      </c>
    </row>
    <row r="899" customFormat="false" ht="51" hidden="false" customHeight="true" outlineLevel="0" collapsed="false">
      <c r="B899" s="29" t="s">
        <v>4374</v>
      </c>
      <c r="C899" s="29" t="s">
        <v>37</v>
      </c>
      <c r="D899" s="29" t="s">
        <v>4375</v>
      </c>
      <c r="E899" s="29" t="s">
        <v>357</v>
      </c>
      <c r="F899" s="29" t="s">
        <v>4376</v>
      </c>
      <c r="G899" s="29" t="s">
        <v>4377</v>
      </c>
      <c r="H899" s="29" t="s">
        <v>4363</v>
      </c>
      <c r="I899" s="29" t="s">
        <v>4368</v>
      </c>
      <c r="J899" s="29" t="s">
        <v>4369</v>
      </c>
      <c r="K899" s="30" t="s">
        <v>44</v>
      </c>
      <c r="L899" s="31"/>
      <c r="M899" s="32" t="s">
        <v>45</v>
      </c>
    </row>
    <row r="900" customFormat="false" ht="51" hidden="false" customHeight="true" outlineLevel="0" collapsed="false">
      <c r="B900" s="29" t="s">
        <v>4378</v>
      </c>
      <c r="C900" s="29" t="s">
        <v>37</v>
      </c>
      <c r="D900" s="29" t="s">
        <v>4379</v>
      </c>
      <c r="E900" s="29" t="s">
        <v>206</v>
      </c>
      <c r="F900" s="29" t="s">
        <v>4380</v>
      </c>
      <c r="G900" s="29" t="s">
        <v>4381</v>
      </c>
      <c r="H900" s="29" t="s">
        <v>4363</v>
      </c>
      <c r="I900" s="29" t="s">
        <v>4368</v>
      </c>
      <c r="J900" s="29" t="s">
        <v>4369</v>
      </c>
      <c r="K900" s="30" t="s">
        <v>44</v>
      </c>
      <c r="L900" s="31"/>
      <c r="M900" s="32" t="s">
        <v>45</v>
      </c>
    </row>
    <row r="901" customFormat="false" ht="51" hidden="false" customHeight="true" outlineLevel="0" collapsed="false">
      <c r="B901" s="29" t="s">
        <v>4382</v>
      </c>
      <c r="C901" s="29" t="s">
        <v>37</v>
      </c>
      <c r="D901" s="29" t="s">
        <v>4383</v>
      </c>
      <c r="E901" s="29" t="s">
        <v>151</v>
      </c>
      <c r="F901" s="29" t="s">
        <v>4384</v>
      </c>
      <c r="G901" s="29" t="s">
        <v>4385</v>
      </c>
      <c r="H901" s="29" t="s">
        <v>4363</v>
      </c>
      <c r="I901" s="29" t="s">
        <v>3974</v>
      </c>
      <c r="J901" s="29" t="s">
        <v>4386</v>
      </c>
      <c r="K901" s="30" t="s">
        <v>44</v>
      </c>
      <c r="L901" s="31"/>
      <c r="M901" s="32" t="s">
        <v>45</v>
      </c>
    </row>
    <row r="902" customFormat="false" ht="51" hidden="false" customHeight="true" outlineLevel="0" collapsed="false">
      <c r="B902" s="29" t="s">
        <v>4387</v>
      </c>
      <c r="C902" s="29" t="s">
        <v>37</v>
      </c>
      <c r="D902" s="29" t="s">
        <v>4388</v>
      </c>
      <c r="E902" s="29" t="s">
        <v>151</v>
      </c>
      <c r="F902" s="29" t="s">
        <v>4389</v>
      </c>
      <c r="G902" s="29" t="s">
        <v>4390</v>
      </c>
      <c r="H902" s="29" t="s">
        <v>4391</v>
      </c>
      <c r="I902" s="29" t="s">
        <v>472</v>
      </c>
      <c r="J902" s="29" t="s">
        <v>472</v>
      </c>
      <c r="K902" s="30" t="s">
        <v>44</v>
      </c>
      <c r="L902" s="31"/>
      <c r="M902" s="32" t="s">
        <v>45</v>
      </c>
    </row>
    <row r="903" customFormat="false" ht="51" hidden="false" customHeight="true" outlineLevel="0" collapsed="false">
      <c r="B903" s="29" t="s">
        <v>4392</v>
      </c>
      <c r="C903" s="29" t="s">
        <v>37</v>
      </c>
      <c r="D903" s="29" t="s">
        <v>4393</v>
      </c>
      <c r="E903" s="29" t="s">
        <v>151</v>
      </c>
      <c r="F903" s="29" t="s">
        <v>4394</v>
      </c>
      <c r="G903" s="29" t="s">
        <v>4395</v>
      </c>
      <c r="H903" s="29" t="s">
        <v>4396</v>
      </c>
      <c r="I903" s="29" t="s">
        <v>3696</v>
      </c>
      <c r="J903" s="29" t="s">
        <v>155</v>
      </c>
      <c r="K903" s="30" t="s">
        <v>44</v>
      </c>
      <c r="L903" s="31"/>
      <c r="M903" s="32" t="s">
        <v>45</v>
      </c>
    </row>
    <row r="904" customFormat="false" ht="51" hidden="false" customHeight="true" outlineLevel="0" collapsed="false">
      <c r="B904" s="29" t="s">
        <v>4397</v>
      </c>
      <c r="C904" s="29" t="s">
        <v>37</v>
      </c>
      <c r="D904" s="29" t="s">
        <v>4398</v>
      </c>
      <c r="E904" s="29" t="s">
        <v>151</v>
      </c>
      <c r="F904" s="29" t="s">
        <v>4399</v>
      </c>
      <c r="G904" s="29" t="s">
        <v>4400</v>
      </c>
      <c r="H904" s="29" t="s">
        <v>4391</v>
      </c>
      <c r="I904" s="29" t="s">
        <v>472</v>
      </c>
      <c r="J904" s="29" t="s">
        <v>472</v>
      </c>
      <c r="K904" s="30" t="s">
        <v>44</v>
      </c>
      <c r="L904" s="31"/>
      <c r="M904" s="32" t="s">
        <v>45</v>
      </c>
    </row>
    <row r="905" customFormat="false" ht="51" hidden="false" customHeight="true" outlineLevel="0" collapsed="false">
      <c r="B905" s="29" t="s">
        <v>4401</v>
      </c>
      <c r="C905" s="29" t="s">
        <v>37</v>
      </c>
      <c r="D905" s="29" t="s">
        <v>4402</v>
      </c>
      <c r="E905" s="29" t="s">
        <v>357</v>
      </c>
      <c r="F905" s="29" t="s">
        <v>4403</v>
      </c>
      <c r="G905" s="29" t="s">
        <v>4404</v>
      </c>
      <c r="H905" s="29" t="s">
        <v>4396</v>
      </c>
      <c r="I905" s="29" t="s">
        <v>302</v>
      </c>
      <c r="J905" s="29" t="s">
        <v>202</v>
      </c>
      <c r="K905" s="30" t="s">
        <v>44</v>
      </c>
      <c r="L905" s="31"/>
      <c r="M905" s="32" t="s">
        <v>45</v>
      </c>
    </row>
    <row r="906" customFormat="false" ht="51" hidden="false" customHeight="true" outlineLevel="0" collapsed="false">
      <c r="B906" s="29" t="s">
        <v>4405</v>
      </c>
      <c r="C906" s="29" t="s">
        <v>37</v>
      </c>
      <c r="D906" s="29" t="s">
        <v>4406</v>
      </c>
      <c r="E906" s="29" t="s">
        <v>151</v>
      </c>
      <c r="F906" s="29" t="s">
        <v>4407</v>
      </c>
      <c r="G906" s="29" t="s">
        <v>4408</v>
      </c>
      <c r="H906" s="29" t="s">
        <v>4391</v>
      </c>
      <c r="I906" s="29" t="s">
        <v>472</v>
      </c>
      <c r="J906" s="29" t="s">
        <v>472</v>
      </c>
      <c r="K906" s="30" t="s">
        <v>44</v>
      </c>
      <c r="L906" s="31"/>
      <c r="M906" s="32" t="s">
        <v>45</v>
      </c>
    </row>
    <row r="907" customFormat="false" ht="51" hidden="false" customHeight="true" outlineLevel="0" collapsed="false">
      <c r="B907" s="29" t="s">
        <v>4409</v>
      </c>
      <c r="C907" s="29" t="s">
        <v>37</v>
      </c>
      <c r="D907" s="29" t="s">
        <v>4410</v>
      </c>
      <c r="E907" s="29" t="s">
        <v>151</v>
      </c>
      <c r="F907" s="29" t="s">
        <v>4411</v>
      </c>
      <c r="G907" s="29" t="s">
        <v>4412</v>
      </c>
      <c r="H907" s="29" t="s">
        <v>4396</v>
      </c>
      <c r="I907" s="29" t="s">
        <v>3696</v>
      </c>
      <c r="J907" s="29" t="s">
        <v>155</v>
      </c>
      <c r="K907" s="30" t="s">
        <v>44</v>
      </c>
      <c r="L907" s="31"/>
      <c r="M907" s="32" t="s">
        <v>45</v>
      </c>
    </row>
    <row r="908" customFormat="false" ht="51" hidden="false" customHeight="true" outlineLevel="0" collapsed="false">
      <c r="B908" s="29" t="s">
        <v>4413</v>
      </c>
      <c r="C908" s="29" t="s">
        <v>37</v>
      </c>
      <c r="D908" s="29" t="s">
        <v>4414</v>
      </c>
      <c r="E908" s="29" t="s">
        <v>151</v>
      </c>
      <c r="F908" s="29" t="s">
        <v>4415</v>
      </c>
      <c r="G908" s="29" t="s">
        <v>4416</v>
      </c>
      <c r="H908" s="29" t="s">
        <v>4391</v>
      </c>
      <c r="I908" s="29" t="s">
        <v>472</v>
      </c>
      <c r="J908" s="29" t="s">
        <v>472</v>
      </c>
      <c r="K908" s="30" t="s">
        <v>44</v>
      </c>
      <c r="L908" s="31"/>
      <c r="M908" s="32" t="s">
        <v>45</v>
      </c>
    </row>
    <row r="909" customFormat="false" ht="51" hidden="false" customHeight="true" outlineLevel="0" collapsed="false">
      <c r="B909" s="29" t="s">
        <v>4417</v>
      </c>
      <c r="C909" s="29" t="s">
        <v>37</v>
      </c>
      <c r="D909" s="29" t="s">
        <v>4418</v>
      </c>
      <c r="E909" s="29" t="s">
        <v>151</v>
      </c>
      <c r="F909" s="29" t="s">
        <v>4419</v>
      </c>
      <c r="G909" s="29" t="s">
        <v>4420</v>
      </c>
      <c r="H909" s="29" t="s">
        <v>4421</v>
      </c>
      <c r="I909" s="29" t="s">
        <v>472</v>
      </c>
      <c r="J909" s="29" t="s">
        <v>472</v>
      </c>
      <c r="K909" s="30" t="s">
        <v>44</v>
      </c>
      <c r="L909" s="31"/>
      <c r="M909" s="32" t="s">
        <v>45</v>
      </c>
    </row>
    <row r="910" customFormat="false" ht="51" hidden="false" customHeight="true" outlineLevel="0" collapsed="false">
      <c r="B910" s="29" t="s">
        <v>4422</v>
      </c>
      <c r="C910" s="29" t="s">
        <v>37</v>
      </c>
      <c r="D910" s="29" t="s">
        <v>4423</v>
      </c>
      <c r="E910" s="29" t="s">
        <v>206</v>
      </c>
      <c r="F910" s="29" t="s">
        <v>4424</v>
      </c>
      <c r="G910" s="29" t="s">
        <v>4425</v>
      </c>
      <c r="H910" s="29" t="s">
        <v>4426</v>
      </c>
      <c r="I910" s="29" t="s">
        <v>302</v>
      </c>
      <c r="J910" s="29" t="s">
        <v>202</v>
      </c>
      <c r="K910" s="30" t="s">
        <v>44</v>
      </c>
      <c r="L910" s="31"/>
      <c r="M910" s="32" t="s">
        <v>45</v>
      </c>
    </row>
    <row r="911" customFormat="false" ht="51" hidden="false" customHeight="true" outlineLevel="0" collapsed="false">
      <c r="B911" s="29" t="s">
        <v>4427</v>
      </c>
      <c r="C911" s="29" t="s">
        <v>37</v>
      </c>
      <c r="D911" s="29" t="s">
        <v>4428</v>
      </c>
      <c r="E911" s="29" t="s">
        <v>151</v>
      </c>
      <c r="F911" s="29" t="s">
        <v>4429</v>
      </c>
      <c r="G911" s="29" t="s">
        <v>4430</v>
      </c>
      <c r="H911" s="29" t="s">
        <v>4421</v>
      </c>
      <c r="I911" s="29" t="s">
        <v>472</v>
      </c>
      <c r="J911" s="29" t="s">
        <v>472</v>
      </c>
      <c r="K911" s="30" t="s">
        <v>44</v>
      </c>
      <c r="L911" s="31"/>
      <c r="M911" s="32" t="s">
        <v>45</v>
      </c>
    </row>
    <row r="912" customFormat="false" ht="51" hidden="false" customHeight="true" outlineLevel="0" collapsed="false">
      <c r="B912" s="29" t="s">
        <v>4431</v>
      </c>
      <c r="C912" s="29" t="s">
        <v>37</v>
      </c>
      <c r="D912" s="29" t="s">
        <v>4432</v>
      </c>
      <c r="E912" s="29" t="s">
        <v>151</v>
      </c>
      <c r="F912" s="29" t="s">
        <v>4433</v>
      </c>
      <c r="G912" s="29" t="s">
        <v>4434</v>
      </c>
      <c r="H912" s="29" t="s">
        <v>4421</v>
      </c>
      <c r="I912" s="29" t="s">
        <v>472</v>
      </c>
      <c r="J912" s="29" t="s">
        <v>472</v>
      </c>
      <c r="K912" s="30" t="s">
        <v>44</v>
      </c>
      <c r="L912" s="31"/>
      <c r="M912" s="32" t="s">
        <v>45</v>
      </c>
    </row>
    <row r="913" customFormat="false" ht="51" hidden="false" customHeight="true" outlineLevel="0" collapsed="false">
      <c r="B913" s="29" t="s">
        <v>4435</v>
      </c>
      <c r="C913" s="29" t="s">
        <v>37</v>
      </c>
      <c r="D913" s="29" t="s">
        <v>4436</v>
      </c>
      <c r="E913" s="29" t="s">
        <v>151</v>
      </c>
      <c r="F913" s="29" t="s">
        <v>4437</v>
      </c>
      <c r="G913" s="29" t="s">
        <v>4438</v>
      </c>
      <c r="H913" s="29" t="s">
        <v>4421</v>
      </c>
      <c r="I913" s="29" t="s">
        <v>472</v>
      </c>
      <c r="J913" s="29" t="s">
        <v>472</v>
      </c>
      <c r="K913" s="30" t="s">
        <v>44</v>
      </c>
      <c r="L913" s="31"/>
      <c r="M913" s="32" t="s">
        <v>45</v>
      </c>
    </row>
    <row r="914" customFormat="false" ht="51" hidden="false" customHeight="true" outlineLevel="0" collapsed="false">
      <c r="B914" s="29" t="s">
        <v>4439</v>
      </c>
      <c r="C914" s="29" t="s">
        <v>37</v>
      </c>
      <c r="D914" s="29" t="s">
        <v>4440</v>
      </c>
      <c r="E914" s="29" t="s">
        <v>151</v>
      </c>
      <c r="F914" s="29" t="s">
        <v>4441</v>
      </c>
      <c r="G914" s="29" t="s">
        <v>4442</v>
      </c>
      <c r="H914" s="29" t="s">
        <v>4421</v>
      </c>
      <c r="I914" s="29" t="s">
        <v>472</v>
      </c>
      <c r="J914" s="29" t="s">
        <v>472</v>
      </c>
      <c r="K914" s="30" t="s">
        <v>44</v>
      </c>
      <c r="L914" s="31"/>
      <c r="M914" s="32" t="s">
        <v>45</v>
      </c>
    </row>
    <row r="915" customFormat="false" ht="51" hidden="false" customHeight="true" outlineLevel="0" collapsed="false">
      <c r="B915" s="29" t="s">
        <v>4443</v>
      </c>
      <c r="C915" s="29" t="s">
        <v>37</v>
      </c>
      <c r="D915" s="29" t="s">
        <v>4444</v>
      </c>
      <c r="E915" s="29" t="s">
        <v>151</v>
      </c>
      <c r="F915" s="29" t="s">
        <v>4445</v>
      </c>
      <c r="G915" s="29" t="s">
        <v>4446</v>
      </c>
      <c r="H915" s="29" t="s">
        <v>4426</v>
      </c>
      <c r="I915" s="29" t="s">
        <v>3696</v>
      </c>
      <c r="J915" s="29" t="s">
        <v>155</v>
      </c>
      <c r="K915" s="30" t="s">
        <v>44</v>
      </c>
      <c r="L915" s="31"/>
      <c r="M915" s="32" t="s">
        <v>45</v>
      </c>
    </row>
    <row r="916" customFormat="false" ht="51" hidden="false" customHeight="true" outlineLevel="0" collapsed="false">
      <c r="B916" s="29" t="s">
        <v>4447</v>
      </c>
      <c r="C916" s="29" t="s">
        <v>37</v>
      </c>
      <c r="D916" s="29" t="s">
        <v>4448</v>
      </c>
      <c r="E916" s="29" t="s">
        <v>151</v>
      </c>
      <c r="F916" s="29" t="s">
        <v>4449</v>
      </c>
      <c r="G916" s="29" t="s">
        <v>4450</v>
      </c>
      <c r="H916" s="29" t="s">
        <v>4421</v>
      </c>
      <c r="I916" s="29" t="s">
        <v>472</v>
      </c>
      <c r="J916" s="29" t="s">
        <v>472</v>
      </c>
      <c r="K916" s="30" t="s">
        <v>44</v>
      </c>
      <c r="L916" s="31"/>
      <c r="M916" s="32" t="s">
        <v>45</v>
      </c>
    </row>
    <row r="917" customFormat="false" ht="51" hidden="false" customHeight="true" outlineLevel="0" collapsed="false">
      <c r="B917" s="29" t="s">
        <v>4451</v>
      </c>
      <c r="C917" s="29" t="s">
        <v>37</v>
      </c>
      <c r="D917" s="29" t="s">
        <v>4452</v>
      </c>
      <c r="E917" s="29" t="s">
        <v>151</v>
      </c>
      <c r="F917" s="29" t="s">
        <v>4453</v>
      </c>
      <c r="G917" s="29" t="s">
        <v>4454</v>
      </c>
      <c r="H917" s="29" t="s">
        <v>4421</v>
      </c>
      <c r="I917" s="29" t="s">
        <v>472</v>
      </c>
      <c r="J917" s="29" t="s">
        <v>472</v>
      </c>
      <c r="K917" s="30" t="s">
        <v>44</v>
      </c>
      <c r="L917" s="31"/>
      <c r="M917" s="32" t="s">
        <v>45</v>
      </c>
    </row>
    <row r="918" customFormat="false" ht="51" hidden="false" customHeight="true" outlineLevel="0" collapsed="false">
      <c r="B918" s="29" t="s">
        <v>4455</v>
      </c>
      <c r="C918" s="29" t="s">
        <v>37</v>
      </c>
      <c r="D918" s="29" t="s">
        <v>4456</v>
      </c>
      <c r="E918" s="29" t="s">
        <v>151</v>
      </c>
      <c r="F918" s="29" t="s">
        <v>4457</v>
      </c>
      <c r="G918" s="29" t="s">
        <v>4458</v>
      </c>
      <c r="H918" s="29" t="s">
        <v>4421</v>
      </c>
      <c r="I918" s="29" t="s">
        <v>472</v>
      </c>
      <c r="J918" s="29" t="s">
        <v>472</v>
      </c>
      <c r="K918" s="30" t="s">
        <v>44</v>
      </c>
      <c r="L918" s="31"/>
      <c r="M918" s="32" t="s">
        <v>45</v>
      </c>
    </row>
    <row r="919" customFormat="false" ht="51" hidden="false" customHeight="true" outlineLevel="0" collapsed="false">
      <c r="B919" s="29" t="s">
        <v>4459</v>
      </c>
      <c r="C919" s="29" t="s">
        <v>37</v>
      </c>
      <c r="D919" s="29" t="s">
        <v>4460</v>
      </c>
      <c r="E919" s="29" t="s">
        <v>357</v>
      </c>
      <c r="F919" s="29" t="s">
        <v>4461</v>
      </c>
      <c r="G919" s="29" t="s">
        <v>4462</v>
      </c>
      <c r="H919" s="29" t="s">
        <v>4426</v>
      </c>
      <c r="I919" s="29" t="s">
        <v>3696</v>
      </c>
      <c r="J919" s="29" t="s">
        <v>155</v>
      </c>
      <c r="K919" s="30" t="s">
        <v>44</v>
      </c>
      <c r="L919" s="31"/>
      <c r="M919" s="32" t="s">
        <v>45</v>
      </c>
    </row>
    <row r="920" customFormat="false" ht="51" hidden="false" customHeight="true" outlineLevel="0" collapsed="false">
      <c r="B920" s="29" t="s">
        <v>4463</v>
      </c>
      <c r="C920" s="29" t="s">
        <v>37</v>
      </c>
      <c r="D920" s="29" t="s">
        <v>4464</v>
      </c>
      <c r="E920" s="29" t="s">
        <v>357</v>
      </c>
      <c r="F920" s="29" t="s">
        <v>4465</v>
      </c>
      <c r="G920" s="29" t="s">
        <v>4466</v>
      </c>
      <c r="H920" s="29" t="s">
        <v>4467</v>
      </c>
      <c r="I920" s="29" t="s">
        <v>302</v>
      </c>
      <c r="J920" s="29" t="s">
        <v>202</v>
      </c>
      <c r="K920" s="30" t="s">
        <v>44</v>
      </c>
      <c r="L920" s="31"/>
      <c r="M920" s="32" t="s">
        <v>45</v>
      </c>
    </row>
    <row r="921" customFormat="false" ht="51" hidden="false" customHeight="true" outlineLevel="0" collapsed="false">
      <c r="B921" s="29" t="s">
        <v>4468</v>
      </c>
      <c r="C921" s="29" t="s">
        <v>37</v>
      </c>
      <c r="D921" s="29" t="s">
        <v>4469</v>
      </c>
      <c r="E921" s="29" t="s">
        <v>91</v>
      </c>
      <c r="F921" s="29" t="s">
        <v>4470</v>
      </c>
      <c r="G921" s="29" t="s">
        <v>4471</v>
      </c>
      <c r="H921" s="29" t="s">
        <v>4467</v>
      </c>
      <c r="I921" s="29" t="s">
        <v>42</v>
      </c>
      <c r="J921" s="29" t="s">
        <v>597</v>
      </c>
      <c r="K921" s="30" t="s">
        <v>44</v>
      </c>
      <c r="L921" s="31"/>
      <c r="M921" s="32" t="s">
        <v>45</v>
      </c>
    </row>
    <row r="922" customFormat="false" ht="51" hidden="false" customHeight="true" outlineLevel="0" collapsed="false">
      <c r="B922" s="29" t="s">
        <v>4472</v>
      </c>
      <c r="C922" s="29" t="s">
        <v>37</v>
      </c>
      <c r="D922" s="29" t="s">
        <v>4473</v>
      </c>
      <c r="E922" s="29" t="s">
        <v>99</v>
      </c>
      <c r="F922" s="29" t="s">
        <v>4474</v>
      </c>
      <c r="G922" s="29" t="s">
        <v>4475</v>
      </c>
      <c r="H922" s="29" t="s">
        <v>4467</v>
      </c>
      <c r="I922" s="29" t="s">
        <v>42</v>
      </c>
      <c r="J922" s="29" t="s">
        <v>67</v>
      </c>
      <c r="K922" s="30" t="s">
        <v>44</v>
      </c>
      <c r="L922" s="31"/>
      <c r="M922" s="32" t="s">
        <v>45</v>
      </c>
    </row>
    <row r="923" customFormat="false" ht="51" hidden="false" customHeight="true" outlineLevel="0" collapsed="false">
      <c r="B923" s="29" t="s">
        <v>4476</v>
      </c>
      <c r="C923" s="29" t="s">
        <v>37</v>
      </c>
      <c r="D923" s="29" t="s">
        <v>4477</v>
      </c>
      <c r="E923" s="29" t="s">
        <v>91</v>
      </c>
      <c r="F923" s="29" t="s">
        <v>4478</v>
      </c>
      <c r="G923" s="29" t="s">
        <v>4479</v>
      </c>
      <c r="H923" s="29" t="s">
        <v>4480</v>
      </c>
      <c r="I923" s="29" t="s">
        <v>42</v>
      </c>
      <c r="J923" s="29" t="s">
        <v>261</v>
      </c>
      <c r="K923" s="30" t="s">
        <v>44</v>
      </c>
      <c r="L923" s="31"/>
      <c r="M923" s="32" t="s">
        <v>45</v>
      </c>
    </row>
    <row r="924" customFormat="false" ht="51" hidden="false" customHeight="true" outlineLevel="0" collapsed="false">
      <c r="B924" s="29" t="s">
        <v>4481</v>
      </c>
      <c r="C924" s="29" t="s">
        <v>37</v>
      </c>
      <c r="D924" s="29" t="s">
        <v>4482</v>
      </c>
      <c r="E924" s="29" t="s">
        <v>91</v>
      </c>
      <c r="F924" s="29" t="s">
        <v>4483</v>
      </c>
      <c r="G924" s="29" t="s">
        <v>4484</v>
      </c>
      <c r="H924" s="29" t="s">
        <v>4480</v>
      </c>
      <c r="I924" s="29" t="s">
        <v>3843</v>
      </c>
      <c r="J924" s="29" t="s">
        <v>2544</v>
      </c>
      <c r="K924" s="30" t="s">
        <v>44</v>
      </c>
      <c r="L924" s="31"/>
      <c r="M924" s="32" t="s">
        <v>45</v>
      </c>
    </row>
    <row r="925" customFormat="false" ht="51" hidden="false" customHeight="true" outlineLevel="0" collapsed="false">
      <c r="B925" s="29" t="s">
        <v>4485</v>
      </c>
      <c r="C925" s="29" t="s">
        <v>37</v>
      </c>
      <c r="D925" s="29" t="s">
        <v>4486</v>
      </c>
      <c r="E925" s="29" t="s">
        <v>91</v>
      </c>
      <c r="F925" s="29" t="s">
        <v>4487</v>
      </c>
      <c r="G925" s="29" t="s">
        <v>4488</v>
      </c>
      <c r="H925" s="29" t="s">
        <v>4480</v>
      </c>
      <c r="I925" s="29" t="s">
        <v>3843</v>
      </c>
      <c r="J925" s="29" t="s">
        <v>4489</v>
      </c>
      <c r="K925" s="30" t="s">
        <v>44</v>
      </c>
      <c r="L925" s="31"/>
      <c r="M925" s="32" t="s">
        <v>45</v>
      </c>
    </row>
    <row r="926" customFormat="false" ht="51" hidden="false" customHeight="true" outlineLevel="0" collapsed="false">
      <c r="B926" s="29" t="s">
        <v>4490</v>
      </c>
      <c r="C926" s="29" t="s">
        <v>37</v>
      </c>
      <c r="D926" s="29" t="s">
        <v>4491</v>
      </c>
      <c r="E926" s="29" t="s">
        <v>99</v>
      </c>
      <c r="F926" s="29" t="s">
        <v>4492</v>
      </c>
      <c r="G926" s="29" t="s">
        <v>4493</v>
      </c>
      <c r="H926" s="29" t="s">
        <v>4494</v>
      </c>
      <c r="I926" s="29" t="s">
        <v>42</v>
      </c>
      <c r="J926" s="29" t="s">
        <v>67</v>
      </c>
      <c r="K926" s="30" t="s">
        <v>44</v>
      </c>
      <c r="L926" s="31"/>
      <c r="M926" s="32" t="s">
        <v>45</v>
      </c>
    </row>
    <row r="927" customFormat="false" ht="51" hidden="false" customHeight="true" outlineLevel="0" collapsed="false">
      <c r="B927" s="29" t="s">
        <v>4495</v>
      </c>
      <c r="C927" s="29" t="s">
        <v>37</v>
      </c>
      <c r="D927" s="29" t="s">
        <v>4496</v>
      </c>
      <c r="E927" s="29" t="s">
        <v>99</v>
      </c>
      <c r="F927" s="29" t="s">
        <v>4497</v>
      </c>
      <c r="G927" s="29" t="s">
        <v>4498</v>
      </c>
      <c r="H927" s="29" t="s">
        <v>4494</v>
      </c>
      <c r="I927" s="29" t="s">
        <v>42</v>
      </c>
      <c r="J927" s="29" t="s">
        <v>67</v>
      </c>
      <c r="K927" s="30" t="s">
        <v>44</v>
      </c>
      <c r="L927" s="31"/>
      <c r="M927" s="32" t="s">
        <v>45</v>
      </c>
    </row>
    <row r="928" customFormat="false" ht="51" hidden="false" customHeight="true" outlineLevel="0" collapsed="false">
      <c r="B928" s="29" t="s">
        <v>4499</v>
      </c>
      <c r="C928" s="29" t="s">
        <v>37</v>
      </c>
      <c r="D928" s="29" t="s">
        <v>4500</v>
      </c>
      <c r="E928" s="29" t="s">
        <v>99</v>
      </c>
      <c r="F928" s="29" t="s">
        <v>4501</v>
      </c>
      <c r="G928" s="29" t="s">
        <v>4501</v>
      </c>
      <c r="H928" s="29" t="s">
        <v>4494</v>
      </c>
      <c r="I928" s="29" t="s">
        <v>42</v>
      </c>
      <c r="J928" s="29" t="s">
        <v>67</v>
      </c>
      <c r="K928" s="30" t="s">
        <v>44</v>
      </c>
      <c r="L928" s="31"/>
      <c r="M928" s="32" t="s">
        <v>45</v>
      </c>
    </row>
    <row r="929" customFormat="false" ht="51" hidden="false" customHeight="true" outlineLevel="0" collapsed="false">
      <c r="B929" s="29" t="s">
        <v>4502</v>
      </c>
      <c r="C929" s="29" t="s">
        <v>37</v>
      </c>
      <c r="D929" s="29" t="s">
        <v>4503</v>
      </c>
      <c r="E929" s="29" t="s">
        <v>99</v>
      </c>
      <c r="F929" s="29" t="s">
        <v>4504</v>
      </c>
      <c r="G929" s="29" t="s">
        <v>4505</v>
      </c>
      <c r="H929" s="29" t="s">
        <v>4494</v>
      </c>
      <c r="I929" s="29" t="s">
        <v>42</v>
      </c>
      <c r="J929" s="29" t="s">
        <v>67</v>
      </c>
      <c r="K929" s="30" t="s">
        <v>44</v>
      </c>
      <c r="L929" s="31"/>
      <c r="M929" s="32" t="s">
        <v>45</v>
      </c>
    </row>
    <row r="930" customFormat="false" ht="51" hidden="false" customHeight="true" outlineLevel="0" collapsed="false">
      <c r="B930" s="29" t="s">
        <v>4506</v>
      </c>
      <c r="C930" s="29" t="s">
        <v>37</v>
      </c>
      <c r="D930" s="29" t="s">
        <v>4507</v>
      </c>
      <c r="E930" s="29" t="s">
        <v>99</v>
      </c>
      <c r="F930" s="29" t="s">
        <v>4508</v>
      </c>
      <c r="G930" s="29" t="s">
        <v>4509</v>
      </c>
      <c r="H930" s="29" t="s">
        <v>4494</v>
      </c>
      <c r="I930" s="29" t="s">
        <v>42</v>
      </c>
      <c r="J930" s="29" t="s">
        <v>67</v>
      </c>
      <c r="K930" s="30" t="s">
        <v>44</v>
      </c>
      <c r="L930" s="31"/>
      <c r="M930" s="32" t="s">
        <v>45</v>
      </c>
    </row>
    <row r="931" customFormat="false" ht="51" hidden="false" customHeight="true" outlineLevel="0" collapsed="false">
      <c r="B931" s="29" t="s">
        <v>4510</v>
      </c>
      <c r="C931" s="29" t="s">
        <v>37</v>
      </c>
      <c r="D931" s="29" t="s">
        <v>4511</v>
      </c>
      <c r="E931" s="29" t="s">
        <v>99</v>
      </c>
      <c r="F931" s="29" t="s">
        <v>4512</v>
      </c>
      <c r="G931" s="29" t="s">
        <v>4513</v>
      </c>
      <c r="H931" s="29" t="s">
        <v>4494</v>
      </c>
      <c r="I931" s="29" t="s">
        <v>42</v>
      </c>
      <c r="J931" s="29" t="s">
        <v>67</v>
      </c>
      <c r="K931" s="30" t="s">
        <v>44</v>
      </c>
      <c r="L931" s="31"/>
      <c r="M931" s="32" t="s">
        <v>45</v>
      </c>
    </row>
    <row r="932" customFormat="false" ht="51" hidden="false" customHeight="true" outlineLevel="0" collapsed="false">
      <c r="B932" s="29" t="s">
        <v>4514</v>
      </c>
      <c r="C932" s="29" t="s">
        <v>37</v>
      </c>
      <c r="D932" s="29" t="s">
        <v>4515</v>
      </c>
      <c r="E932" s="29" t="s">
        <v>99</v>
      </c>
      <c r="F932" s="29" t="s">
        <v>4516</v>
      </c>
      <c r="G932" s="29" t="s">
        <v>4517</v>
      </c>
      <c r="H932" s="29" t="s">
        <v>4494</v>
      </c>
      <c r="I932" s="29" t="s">
        <v>42</v>
      </c>
      <c r="J932" s="29" t="s">
        <v>67</v>
      </c>
      <c r="K932" s="30" t="s">
        <v>44</v>
      </c>
      <c r="L932" s="31"/>
      <c r="M932" s="32" t="s">
        <v>45</v>
      </c>
    </row>
    <row r="933" customFormat="false" ht="51" hidden="false" customHeight="true" outlineLevel="0" collapsed="false">
      <c r="B933" s="29" t="s">
        <v>4518</v>
      </c>
      <c r="C933" s="29" t="s">
        <v>37</v>
      </c>
      <c r="D933" s="29" t="s">
        <v>4519</v>
      </c>
      <c r="E933" s="29" t="s">
        <v>340</v>
      </c>
      <c r="F933" s="29" t="s">
        <v>4520</v>
      </c>
      <c r="G933" s="29" t="s">
        <v>4521</v>
      </c>
      <c r="H933" s="29" t="s">
        <v>4522</v>
      </c>
      <c r="I933" s="29" t="s">
        <v>302</v>
      </c>
      <c r="J933" s="29" t="s">
        <v>202</v>
      </c>
      <c r="K933" s="30" t="s">
        <v>44</v>
      </c>
      <c r="L933" s="31"/>
      <c r="M933" s="32" t="s">
        <v>45</v>
      </c>
    </row>
    <row r="934" customFormat="false" ht="51" hidden="false" customHeight="true" outlineLevel="0" collapsed="false">
      <c r="B934" s="29" t="s">
        <v>4523</v>
      </c>
      <c r="C934" s="29" t="s">
        <v>37</v>
      </c>
      <c r="D934" s="29" t="s">
        <v>4524</v>
      </c>
      <c r="E934" s="29" t="s">
        <v>357</v>
      </c>
      <c r="F934" s="29" t="s">
        <v>4525</v>
      </c>
      <c r="G934" s="29" t="s">
        <v>4526</v>
      </c>
      <c r="H934" s="29" t="s">
        <v>4522</v>
      </c>
      <c r="I934" s="29" t="s">
        <v>42</v>
      </c>
      <c r="J934" s="29" t="s">
        <v>43</v>
      </c>
      <c r="K934" s="30" t="s">
        <v>44</v>
      </c>
      <c r="L934" s="31"/>
      <c r="M934" s="32" t="s">
        <v>45</v>
      </c>
    </row>
    <row r="935" customFormat="false" ht="51" hidden="false" customHeight="true" outlineLevel="0" collapsed="false">
      <c r="B935" s="29" t="s">
        <v>4527</v>
      </c>
      <c r="C935" s="29" t="s">
        <v>37</v>
      </c>
      <c r="D935" s="29" t="s">
        <v>4528</v>
      </c>
      <c r="E935" s="29" t="s">
        <v>340</v>
      </c>
      <c r="F935" s="29" t="s">
        <v>4529</v>
      </c>
      <c r="G935" s="29" t="s">
        <v>4530</v>
      </c>
      <c r="H935" s="29" t="s">
        <v>4522</v>
      </c>
      <c r="I935" s="29" t="s">
        <v>302</v>
      </c>
      <c r="J935" s="29" t="s">
        <v>202</v>
      </c>
      <c r="K935" s="30" t="s">
        <v>44</v>
      </c>
      <c r="L935" s="31"/>
      <c r="M935" s="32" t="s">
        <v>45</v>
      </c>
    </row>
    <row r="936" customFormat="false" ht="51" hidden="false" customHeight="true" outlineLevel="0" collapsed="false">
      <c r="B936" s="29" t="s">
        <v>4531</v>
      </c>
      <c r="C936" s="29" t="s">
        <v>37</v>
      </c>
      <c r="D936" s="29" t="s">
        <v>4532</v>
      </c>
      <c r="E936" s="29" t="s">
        <v>357</v>
      </c>
      <c r="F936" s="29" t="s">
        <v>4533</v>
      </c>
      <c r="G936" s="29" t="s">
        <v>4534</v>
      </c>
      <c r="H936" s="29" t="s">
        <v>4522</v>
      </c>
      <c r="I936" s="29" t="s">
        <v>302</v>
      </c>
      <c r="J936" s="29" t="s">
        <v>202</v>
      </c>
      <c r="K936" s="30" t="s">
        <v>44</v>
      </c>
      <c r="L936" s="31"/>
      <c r="M936" s="32" t="s">
        <v>45</v>
      </c>
    </row>
    <row r="937" customFormat="false" ht="51" hidden="false" customHeight="true" outlineLevel="0" collapsed="false">
      <c r="B937" s="29" t="s">
        <v>4535</v>
      </c>
      <c r="C937" s="29" t="s">
        <v>37</v>
      </c>
      <c r="D937" s="29" t="s">
        <v>4536</v>
      </c>
      <c r="E937" s="29" t="s">
        <v>340</v>
      </c>
      <c r="F937" s="29" t="s">
        <v>4537</v>
      </c>
      <c r="G937" s="29" t="s">
        <v>4538</v>
      </c>
      <c r="H937" s="29" t="s">
        <v>4522</v>
      </c>
      <c r="I937" s="29" t="s">
        <v>302</v>
      </c>
      <c r="J937" s="29" t="s">
        <v>202</v>
      </c>
      <c r="K937" s="30" t="s">
        <v>44</v>
      </c>
      <c r="L937" s="31"/>
      <c r="M937" s="32" t="s">
        <v>45</v>
      </c>
    </row>
    <row r="938" customFormat="false" ht="51" hidden="false" customHeight="true" outlineLevel="0" collapsed="false">
      <c r="B938" s="29" t="s">
        <v>4539</v>
      </c>
      <c r="C938" s="29" t="s">
        <v>37</v>
      </c>
      <c r="D938" s="29" t="s">
        <v>4540</v>
      </c>
      <c r="E938" s="29" t="s">
        <v>357</v>
      </c>
      <c r="F938" s="29" t="s">
        <v>4541</v>
      </c>
      <c r="G938" s="29" t="s">
        <v>4542</v>
      </c>
      <c r="H938" s="29" t="s">
        <v>4543</v>
      </c>
      <c r="I938" s="29" t="s">
        <v>302</v>
      </c>
      <c r="J938" s="29" t="s">
        <v>202</v>
      </c>
      <c r="K938" s="30" t="s">
        <v>44</v>
      </c>
      <c r="L938" s="31"/>
      <c r="M938" s="32" t="s">
        <v>45</v>
      </c>
    </row>
    <row r="939" customFormat="false" ht="51" hidden="false" customHeight="true" outlineLevel="0" collapsed="false">
      <c r="B939" s="29" t="s">
        <v>4544</v>
      </c>
      <c r="C939" s="29" t="s">
        <v>37</v>
      </c>
      <c r="D939" s="29" t="s">
        <v>4545</v>
      </c>
      <c r="E939" s="29" t="s">
        <v>357</v>
      </c>
      <c r="F939" s="29" t="s">
        <v>4546</v>
      </c>
      <c r="G939" s="29" t="s">
        <v>4547</v>
      </c>
      <c r="H939" s="29" t="s">
        <v>4543</v>
      </c>
      <c r="I939" s="29" t="s">
        <v>302</v>
      </c>
      <c r="J939" s="29" t="s">
        <v>202</v>
      </c>
      <c r="K939" s="30" t="s">
        <v>44</v>
      </c>
      <c r="L939" s="31"/>
      <c r="M939" s="32" t="s">
        <v>45</v>
      </c>
    </row>
    <row r="940" customFormat="false" ht="51" hidden="false" customHeight="true" outlineLevel="0" collapsed="false">
      <c r="B940" s="29" t="s">
        <v>4548</v>
      </c>
      <c r="C940" s="29" t="s">
        <v>37</v>
      </c>
      <c r="D940" s="29" t="s">
        <v>4549</v>
      </c>
      <c r="E940" s="29" t="s">
        <v>357</v>
      </c>
      <c r="F940" s="29" t="s">
        <v>4550</v>
      </c>
      <c r="G940" s="29" t="s">
        <v>4551</v>
      </c>
      <c r="H940" s="29" t="s">
        <v>4543</v>
      </c>
      <c r="I940" s="29" t="s">
        <v>302</v>
      </c>
      <c r="J940" s="29" t="s">
        <v>202</v>
      </c>
      <c r="K940" s="30" t="s">
        <v>44</v>
      </c>
      <c r="L940" s="31"/>
      <c r="M940" s="32" t="s">
        <v>45</v>
      </c>
    </row>
    <row r="941" customFormat="false" ht="51" hidden="false" customHeight="true" outlineLevel="0" collapsed="false">
      <c r="B941" s="29" t="s">
        <v>4552</v>
      </c>
      <c r="C941" s="29" t="s">
        <v>37</v>
      </c>
      <c r="D941" s="29" t="s">
        <v>4553</v>
      </c>
      <c r="E941" s="29" t="s">
        <v>357</v>
      </c>
      <c r="F941" s="29" t="s">
        <v>4554</v>
      </c>
      <c r="G941" s="29" t="s">
        <v>4555</v>
      </c>
      <c r="H941" s="29" t="s">
        <v>4543</v>
      </c>
      <c r="I941" s="29" t="s">
        <v>302</v>
      </c>
      <c r="J941" s="29" t="s">
        <v>202</v>
      </c>
      <c r="K941" s="30" t="s">
        <v>44</v>
      </c>
      <c r="L941" s="31"/>
      <c r="M941" s="32" t="s">
        <v>45</v>
      </c>
    </row>
    <row r="942" customFormat="false" ht="51" hidden="false" customHeight="true" outlineLevel="0" collapsed="false">
      <c r="B942" s="29" t="s">
        <v>4556</v>
      </c>
      <c r="C942" s="29" t="s">
        <v>37</v>
      </c>
      <c r="D942" s="29" t="s">
        <v>4557</v>
      </c>
      <c r="E942" s="29" t="s">
        <v>357</v>
      </c>
      <c r="F942" s="29" t="s">
        <v>4558</v>
      </c>
      <c r="G942" s="29" t="s">
        <v>4559</v>
      </c>
      <c r="H942" s="29" t="s">
        <v>4543</v>
      </c>
      <c r="I942" s="29" t="s">
        <v>302</v>
      </c>
      <c r="J942" s="29" t="s">
        <v>202</v>
      </c>
      <c r="K942" s="30" t="s">
        <v>44</v>
      </c>
      <c r="L942" s="31"/>
      <c r="M942" s="32" t="s">
        <v>45</v>
      </c>
    </row>
    <row r="943" customFormat="false" ht="51" hidden="false" customHeight="true" outlineLevel="0" collapsed="false">
      <c r="B943" s="29" t="s">
        <v>4560</v>
      </c>
      <c r="C943" s="29" t="s">
        <v>37</v>
      </c>
      <c r="D943" s="29" t="s">
        <v>4561</v>
      </c>
      <c r="E943" s="29" t="s">
        <v>91</v>
      </c>
      <c r="F943" s="29" t="s">
        <v>4562</v>
      </c>
      <c r="G943" s="29" t="s">
        <v>4563</v>
      </c>
      <c r="H943" s="29" t="s">
        <v>4564</v>
      </c>
      <c r="I943" s="29" t="s">
        <v>42</v>
      </c>
      <c r="J943" s="29" t="s">
        <v>597</v>
      </c>
      <c r="K943" s="30" t="s">
        <v>44</v>
      </c>
      <c r="L943" s="31"/>
      <c r="M943" s="32" t="s">
        <v>45</v>
      </c>
    </row>
    <row r="944" customFormat="false" ht="51" hidden="false" customHeight="true" outlineLevel="0" collapsed="false">
      <c r="B944" s="29" t="s">
        <v>4565</v>
      </c>
      <c r="C944" s="29" t="s">
        <v>37</v>
      </c>
      <c r="D944" s="29" t="s">
        <v>4566</v>
      </c>
      <c r="E944" s="29" t="s">
        <v>91</v>
      </c>
      <c r="F944" s="29" t="s">
        <v>4567</v>
      </c>
      <c r="G944" s="29" t="s">
        <v>4568</v>
      </c>
      <c r="H944" s="29" t="s">
        <v>4564</v>
      </c>
      <c r="I944" s="29" t="s">
        <v>42</v>
      </c>
      <c r="J944" s="29" t="s">
        <v>597</v>
      </c>
      <c r="K944" s="30" t="s">
        <v>44</v>
      </c>
      <c r="L944" s="31"/>
      <c r="M944" s="32" t="s">
        <v>45</v>
      </c>
    </row>
    <row r="945" customFormat="false" ht="51" hidden="false" customHeight="true" outlineLevel="0" collapsed="false">
      <c r="B945" s="29" t="s">
        <v>4569</v>
      </c>
      <c r="C945" s="29" t="s">
        <v>37</v>
      </c>
      <c r="D945" s="29" t="s">
        <v>4570</v>
      </c>
      <c r="E945" s="29" t="s">
        <v>91</v>
      </c>
      <c r="F945" s="29" t="s">
        <v>4571</v>
      </c>
      <c r="G945" s="29" t="s">
        <v>4571</v>
      </c>
      <c r="H945" s="29" t="s">
        <v>4564</v>
      </c>
      <c r="I945" s="29" t="s">
        <v>42</v>
      </c>
      <c r="J945" s="29" t="s">
        <v>597</v>
      </c>
      <c r="K945" s="30" t="s">
        <v>44</v>
      </c>
      <c r="L945" s="31"/>
      <c r="M945" s="32" t="s">
        <v>45</v>
      </c>
    </row>
    <row r="946" customFormat="false" ht="51" hidden="false" customHeight="true" outlineLevel="0" collapsed="false">
      <c r="B946" s="29" t="s">
        <v>4572</v>
      </c>
      <c r="C946" s="29" t="s">
        <v>37</v>
      </c>
      <c r="D946" s="29" t="s">
        <v>4573</v>
      </c>
      <c r="E946" s="29" t="s">
        <v>91</v>
      </c>
      <c r="F946" s="29" t="s">
        <v>4574</v>
      </c>
      <c r="G946" s="29" t="s">
        <v>4575</v>
      </c>
      <c r="H946" s="29" t="s">
        <v>4564</v>
      </c>
      <c r="I946" s="29" t="s">
        <v>42</v>
      </c>
      <c r="J946" s="29" t="s">
        <v>597</v>
      </c>
      <c r="K946" s="30" t="s">
        <v>44</v>
      </c>
      <c r="L946" s="31"/>
      <c r="M946" s="32" t="s">
        <v>45</v>
      </c>
    </row>
    <row r="947" customFormat="false" ht="51" hidden="false" customHeight="true" outlineLevel="0" collapsed="false">
      <c r="B947" s="29" t="s">
        <v>4576</v>
      </c>
      <c r="C947" s="29" t="s">
        <v>37</v>
      </c>
      <c r="D947" s="29" t="s">
        <v>4577</v>
      </c>
      <c r="E947" s="29" t="s">
        <v>91</v>
      </c>
      <c r="F947" s="29" t="s">
        <v>4578</v>
      </c>
      <c r="G947" s="29" t="s">
        <v>4579</v>
      </c>
      <c r="H947" s="29" t="s">
        <v>4564</v>
      </c>
      <c r="I947" s="29" t="s">
        <v>3843</v>
      </c>
      <c r="J947" s="29" t="s">
        <v>2158</v>
      </c>
      <c r="K947" s="30" t="s">
        <v>44</v>
      </c>
      <c r="L947" s="31"/>
      <c r="M947" s="32" t="s">
        <v>45</v>
      </c>
    </row>
    <row r="948" customFormat="false" ht="51" hidden="false" customHeight="true" outlineLevel="0" collapsed="false">
      <c r="B948" s="29" t="s">
        <v>4580</v>
      </c>
      <c r="C948" s="29" t="s">
        <v>37</v>
      </c>
      <c r="D948" s="29" t="s">
        <v>4581</v>
      </c>
      <c r="E948" s="29" t="s">
        <v>91</v>
      </c>
      <c r="F948" s="29" t="s">
        <v>4582</v>
      </c>
      <c r="G948" s="29" t="s">
        <v>4583</v>
      </c>
      <c r="H948" s="29" t="s">
        <v>4564</v>
      </c>
      <c r="I948" s="29" t="s">
        <v>42</v>
      </c>
      <c r="J948" s="29" t="s">
        <v>597</v>
      </c>
      <c r="K948" s="30" t="s">
        <v>44</v>
      </c>
      <c r="L948" s="31"/>
      <c r="M948" s="32" t="s">
        <v>45</v>
      </c>
    </row>
    <row r="949" customFormat="false" ht="51" hidden="false" customHeight="true" outlineLevel="0" collapsed="false">
      <c r="B949" s="29" t="s">
        <v>4584</v>
      </c>
      <c r="C949" s="29" t="s">
        <v>37</v>
      </c>
      <c r="D949" s="29" t="s">
        <v>4585</v>
      </c>
      <c r="E949" s="29" t="s">
        <v>91</v>
      </c>
      <c r="F949" s="29" t="s">
        <v>4586</v>
      </c>
      <c r="G949" s="29" t="s">
        <v>4587</v>
      </c>
      <c r="H949" s="29" t="s">
        <v>4564</v>
      </c>
      <c r="I949" s="29" t="s">
        <v>3843</v>
      </c>
      <c r="J949" s="29" t="s">
        <v>2158</v>
      </c>
      <c r="K949" s="30" t="s">
        <v>44</v>
      </c>
      <c r="L949" s="31"/>
      <c r="M949" s="32" t="s">
        <v>45</v>
      </c>
    </row>
    <row r="950" customFormat="false" ht="51" hidden="false" customHeight="true" outlineLevel="0" collapsed="false">
      <c r="B950" s="29" t="s">
        <v>4588</v>
      </c>
      <c r="C950" s="29" t="s">
        <v>37</v>
      </c>
      <c r="D950" s="29" t="s">
        <v>4589</v>
      </c>
      <c r="E950" s="29" t="s">
        <v>91</v>
      </c>
      <c r="F950" s="29" t="s">
        <v>4590</v>
      </c>
      <c r="G950" s="29" t="s">
        <v>4590</v>
      </c>
      <c r="H950" s="29" t="s">
        <v>4564</v>
      </c>
      <c r="I950" s="29" t="s">
        <v>42</v>
      </c>
      <c r="J950" s="29" t="s">
        <v>597</v>
      </c>
      <c r="K950" s="30" t="s">
        <v>44</v>
      </c>
      <c r="L950" s="31"/>
      <c r="M950" s="32" t="s">
        <v>45</v>
      </c>
    </row>
    <row r="951" customFormat="false" ht="51" hidden="false" customHeight="true" outlineLevel="0" collapsed="false">
      <c r="B951" s="29" t="s">
        <v>4591</v>
      </c>
      <c r="C951" s="29" t="s">
        <v>37</v>
      </c>
      <c r="D951" s="29" t="s">
        <v>4592</v>
      </c>
      <c r="E951" s="29" t="s">
        <v>543</v>
      </c>
      <c r="F951" s="29" t="s">
        <v>4593</v>
      </c>
      <c r="G951" s="29" t="s">
        <v>4593</v>
      </c>
      <c r="H951" s="29" t="s">
        <v>4594</v>
      </c>
      <c r="I951" s="29" t="s">
        <v>472</v>
      </c>
      <c r="J951" s="29" t="s">
        <v>472</v>
      </c>
      <c r="K951" s="30" t="s">
        <v>44</v>
      </c>
      <c r="L951" s="31"/>
      <c r="M951" s="32" t="s">
        <v>45</v>
      </c>
    </row>
    <row r="952" customFormat="false" ht="51" hidden="false" customHeight="true" outlineLevel="0" collapsed="false">
      <c r="B952" s="29" t="s">
        <v>4595</v>
      </c>
      <c r="C952" s="29" t="s">
        <v>37</v>
      </c>
      <c r="D952" s="29" t="s">
        <v>4596</v>
      </c>
      <c r="E952" s="29" t="s">
        <v>99</v>
      </c>
      <c r="F952" s="29" t="s">
        <v>4597</v>
      </c>
      <c r="G952" s="29" t="s">
        <v>4598</v>
      </c>
      <c r="H952" s="29" t="s">
        <v>4599</v>
      </c>
      <c r="I952" s="29" t="s">
        <v>42</v>
      </c>
      <c r="J952" s="29" t="s">
        <v>67</v>
      </c>
      <c r="K952" s="30" t="s">
        <v>44</v>
      </c>
      <c r="L952" s="31"/>
      <c r="M952" s="32" t="s">
        <v>45</v>
      </c>
    </row>
    <row r="953" customFormat="false" ht="51" hidden="false" customHeight="true" outlineLevel="0" collapsed="false">
      <c r="B953" s="29" t="s">
        <v>4600</v>
      </c>
      <c r="C953" s="29" t="s">
        <v>37</v>
      </c>
      <c r="D953" s="29" t="s">
        <v>4601</v>
      </c>
      <c r="E953" s="29" t="s">
        <v>151</v>
      </c>
      <c r="F953" s="29" t="s">
        <v>4602</v>
      </c>
      <c r="G953" s="29" t="s">
        <v>4603</v>
      </c>
      <c r="H953" s="29" t="s">
        <v>4599</v>
      </c>
      <c r="I953" s="29" t="s">
        <v>42</v>
      </c>
      <c r="J953" s="29" t="s">
        <v>1386</v>
      </c>
      <c r="K953" s="30" t="s">
        <v>44</v>
      </c>
      <c r="L953" s="31"/>
      <c r="M953" s="32" t="s">
        <v>45</v>
      </c>
    </row>
    <row r="954" customFormat="false" ht="51" hidden="false" customHeight="true" outlineLevel="0" collapsed="false">
      <c r="B954" s="29" t="s">
        <v>4604</v>
      </c>
      <c r="C954" s="29" t="s">
        <v>37</v>
      </c>
      <c r="D954" s="29" t="s">
        <v>4605</v>
      </c>
      <c r="E954" s="29" t="s">
        <v>543</v>
      </c>
      <c r="F954" s="29" t="s">
        <v>4606</v>
      </c>
      <c r="G954" s="29" t="s">
        <v>4607</v>
      </c>
      <c r="H954" s="29" t="s">
        <v>4594</v>
      </c>
      <c r="I954" s="29" t="s">
        <v>472</v>
      </c>
      <c r="J954" s="29" t="s">
        <v>472</v>
      </c>
      <c r="K954" s="30" t="s">
        <v>44</v>
      </c>
      <c r="L954" s="31"/>
      <c r="M954" s="32" t="s">
        <v>45</v>
      </c>
    </row>
    <row r="955" customFormat="false" ht="51" hidden="false" customHeight="true" outlineLevel="0" collapsed="false">
      <c r="B955" s="29" t="s">
        <v>4608</v>
      </c>
      <c r="C955" s="29" t="s">
        <v>37</v>
      </c>
      <c r="D955" s="29" t="s">
        <v>4609</v>
      </c>
      <c r="E955" s="29" t="s">
        <v>340</v>
      </c>
      <c r="F955" s="29" t="s">
        <v>4610</v>
      </c>
      <c r="G955" s="29" t="s">
        <v>4611</v>
      </c>
      <c r="H955" s="29" t="s">
        <v>4599</v>
      </c>
      <c r="I955" s="29" t="s">
        <v>42</v>
      </c>
      <c r="J955" s="29" t="s">
        <v>270</v>
      </c>
      <c r="K955" s="30" t="s">
        <v>44</v>
      </c>
      <c r="L955" s="31"/>
      <c r="M955" s="32" t="s">
        <v>45</v>
      </c>
    </row>
    <row r="956" customFormat="false" ht="51" hidden="false" customHeight="true" outlineLevel="0" collapsed="false">
      <c r="B956" s="29" t="s">
        <v>4612</v>
      </c>
      <c r="C956" s="29" t="s">
        <v>37</v>
      </c>
      <c r="D956" s="29" t="s">
        <v>4613</v>
      </c>
      <c r="E956" s="29" t="s">
        <v>357</v>
      </c>
      <c r="F956" s="29" t="s">
        <v>4614</v>
      </c>
      <c r="G956" s="29" t="s">
        <v>4615</v>
      </c>
      <c r="H956" s="29" t="s">
        <v>4616</v>
      </c>
      <c r="I956" s="29" t="s">
        <v>302</v>
      </c>
      <c r="J956" s="29" t="s">
        <v>202</v>
      </c>
      <c r="K956" s="30" t="s">
        <v>44</v>
      </c>
      <c r="L956" s="31"/>
      <c r="M956" s="32" t="s">
        <v>45</v>
      </c>
    </row>
    <row r="957" customFormat="false" ht="51" hidden="false" customHeight="true" outlineLevel="0" collapsed="false">
      <c r="B957" s="29" t="s">
        <v>4617</v>
      </c>
      <c r="C957" s="29" t="s">
        <v>37</v>
      </c>
      <c r="D957" s="29" t="s">
        <v>4618</v>
      </c>
      <c r="E957" s="29" t="s">
        <v>340</v>
      </c>
      <c r="F957" s="29" t="s">
        <v>4619</v>
      </c>
      <c r="G957" s="29" t="s">
        <v>4619</v>
      </c>
      <c r="H957" s="29" t="s">
        <v>4616</v>
      </c>
      <c r="I957" s="29" t="s">
        <v>302</v>
      </c>
      <c r="J957" s="29" t="s">
        <v>202</v>
      </c>
      <c r="K957" s="30" t="s">
        <v>44</v>
      </c>
      <c r="L957" s="31"/>
      <c r="M957" s="32" t="s">
        <v>45</v>
      </c>
    </row>
    <row r="958" customFormat="false" ht="51" hidden="false" customHeight="true" outlineLevel="0" collapsed="false">
      <c r="B958" s="29" t="s">
        <v>4620</v>
      </c>
      <c r="C958" s="29" t="s">
        <v>37</v>
      </c>
      <c r="D958" s="29" t="s">
        <v>4621</v>
      </c>
      <c r="E958" s="29" t="s">
        <v>357</v>
      </c>
      <c r="F958" s="29" t="s">
        <v>4622</v>
      </c>
      <c r="G958" s="29" t="s">
        <v>4622</v>
      </c>
      <c r="H958" s="29" t="s">
        <v>4616</v>
      </c>
      <c r="I958" s="29" t="s">
        <v>302</v>
      </c>
      <c r="J958" s="29" t="s">
        <v>202</v>
      </c>
      <c r="K958" s="30" t="s">
        <v>44</v>
      </c>
      <c r="L958" s="31"/>
      <c r="M958" s="32" t="s">
        <v>45</v>
      </c>
    </row>
    <row r="959" customFormat="false" ht="51" hidden="false" customHeight="true" outlineLevel="0" collapsed="false">
      <c r="B959" s="29" t="s">
        <v>4623</v>
      </c>
      <c r="C959" s="29" t="s">
        <v>37</v>
      </c>
      <c r="D959" s="29" t="s">
        <v>4624</v>
      </c>
      <c r="E959" s="29" t="s">
        <v>357</v>
      </c>
      <c r="F959" s="29" t="s">
        <v>4625</v>
      </c>
      <c r="G959" s="29" t="s">
        <v>4625</v>
      </c>
      <c r="H959" s="29" t="s">
        <v>4616</v>
      </c>
      <c r="I959" s="29" t="s">
        <v>302</v>
      </c>
      <c r="J959" s="29" t="s">
        <v>202</v>
      </c>
      <c r="K959" s="30" t="s">
        <v>44</v>
      </c>
      <c r="L959" s="31"/>
      <c r="M959" s="32" t="s">
        <v>45</v>
      </c>
    </row>
    <row r="960" customFormat="false" ht="51" hidden="false" customHeight="true" outlineLevel="0" collapsed="false">
      <c r="B960" s="29" t="s">
        <v>4626</v>
      </c>
      <c r="C960" s="29" t="s">
        <v>37</v>
      </c>
      <c r="D960" s="29" t="s">
        <v>4627</v>
      </c>
      <c r="E960" s="29" t="s">
        <v>340</v>
      </c>
      <c r="F960" s="29" t="s">
        <v>4628</v>
      </c>
      <c r="G960" s="29" t="s">
        <v>4629</v>
      </c>
      <c r="H960" s="29" t="s">
        <v>4616</v>
      </c>
      <c r="I960" s="29" t="s">
        <v>302</v>
      </c>
      <c r="J960" s="29" t="s">
        <v>202</v>
      </c>
      <c r="K960" s="30" t="s">
        <v>44</v>
      </c>
      <c r="L960" s="31"/>
      <c r="M960" s="32" t="s">
        <v>45</v>
      </c>
    </row>
    <row r="961" customFormat="false" ht="51" hidden="false" customHeight="true" outlineLevel="0" collapsed="false">
      <c r="B961" s="29" t="s">
        <v>4630</v>
      </c>
      <c r="C961" s="29" t="s">
        <v>37</v>
      </c>
      <c r="D961" s="29" t="s">
        <v>4631</v>
      </c>
      <c r="E961" s="29" t="s">
        <v>99</v>
      </c>
      <c r="F961" s="29" t="s">
        <v>4632</v>
      </c>
      <c r="G961" s="29" t="s">
        <v>4633</v>
      </c>
      <c r="H961" s="29" t="s">
        <v>4616</v>
      </c>
      <c r="I961" s="29" t="s">
        <v>42</v>
      </c>
      <c r="J961" s="29" t="s">
        <v>67</v>
      </c>
      <c r="K961" s="30" t="s">
        <v>44</v>
      </c>
      <c r="L961" s="31"/>
      <c r="M961" s="32" t="s">
        <v>45</v>
      </c>
    </row>
    <row r="962" customFormat="false" ht="51" hidden="false" customHeight="true" outlineLevel="0" collapsed="false">
      <c r="B962" s="29" t="s">
        <v>4634</v>
      </c>
      <c r="C962" s="29" t="s">
        <v>37</v>
      </c>
      <c r="D962" s="29" t="s">
        <v>4635</v>
      </c>
      <c r="E962" s="29" t="s">
        <v>357</v>
      </c>
      <c r="F962" s="29" t="s">
        <v>4636</v>
      </c>
      <c r="G962" s="29" t="s">
        <v>4637</v>
      </c>
      <c r="H962" s="29" t="s">
        <v>4616</v>
      </c>
      <c r="I962" s="29" t="s">
        <v>302</v>
      </c>
      <c r="J962" s="29" t="s">
        <v>202</v>
      </c>
      <c r="K962" s="30" t="s">
        <v>44</v>
      </c>
      <c r="L962" s="31"/>
      <c r="M962" s="32" t="s">
        <v>45</v>
      </c>
    </row>
    <row r="963" customFormat="false" ht="51" hidden="false" customHeight="true" outlineLevel="0" collapsed="false">
      <c r="B963" s="29" t="s">
        <v>4638</v>
      </c>
      <c r="C963" s="29" t="s">
        <v>37</v>
      </c>
      <c r="D963" s="29" t="s">
        <v>4639</v>
      </c>
      <c r="E963" s="29" t="s">
        <v>340</v>
      </c>
      <c r="F963" s="29" t="s">
        <v>4640</v>
      </c>
      <c r="G963" s="29" t="s">
        <v>4641</v>
      </c>
      <c r="H963" s="29" t="s">
        <v>4616</v>
      </c>
      <c r="I963" s="29" t="s">
        <v>302</v>
      </c>
      <c r="J963" s="29" t="s">
        <v>202</v>
      </c>
      <c r="K963" s="30" t="s">
        <v>44</v>
      </c>
      <c r="L963" s="31"/>
      <c r="M963" s="32" t="s">
        <v>45</v>
      </c>
    </row>
    <row r="964" customFormat="false" ht="51" hidden="false" customHeight="true" outlineLevel="0" collapsed="false">
      <c r="B964" s="29" t="s">
        <v>4642</v>
      </c>
      <c r="C964" s="29" t="s">
        <v>37</v>
      </c>
      <c r="D964" s="29" t="s">
        <v>4643</v>
      </c>
      <c r="E964" s="29" t="s">
        <v>340</v>
      </c>
      <c r="F964" s="29" t="s">
        <v>4644</v>
      </c>
      <c r="G964" s="29" t="s">
        <v>4644</v>
      </c>
      <c r="H964" s="29" t="s">
        <v>4616</v>
      </c>
      <c r="I964" s="29" t="s">
        <v>302</v>
      </c>
      <c r="J964" s="29" t="s">
        <v>202</v>
      </c>
      <c r="K964" s="30" t="s">
        <v>44</v>
      </c>
      <c r="L964" s="31"/>
      <c r="M964" s="32" t="s">
        <v>45</v>
      </c>
    </row>
    <row r="965" customFormat="false" ht="51" hidden="false" customHeight="true" outlineLevel="0" collapsed="false">
      <c r="B965" s="29" t="s">
        <v>4645</v>
      </c>
      <c r="C965" s="29" t="s">
        <v>37</v>
      </c>
      <c r="D965" s="29" t="s">
        <v>4646</v>
      </c>
      <c r="E965" s="29" t="s">
        <v>357</v>
      </c>
      <c r="F965" s="29" t="s">
        <v>4647</v>
      </c>
      <c r="G965" s="29" t="s">
        <v>4648</v>
      </c>
      <c r="H965" s="29" t="s">
        <v>4616</v>
      </c>
      <c r="I965" s="29" t="s">
        <v>302</v>
      </c>
      <c r="J965" s="29" t="s">
        <v>202</v>
      </c>
      <c r="K965" s="30" t="s">
        <v>44</v>
      </c>
      <c r="L965" s="31"/>
      <c r="M965" s="32" t="s">
        <v>45</v>
      </c>
    </row>
    <row r="966" customFormat="false" ht="51" hidden="false" customHeight="true" outlineLevel="0" collapsed="false">
      <c r="B966" s="29" t="s">
        <v>4649</v>
      </c>
      <c r="C966" s="29" t="s">
        <v>37</v>
      </c>
      <c r="D966" s="29" t="s">
        <v>4650</v>
      </c>
      <c r="E966" s="29" t="s">
        <v>600</v>
      </c>
      <c r="F966" s="29" t="s">
        <v>4651</v>
      </c>
      <c r="G966" s="29" t="s">
        <v>4652</v>
      </c>
      <c r="H966" s="29" t="s">
        <v>4653</v>
      </c>
      <c r="I966" s="29" t="s">
        <v>472</v>
      </c>
      <c r="J966" s="29" t="s">
        <v>472</v>
      </c>
      <c r="K966" s="30" t="s">
        <v>44</v>
      </c>
      <c r="L966" s="31"/>
      <c r="M966" s="32" t="s">
        <v>45</v>
      </c>
    </row>
    <row r="967" customFormat="false" ht="51" hidden="false" customHeight="true" outlineLevel="0" collapsed="false">
      <c r="B967" s="29" t="s">
        <v>4654</v>
      </c>
      <c r="C967" s="29" t="s">
        <v>37</v>
      </c>
      <c r="D967" s="29" t="s">
        <v>4655</v>
      </c>
      <c r="E967" s="29" t="s">
        <v>600</v>
      </c>
      <c r="F967" s="29" t="s">
        <v>4656</v>
      </c>
      <c r="G967" s="29" t="s">
        <v>4657</v>
      </c>
      <c r="H967" s="29" t="s">
        <v>4653</v>
      </c>
      <c r="I967" s="29" t="s">
        <v>472</v>
      </c>
      <c r="J967" s="29" t="s">
        <v>472</v>
      </c>
      <c r="K967" s="30" t="s">
        <v>44</v>
      </c>
      <c r="L967" s="31"/>
      <c r="M967" s="32" t="s">
        <v>45</v>
      </c>
    </row>
    <row r="968" customFormat="false" ht="51" hidden="false" customHeight="true" outlineLevel="0" collapsed="false">
      <c r="B968" s="29" t="s">
        <v>4658</v>
      </c>
      <c r="C968" s="29" t="s">
        <v>37</v>
      </c>
      <c r="D968" s="29" t="s">
        <v>4659</v>
      </c>
      <c r="E968" s="29" t="s">
        <v>600</v>
      </c>
      <c r="F968" s="29" t="s">
        <v>4660</v>
      </c>
      <c r="G968" s="29" t="s">
        <v>4661</v>
      </c>
      <c r="H968" s="29" t="s">
        <v>4653</v>
      </c>
      <c r="I968" s="29" t="s">
        <v>472</v>
      </c>
      <c r="J968" s="29" t="s">
        <v>472</v>
      </c>
      <c r="K968" s="30" t="s">
        <v>44</v>
      </c>
      <c r="L968" s="31"/>
      <c r="M968" s="32" t="s">
        <v>45</v>
      </c>
    </row>
    <row r="969" customFormat="false" ht="51" hidden="false" customHeight="true" outlineLevel="0" collapsed="false">
      <c r="B969" s="29" t="s">
        <v>4662</v>
      </c>
      <c r="C969" s="29" t="s">
        <v>37</v>
      </c>
      <c r="D969" s="29" t="s">
        <v>4663</v>
      </c>
      <c r="E969" s="29" t="s">
        <v>600</v>
      </c>
      <c r="F969" s="29" t="s">
        <v>4664</v>
      </c>
      <c r="G969" s="29" t="s">
        <v>4665</v>
      </c>
      <c r="H969" s="29" t="s">
        <v>4653</v>
      </c>
      <c r="I969" s="29" t="s">
        <v>472</v>
      </c>
      <c r="J969" s="29" t="s">
        <v>472</v>
      </c>
      <c r="K969" s="30" t="s">
        <v>44</v>
      </c>
      <c r="L969" s="31"/>
      <c r="M969" s="32" t="s">
        <v>45</v>
      </c>
    </row>
    <row r="970" customFormat="false" ht="51" hidden="false" customHeight="true" outlineLevel="0" collapsed="false">
      <c r="B970" s="29" t="s">
        <v>4666</v>
      </c>
      <c r="C970" s="29" t="s">
        <v>37</v>
      </c>
      <c r="D970" s="29" t="s">
        <v>4667</v>
      </c>
      <c r="E970" s="29" t="s">
        <v>600</v>
      </c>
      <c r="F970" s="29" t="s">
        <v>4668</v>
      </c>
      <c r="G970" s="29" t="s">
        <v>4669</v>
      </c>
      <c r="H970" s="29" t="s">
        <v>4670</v>
      </c>
      <c r="I970" s="29" t="s">
        <v>3696</v>
      </c>
      <c r="J970" s="29" t="s">
        <v>155</v>
      </c>
      <c r="K970" s="30" t="s">
        <v>44</v>
      </c>
      <c r="L970" s="31"/>
      <c r="M970" s="32" t="s">
        <v>45</v>
      </c>
    </row>
    <row r="971" customFormat="false" ht="51" hidden="false" customHeight="true" outlineLevel="0" collapsed="false">
      <c r="B971" s="29" t="s">
        <v>4671</v>
      </c>
      <c r="C971" s="29" t="s">
        <v>37</v>
      </c>
      <c r="D971" s="29" t="s">
        <v>4672</v>
      </c>
      <c r="E971" s="29" t="s">
        <v>357</v>
      </c>
      <c r="F971" s="29" t="s">
        <v>4673</v>
      </c>
      <c r="G971" s="29" t="s">
        <v>4674</v>
      </c>
      <c r="H971" s="29" t="s">
        <v>4675</v>
      </c>
      <c r="I971" s="29" t="s">
        <v>302</v>
      </c>
      <c r="J971" s="29" t="s">
        <v>202</v>
      </c>
      <c r="K971" s="30" t="s">
        <v>44</v>
      </c>
      <c r="L971" s="31"/>
      <c r="M971" s="32" t="s">
        <v>45</v>
      </c>
    </row>
    <row r="972" customFormat="false" ht="51" hidden="false" customHeight="true" outlineLevel="0" collapsed="false">
      <c r="B972" s="29" t="s">
        <v>4676</v>
      </c>
      <c r="C972" s="29" t="s">
        <v>37</v>
      </c>
      <c r="D972" s="29" t="s">
        <v>4677</v>
      </c>
      <c r="E972" s="29" t="s">
        <v>340</v>
      </c>
      <c r="F972" s="29" t="s">
        <v>4678</v>
      </c>
      <c r="G972" s="29" t="s">
        <v>4679</v>
      </c>
      <c r="H972" s="29" t="s">
        <v>4675</v>
      </c>
      <c r="I972" s="29" t="s">
        <v>302</v>
      </c>
      <c r="J972" s="29" t="s">
        <v>202</v>
      </c>
      <c r="K972" s="30" t="s">
        <v>44</v>
      </c>
      <c r="L972" s="31"/>
      <c r="M972" s="32" t="s">
        <v>45</v>
      </c>
    </row>
    <row r="973" customFormat="false" ht="51" hidden="false" customHeight="true" outlineLevel="0" collapsed="false">
      <c r="B973" s="29" t="s">
        <v>4680</v>
      </c>
      <c r="C973" s="29" t="s">
        <v>37</v>
      </c>
      <c r="D973" s="29" t="s">
        <v>4681</v>
      </c>
      <c r="E973" s="29" t="s">
        <v>327</v>
      </c>
      <c r="F973" s="29" t="s">
        <v>4682</v>
      </c>
      <c r="G973" s="29" t="s">
        <v>4683</v>
      </c>
      <c r="H973" s="29" t="s">
        <v>4675</v>
      </c>
      <c r="I973" s="29" t="s">
        <v>302</v>
      </c>
      <c r="J973" s="29" t="s">
        <v>202</v>
      </c>
      <c r="K973" s="30" t="s">
        <v>44</v>
      </c>
      <c r="L973" s="31"/>
      <c r="M973" s="32" t="s">
        <v>366</v>
      </c>
    </row>
    <row r="974" customFormat="false" ht="51" hidden="false" customHeight="true" outlineLevel="0" collapsed="false">
      <c r="B974" s="29" t="s">
        <v>4684</v>
      </c>
      <c r="C974" s="29" t="s">
        <v>37</v>
      </c>
      <c r="D974" s="29" t="s">
        <v>4685</v>
      </c>
      <c r="E974" s="29" t="s">
        <v>340</v>
      </c>
      <c r="F974" s="29" t="s">
        <v>4686</v>
      </c>
      <c r="G974" s="29" t="s">
        <v>4687</v>
      </c>
      <c r="H974" s="29" t="s">
        <v>4675</v>
      </c>
      <c r="I974" s="29" t="s">
        <v>302</v>
      </c>
      <c r="J974" s="29" t="s">
        <v>202</v>
      </c>
      <c r="K974" s="30" t="s">
        <v>44</v>
      </c>
      <c r="L974" s="31"/>
      <c r="M974" s="32" t="s">
        <v>45</v>
      </c>
    </row>
    <row r="975" customFormat="false" ht="51" hidden="false" customHeight="true" outlineLevel="0" collapsed="false">
      <c r="B975" s="29" t="s">
        <v>4688</v>
      </c>
      <c r="C975" s="29" t="s">
        <v>37</v>
      </c>
      <c r="D975" s="29" t="s">
        <v>4689</v>
      </c>
      <c r="E975" s="29" t="s">
        <v>543</v>
      </c>
      <c r="F975" s="29" t="s">
        <v>4690</v>
      </c>
      <c r="G975" s="29" t="s">
        <v>4691</v>
      </c>
      <c r="H975" s="29" t="s">
        <v>4692</v>
      </c>
      <c r="I975" s="29" t="s">
        <v>472</v>
      </c>
      <c r="J975" s="29" t="s">
        <v>472</v>
      </c>
      <c r="K975" s="30" t="s">
        <v>44</v>
      </c>
      <c r="L975" s="31"/>
      <c r="M975" s="32" t="s">
        <v>45</v>
      </c>
    </row>
    <row r="976" customFormat="false" ht="51" hidden="false" customHeight="true" outlineLevel="0" collapsed="false">
      <c r="B976" s="29" t="s">
        <v>4693</v>
      </c>
      <c r="C976" s="29" t="s">
        <v>37</v>
      </c>
      <c r="D976" s="29" t="s">
        <v>4694</v>
      </c>
      <c r="E976" s="29" t="s">
        <v>340</v>
      </c>
      <c r="F976" s="29" t="s">
        <v>4695</v>
      </c>
      <c r="G976" s="29" t="s">
        <v>4696</v>
      </c>
      <c r="H976" s="29" t="s">
        <v>4697</v>
      </c>
      <c r="I976" s="29" t="s">
        <v>302</v>
      </c>
      <c r="J976" s="29" t="s">
        <v>202</v>
      </c>
      <c r="K976" s="30" t="s">
        <v>44</v>
      </c>
      <c r="L976" s="31"/>
      <c r="M976" s="32" t="s">
        <v>45</v>
      </c>
    </row>
    <row r="977" customFormat="false" ht="51" hidden="false" customHeight="true" outlineLevel="0" collapsed="false">
      <c r="B977" s="29" t="s">
        <v>4698</v>
      </c>
      <c r="C977" s="29" t="s">
        <v>37</v>
      </c>
      <c r="D977" s="29" t="s">
        <v>4699</v>
      </c>
      <c r="E977" s="29" t="s">
        <v>340</v>
      </c>
      <c r="F977" s="29" t="s">
        <v>4700</v>
      </c>
      <c r="G977" s="29" t="s">
        <v>4701</v>
      </c>
      <c r="H977" s="29" t="s">
        <v>4697</v>
      </c>
      <c r="I977" s="29" t="s">
        <v>302</v>
      </c>
      <c r="J977" s="29" t="s">
        <v>202</v>
      </c>
      <c r="K977" s="30" t="s">
        <v>44</v>
      </c>
      <c r="L977" s="31"/>
      <c r="M977" s="32" t="s">
        <v>45</v>
      </c>
    </row>
    <row r="978" customFormat="false" ht="51" hidden="false" customHeight="true" outlineLevel="0" collapsed="false">
      <c r="B978" s="29" t="s">
        <v>4702</v>
      </c>
      <c r="C978" s="29" t="s">
        <v>37</v>
      </c>
      <c r="D978" s="29" t="s">
        <v>4703</v>
      </c>
      <c r="E978" s="29" t="s">
        <v>39</v>
      </c>
      <c r="F978" s="29" t="s">
        <v>4704</v>
      </c>
      <c r="G978" s="29" t="s">
        <v>4705</v>
      </c>
      <c r="H978" s="29" t="s">
        <v>4706</v>
      </c>
      <c r="I978" s="29" t="s">
        <v>95</v>
      </c>
      <c r="J978" s="29" t="s">
        <v>4707</v>
      </c>
      <c r="K978" s="30" t="s">
        <v>62</v>
      </c>
      <c r="L978" s="31"/>
      <c r="M978" s="32"/>
    </row>
    <row r="979" customFormat="false" ht="51" hidden="false" customHeight="true" outlineLevel="0" collapsed="false">
      <c r="B979" s="29" t="s">
        <v>4708</v>
      </c>
      <c r="C979" s="29" t="s">
        <v>37</v>
      </c>
      <c r="D979" s="29" t="s">
        <v>4709</v>
      </c>
      <c r="E979" s="29" t="s">
        <v>543</v>
      </c>
      <c r="F979" s="29" t="s">
        <v>4710</v>
      </c>
      <c r="G979" s="29" t="s">
        <v>4710</v>
      </c>
      <c r="H979" s="29" t="s">
        <v>4711</v>
      </c>
      <c r="I979" s="29" t="s">
        <v>472</v>
      </c>
      <c r="J979" s="29" t="s">
        <v>472</v>
      </c>
      <c r="K979" s="30" t="s">
        <v>44</v>
      </c>
      <c r="L979" s="31"/>
      <c r="M979" s="32" t="s">
        <v>45</v>
      </c>
    </row>
    <row r="980" customFormat="false" ht="51" hidden="false" customHeight="true" outlineLevel="0" collapsed="false">
      <c r="B980" s="29" t="s">
        <v>4712</v>
      </c>
      <c r="C980" s="29" t="s">
        <v>37</v>
      </c>
      <c r="D980" s="29" t="s">
        <v>4713</v>
      </c>
      <c r="E980" s="29" t="s">
        <v>340</v>
      </c>
      <c r="F980" s="29" t="s">
        <v>4714</v>
      </c>
      <c r="G980" s="29" t="s">
        <v>4715</v>
      </c>
      <c r="H980" s="29" t="s">
        <v>4706</v>
      </c>
      <c r="I980" s="29" t="s">
        <v>302</v>
      </c>
      <c r="J980" s="29" t="s">
        <v>202</v>
      </c>
      <c r="K980" s="30" t="s">
        <v>44</v>
      </c>
      <c r="L980" s="31"/>
      <c r="M980" s="32" t="s">
        <v>45</v>
      </c>
    </row>
    <row r="981" customFormat="false" ht="51" hidden="false" customHeight="true" outlineLevel="0" collapsed="false">
      <c r="B981" s="29" t="s">
        <v>4716</v>
      </c>
      <c r="C981" s="29" t="s">
        <v>37</v>
      </c>
      <c r="D981" s="29" t="s">
        <v>4717</v>
      </c>
      <c r="E981" s="29" t="s">
        <v>600</v>
      </c>
      <c r="F981" s="29" t="s">
        <v>4718</v>
      </c>
      <c r="G981" s="29" t="s">
        <v>4719</v>
      </c>
      <c r="H981" s="29" t="s">
        <v>4706</v>
      </c>
      <c r="I981" s="29" t="s">
        <v>3696</v>
      </c>
      <c r="J981" s="29" t="s">
        <v>155</v>
      </c>
      <c r="K981" s="30" t="s">
        <v>44</v>
      </c>
      <c r="L981" s="31"/>
      <c r="M981" s="32" t="s">
        <v>45</v>
      </c>
    </row>
    <row r="982" customFormat="false" ht="51" hidden="false" customHeight="true" outlineLevel="0" collapsed="false">
      <c r="B982" s="29" t="s">
        <v>4720</v>
      </c>
      <c r="C982" s="29" t="s">
        <v>37</v>
      </c>
      <c r="D982" s="29" t="s">
        <v>4721</v>
      </c>
      <c r="E982" s="29" t="s">
        <v>340</v>
      </c>
      <c r="F982" s="29" t="s">
        <v>4722</v>
      </c>
      <c r="G982" s="29" t="s">
        <v>4723</v>
      </c>
      <c r="H982" s="29" t="s">
        <v>4706</v>
      </c>
      <c r="I982" s="29" t="s">
        <v>302</v>
      </c>
      <c r="J982" s="29" t="s">
        <v>202</v>
      </c>
      <c r="K982" s="30" t="s">
        <v>44</v>
      </c>
      <c r="L982" s="31"/>
      <c r="M982" s="32" t="s">
        <v>45</v>
      </c>
    </row>
    <row r="983" customFormat="false" ht="51" hidden="false" customHeight="true" outlineLevel="0" collapsed="false">
      <c r="B983" s="29" t="s">
        <v>4724</v>
      </c>
      <c r="C983" s="29" t="s">
        <v>37</v>
      </c>
      <c r="D983" s="29" t="s">
        <v>4725</v>
      </c>
      <c r="E983" s="29" t="s">
        <v>340</v>
      </c>
      <c r="F983" s="29" t="s">
        <v>4726</v>
      </c>
      <c r="G983" s="29" t="s">
        <v>4726</v>
      </c>
      <c r="H983" s="29" t="s">
        <v>4727</v>
      </c>
      <c r="I983" s="29" t="s">
        <v>302</v>
      </c>
      <c r="J983" s="29" t="s">
        <v>202</v>
      </c>
      <c r="K983" s="30" t="s">
        <v>44</v>
      </c>
      <c r="L983" s="31"/>
      <c r="M983" s="32" t="s">
        <v>45</v>
      </c>
    </row>
    <row r="984" customFormat="false" ht="51" hidden="false" customHeight="true" outlineLevel="0" collapsed="false">
      <c r="B984" s="29" t="s">
        <v>4728</v>
      </c>
      <c r="C984" s="29" t="s">
        <v>37</v>
      </c>
      <c r="D984" s="29" t="s">
        <v>4729</v>
      </c>
      <c r="E984" s="29" t="s">
        <v>340</v>
      </c>
      <c r="F984" s="29" t="s">
        <v>4730</v>
      </c>
      <c r="G984" s="29" t="s">
        <v>4730</v>
      </c>
      <c r="H984" s="29" t="s">
        <v>4727</v>
      </c>
      <c r="I984" s="29" t="s">
        <v>302</v>
      </c>
      <c r="J984" s="29" t="s">
        <v>202</v>
      </c>
      <c r="K984" s="30" t="s">
        <v>44</v>
      </c>
      <c r="L984" s="31"/>
      <c r="M984" s="32" t="s">
        <v>45</v>
      </c>
    </row>
    <row r="985" customFormat="false" ht="51" hidden="false" customHeight="true" outlineLevel="0" collapsed="false">
      <c r="B985" s="29" t="s">
        <v>4731</v>
      </c>
      <c r="C985" s="29" t="s">
        <v>37</v>
      </c>
      <c r="D985" s="29" t="s">
        <v>4732</v>
      </c>
      <c r="E985" s="29" t="s">
        <v>340</v>
      </c>
      <c r="F985" s="29" t="s">
        <v>4733</v>
      </c>
      <c r="G985" s="29" t="s">
        <v>4733</v>
      </c>
      <c r="H985" s="29" t="s">
        <v>4727</v>
      </c>
      <c r="I985" s="29" t="s">
        <v>302</v>
      </c>
      <c r="J985" s="29" t="s">
        <v>202</v>
      </c>
      <c r="K985" s="30" t="s">
        <v>44</v>
      </c>
      <c r="L985" s="31"/>
      <c r="M985" s="32" t="s">
        <v>45</v>
      </c>
    </row>
    <row r="986" customFormat="false" ht="51" hidden="false" customHeight="true" outlineLevel="0" collapsed="false">
      <c r="B986" s="29" t="s">
        <v>4734</v>
      </c>
      <c r="C986" s="29" t="s">
        <v>37</v>
      </c>
      <c r="D986" s="29" t="s">
        <v>4735</v>
      </c>
      <c r="E986" s="29" t="s">
        <v>340</v>
      </c>
      <c r="F986" s="29" t="s">
        <v>4736</v>
      </c>
      <c r="G986" s="29" t="s">
        <v>4736</v>
      </c>
      <c r="H986" s="29" t="s">
        <v>4727</v>
      </c>
      <c r="I986" s="29" t="s">
        <v>302</v>
      </c>
      <c r="J986" s="29" t="s">
        <v>202</v>
      </c>
      <c r="K986" s="30" t="s">
        <v>44</v>
      </c>
      <c r="L986" s="31"/>
      <c r="M986" s="32" t="s">
        <v>45</v>
      </c>
    </row>
    <row r="987" customFormat="false" ht="51" hidden="false" customHeight="true" outlineLevel="0" collapsed="false">
      <c r="B987" s="29" t="s">
        <v>4737</v>
      </c>
      <c r="C987" s="29" t="s">
        <v>37</v>
      </c>
      <c r="D987" s="29" t="s">
        <v>4738</v>
      </c>
      <c r="E987" s="29" t="s">
        <v>206</v>
      </c>
      <c r="F987" s="29" t="s">
        <v>4739</v>
      </c>
      <c r="G987" s="29" t="s">
        <v>4740</v>
      </c>
      <c r="H987" s="29" t="s">
        <v>4741</v>
      </c>
      <c r="I987" s="29" t="s">
        <v>302</v>
      </c>
      <c r="J987" s="29" t="s">
        <v>202</v>
      </c>
      <c r="K987" s="30" t="s">
        <v>44</v>
      </c>
      <c r="L987" s="31"/>
      <c r="M987" s="32" t="s">
        <v>45</v>
      </c>
    </row>
    <row r="988" customFormat="false" ht="51" hidden="false" customHeight="true" outlineLevel="0" collapsed="false">
      <c r="B988" s="29" t="s">
        <v>4742</v>
      </c>
      <c r="C988" s="29" t="s">
        <v>37</v>
      </c>
      <c r="D988" s="29" t="s">
        <v>4743</v>
      </c>
      <c r="E988" s="29" t="s">
        <v>340</v>
      </c>
      <c r="F988" s="29" t="s">
        <v>4744</v>
      </c>
      <c r="G988" s="29" t="s">
        <v>4745</v>
      </c>
      <c r="H988" s="29" t="s">
        <v>4741</v>
      </c>
      <c r="I988" s="29" t="s">
        <v>302</v>
      </c>
      <c r="J988" s="29" t="s">
        <v>202</v>
      </c>
      <c r="K988" s="30" t="s">
        <v>44</v>
      </c>
      <c r="L988" s="31"/>
      <c r="M988" s="32" t="s">
        <v>45</v>
      </c>
    </row>
    <row r="989" customFormat="false" ht="51" hidden="false" customHeight="true" outlineLevel="0" collapsed="false">
      <c r="B989" s="29" t="s">
        <v>4746</v>
      </c>
      <c r="C989" s="29" t="s">
        <v>37</v>
      </c>
      <c r="D989" s="29" t="s">
        <v>4747</v>
      </c>
      <c r="E989" s="29" t="s">
        <v>340</v>
      </c>
      <c r="F989" s="29" t="s">
        <v>4748</v>
      </c>
      <c r="G989" s="29" t="s">
        <v>4749</v>
      </c>
      <c r="H989" s="29" t="s">
        <v>4741</v>
      </c>
      <c r="I989" s="29" t="s">
        <v>302</v>
      </c>
      <c r="J989" s="29" t="s">
        <v>202</v>
      </c>
      <c r="K989" s="30" t="s">
        <v>44</v>
      </c>
      <c r="L989" s="31"/>
      <c r="M989" s="32" t="s">
        <v>45</v>
      </c>
    </row>
    <row r="990" customFormat="false" ht="51" hidden="false" customHeight="true" outlineLevel="0" collapsed="false">
      <c r="B990" s="29" t="s">
        <v>4750</v>
      </c>
      <c r="C990" s="29" t="s">
        <v>37</v>
      </c>
      <c r="D990" s="29" t="s">
        <v>4751</v>
      </c>
      <c r="E990" s="29" t="s">
        <v>206</v>
      </c>
      <c r="F990" s="29" t="s">
        <v>4752</v>
      </c>
      <c r="G990" s="29" t="s">
        <v>4752</v>
      </c>
      <c r="H990" s="29" t="s">
        <v>4741</v>
      </c>
      <c r="I990" s="29" t="s">
        <v>302</v>
      </c>
      <c r="J990" s="29" t="s">
        <v>202</v>
      </c>
      <c r="K990" s="30" t="s">
        <v>44</v>
      </c>
      <c r="L990" s="31"/>
      <c r="M990" s="32" t="s">
        <v>45</v>
      </c>
    </row>
    <row r="991" customFormat="false" ht="51" hidden="false" customHeight="true" outlineLevel="0" collapsed="false">
      <c r="B991" s="29" t="s">
        <v>4753</v>
      </c>
      <c r="C991" s="29" t="s">
        <v>37</v>
      </c>
      <c r="D991" s="29" t="s">
        <v>4754</v>
      </c>
      <c r="E991" s="29" t="s">
        <v>340</v>
      </c>
      <c r="F991" s="29" t="s">
        <v>4755</v>
      </c>
      <c r="G991" s="29" t="s">
        <v>4756</v>
      </c>
      <c r="H991" s="29" t="s">
        <v>4741</v>
      </c>
      <c r="I991" s="29" t="s">
        <v>302</v>
      </c>
      <c r="J991" s="29" t="s">
        <v>202</v>
      </c>
      <c r="K991" s="30" t="s">
        <v>44</v>
      </c>
      <c r="L991" s="31"/>
      <c r="M991" s="32" t="s">
        <v>45</v>
      </c>
    </row>
    <row r="992" customFormat="false" ht="51" hidden="false" customHeight="true" outlineLevel="0" collapsed="false">
      <c r="B992" s="29" t="s">
        <v>4757</v>
      </c>
      <c r="C992" s="29" t="s">
        <v>37</v>
      </c>
      <c r="D992" s="29" t="s">
        <v>4758</v>
      </c>
      <c r="E992" s="29" t="s">
        <v>340</v>
      </c>
      <c r="F992" s="29" t="s">
        <v>4759</v>
      </c>
      <c r="G992" s="29" t="s">
        <v>4760</v>
      </c>
      <c r="H992" s="29" t="s">
        <v>4741</v>
      </c>
      <c r="I992" s="29" t="s">
        <v>302</v>
      </c>
      <c r="J992" s="29" t="s">
        <v>202</v>
      </c>
      <c r="K992" s="30" t="s">
        <v>44</v>
      </c>
      <c r="L992" s="31"/>
      <c r="M992" s="32" t="s">
        <v>45</v>
      </c>
    </row>
    <row r="993" customFormat="false" ht="51" hidden="false" customHeight="true" outlineLevel="0" collapsed="false">
      <c r="B993" s="29" t="s">
        <v>4761</v>
      </c>
      <c r="C993" s="29" t="s">
        <v>37</v>
      </c>
      <c r="D993" s="29" t="s">
        <v>4762</v>
      </c>
      <c r="E993" s="29" t="s">
        <v>206</v>
      </c>
      <c r="F993" s="29" t="s">
        <v>4763</v>
      </c>
      <c r="G993" s="29" t="s">
        <v>4763</v>
      </c>
      <c r="H993" s="29" t="s">
        <v>4741</v>
      </c>
      <c r="I993" s="29" t="s">
        <v>302</v>
      </c>
      <c r="J993" s="29" t="s">
        <v>202</v>
      </c>
      <c r="K993" s="30" t="s">
        <v>44</v>
      </c>
      <c r="L993" s="31"/>
      <c r="M993" s="32" t="s">
        <v>45</v>
      </c>
    </row>
    <row r="994" customFormat="false" ht="51" hidden="false" customHeight="true" outlineLevel="0" collapsed="false">
      <c r="B994" s="29" t="s">
        <v>4764</v>
      </c>
      <c r="C994" s="29" t="s">
        <v>37</v>
      </c>
      <c r="D994" s="29" t="s">
        <v>4765</v>
      </c>
      <c r="E994" s="29" t="s">
        <v>206</v>
      </c>
      <c r="F994" s="29" t="s">
        <v>4766</v>
      </c>
      <c r="G994" s="29" t="s">
        <v>4767</v>
      </c>
      <c r="H994" s="29" t="s">
        <v>4741</v>
      </c>
      <c r="I994" s="29" t="s">
        <v>302</v>
      </c>
      <c r="J994" s="29" t="s">
        <v>202</v>
      </c>
      <c r="K994" s="30" t="s">
        <v>44</v>
      </c>
      <c r="L994" s="31"/>
      <c r="M994" s="32" t="s">
        <v>45</v>
      </c>
    </row>
    <row r="995" customFormat="false" ht="51" hidden="false" customHeight="true" outlineLevel="0" collapsed="false">
      <c r="B995" s="29" t="s">
        <v>4768</v>
      </c>
      <c r="C995" s="29" t="s">
        <v>37</v>
      </c>
      <c r="D995" s="29" t="s">
        <v>4769</v>
      </c>
      <c r="E995" s="29" t="s">
        <v>600</v>
      </c>
      <c r="F995" s="29" t="s">
        <v>4770</v>
      </c>
      <c r="G995" s="29" t="s">
        <v>4771</v>
      </c>
      <c r="H995" s="29" t="s">
        <v>4741</v>
      </c>
      <c r="I995" s="29" t="s">
        <v>3696</v>
      </c>
      <c r="J995" s="29" t="s">
        <v>155</v>
      </c>
      <c r="K995" s="30" t="s">
        <v>44</v>
      </c>
      <c r="L995" s="31"/>
      <c r="M995" s="32" t="s">
        <v>45</v>
      </c>
    </row>
    <row r="996" customFormat="false" ht="51" hidden="false" customHeight="true" outlineLevel="0" collapsed="false">
      <c r="B996" s="29" t="s">
        <v>4772</v>
      </c>
      <c r="C996" s="29" t="s">
        <v>37</v>
      </c>
      <c r="D996" s="29" t="s">
        <v>4773</v>
      </c>
      <c r="E996" s="29" t="s">
        <v>340</v>
      </c>
      <c r="F996" s="29" t="s">
        <v>4774</v>
      </c>
      <c r="G996" s="29" t="s">
        <v>4775</v>
      </c>
      <c r="H996" s="29" t="s">
        <v>4741</v>
      </c>
      <c r="I996" s="29" t="s">
        <v>302</v>
      </c>
      <c r="J996" s="29" t="s">
        <v>202</v>
      </c>
      <c r="K996" s="30" t="s">
        <v>44</v>
      </c>
      <c r="L996" s="31"/>
      <c r="M996" s="32" t="s">
        <v>45</v>
      </c>
    </row>
    <row r="997" customFormat="false" ht="51" hidden="false" customHeight="true" outlineLevel="0" collapsed="false">
      <c r="B997" s="29" t="s">
        <v>4776</v>
      </c>
      <c r="C997" s="29" t="s">
        <v>37</v>
      </c>
      <c r="D997" s="29" t="s">
        <v>4777</v>
      </c>
      <c r="E997" s="29" t="s">
        <v>357</v>
      </c>
      <c r="F997" s="29" t="s">
        <v>4778</v>
      </c>
      <c r="G997" s="29" t="s">
        <v>4779</v>
      </c>
      <c r="H997" s="29" t="s">
        <v>4741</v>
      </c>
      <c r="I997" s="29" t="s">
        <v>3696</v>
      </c>
      <c r="J997" s="29" t="s">
        <v>155</v>
      </c>
      <c r="K997" s="30" t="s">
        <v>44</v>
      </c>
      <c r="L997" s="31"/>
      <c r="M997" s="32" t="s">
        <v>45</v>
      </c>
    </row>
    <row r="998" customFormat="false" ht="51" hidden="false" customHeight="true" outlineLevel="0" collapsed="false">
      <c r="B998" s="29" t="s">
        <v>4780</v>
      </c>
      <c r="C998" s="29" t="s">
        <v>37</v>
      </c>
      <c r="D998" s="29" t="s">
        <v>4781</v>
      </c>
      <c r="E998" s="29" t="s">
        <v>340</v>
      </c>
      <c r="F998" s="29" t="s">
        <v>4782</v>
      </c>
      <c r="G998" s="29" t="s">
        <v>4782</v>
      </c>
      <c r="H998" s="29" t="s">
        <v>4741</v>
      </c>
      <c r="I998" s="29" t="s">
        <v>302</v>
      </c>
      <c r="J998" s="29" t="s">
        <v>202</v>
      </c>
      <c r="K998" s="30" t="s">
        <v>44</v>
      </c>
      <c r="L998" s="31"/>
      <c r="M998" s="32" t="s">
        <v>45</v>
      </c>
    </row>
    <row r="999" customFormat="false" ht="51" hidden="false" customHeight="true" outlineLevel="0" collapsed="false">
      <c r="B999" s="29" t="s">
        <v>4783</v>
      </c>
      <c r="C999" s="29" t="s">
        <v>37</v>
      </c>
      <c r="D999" s="29" t="s">
        <v>4784</v>
      </c>
      <c r="E999" s="29" t="s">
        <v>340</v>
      </c>
      <c r="F999" s="29" t="s">
        <v>4785</v>
      </c>
      <c r="G999" s="29" t="s">
        <v>4785</v>
      </c>
      <c r="H999" s="29" t="s">
        <v>4741</v>
      </c>
      <c r="I999" s="29" t="s">
        <v>302</v>
      </c>
      <c r="J999" s="29" t="s">
        <v>202</v>
      </c>
      <c r="K999" s="30" t="s">
        <v>44</v>
      </c>
      <c r="L999" s="31"/>
      <c r="M999" s="32" t="s">
        <v>45</v>
      </c>
    </row>
    <row r="1000" customFormat="false" ht="51" hidden="false" customHeight="true" outlineLevel="0" collapsed="false">
      <c r="B1000" s="29" t="s">
        <v>4786</v>
      </c>
      <c r="C1000" s="29" t="s">
        <v>37</v>
      </c>
      <c r="D1000" s="29" t="s">
        <v>4787</v>
      </c>
      <c r="E1000" s="29" t="s">
        <v>340</v>
      </c>
      <c r="F1000" s="29" t="s">
        <v>4788</v>
      </c>
      <c r="G1000" s="29" t="s">
        <v>4789</v>
      </c>
      <c r="H1000" s="29" t="s">
        <v>4741</v>
      </c>
      <c r="I1000" s="29" t="s">
        <v>302</v>
      </c>
      <c r="J1000" s="29" t="s">
        <v>202</v>
      </c>
      <c r="K1000" s="30" t="s">
        <v>44</v>
      </c>
      <c r="L1000" s="31"/>
      <c r="M1000" s="32" t="s">
        <v>45</v>
      </c>
    </row>
    <row r="1001" customFormat="false" ht="51" hidden="false" customHeight="true" outlineLevel="0" collapsed="false">
      <c r="B1001" s="29" t="s">
        <v>4790</v>
      </c>
      <c r="C1001" s="29" t="s">
        <v>37</v>
      </c>
      <c r="D1001" s="29" t="s">
        <v>4791</v>
      </c>
      <c r="E1001" s="29" t="s">
        <v>340</v>
      </c>
      <c r="F1001" s="29" t="s">
        <v>4792</v>
      </c>
      <c r="G1001" s="29" t="s">
        <v>4793</v>
      </c>
      <c r="H1001" s="29" t="s">
        <v>4741</v>
      </c>
      <c r="I1001" s="29" t="s">
        <v>302</v>
      </c>
      <c r="J1001" s="29" t="s">
        <v>202</v>
      </c>
      <c r="K1001" s="30" t="s">
        <v>44</v>
      </c>
      <c r="L1001" s="31"/>
      <c r="M1001" s="32" t="s">
        <v>45</v>
      </c>
    </row>
    <row r="1002" customFormat="false" ht="51" hidden="false" customHeight="true" outlineLevel="0" collapsed="false">
      <c r="B1002" s="29" t="s">
        <v>4794</v>
      </c>
      <c r="C1002" s="29" t="s">
        <v>37</v>
      </c>
      <c r="D1002" s="29" t="s">
        <v>4795</v>
      </c>
      <c r="E1002" s="29" t="s">
        <v>206</v>
      </c>
      <c r="F1002" s="29" t="s">
        <v>4796</v>
      </c>
      <c r="G1002" s="29" t="s">
        <v>4797</v>
      </c>
      <c r="H1002" s="29" t="s">
        <v>4798</v>
      </c>
      <c r="I1002" s="29" t="s">
        <v>302</v>
      </c>
      <c r="J1002" s="29" t="s">
        <v>202</v>
      </c>
      <c r="K1002" s="30" t="s">
        <v>44</v>
      </c>
      <c r="L1002" s="31"/>
      <c r="M1002" s="32" t="s">
        <v>45</v>
      </c>
    </row>
    <row r="1003" customFormat="false" ht="51" hidden="false" customHeight="true" outlineLevel="0" collapsed="false">
      <c r="B1003" s="29" t="s">
        <v>4799</v>
      </c>
      <c r="C1003" s="29" t="s">
        <v>37</v>
      </c>
      <c r="D1003" s="29" t="s">
        <v>4800</v>
      </c>
      <c r="E1003" s="29" t="s">
        <v>600</v>
      </c>
      <c r="F1003" s="29" t="s">
        <v>4801</v>
      </c>
      <c r="G1003" s="29" t="s">
        <v>4802</v>
      </c>
      <c r="H1003" s="29" t="s">
        <v>4803</v>
      </c>
      <c r="I1003" s="29" t="s">
        <v>472</v>
      </c>
      <c r="J1003" s="29" t="s">
        <v>472</v>
      </c>
      <c r="K1003" s="30" t="s">
        <v>44</v>
      </c>
      <c r="L1003" s="31"/>
      <c r="M1003" s="32" t="s">
        <v>45</v>
      </c>
    </row>
    <row r="1004" customFormat="false" ht="51" hidden="false" customHeight="true" outlineLevel="0" collapsed="false">
      <c r="B1004" s="29" t="s">
        <v>4804</v>
      </c>
      <c r="C1004" s="29" t="s">
        <v>37</v>
      </c>
      <c r="D1004" s="29" t="s">
        <v>4805</v>
      </c>
      <c r="E1004" s="29" t="s">
        <v>600</v>
      </c>
      <c r="F1004" s="29" t="s">
        <v>4806</v>
      </c>
      <c r="G1004" s="29" t="s">
        <v>4807</v>
      </c>
      <c r="H1004" s="29" t="s">
        <v>4803</v>
      </c>
      <c r="I1004" s="29" t="s">
        <v>472</v>
      </c>
      <c r="J1004" s="29" t="s">
        <v>472</v>
      </c>
      <c r="K1004" s="30" t="s">
        <v>44</v>
      </c>
      <c r="L1004" s="31"/>
      <c r="M1004" s="32" t="s">
        <v>45</v>
      </c>
    </row>
    <row r="1005" customFormat="false" ht="51" hidden="false" customHeight="true" outlineLevel="0" collapsed="false">
      <c r="B1005" s="29" t="s">
        <v>4808</v>
      </c>
      <c r="C1005" s="29" t="s">
        <v>37</v>
      </c>
      <c r="D1005" s="29" t="s">
        <v>4809</v>
      </c>
      <c r="E1005" s="29" t="s">
        <v>206</v>
      </c>
      <c r="F1005" s="29" t="s">
        <v>4810</v>
      </c>
      <c r="G1005" s="29" t="s">
        <v>4811</v>
      </c>
      <c r="H1005" s="29" t="s">
        <v>4798</v>
      </c>
      <c r="I1005" s="29" t="s">
        <v>302</v>
      </c>
      <c r="J1005" s="29" t="s">
        <v>202</v>
      </c>
      <c r="K1005" s="30" t="s">
        <v>44</v>
      </c>
      <c r="L1005" s="31"/>
      <c r="M1005" s="32" t="s">
        <v>45</v>
      </c>
    </row>
    <row r="1006" customFormat="false" ht="51" hidden="false" customHeight="true" outlineLevel="0" collapsed="false">
      <c r="B1006" s="29" t="s">
        <v>4812</v>
      </c>
      <c r="C1006" s="29" t="s">
        <v>37</v>
      </c>
      <c r="D1006" s="29" t="s">
        <v>4813</v>
      </c>
      <c r="E1006" s="29" t="s">
        <v>340</v>
      </c>
      <c r="F1006" s="29" t="s">
        <v>4814</v>
      </c>
      <c r="G1006" s="29" t="s">
        <v>4815</v>
      </c>
      <c r="H1006" s="29" t="s">
        <v>4798</v>
      </c>
      <c r="I1006" s="29" t="s">
        <v>302</v>
      </c>
      <c r="J1006" s="29" t="s">
        <v>202</v>
      </c>
      <c r="K1006" s="30" t="s">
        <v>44</v>
      </c>
      <c r="L1006" s="31"/>
      <c r="M1006" s="32" t="s">
        <v>45</v>
      </c>
    </row>
    <row r="1007" customFormat="false" ht="51" hidden="false" customHeight="true" outlineLevel="0" collapsed="false">
      <c r="B1007" s="29" t="s">
        <v>4816</v>
      </c>
      <c r="C1007" s="29" t="s">
        <v>37</v>
      </c>
      <c r="D1007" s="29" t="s">
        <v>4817</v>
      </c>
      <c r="E1007" s="29" t="s">
        <v>340</v>
      </c>
      <c r="F1007" s="29" t="s">
        <v>4818</v>
      </c>
      <c r="G1007" s="29" t="s">
        <v>4819</v>
      </c>
      <c r="H1007" s="29" t="s">
        <v>4798</v>
      </c>
      <c r="I1007" s="29" t="s">
        <v>302</v>
      </c>
      <c r="J1007" s="29" t="s">
        <v>202</v>
      </c>
      <c r="K1007" s="30" t="s">
        <v>44</v>
      </c>
      <c r="L1007" s="31"/>
      <c r="M1007" s="32" t="s">
        <v>45</v>
      </c>
    </row>
    <row r="1008" customFormat="false" ht="51" hidden="false" customHeight="true" outlineLevel="0" collapsed="false">
      <c r="B1008" s="29" t="s">
        <v>4820</v>
      </c>
      <c r="C1008" s="29" t="s">
        <v>37</v>
      </c>
      <c r="D1008" s="29" t="s">
        <v>4821</v>
      </c>
      <c r="E1008" s="29" t="s">
        <v>206</v>
      </c>
      <c r="F1008" s="29" t="s">
        <v>4822</v>
      </c>
      <c r="G1008" s="29" t="s">
        <v>4823</v>
      </c>
      <c r="H1008" s="29" t="s">
        <v>4798</v>
      </c>
      <c r="I1008" s="29" t="s">
        <v>302</v>
      </c>
      <c r="J1008" s="29" t="s">
        <v>202</v>
      </c>
      <c r="K1008" s="30" t="s">
        <v>44</v>
      </c>
      <c r="L1008" s="31"/>
      <c r="M1008" s="32" t="s">
        <v>45</v>
      </c>
    </row>
    <row r="1009" customFormat="false" ht="51" hidden="false" customHeight="true" outlineLevel="0" collapsed="false">
      <c r="B1009" s="29" t="s">
        <v>4824</v>
      </c>
      <c r="C1009" s="29" t="s">
        <v>37</v>
      </c>
      <c r="D1009" s="29" t="s">
        <v>4825</v>
      </c>
      <c r="E1009" s="29" t="s">
        <v>340</v>
      </c>
      <c r="F1009" s="29" t="s">
        <v>4826</v>
      </c>
      <c r="G1009" s="29" t="s">
        <v>4827</v>
      </c>
      <c r="H1009" s="29" t="s">
        <v>4798</v>
      </c>
      <c r="I1009" s="29" t="s">
        <v>302</v>
      </c>
      <c r="J1009" s="29" t="s">
        <v>202</v>
      </c>
      <c r="K1009" s="30" t="s">
        <v>44</v>
      </c>
      <c r="L1009" s="31"/>
      <c r="M1009" s="32" t="s">
        <v>45</v>
      </c>
    </row>
    <row r="1010" customFormat="false" ht="51" hidden="false" customHeight="true" outlineLevel="0" collapsed="false">
      <c r="B1010" s="29" t="s">
        <v>4828</v>
      </c>
      <c r="C1010" s="29" t="s">
        <v>37</v>
      </c>
      <c r="D1010" s="29" t="s">
        <v>4829</v>
      </c>
      <c r="E1010" s="29" t="s">
        <v>340</v>
      </c>
      <c r="F1010" s="29" t="s">
        <v>4830</v>
      </c>
      <c r="G1010" s="29" t="s">
        <v>4831</v>
      </c>
      <c r="H1010" s="29" t="s">
        <v>4798</v>
      </c>
      <c r="I1010" s="29" t="s">
        <v>302</v>
      </c>
      <c r="J1010" s="29" t="s">
        <v>202</v>
      </c>
      <c r="K1010" s="30" t="s">
        <v>44</v>
      </c>
      <c r="L1010" s="31"/>
      <c r="M1010" s="32" t="s">
        <v>45</v>
      </c>
    </row>
    <row r="1011" customFormat="false" ht="51" hidden="false" customHeight="true" outlineLevel="0" collapsed="false">
      <c r="B1011" s="29" t="s">
        <v>4832</v>
      </c>
      <c r="C1011" s="29" t="s">
        <v>37</v>
      </c>
      <c r="D1011" s="29" t="s">
        <v>4833</v>
      </c>
      <c r="E1011" s="29" t="s">
        <v>91</v>
      </c>
      <c r="F1011" s="29" t="s">
        <v>4834</v>
      </c>
      <c r="G1011" s="29" t="s">
        <v>4835</v>
      </c>
      <c r="H1011" s="29" t="s">
        <v>4836</v>
      </c>
      <c r="I1011" s="29" t="s">
        <v>42</v>
      </c>
      <c r="J1011" s="29" t="s">
        <v>985</v>
      </c>
      <c r="K1011" s="30" t="s">
        <v>44</v>
      </c>
      <c r="L1011" s="31"/>
      <c r="M1011" s="32" t="s">
        <v>45</v>
      </c>
    </row>
    <row r="1012" customFormat="false" ht="51" hidden="false" customHeight="true" outlineLevel="0" collapsed="false">
      <c r="B1012" s="29" t="s">
        <v>4837</v>
      </c>
      <c r="C1012" s="29" t="s">
        <v>37</v>
      </c>
      <c r="D1012" s="29" t="s">
        <v>4838</v>
      </c>
      <c r="E1012" s="29" t="s">
        <v>357</v>
      </c>
      <c r="F1012" s="29" t="s">
        <v>4839</v>
      </c>
      <c r="G1012" s="29" t="s">
        <v>4840</v>
      </c>
      <c r="H1012" s="29" t="s">
        <v>4836</v>
      </c>
      <c r="I1012" s="29" t="s">
        <v>302</v>
      </c>
      <c r="J1012" s="29" t="s">
        <v>202</v>
      </c>
      <c r="K1012" s="30" t="s">
        <v>44</v>
      </c>
      <c r="L1012" s="31"/>
      <c r="M1012" s="32" t="s">
        <v>45</v>
      </c>
    </row>
    <row r="1013" customFormat="false" ht="51" hidden="false" customHeight="true" outlineLevel="0" collapsed="false">
      <c r="B1013" s="29" t="s">
        <v>4841</v>
      </c>
      <c r="C1013" s="29" t="s">
        <v>37</v>
      </c>
      <c r="D1013" s="29" t="s">
        <v>4842</v>
      </c>
      <c r="E1013" s="29" t="s">
        <v>340</v>
      </c>
      <c r="F1013" s="29" t="s">
        <v>4843</v>
      </c>
      <c r="G1013" s="29" t="s">
        <v>4844</v>
      </c>
      <c r="H1013" s="29" t="s">
        <v>4836</v>
      </c>
      <c r="I1013" s="29" t="s">
        <v>302</v>
      </c>
      <c r="J1013" s="29" t="s">
        <v>202</v>
      </c>
      <c r="K1013" s="30" t="s">
        <v>44</v>
      </c>
      <c r="L1013" s="31"/>
      <c r="M1013" s="32" t="s">
        <v>45</v>
      </c>
    </row>
    <row r="1014" customFormat="false" ht="51" hidden="false" customHeight="true" outlineLevel="0" collapsed="false">
      <c r="B1014" s="29" t="s">
        <v>4845</v>
      </c>
      <c r="C1014" s="29" t="s">
        <v>37</v>
      </c>
      <c r="D1014" s="29" t="s">
        <v>4846</v>
      </c>
      <c r="E1014" s="29" t="s">
        <v>340</v>
      </c>
      <c r="F1014" s="29" t="s">
        <v>4847</v>
      </c>
      <c r="G1014" s="29" t="s">
        <v>4848</v>
      </c>
      <c r="H1014" s="29" t="s">
        <v>4836</v>
      </c>
      <c r="I1014" s="29" t="s">
        <v>302</v>
      </c>
      <c r="J1014" s="29" t="s">
        <v>202</v>
      </c>
      <c r="K1014" s="30" t="s">
        <v>44</v>
      </c>
      <c r="L1014" s="31"/>
      <c r="M1014" s="32" t="s">
        <v>45</v>
      </c>
    </row>
    <row r="1015" customFormat="false" ht="51" hidden="false" customHeight="true" outlineLevel="0" collapsed="false">
      <c r="B1015" s="29" t="s">
        <v>4849</v>
      </c>
      <c r="C1015" s="29" t="s">
        <v>37</v>
      </c>
      <c r="D1015" s="29" t="s">
        <v>4850</v>
      </c>
      <c r="E1015" s="29" t="s">
        <v>91</v>
      </c>
      <c r="F1015" s="29" t="s">
        <v>4851</v>
      </c>
      <c r="G1015" s="29" t="s">
        <v>4852</v>
      </c>
      <c r="H1015" s="29" t="s">
        <v>4836</v>
      </c>
      <c r="I1015" s="29" t="s">
        <v>42</v>
      </c>
      <c r="J1015" s="29" t="s">
        <v>985</v>
      </c>
      <c r="K1015" s="30" t="s">
        <v>44</v>
      </c>
      <c r="L1015" s="31"/>
      <c r="M1015" s="32" t="s">
        <v>45</v>
      </c>
    </row>
    <row r="1016" customFormat="false" ht="51" hidden="false" customHeight="true" outlineLevel="0" collapsed="false">
      <c r="B1016" s="29" t="s">
        <v>4853</v>
      </c>
      <c r="C1016" s="29" t="s">
        <v>37</v>
      </c>
      <c r="D1016" s="29" t="s">
        <v>4854</v>
      </c>
      <c r="E1016" s="29" t="s">
        <v>600</v>
      </c>
      <c r="F1016" s="29" t="s">
        <v>4855</v>
      </c>
      <c r="G1016" s="29" t="s">
        <v>4856</v>
      </c>
      <c r="H1016" s="29" t="s">
        <v>4857</v>
      </c>
      <c r="I1016" s="29" t="s">
        <v>472</v>
      </c>
      <c r="J1016" s="29" t="s">
        <v>472</v>
      </c>
      <c r="K1016" s="30" t="s">
        <v>44</v>
      </c>
      <c r="L1016" s="31"/>
      <c r="M1016" s="32" t="s">
        <v>45</v>
      </c>
    </row>
    <row r="1017" customFormat="false" ht="51" hidden="false" customHeight="true" outlineLevel="0" collapsed="false">
      <c r="B1017" s="29" t="s">
        <v>4858</v>
      </c>
      <c r="C1017" s="29" t="s">
        <v>37</v>
      </c>
      <c r="D1017" s="29" t="s">
        <v>4859</v>
      </c>
      <c r="E1017" s="29" t="s">
        <v>357</v>
      </c>
      <c r="F1017" s="29" t="s">
        <v>4860</v>
      </c>
      <c r="G1017" s="29" t="s">
        <v>4861</v>
      </c>
      <c r="H1017" s="29" t="s">
        <v>4862</v>
      </c>
      <c r="I1017" s="29" t="s">
        <v>302</v>
      </c>
      <c r="J1017" s="29" t="s">
        <v>202</v>
      </c>
      <c r="K1017" s="30" t="s">
        <v>44</v>
      </c>
      <c r="L1017" s="31"/>
      <c r="M1017" s="32" t="s">
        <v>45</v>
      </c>
    </row>
    <row r="1018" customFormat="false" ht="51" hidden="false" customHeight="true" outlineLevel="0" collapsed="false">
      <c r="B1018" s="29" t="s">
        <v>4863</v>
      </c>
      <c r="C1018" s="29" t="s">
        <v>37</v>
      </c>
      <c r="D1018" s="29" t="s">
        <v>4864</v>
      </c>
      <c r="E1018" s="29" t="s">
        <v>357</v>
      </c>
      <c r="F1018" s="29" t="s">
        <v>4865</v>
      </c>
      <c r="G1018" s="29" t="s">
        <v>4866</v>
      </c>
      <c r="H1018" s="29" t="s">
        <v>4862</v>
      </c>
      <c r="I1018" s="29" t="s">
        <v>302</v>
      </c>
      <c r="J1018" s="29" t="s">
        <v>202</v>
      </c>
      <c r="K1018" s="30" t="s">
        <v>44</v>
      </c>
      <c r="L1018" s="31"/>
      <c r="M1018" s="32" t="s">
        <v>45</v>
      </c>
    </row>
    <row r="1019" customFormat="false" ht="51" hidden="false" customHeight="true" outlineLevel="0" collapsed="false">
      <c r="B1019" s="29" t="s">
        <v>4867</v>
      </c>
      <c r="C1019" s="29" t="s">
        <v>37</v>
      </c>
      <c r="D1019" s="29" t="s">
        <v>4868</v>
      </c>
      <c r="E1019" s="29" t="s">
        <v>357</v>
      </c>
      <c r="F1019" s="29" t="s">
        <v>4869</v>
      </c>
      <c r="G1019" s="29" t="s">
        <v>4870</v>
      </c>
      <c r="H1019" s="29" t="s">
        <v>4862</v>
      </c>
      <c r="I1019" s="29" t="s">
        <v>302</v>
      </c>
      <c r="J1019" s="29" t="s">
        <v>202</v>
      </c>
      <c r="K1019" s="30" t="s">
        <v>44</v>
      </c>
      <c r="L1019" s="31"/>
      <c r="M1019" s="32" t="s">
        <v>45</v>
      </c>
    </row>
    <row r="1020" customFormat="false" ht="51" hidden="false" customHeight="true" outlineLevel="0" collapsed="false">
      <c r="B1020" s="29" t="s">
        <v>4871</v>
      </c>
      <c r="C1020" s="29" t="s">
        <v>37</v>
      </c>
      <c r="D1020" s="29" t="s">
        <v>4872</v>
      </c>
      <c r="E1020" s="29" t="s">
        <v>357</v>
      </c>
      <c r="F1020" s="29" t="s">
        <v>4873</v>
      </c>
      <c r="G1020" s="29" t="s">
        <v>4874</v>
      </c>
      <c r="H1020" s="29" t="s">
        <v>4875</v>
      </c>
      <c r="I1020" s="29" t="s">
        <v>302</v>
      </c>
      <c r="J1020" s="29" t="s">
        <v>202</v>
      </c>
      <c r="K1020" s="30" t="s">
        <v>44</v>
      </c>
      <c r="L1020" s="31"/>
      <c r="M1020" s="32" t="s">
        <v>45</v>
      </c>
    </row>
    <row r="1021" customFormat="false" ht="51" hidden="false" customHeight="true" outlineLevel="0" collapsed="false">
      <c r="B1021" s="29" t="s">
        <v>4876</v>
      </c>
      <c r="C1021" s="29" t="s">
        <v>37</v>
      </c>
      <c r="D1021" s="29" t="s">
        <v>4877</v>
      </c>
      <c r="E1021" s="29" t="s">
        <v>357</v>
      </c>
      <c r="F1021" s="29" t="s">
        <v>4878</v>
      </c>
      <c r="G1021" s="29" t="s">
        <v>4879</v>
      </c>
      <c r="H1021" s="29" t="s">
        <v>4875</v>
      </c>
      <c r="I1021" s="29" t="s">
        <v>302</v>
      </c>
      <c r="J1021" s="29" t="s">
        <v>202</v>
      </c>
      <c r="K1021" s="30" t="s">
        <v>44</v>
      </c>
      <c r="L1021" s="31"/>
      <c r="M1021" s="32" t="s">
        <v>45</v>
      </c>
    </row>
    <row r="1022" customFormat="false" ht="51" hidden="false" customHeight="true" outlineLevel="0" collapsed="false">
      <c r="B1022" s="29" t="s">
        <v>4880</v>
      </c>
      <c r="C1022" s="29" t="s">
        <v>37</v>
      </c>
      <c r="D1022" s="29" t="s">
        <v>4881</v>
      </c>
      <c r="E1022" s="29" t="s">
        <v>357</v>
      </c>
      <c r="F1022" s="29" t="s">
        <v>4882</v>
      </c>
      <c r="G1022" s="29" t="s">
        <v>4883</v>
      </c>
      <c r="H1022" s="29" t="s">
        <v>4875</v>
      </c>
      <c r="I1022" s="29" t="s">
        <v>302</v>
      </c>
      <c r="J1022" s="29" t="s">
        <v>202</v>
      </c>
      <c r="K1022" s="30" t="s">
        <v>44</v>
      </c>
      <c r="L1022" s="31"/>
      <c r="M1022" s="32" t="s">
        <v>45</v>
      </c>
    </row>
    <row r="1023" customFormat="false" ht="51" hidden="false" customHeight="true" outlineLevel="0" collapsed="false">
      <c r="B1023" s="29" t="s">
        <v>4884</v>
      </c>
      <c r="C1023" s="29" t="s">
        <v>37</v>
      </c>
      <c r="D1023" s="29" t="s">
        <v>4885</v>
      </c>
      <c r="E1023" s="29" t="s">
        <v>357</v>
      </c>
      <c r="F1023" s="29" t="s">
        <v>4886</v>
      </c>
      <c r="G1023" s="29" t="s">
        <v>4887</v>
      </c>
      <c r="H1023" s="29" t="s">
        <v>4875</v>
      </c>
      <c r="I1023" s="29" t="s">
        <v>302</v>
      </c>
      <c r="J1023" s="29" t="s">
        <v>202</v>
      </c>
      <c r="K1023" s="30" t="s">
        <v>44</v>
      </c>
      <c r="L1023" s="31"/>
      <c r="M1023" s="32" t="s">
        <v>45</v>
      </c>
    </row>
    <row r="1024" customFormat="false" ht="51" hidden="false" customHeight="true" outlineLevel="0" collapsed="false">
      <c r="B1024" s="29" t="s">
        <v>4888</v>
      </c>
      <c r="C1024" s="29" t="s">
        <v>37</v>
      </c>
      <c r="D1024" s="29" t="s">
        <v>4889</v>
      </c>
      <c r="E1024" s="29" t="s">
        <v>600</v>
      </c>
      <c r="F1024" s="29" t="s">
        <v>4890</v>
      </c>
      <c r="G1024" s="29" t="s">
        <v>4891</v>
      </c>
      <c r="H1024" s="29" t="s">
        <v>4892</v>
      </c>
      <c r="I1024" s="29" t="s">
        <v>472</v>
      </c>
      <c r="J1024" s="29" t="s">
        <v>472</v>
      </c>
      <c r="K1024" s="30" t="s">
        <v>44</v>
      </c>
      <c r="L1024" s="31"/>
      <c r="M1024" s="32" t="s">
        <v>45</v>
      </c>
    </row>
    <row r="1025" customFormat="false" ht="51" hidden="false" customHeight="true" outlineLevel="0" collapsed="false">
      <c r="B1025" s="29" t="s">
        <v>4893</v>
      </c>
      <c r="C1025" s="29" t="s">
        <v>37</v>
      </c>
      <c r="D1025" s="29" t="s">
        <v>4894</v>
      </c>
      <c r="E1025" s="29" t="s">
        <v>600</v>
      </c>
      <c r="F1025" s="29" t="s">
        <v>4895</v>
      </c>
      <c r="G1025" s="29" t="s">
        <v>4896</v>
      </c>
      <c r="H1025" s="29" t="s">
        <v>4892</v>
      </c>
      <c r="I1025" s="29" t="s">
        <v>472</v>
      </c>
      <c r="J1025" s="29" t="s">
        <v>472</v>
      </c>
      <c r="K1025" s="30" t="s">
        <v>44</v>
      </c>
      <c r="L1025" s="31"/>
      <c r="M1025" s="32" t="s">
        <v>45</v>
      </c>
    </row>
    <row r="1026" customFormat="false" ht="51" hidden="false" customHeight="true" outlineLevel="0" collapsed="false">
      <c r="B1026" s="29" t="s">
        <v>4897</v>
      </c>
      <c r="C1026" s="29" t="s">
        <v>37</v>
      </c>
      <c r="D1026" s="29" t="s">
        <v>4898</v>
      </c>
      <c r="E1026" s="29" t="s">
        <v>340</v>
      </c>
      <c r="F1026" s="29" t="s">
        <v>4899</v>
      </c>
      <c r="G1026" s="29" t="s">
        <v>4900</v>
      </c>
      <c r="H1026" s="29" t="s">
        <v>4901</v>
      </c>
      <c r="I1026" s="29" t="s">
        <v>302</v>
      </c>
      <c r="J1026" s="29" t="s">
        <v>202</v>
      </c>
      <c r="K1026" s="30" t="s">
        <v>44</v>
      </c>
      <c r="L1026" s="31"/>
      <c r="M1026" s="32" t="s">
        <v>45</v>
      </c>
    </row>
    <row r="1027" customFormat="false" ht="51" hidden="false" customHeight="true" outlineLevel="0" collapsed="false">
      <c r="B1027" s="29" t="s">
        <v>4902</v>
      </c>
      <c r="C1027" s="29" t="s">
        <v>37</v>
      </c>
      <c r="D1027" s="29" t="s">
        <v>4903</v>
      </c>
      <c r="E1027" s="29" t="s">
        <v>600</v>
      </c>
      <c r="F1027" s="29" t="s">
        <v>4904</v>
      </c>
      <c r="G1027" s="29" t="s">
        <v>4905</v>
      </c>
      <c r="H1027" s="29" t="s">
        <v>4892</v>
      </c>
      <c r="I1027" s="29" t="s">
        <v>472</v>
      </c>
      <c r="J1027" s="29" t="s">
        <v>472</v>
      </c>
      <c r="K1027" s="30" t="s">
        <v>44</v>
      </c>
      <c r="L1027" s="31"/>
      <c r="M1027" s="32" t="s">
        <v>45</v>
      </c>
    </row>
    <row r="1028" customFormat="false" ht="51" hidden="false" customHeight="true" outlineLevel="0" collapsed="false">
      <c r="B1028" s="29" t="s">
        <v>4906</v>
      </c>
      <c r="C1028" s="29" t="s">
        <v>37</v>
      </c>
      <c r="D1028" s="29" t="s">
        <v>4907</v>
      </c>
      <c r="E1028" s="29" t="s">
        <v>600</v>
      </c>
      <c r="F1028" s="29" t="s">
        <v>4908</v>
      </c>
      <c r="G1028" s="29" t="s">
        <v>4909</v>
      </c>
      <c r="H1028" s="29" t="s">
        <v>4892</v>
      </c>
      <c r="I1028" s="29" t="s">
        <v>472</v>
      </c>
      <c r="J1028" s="29" t="s">
        <v>472</v>
      </c>
      <c r="K1028" s="30" t="s">
        <v>44</v>
      </c>
      <c r="L1028" s="31"/>
      <c r="M1028" s="32" t="s">
        <v>45</v>
      </c>
    </row>
    <row r="1029" customFormat="false" ht="51" hidden="false" customHeight="true" outlineLevel="0" collapsed="false">
      <c r="B1029" s="29" t="s">
        <v>4910</v>
      </c>
      <c r="C1029" s="29" t="s">
        <v>37</v>
      </c>
      <c r="D1029" s="29" t="s">
        <v>4911</v>
      </c>
      <c r="E1029" s="29" t="s">
        <v>600</v>
      </c>
      <c r="F1029" s="29" t="s">
        <v>4912</v>
      </c>
      <c r="G1029" s="29" t="s">
        <v>4913</v>
      </c>
      <c r="H1029" s="29" t="s">
        <v>4892</v>
      </c>
      <c r="I1029" s="29" t="s">
        <v>472</v>
      </c>
      <c r="J1029" s="29" t="s">
        <v>472</v>
      </c>
      <c r="K1029" s="30" t="s">
        <v>44</v>
      </c>
      <c r="L1029" s="31"/>
      <c r="M1029" s="32" t="s">
        <v>45</v>
      </c>
    </row>
    <row r="1030" customFormat="false" ht="51" hidden="false" customHeight="true" outlineLevel="0" collapsed="false">
      <c r="B1030" s="29" t="s">
        <v>4914</v>
      </c>
      <c r="C1030" s="29" t="s">
        <v>37</v>
      </c>
      <c r="D1030" s="29" t="s">
        <v>4915</v>
      </c>
      <c r="E1030" s="29" t="s">
        <v>543</v>
      </c>
      <c r="F1030" s="29" t="s">
        <v>4916</v>
      </c>
      <c r="G1030" s="29" t="s">
        <v>4917</v>
      </c>
      <c r="H1030" s="29" t="s">
        <v>4892</v>
      </c>
      <c r="I1030" s="29" t="s">
        <v>472</v>
      </c>
      <c r="J1030" s="29" t="s">
        <v>472</v>
      </c>
      <c r="K1030" s="30" t="s">
        <v>44</v>
      </c>
      <c r="L1030" s="31"/>
      <c r="M1030" s="32" t="s">
        <v>45</v>
      </c>
    </row>
    <row r="1031" customFormat="false" ht="51" hidden="false" customHeight="true" outlineLevel="0" collapsed="false">
      <c r="B1031" s="29" t="s">
        <v>4918</v>
      </c>
      <c r="C1031" s="29" t="s">
        <v>37</v>
      </c>
      <c r="D1031" s="29" t="s">
        <v>4919</v>
      </c>
      <c r="E1031" s="29" t="s">
        <v>543</v>
      </c>
      <c r="F1031" s="29" t="s">
        <v>4920</v>
      </c>
      <c r="G1031" s="29" t="s">
        <v>4920</v>
      </c>
      <c r="H1031" s="29" t="s">
        <v>4892</v>
      </c>
      <c r="I1031" s="29" t="s">
        <v>472</v>
      </c>
      <c r="J1031" s="29" t="s">
        <v>472</v>
      </c>
      <c r="K1031" s="30" t="s">
        <v>44</v>
      </c>
      <c r="L1031" s="31"/>
      <c r="M1031" s="32" t="s">
        <v>45</v>
      </c>
    </row>
    <row r="1032" customFormat="false" ht="51" hidden="false" customHeight="true" outlineLevel="0" collapsed="false">
      <c r="B1032" s="29" t="s">
        <v>4921</v>
      </c>
      <c r="C1032" s="29" t="s">
        <v>37</v>
      </c>
      <c r="D1032" s="29" t="s">
        <v>4922</v>
      </c>
      <c r="E1032" s="29" t="s">
        <v>340</v>
      </c>
      <c r="F1032" s="29" t="s">
        <v>4923</v>
      </c>
      <c r="G1032" s="29" t="s">
        <v>4924</v>
      </c>
      <c r="H1032" s="29" t="s">
        <v>4925</v>
      </c>
      <c r="I1032" s="29" t="s">
        <v>302</v>
      </c>
      <c r="J1032" s="29" t="s">
        <v>202</v>
      </c>
      <c r="K1032" s="30" t="s">
        <v>44</v>
      </c>
      <c r="L1032" s="31"/>
      <c r="M1032" s="32" t="s">
        <v>45</v>
      </c>
    </row>
    <row r="1033" customFormat="false" ht="51" hidden="false" customHeight="true" outlineLevel="0" collapsed="false">
      <c r="B1033" s="29" t="s">
        <v>4926</v>
      </c>
      <c r="C1033" s="29" t="s">
        <v>37</v>
      </c>
      <c r="D1033" s="29" t="s">
        <v>4927</v>
      </c>
      <c r="E1033" s="29" t="s">
        <v>340</v>
      </c>
      <c r="F1033" s="29" t="s">
        <v>4928</v>
      </c>
      <c r="G1033" s="29" t="s">
        <v>4928</v>
      </c>
      <c r="H1033" s="29" t="s">
        <v>4925</v>
      </c>
      <c r="I1033" s="29" t="s">
        <v>302</v>
      </c>
      <c r="J1033" s="29" t="s">
        <v>202</v>
      </c>
      <c r="K1033" s="30" t="s">
        <v>44</v>
      </c>
      <c r="L1033" s="31"/>
      <c r="M1033" s="32" t="s">
        <v>45</v>
      </c>
    </row>
    <row r="1034" customFormat="false" ht="51" hidden="false" customHeight="true" outlineLevel="0" collapsed="false">
      <c r="B1034" s="29" t="s">
        <v>4929</v>
      </c>
      <c r="C1034" s="29" t="s">
        <v>37</v>
      </c>
      <c r="D1034" s="29" t="s">
        <v>4930</v>
      </c>
      <c r="E1034" s="29" t="s">
        <v>340</v>
      </c>
      <c r="F1034" s="29" t="s">
        <v>4931</v>
      </c>
      <c r="G1034" s="29" t="s">
        <v>4931</v>
      </c>
      <c r="H1034" s="29" t="s">
        <v>4925</v>
      </c>
      <c r="I1034" s="29" t="s">
        <v>302</v>
      </c>
      <c r="J1034" s="29" t="s">
        <v>202</v>
      </c>
      <c r="K1034" s="30" t="s">
        <v>44</v>
      </c>
      <c r="L1034" s="31"/>
      <c r="M1034" s="32" t="s">
        <v>45</v>
      </c>
    </row>
    <row r="1035" customFormat="false" ht="51" hidden="false" customHeight="true" outlineLevel="0" collapsed="false">
      <c r="B1035" s="29" t="s">
        <v>4932</v>
      </c>
      <c r="C1035" s="29" t="s">
        <v>37</v>
      </c>
      <c r="D1035" s="29" t="s">
        <v>4933</v>
      </c>
      <c r="E1035" s="29" t="s">
        <v>340</v>
      </c>
      <c r="F1035" s="29" t="s">
        <v>4934</v>
      </c>
      <c r="G1035" s="29" t="s">
        <v>4935</v>
      </c>
      <c r="H1035" s="29" t="s">
        <v>4925</v>
      </c>
      <c r="I1035" s="29" t="s">
        <v>302</v>
      </c>
      <c r="J1035" s="29" t="s">
        <v>202</v>
      </c>
      <c r="K1035" s="30" t="s">
        <v>44</v>
      </c>
      <c r="L1035" s="31"/>
      <c r="M1035" s="32" t="s">
        <v>45</v>
      </c>
    </row>
    <row r="1036" customFormat="false" ht="51" hidden="false" customHeight="true" outlineLevel="0" collapsed="false">
      <c r="B1036" s="29" t="s">
        <v>4936</v>
      </c>
      <c r="C1036" s="29" t="s">
        <v>37</v>
      </c>
      <c r="D1036" s="29" t="s">
        <v>4937</v>
      </c>
      <c r="E1036" s="29" t="s">
        <v>340</v>
      </c>
      <c r="F1036" s="29" t="s">
        <v>4938</v>
      </c>
      <c r="G1036" s="29" t="s">
        <v>4938</v>
      </c>
      <c r="H1036" s="29" t="s">
        <v>4925</v>
      </c>
      <c r="I1036" s="29" t="s">
        <v>302</v>
      </c>
      <c r="J1036" s="29" t="s">
        <v>202</v>
      </c>
      <c r="K1036" s="30" t="s">
        <v>44</v>
      </c>
      <c r="L1036" s="31"/>
      <c r="M1036" s="32" t="s">
        <v>45</v>
      </c>
    </row>
    <row r="1037" customFormat="false" ht="51" hidden="false" customHeight="true" outlineLevel="0" collapsed="false">
      <c r="B1037" s="29" t="s">
        <v>4939</v>
      </c>
      <c r="C1037" s="29" t="s">
        <v>37</v>
      </c>
      <c r="D1037" s="29" t="s">
        <v>4940</v>
      </c>
      <c r="E1037" s="29" t="s">
        <v>543</v>
      </c>
      <c r="F1037" s="29" t="s">
        <v>4941</v>
      </c>
      <c r="G1037" s="29" t="s">
        <v>4942</v>
      </c>
      <c r="H1037" s="29" t="s">
        <v>4943</v>
      </c>
      <c r="I1037" s="29" t="s">
        <v>472</v>
      </c>
      <c r="J1037" s="29" t="s">
        <v>472</v>
      </c>
      <c r="K1037" s="30" t="s">
        <v>44</v>
      </c>
      <c r="L1037" s="31"/>
      <c r="M1037" s="32" t="s">
        <v>45</v>
      </c>
    </row>
    <row r="1038" customFormat="false" ht="51" hidden="false" customHeight="true" outlineLevel="0" collapsed="false">
      <c r="B1038" s="29" t="s">
        <v>4944</v>
      </c>
      <c r="C1038" s="29" t="s">
        <v>37</v>
      </c>
      <c r="D1038" s="29" t="s">
        <v>4945</v>
      </c>
      <c r="E1038" s="29" t="s">
        <v>543</v>
      </c>
      <c r="F1038" s="29" t="s">
        <v>4946</v>
      </c>
      <c r="G1038" s="29" t="s">
        <v>4947</v>
      </c>
      <c r="H1038" s="29" t="s">
        <v>4943</v>
      </c>
      <c r="I1038" s="29" t="s">
        <v>472</v>
      </c>
      <c r="J1038" s="29" t="s">
        <v>472</v>
      </c>
      <c r="K1038" s="30" t="s">
        <v>44</v>
      </c>
      <c r="L1038" s="31"/>
      <c r="M1038" s="32" t="s">
        <v>45</v>
      </c>
    </row>
    <row r="1039" customFormat="false" ht="51" hidden="false" customHeight="true" outlineLevel="0" collapsed="false">
      <c r="B1039" s="29" t="s">
        <v>4948</v>
      </c>
      <c r="C1039" s="29" t="s">
        <v>37</v>
      </c>
      <c r="D1039" s="29" t="s">
        <v>4949</v>
      </c>
      <c r="E1039" s="29" t="s">
        <v>340</v>
      </c>
      <c r="F1039" s="29" t="s">
        <v>4950</v>
      </c>
      <c r="G1039" s="29" t="s">
        <v>4951</v>
      </c>
      <c r="H1039" s="29" t="s">
        <v>4925</v>
      </c>
      <c r="I1039" s="29" t="s">
        <v>302</v>
      </c>
      <c r="J1039" s="29" t="s">
        <v>202</v>
      </c>
      <c r="K1039" s="30" t="s">
        <v>44</v>
      </c>
      <c r="L1039" s="31"/>
      <c r="M1039" s="32" t="s">
        <v>45</v>
      </c>
    </row>
    <row r="1040" customFormat="false" ht="51" hidden="false" customHeight="true" outlineLevel="0" collapsed="false">
      <c r="B1040" s="29" t="s">
        <v>4952</v>
      </c>
      <c r="C1040" s="29" t="s">
        <v>37</v>
      </c>
      <c r="D1040" s="29" t="s">
        <v>4953</v>
      </c>
      <c r="E1040" s="29" t="s">
        <v>206</v>
      </c>
      <c r="F1040" s="29" t="s">
        <v>4954</v>
      </c>
      <c r="G1040" s="29" t="s">
        <v>4954</v>
      </c>
      <c r="H1040" s="29" t="s">
        <v>4955</v>
      </c>
      <c r="I1040" s="29" t="s">
        <v>302</v>
      </c>
      <c r="J1040" s="29" t="s">
        <v>202</v>
      </c>
      <c r="K1040" s="30" t="s">
        <v>44</v>
      </c>
      <c r="L1040" s="31"/>
      <c r="M1040" s="32" t="s">
        <v>45</v>
      </c>
    </row>
    <row r="1041" customFormat="false" ht="51" hidden="false" customHeight="true" outlineLevel="0" collapsed="false">
      <c r="B1041" s="29" t="s">
        <v>4956</v>
      </c>
      <c r="C1041" s="29" t="s">
        <v>37</v>
      </c>
      <c r="D1041" s="29" t="s">
        <v>4957</v>
      </c>
      <c r="E1041" s="29" t="s">
        <v>39</v>
      </c>
      <c r="F1041" s="29" t="s">
        <v>4958</v>
      </c>
      <c r="G1041" s="29" t="s">
        <v>4959</v>
      </c>
      <c r="H1041" s="29" t="s">
        <v>4955</v>
      </c>
      <c r="I1041" s="29" t="s">
        <v>42</v>
      </c>
      <c r="J1041" s="29" t="s">
        <v>43</v>
      </c>
      <c r="K1041" s="30" t="s">
        <v>44</v>
      </c>
      <c r="L1041" s="31"/>
      <c r="M1041" s="32" t="s">
        <v>45</v>
      </c>
    </row>
    <row r="1042" customFormat="false" ht="51" hidden="false" customHeight="true" outlineLevel="0" collapsed="false">
      <c r="B1042" s="29" t="s">
        <v>4960</v>
      </c>
      <c r="C1042" s="29" t="s">
        <v>37</v>
      </c>
      <c r="D1042" s="29" t="s">
        <v>4961</v>
      </c>
      <c r="E1042" s="29" t="s">
        <v>340</v>
      </c>
      <c r="F1042" s="29" t="s">
        <v>4962</v>
      </c>
      <c r="G1042" s="29" t="s">
        <v>4963</v>
      </c>
      <c r="H1042" s="29" t="s">
        <v>4955</v>
      </c>
      <c r="I1042" s="29" t="s">
        <v>302</v>
      </c>
      <c r="J1042" s="29" t="s">
        <v>202</v>
      </c>
      <c r="K1042" s="30" t="s">
        <v>44</v>
      </c>
      <c r="L1042" s="31"/>
      <c r="M1042" s="32" t="s">
        <v>45</v>
      </c>
    </row>
    <row r="1043" customFormat="false" ht="51" hidden="false" customHeight="true" outlineLevel="0" collapsed="false">
      <c r="B1043" s="29" t="s">
        <v>4964</v>
      </c>
      <c r="C1043" s="29" t="s">
        <v>37</v>
      </c>
      <c r="D1043" s="29" t="s">
        <v>4965</v>
      </c>
      <c r="E1043" s="29" t="s">
        <v>340</v>
      </c>
      <c r="F1043" s="29" t="s">
        <v>4966</v>
      </c>
      <c r="G1043" s="29" t="s">
        <v>4967</v>
      </c>
      <c r="H1043" s="29" t="s">
        <v>4955</v>
      </c>
      <c r="I1043" s="29" t="s">
        <v>302</v>
      </c>
      <c r="J1043" s="29" t="s">
        <v>202</v>
      </c>
      <c r="K1043" s="30" t="s">
        <v>44</v>
      </c>
      <c r="L1043" s="31"/>
      <c r="M1043" s="32" t="s">
        <v>45</v>
      </c>
    </row>
    <row r="1044" customFormat="false" ht="51" hidden="false" customHeight="true" outlineLevel="0" collapsed="false">
      <c r="B1044" s="29" t="s">
        <v>4968</v>
      </c>
      <c r="C1044" s="29" t="s">
        <v>37</v>
      </c>
      <c r="D1044" s="29" t="s">
        <v>4969</v>
      </c>
      <c r="E1044" s="29" t="s">
        <v>340</v>
      </c>
      <c r="F1044" s="29" t="s">
        <v>4970</v>
      </c>
      <c r="G1044" s="29" t="s">
        <v>4971</v>
      </c>
      <c r="H1044" s="29" t="s">
        <v>4955</v>
      </c>
      <c r="I1044" s="29" t="s">
        <v>302</v>
      </c>
      <c r="J1044" s="29" t="s">
        <v>202</v>
      </c>
      <c r="K1044" s="30" t="s">
        <v>44</v>
      </c>
      <c r="L1044" s="31"/>
      <c r="M1044" s="32" t="s">
        <v>45</v>
      </c>
    </row>
    <row r="1045" customFormat="false" ht="51" hidden="false" customHeight="true" outlineLevel="0" collapsed="false">
      <c r="B1045" s="29" t="s">
        <v>4972</v>
      </c>
      <c r="C1045" s="29" t="s">
        <v>37</v>
      </c>
      <c r="D1045" s="29" t="s">
        <v>4973</v>
      </c>
      <c r="E1045" s="29" t="s">
        <v>340</v>
      </c>
      <c r="F1045" s="29" t="s">
        <v>4974</v>
      </c>
      <c r="G1045" s="29" t="s">
        <v>4975</v>
      </c>
      <c r="H1045" s="29" t="s">
        <v>4955</v>
      </c>
      <c r="I1045" s="29" t="s">
        <v>302</v>
      </c>
      <c r="J1045" s="29" t="s">
        <v>202</v>
      </c>
      <c r="K1045" s="30" t="s">
        <v>44</v>
      </c>
      <c r="L1045" s="31"/>
      <c r="M1045" s="32" t="s">
        <v>45</v>
      </c>
    </row>
    <row r="1046" customFormat="false" ht="51" hidden="false" customHeight="true" outlineLevel="0" collapsed="false">
      <c r="B1046" s="29" t="s">
        <v>4976</v>
      </c>
      <c r="C1046" s="29" t="s">
        <v>37</v>
      </c>
      <c r="D1046" s="29" t="s">
        <v>4977</v>
      </c>
      <c r="E1046" s="29" t="s">
        <v>266</v>
      </c>
      <c r="F1046" s="29" t="s">
        <v>4978</v>
      </c>
      <c r="G1046" s="29" t="s">
        <v>4979</v>
      </c>
      <c r="H1046" s="29" t="s">
        <v>4955</v>
      </c>
      <c r="I1046" s="29" t="s">
        <v>42</v>
      </c>
      <c r="J1046" s="29" t="s">
        <v>270</v>
      </c>
      <c r="K1046" s="30" t="s">
        <v>44</v>
      </c>
      <c r="L1046" s="31"/>
      <c r="M1046" s="32" t="s">
        <v>45</v>
      </c>
    </row>
    <row r="1047" customFormat="false" ht="51" hidden="false" customHeight="true" outlineLevel="0" collapsed="false">
      <c r="B1047" s="29" t="s">
        <v>4980</v>
      </c>
      <c r="C1047" s="29" t="s">
        <v>37</v>
      </c>
      <c r="D1047" s="29" t="s">
        <v>4981</v>
      </c>
      <c r="E1047" s="29" t="s">
        <v>340</v>
      </c>
      <c r="F1047" s="29" t="s">
        <v>4982</v>
      </c>
      <c r="G1047" s="29" t="s">
        <v>4983</v>
      </c>
      <c r="H1047" s="29" t="s">
        <v>4955</v>
      </c>
      <c r="I1047" s="29" t="s">
        <v>302</v>
      </c>
      <c r="J1047" s="29" t="s">
        <v>202</v>
      </c>
      <c r="K1047" s="30" t="s">
        <v>44</v>
      </c>
      <c r="L1047" s="31"/>
      <c r="M1047" s="32" t="s">
        <v>45</v>
      </c>
    </row>
    <row r="1048" customFormat="false" ht="51" hidden="false" customHeight="true" outlineLevel="0" collapsed="false">
      <c r="B1048" s="29" t="s">
        <v>4984</v>
      </c>
      <c r="C1048" s="29" t="s">
        <v>37</v>
      </c>
      <c r="D1048" s="29" t="s">
        <v>4985</v>
      </c>
      <c r="E1048" s="29" t="s">
        <v>340</v>
      </c>
      <c r="F1048" s="29" t="s">
        <v>4986</v>
      </c>
      <c r="G1048" s="29" t="s">
        <v>4986</v>
      </c>
      <c r="H1048" s="29" t="s">
        <v>4955</v>
      </c>
      <c r="I1048" s="29" t="s">
        <v>302</v>
      </c>
      <c r="J1048" s="29" t="s">
        <v>202</v>
      </c>
      <c r="K1048" s="30" t="s">
        <v>44</v>
      </c>
      <c r="L1048" s="31"/>
      <c r="M1048" s="32" t="s">
        <v>45</v>
      </c>
    </row>
    <row r="1049" customFormat="false" ht="51" hidden="false" customHeight="true" outlineLevel="0" collapsed="false">
      <c r="B1049" s="29" t="s">
        <v>4987</v>
      </c>
      <c r="C1049" s="29" t="s">
        <v>37</v>
      </c>
      <c r="D1049" s="29" t="s">
        <v>4988</v>
      </c>
      <c r="E1049" s="29" t="s">
        <v>340</v>
      </c>
      <c r="F1049" s="29" t="s">
        <v>4989</v>
      </c>
      <c r="G1049" s="29" t="s">
        <v>4990</v>
      </c>
      <c r="H1049" s="29" t="s">
        <v>4991</v>
      </c>
      <c r="I1049" s="29" t="s">
        <v>302</v>
      </c>
      <c r="J1049" s="29" t="s">
        <v>202</v>
      </c>
      <c r="K1049" s="30" t="s">
        <v>44</v>
      </c>
      <c r="L1049" s="31"/>
      <c r="M1049" s="32" t="s">
        <v>45</v>
      </c>
    </row>
    <row r="1050" customFormat="false" ht="51" hidden="false" customHeight="true" outlineLevel="0" collapsed="false">
      <c r="B1050" s="29" t="s">
        <v>4992</v>
      </c>
      <c r="C1050" s="29" t="s">
        <v>37</v>
      </c>
      <c r="D1050" s="29" t="s">
        <v>4993</v>
      </c>
      <c r="E1050" s="29" t="s">
        <v>340</v>
      </c>
      <c r="F1050" s="29" t="s">
        <v>4994</v>
      </c>
      <c r="G1050" s="29" t="s">
        <v>4995</v>
      </c>
      <c r="H1050" s="29" t="s">
        <v>4991</v>
      </c>
      <c r="I1050" s="29" t="s">
        <v>302</v>
      </c>
      <c r="J1050" s="29" t="s">
        <v>202</v>
      </c>
      <c r="K1050" s="30" t="s">
        <v>44</v>
      </c>
      <c r="L1050" s="31"/>
      <c r="M1050" s="32" t="s">
        <v>45</v>
      </c>
    </row>
    <row r="1051" customFormat="false" ht="51" hidden="false" customHeight="true" outlineLevel="0" collapsed="false">
      <c r="B1051" s="29" t="s">
        <v>4996</v>
      </c>
      <c r="C1051" s="29" t="s">
        <v>37</v>
      </c>
      <c r="D1051" s="29" t="s">
        <v>4997</v>
      </c>
      <c r="E1051" s="29" t="s">
        <v>206</v>
      </c>
      <c r="F1051" s="29" t="s">
        <v>4998</v>
      </c>
      <c r="G1051" s="29" t="s">
        <v>4999</v>
      </c>
      <c r="H1051" s="29" t="s">
        <v>4991</v>
      </c>
      <c r="I1051" s="29" t="s">
        <v>302</v>
      </c>
      <c r="J1051" s="29" t="s">
        <v>202</v>
      </c>
      <c r="K1051" s="30" t="s">
        <v>44</v>
      </c>
      <c r="L1051" s="31"/>
      <c r="M1051" s="32" t="s">
        <v>45</v>
      </c>
    </row>
    <row r="1052" customFormat="false" ht="51" hidden="false" customHeight="true" outlineLevel="0" collapsed="false">
      <c r="B1052" s="29" t="s">
        <v>5000</v>
      </c>
      <c r="C1052" s="29" t="s">
        <v>37</v>
      </c>
      <c r="D1052" s="29" t="s">
        <v>5001</v>
      </c>
      <c r="E1052" s="29" t="s">
        <v>206</v>
      </c>
      <c r="F1052" s="29" t="s">
        <v>5002</v>
      </c>
      <c r="G1052" s="29" t="s">
        <v>5003</v>
      </c>
      <c r="H1052" s="29" t="s">
        <v>4991</v>
      </c>
      <c r="I1052" s="29" t="s">
        <v>3696</v>
      </c>
      <c r="J1052" s="29" t="s">
        <v>155</v>
      </c>
      <c r="K1052" s="30" t="s">
        <v>44</v>
      </c>
      <c r="L1052" s="31"/>
      <c r="M1052" s="32" t="s">
        <v>45</v>
      </c>
    </row>
    <row r="1053" customFormat="false" ht="51" hidden="false" customHeight="true" outlineLevel="0" collapsed="false">
      <c r="B1053" s="29" t="s">
        <v>5004</v>
      </c>
      <c r="C1053" s="29" t="s">
        <v>37</v>
      </c>
      <c r="D1053" s="29" t="s">
        <v>5005</v>
      </c>
      <c r="E1053" s="29" t="s">
        <v>340</v>
      </c>
      <c r="F1053" s="29" t="s">
        <v>5006</v>
      </c>
      <c r="G1053" s="29" t="s">
        <v>5007</v>
      </c>
      <c r="H1053" s="29" t="s">
        <v>4991</v>
      </c>
      <c r="I1053" s="29" t="s">
        <v>302</v>
      </c>
      <c r="J1053" s="29" t="s">
        <v>202</v>
      </c>
      <c r="K1053" s="30" t="s">
        <v>44</v>
      </c>
      <c r="L1053" s="31"/>
      <c r="M1053" s="32" t="s">
        <v>45</v>
      </c>
    </row>
    <row r="1054" customFormat="false" ht="51" hidden="false" customHeight="true" outlineLevel="0" collapsed="false">
      <c r="B1054" s="29" t="s">
        <v>5008</v>
      </c>
      <c r="C1054" s="29" t="s">
        <v>37</v>
      </c>
      <c r="D1054" s="29" t="s">
        <v>5009</v>
      </c>
      <c r="E1054" s="29" t="s">
        <v>340</v>
      </c>
      <c r="F1054" s="29" t="s">
        <v>5010</v>
      </c>
      <c r="G1054" s="29" t="s">
        <v>5010</v>
      </c>
      <c r="H1054" s="29" t="s">
        <v>4991</v>
      </c>
      <c r="I1054" s="29" t="s">
        <v>302</v>
      </c>
      <c r="J1054" s="29" t="s">
        <v>202</v>
      </c>
      <c r="K1054" s="30" t="s">
        <v>44</v>
      </c>
      <c r="L1054" s="31"/>
      <c r="M1054" s="32" t="s">
        <v>45</v>
      </c>
    </row>
    <row r="1055" customFormat="false" ht="51" hidden="false" customHeight="true" outlineLevel="0" collapsed="false">
      <c r="B1055" s="29" t="s">
        <v>5011</v>
      </c>
      <c r="C1055" s="29" t="s">
        <v>37</v>
      </c>
      <c r="D1055" s="29" t="s">
        <v>5012</v>
      </c>
      <c r="E1055" s="29" t="s">
        <v>340</v>
      </c>
      <c r="F1055" s="29" t="s">
        <v>5013</v>
      </c>
      <c r="G1055" s="29" t="s">
        <v>5014</v>
      </c>
      <c r="H1055" s="29" t="s">
        <v>4991</v>
      </c>
      <c r="I1055" s="29" t="s">
        <v>302</v>
      </c>
      <c r="J1055" s="29" t="s">
        <v>202</v>
      </c>
      <c r="K1055" s="30" t="s">
        <v>44</v>
      </c>
      <c r="L1055" s="31"/>
      <c r="M1055" s="32" t="s">
        <v>45</v>
      </c>
    </row>
    <row r="1056" customFormat="false" ht="51" hidden="false" customHeight="true" outlineLevel="0" collapsed="false">
      <c r="B1056" s="29" t="s">
        <v>5015</v>
      </c>
      <c r="C1056" s="29" t="s">
        <v>37</v>
      </c>
      <c r="D1056" s="29" t="s">
        <v>5016</v>
      </c>
      <c r="E1056" s="29" t="s">
        <v>340</v>
      </c>
      <c r="F1056" s="29" t="s">
        <v>5017</v>
      </c>
      <c r="G1056" s="29" t="s">
        <v>5018</v>
      </c>
      <c r="H1056" s="29" t="s">
        <v>5019</v>
      </c>
      <c r="I1056" s="29" t="s">
        <v>302</v>
      </c>
      <c r="J1056" s="29" t="s">
        <v>202</v>
      </c>
      <c r="K1056" s="30" t="s">
        <v>44</v>
      </c>
      <c r="L1056" s="31"/>
      <c r="M1056" s="32" t="s">
        <v>45</v>
      </c>
    </row>
    <row r="1057" customFormat="false" ht="51" hidden="false" customHeight="true" outlineLevel="0" collapsed="false">
      <c r="B1057" s="29" t="s">
        <v>5020</v>
      </c>
      <c r="C1057" s="29" t="s">
        <v>37</v>
      </c>
      <c r="D1057" s="29" t="s">
        <v>5021</v>
      </c>
      <c r="E1057" s="29" t="s">
        <v>340</v>
      </c>
      <c r="F1057" s="29" t="s">
        <v>5022</v>
      </c>
      <c r="G1057" s="29" t="s">
        <v>5022</v>
      </c>
      <c r="H1057" s="29" t="s">
        <v>5019</v>
      </c>
      <c r="I1057" s="29" t="s">
        <v>302</v>
      </c>
      <c r="J1057" s="29" t="s">
        <v>202</v>
      </c>
      <c r="K1057" s="30" t="s">
        <v>44</v>
      </c>
      <c r="L1057" s="31"/>
      <c r="M1057" s="32" t="s">
        <v>45</v>
      </c>
    </row>
    <row r="1058" customFormat="false" ht="51" hidden="false" customHeight="true" outlineLevel="0" collapsed="false">
      <c r="B1058" s="29" t="s">
        <v>5023</v>
      </c>
      <c r="C1058" s="29" t="s">
        <v>37</v>
      </c>
      <c r="D1058" s="29" t="s">
        <v>5024</v>
      </c>
      <c r="E1058" s="29" t="s">
        <v>340</v>
      </c>
      <c r="F1058" s="29" t="s">
        <v>5025</v>
      </c>
      <c r="G1058" s="29" t="s">
        <v>5025</v>
      </c>
      <c r="H1058" s="29" t="s">
        <v>5019</v>
      </c>
      <c r="I1058" s="29" t="s">
        <v>302</v>
      </c>
      <c r="J1058" s="29" t="s">
        <v>202</v>
      </c>
      <c r="K1058" s="30" t="s">
        <v>44</v>
      </c>
      <c r="L1058" s="31"/>
      <c r="M1058" s="32" t="s">
        <v>45</v>
      </c>
    </row>
    <row r="1059" customFormat="false" ht="51" hidden="false" customHeight="true" outlineLevel="0" collapsed="false">
      <c r="B1059" s="29" t="s">
        <v>5026</v>
      </c>
      <c r="C1059" s="29" t="s">
        <v>37</v>
      </c>
      <c r="D1059" s="29" t="s">
        <v>5027</v>
      </c>
      <c r="E1059" s="29" t="s">
        <v>340</v>
      </c>
      <c r="F1059" s="29" t="s">
        <v>5028</v>
      </c>
      <c r="G1059" s="29" t="s">
        <v>5028</v>
      </c>
      <c r="H1059" s="29" t="s">
        <v>5019</v>
      </c>
      <c r="I1059" s="29" t="s">
        <v>302</v>
      </c>
      <c r="J1059" s="29" t="s">
        <v>202</v>
      </c>
      <c r="K1059" s="30" t="s">
        <v>44</v>
      </c>
      <c r="L1059" s="31"/>
      <c r="M1059" s="32" t="s">
        <v>45</v>
      </c>
    </row>
    <row r="1060" customFormat="false" ht="51" hidden="false" customHeight="true" outlineLevel="0" collapsed="false">
      <c r="B1060" s="29" t="s">
        <v>5029</v>
      </c>
      <c r="C1060" s="29" t="s">
        <v>37</v>
      </c>
      <c r="D1060" s="29" t="s">
        <v>5030</v>
      </c>
      <c r="E1060" s="29" t="s">
        <v>351</v>
      </c>
      <c r="F1060" s="29" t="s">
        <v>5031</v>
      </c>
      <c r="G1060" s="29" t="s">
        <v>5032</v>
      </c>
      <c r="H1060" s="29" t="s">
        <v>5019</v>
      </c>
      <c r="I1060" s="29" t="s">
        <v>302</v>
      </c>
      <c r="J1060" s="29" t="s">
        <v>202</v>
      </c>
      <c r="K1060" s="30" t="s">
        <v>44</v>
      </c>
      <c r="L1060" s="31"/>
      <c r="M1060" s="32" t="s">
        <v>45</v>
      </c>
    </row>
    <row r="1061" customFormat="false" ht="51" hidden="false" customHeight="true" outlineLevel="0" collapsed="false">
      <c r="B1061" s="29" t="s">
        <v>5033</v>
      </c>
      <c r="C1061" s="29" t="s">
        <v>37</v>
      </c>
      <c r="D1061" s="29" t="s">
        <v>5034</v>
      </c>
      <c r="E1061" s="29" t="s">
        <v>206</v>
      </c>
      <c r="F1061" s="29" t="s">
        <v>5035</v>
      </c>
      <c r="G1061" s="29" t="s">
        <v>5036</v>
      </c>
      <c r="H1061" s="29" t="s">
        <v>5019</v>
      </c>
      <c r="I1061" s="29" t="s">
        <v>302</v>
      </c>
      <c r="J1061" s="29" t="s">
        <v>202</v>
      </c>
      <c r="K1061" s="30" t="s">
        <v>44</v>
      </c>
      <c r="L1061" s="31"/>
      <c r="M1061" s="32" t="s">
        <v>45</v>
      </c>
    </row>
    <row r="1062" customFormat="false" ht="51" hidden="false" customHeight="true" outlineLevel="0" collapsed="false">
      <c r="B1062" s="29" t="s">
        <v>5037</v>
      </c>
      <c r="C1062" s="29" t="s">
        <v>37</v>
      </c>
      <c r="D1062" s="29" t="s">
        <v>5038</v>
      </c>
      <c r="E1062" s="29" t="s">
        <v>357</v>
      </c>
      <c r="F1062" s="29" t="s">
        <v>5039</v>
      </c>
      <c r="G1062" s="29" t="s">
        <v>5040</v>
      </c>
      <c r="H1062" s="29" t="s">
        <v>5041</v>
      </c>
      <c r="I1062" s="29" t="s">
        <v>3696</v>
      </c>
      <c r="J1062" s="29" t="s">
        <v>155</v>
      </c>
      <c r="K1062" s="30" t="s">
        <v>44</v>
      </c>
      <c r="L1062" s="31"/>
      <c r="M1062" s="32" t="s">
        <v>45</v>
      </c>
    </row>
    <row r="1063" customFormat="false" ht="51" hidden="false" customHeight="true" outlineLevel="0" collapsed="false">
      <c r="B1063" s="29" t="s">
        <v>5042</v>
      </c>
      <c r="C1063" s="29" t="s">
        <v>37</v>
      </c>
      <c r="D1063" s="29" t="s">
        <v>5043</v>
      </c>
      <c r="E1063" s="29" t="s">
        <v>357</v>
      </c>
      <c r="F1063" s="29" t="s">
        <v>5044</v>
      </c>
      <c r="G1063" s="29" t="s">
        <v>5045</v>
      </c>
      <c r="H1063" s="29" t="s">
        <v>5041</v>
      </c>
      <c r="I1063" s="29" t="s">
        <v>302</v>
      </c>
      <c r="J1063" s="29" t="s">
        <v>202</v>
      </c>
      <c r="K1063" s="30" t="s">
        <v>44</v>
      </c>
      <c r="L1063" s="31"/>
      <c r="M1063" s="32" t="s">
        <v>45</v>
      </c>
    </row>
    <row r="1064" customFormat="false" ht="51" hidden="false" customHeight="true" outlineLevel="0" collapsed="false">
      <c r="B1064" s="29" t="s">
        <v>5046</v>
      </c>
      <c r="C1064" s="29" t="s">
        <v>37</v>
      </c>
      <c r="D1064" s="29" t="s">
        <v>5047</v>
      </c>
      <c r="E1064" s="29" t="s">
        <v>340</v>
      </c>
      <c r="F1064" s="29" t="s">
        <v>5048</v>
      </c>
      <c r="G1064" s="29" t="s">
        <v>5049</v>
      </c>
      <c r="H1064" s="29" t="s">
        <v>5041</v>
      </c>
      <c r="I1064" s="29" t="s">
        <v>302</v>
      </c>
      <c r="J1064" s="29" t="s">
        <v>202</v>
      </c>
      <c r="K1064" s="30" t="s">
        <v>44</v>
      </c>
      <c r="L1064" s="31"/>
      <c r="M1064" s="32" t="s">
        <v>45</v>
      </c>
    </row>
    <row r="1065" customFormat="false" ht="51" hidden="false" customHeight="true" outlineLevel="0" collapsed="false">
      <c r="B1065" s="29" t="s">
        <v>5050</v>
      </c>
      <c r="C1065" s="29" t="s">
        <v>37</v>
      </c>
      <c r="D1065" s="29" t="s">
        <v>5051</v>
      </c>
      <c r="E1065" s="29" t="s">
        <v>206</v>
      </c>
      <c r="F1065" s="29" t="s">
        <v>5052</v>
      </c>
      <c r="G1065" s="29" t="s">
        <v>5053</v>
      </c>
      <c r="H1065" s="29" t="s">
        <v>5041</v>
      </c>
      <c r="I1065" s="29" t="s">
        <v>3696</v>
      </c>
      <c r="J1065" s="29" t="s">
        <v>155</v>
      </c>
      <c r="K1065" s="30" t="s">
        <v>44</v>
      </c>
      <c r="L1065" s="31"/>
      <c r="M1065" s="32" t="s">
        <v>45</v>
      </c>
    </row>
    <row r="1066" customFormat="false" ht="51" hidden="false" customHeight="true" outlineLevel="0" collapsed="false">
      <c r="B1066" s="29" t="s">
        <v>5054</v>
      </c>
      <c r="C1066" s="29" t="s">
        <v>37</v>
      </c>
      <c r="D1066" s="29" t="s">
        <v>5055</v>
      </c>
      <c r="E1066" s="29" t="s">
        <v>340</v>
      </c>
      <c r="F1066" s="29" t="s">
        <v>5056</v>
      </c>
      <c r="G1066" s="29" t="s">
        <v>5056</v>
      </c>
      <c r="H1066" s="29" t="s">
        <v>5041</v>
      </c>
      <c r="I1066" s="29" t="s">
        <v>302</v>
      </c>
      <c r="J1066" s="29" t="s">
        <v>202</v>
      </c>
      <c r="K1066" s="30" t="s">
        <v>44</v>
      </c>
      <c r="L1066" s="31"/>
      <c r="M1066" s="32" t="s">
        <v>45</v>
      </c>
    </row>
    <row r="1067" customFormat="false" ht="51" hidden="false" customHeight="true" outlineLevel="0" collapsed="false">
      <c r="B1067" s="29" t="s">
        <v>5057</v>
      </c>
      <c r="C1067" s="29" t="s">
        <v>37</v>
      </c>
      <c r="D1067" s="29" t="s">
        <v>5058</v>
      </c>
      <c r="E1067" s="29" t="s">
        <v>600</v>
      </c>
      <c r="F1067" s="29" t="s">
        <v>5059</v>
      </c>
      <c r="G1067" s="29" t="s">
        <v>5060</v>
      </c>
      <c r="H1067" s="29" t="s">
        <v>5041</v>
      </c>
      <c r="I1067" s="29" t="s">
        <v>3696</v>
      </c>
      <c r="J1067" s="29" t="s">
        <v>155</v>
      </c>
      <c r="K1067" s="30" t="s">
        <v>44</v>
      </c>
      <c r="L1067" s="31"/>
      <c r="M1067" s="32" t="s">
        <v>45</v>
      </c>
    </row>
    <row r="1068" customFormat="false" ht="51" hidden="false" customHeight="true" outlineLevel="0" collapsed="false">
      <c r="B1068" s="29" t="s">
        <v>5061</v>
      </c>
      <c r="C1068" s="29" t="s">
        <v>37</v>
      </c>
      <c r="D1068" s="29" t="s">
        <v>5062</v>
      </c>
      <c r="E1068" s="29" t="s">
        <v>340</v>
      </c>
      <c r="F1068" s="29" t="s">
        <v>5063</v>
      </c>
      <c r="G1068" s="29" t="s">
        <v>5064</v>
      </c>
      <c r="H1068" s="29" t="s">
        <v>5041</v>
      </c>
      <c r="I1068" s="29" t="s">
        <v>302</v>
      </c>
      <c r="J1068" s="29" t="s">
        <v>202</v>
      </c>
      <c r="K1068" s="30" t="s">
        <v>44</v>
      </c>
      <c r="L1068" s="31"/>
      <c r="M1068" s="32" t="s">
        <v>45</v>
      </c>
    </row>
    <row r="1069" customFormat="false" ht="51" hidden="false" customHeight="true" outlineLevel="0" collapsed="false">
      <c r="B1069" s="29" t="s">
        <v>5065</v>
      </c>
      <c r="C1069" s="29" t="s">
        <v>37</v>
      </c>
      <c r="D1069" s="29" t="s">
        <v>5066</v>
      </c>
      <c r="E1069" s="29" t="s">
        <v>340</v>
      </c>
      <c r="F1069" s="29" t="s">
        <v>5067</v>
      </c>
      <c r="G1069" s="29" t="s">
        <v>5068</v>
      </c>
      <c r="H1069" s="29" t="s">
        <v>5041</v>
      </c>
      <c r="I1069" s="29" t="s">
        <v>302</v>
      </c>
      <c r="J1069" s="29" t="s">
        <v>202</v>
      </c>
      <c r="K1069" s="30" t="s">
        <v>44</v>
      </c>
      <c r="L1069" s="31"/>
      <c r="M1069" s="32" t="s">
        <v>45</v>
      </c>
    </row>
    <row r="1070" customFormat="false" ht="51" hidden="false" customHeight="true" outlineLevel="0" collapsed="false">
      <c r="B1070" s="29" t="s">
        <v>5069</v>
      </c>
      <c r="C1070" s="29" t="s">
        <v>37</v>
      </c>
      <c r="D1070" s="29" t="s">
        <v>5070</v>
      </c>
      <c r="E1070" s="29" t="s">
        <v>340</v>
      </c>
      <c r="F1070" s="29" t="s">
        <v>5071</v>
      </c>
      <c r="G1070" s="29" t="s">
        <v>5072</v>
      </c>
      <c r="H1070" s="29" t="s">
        <v>5041</v>
      </c>
      <c r="I1070" s="29" t="s">
        <v>302</v>
      </c>
      <c r="J1070" s="29" t="s">
        <v>202</v>
      </c>
      <c r="K1070" s="30" t="s">
        <v>44</v>
      </c>
      <c r="L1070" s="31"/>
      <c r="M1070" s="32" t="s">
        <v>45</v>
      </c>
    </row>
    <row r="1071" customFormat="false" ht="51" hidden="false" customHeight="true" outlineLevel="0" collapsed="false">
      <c r="B1071" s="29" t="s">
        <v>5073</v>
      </c>
      <c r="C1071" s="29" t="s">
        <v>37</v>
      </c>
      <c r="D1071" s="29" t="s">
        <v>5074</v>
      </c>
      <c r="E1071" s="29" t="s">
        <v>340</v>
      </c>
      <c r="F1071" s="29" t="s">
        <v>5075</v>
      </c>
      <c r="G1071" s="29" t="s">
        <v>5076</v>
      </c>
      <c r="H1071" s="29" t="s">
        <v>5041</v>
      </c>
      <c r="I1071" s="29" t="s">
        <v>302</v>
      </c>
      <c r="J1071" s="29" t="s">
        <v>202</v>
      </c>
      <c r="K1071" s="30" t="s">
        <v>44</v>
      </c>
      <c r="L1071" s="31"/>
      <c r="M1071" s="32" t="s">
        <v>45</v>
      </c>
    </row>
    <row r="1072" customFormat="false" ht="51" hidden="false" customHeight="true" outlineLevel="0" collapsed="false">
      <c r="B1072" s="29" t="s">
        <v>5077</v>
      </c>
      <c r="C1072" s="29" t="s">
        <v>37</v>
      </c>
      <c r="D1072" s="29" t="s">
        <v>5078</v>
      </c>
      <c r="E1072" s="29" t="s">
        <v>357</v>
      </c>
      <c r="F1072" s="29" t="s">
        <v>5079</v>
      </c>
      <c r="G1072" s="29" t="s">
        <v>5080</v>
      </c>
      <c r="H1072" s="29" t="s">
        <v>5041</v>
      </c>
      <c r="I1072" s="29" t="s">
        <v>302</v>
      </c>
      <c r="J1072" s="29" t="s">
        <v>202</v>
      </c>
      <c r="K1072" s="30" t="s">
        <v>44</v>
      </c>
      <c r="L1072" s="31"/>
      <c r="M1072" s="32" t="s">
        <v>45</v>
      </c>
    </row>
    <row r="1073" customFormat="false" ht="51" hidden="false" customHeight="true" outlineLevel="0" collapsed="false">
      <c r="B1073" s="29" t="s">
        <v>5081</v>
      </c>
      <c r="C1073" s="29" t="s">
        <v>37</v>
      </c>
      <c r="D1073" s="29" t="s">
        <v>5082</v>
      </c>
      <c r="E1073" s="29" t="s">
        <v>340</v>
      </c>
      <c r="F1073" s="29" t="s">
        <v>5083</v>
      </c>
      <c r="G1073" s="29" t="s">
        <v>5084</v>
      </c>
      <c r="H1073" s="29" t="s">
        <v>5041</v>
      </c>
      <c r="I1073" s="29" t="s">
        <v>302</v>
      </c>
      <c r="J1073" s="29" t="s">
        <v>202</v>
      </c>
      <c r="K1073" s="30" t="s">
        <v>44</v>
      </c>
      <c r="L1073" s="31"/>
      <c r="M1073" s="32" t="s">
        <v>45</v>
      </c>
    </row>
    <row r="1074" customFormat="false" ht="51" hidden="false" customHeight="true" outlineLevel="0" collapsed="false">
      <c r="B1074" s="29" t="s">
        <v>5085</v>
      </c>
      <c r="C1074" s="29" t="s">
        <v>37</v>
      </c>
      <c r="D1074" s="29" t="s">
        <v>5086</v>
      </c>
      <c r="E1074" s="29" t="s">
        <v>151</v>
      </c>
      <c r="F1074" s="29" t="s">
        <v>5087</v>
      </c>
      <c r="G1074" s="29" t="s">
        <v>5088</v>
      </c>
      <c r="H1074" s="29" t="s">
        <v>5041</v>
      </c>
      <c r="I1074" s="29" t="s">
        <v>3696</v>
      </c>
      <c r="J1074" s="29" t="s">
        <v>155</v>
      </c>
      <c r="K1074" s="30" t="s">
        <v>44</v>
      </c>
      <c r="L1074" s="31"/>
      <c r="M1074" s="32" t="s">
        <v>45</v>
      </c>
    </row>
    <row r="1075" customFormat="false" ht="51" hidden="false" customHeight="true" outlineLevel="0" collapsed="false">
      <c r="B1075" s="29" t="s">
        <v>5089</v>
      </c>
      <c r="C1075" s="29" t="s">
        <v>37</v>
      </c>
      <c r="D1075" s="29" t="s">
        <v>5090</v>
      </c>
      <c r="E1075" s="29" t="s">
        <v>340</v>
      </c>
      <c r="F1075" s="29" t="s">
        <v>5091</v>
      </c>
      <c r="G1075" s="29" t="s">
        <v>5091</v>
      </c>
      <c r="H1075" s="29" t="s">
        <v>5041</v>
      </c>
      <c r="I1075" s="29" t="s">
        <v>302</v>
      </c>
      <c r="J1075" s="29" t="s">
        <v>202</v>
      </c>
      <c r="K1075" s="30" t="s">
        <v>44</v>
      </c>
      <c r="L1075" s="31"/>
      <c r="M1075" s="32" t="s">
        <v>45</v>
      </c>
    </row>
    <row r="1076" customFormat="false" ht="51" hidden="false" customHeight="true" outlineLevel="0" collapsed="false">
      <c r="B1076" s="29" t="s">
        <v>5092</v>
      </c>
      <c r="C1076" s="29" t="s">
        <v>37</v>
      </c>
      <c r="D1076" s="29" t="s">
        <v>5093</v>
      </c>
      <c r="E1076" s="29" t="s">
        <v>340</v>
      </c>
      <c r="F1076" s="29" t="s">
        <v>5094</v>
      </c>
      <c r="G1076" s="29" t="s">
        <v>5095</v>
      </c>
      <c r="H1076" s="29" t="s">
        <v>5041</v>
      </c>
      <c r="I1076" s="29" t="s">
        <v>302</v>
      </c>
      <c r="J1076" s="29" t="s">
        <v>202</v>
      </c>
      <c r="K1076" s="30" t="s">
        <v>44</v>
      </c>
      <c r="L1076" s="31"/>
      <c r="M1076" s="32" t="s">
        <v>45</v>
      </c>
    </row>
    <row r="1077" customFormat="false" ht="51" hidden="false" customHeight="true" outlineLevel="0" collapsed="false">
      <c r="B1077" s="29" t="s">
        <v>5096</v>
      </c>
      <c r="C1077" s="29" t="s">
        <v>37</v>
      </c>
      <c r="D1077" s="29" t="s">
        <v>5097</v>
      </c>
      <c r="E1077" s="29" t="s">
        <v>340</v>
      </c>
      <c r="F1077" s="29" t="s">
        <v>5098</v>
      </c>
      <c r="G1077" s="29" t="s">
        <v>5099</v>
      </c>
      <c r="H1077" s="29" t="s">
        <v>5041</v>
      </c>
      <c r="I1077" s="29" t="s">
        <v>302</v>
      </c>
      <c r="J1077" s="29" t="s">
        <v>202</v>
      </c>
      <c r="K1077" s="30" t="s">
        <v>44</v>
      </c>
      <c r="L1077" s="31"/>
      <c r="M1077" s="32" t="s">
        <v>45</v>
      </c>
    </row>
    <row r="1078" customFormat="false" ht="51" hidden="false" customHeight="true" outlineLevel="0" collapsed="false">
      <c r="B1078" s="29" t="s">
        <v>5100</v>
      </c>
      <c r="C1078" s="29" t="s">
        <v>37</v>
      </c>
      <c r="D1078" s="29" t="s">
        <v>5101</v>
      </c>
      <c r="E1078" s="29" t="s">
        <v>340</v>
      </c>
      <c r="F1078" s="29" t="s">
        <v>5102</v>
      </c>
      <c r="G1078" s="29" t="s">
        <v>5103</v>
      </c>
      <c r="H1078" s="29" t="s">
        <v>5041</v>
      </c>
      <c r="I1078" s="29" t="s">
        <v>302</v>
      </c>
      <c r="J1078" s="29" t="s">
        <v>202</v>
      </c>
      <c r="K1078" s="30" t="s">
        <v>44</v>
      </c>
      <c r="L1078" s="31"/>
      <c r="M1078" s="32" t="s">
        <v>45</v>
      </c>
    </row>
    <row r="1079" customFormat="false" ht="51" hidden="false" customHeight="true" outlineLevel="0" collapsed="false">
      <c r="B1079" s="29" t="s">
        <v>5104</v>
      </c>
      <c r="C1079" s="29" t="s">
        <v>37</v>
      </c>
      <c r="D1079" s="29" t="s">
        <v>5105</v>
      </c>
      <c r="E1079" s="29" t="s">
        <v>340</v>
      </c>
      <c r="F1079" s="29" t="s">
        <v>5106</v>
      </c>
      <c r="G1079" s="29" t="s">
        <v>5107</v>
      </c>
      <c r="H1079" s="29" t="s">
        <v>5041</v>
      </c>
      <c r="I1079" s="29" t="s">
        <v>302</v>
      </c>
      <c r="J1079" s="29" t="s">
        <v>202</v>
      </c>
      <c r="K1079" s="30" t="s">
        <v>44</v>
      </c>
      <c r="L1079" s="31"/>
      <c r="M1079" s="32" t="s">
        <v>45</v>
      </c>
    </row>
    <row r="1080" customFormat="false" ht="51" hidden="false" customHeight="true" outlineLevel="0" collapsed="false">
      <c r="B1080" s="29" t="s">
        <v>5108</v>
      </c>
      <c r="C1080" s="29" t="s">
        <v>37</v>
      </c>
      <c r="D1080" s="29" t="s">
        <v>5109</v>
      </c>
      <c r="E1080" s="29" t="s">
        <v>340</v>
      </c>
      <c r="F1080" s="29" t="s">
        <v>5110</v>
      </c>
      <c r="G1080" s="29" t="s">
        <v>5111</v>
      </c>
      <c r="H1080" s="29" t="s">
        <v>5041</v>
      </c>
      <c r="I1080" s="29" t="s">
        <v>302</v>
      </c>
      <c r="J1080" s="29" t="s">
        <v>202</v>
      </c>
      <c r="K1080" s="30" t="s">
        <v>44</v>
      </c>
      <c r="L1080" s="31"/>
      <c r="M1080" s="32" t="s">
        <v>45</v>
      </c>
    </row>
    <row r="1081" customFormat="false" ht="51" hidden="false" customHeight="true" outlineLevel="0" collapsed="false">
      <c r="B1081" s="29" t="s">
        <v>5112</v>
      </c>
      <c r="C1081" s="29" t="s">
        <v>37</v>
      </c>
      <c r="D1081" s="29" t="s">
        <v>5113</v>
      </c>
      <c r="E1081" s="29" t="s">
        <v>340</v>
      </c>
      <c r="F1081" s="29" t="s">
        <v>5114</v>
      </c>
      <c r="G1081" s="29" t="s">
        <v>5115</v>
      </c>
      <c r="H1081" s="29" t="s">
        <v>5041</v>
      </c>
      <c r="I1081" s="29" t="s">
        <v>302</v>
      </c>
      <c r="J1081" s="29" t="s">
        <v>202</v>
      </c>
      <c r="K1081" s="30" t="s">
        <v>44</v>
      </c>
      <c r="L1081" s="31"/>
      <c r="M1081" s="32" t="s">
        <v>45</v>
      </c>
    </row>
    <row r="1082" customFormat="false" ht="51" hidden="false" customHeight="true" outlineLevel="0" collapsed="false">
      <c r="B1082" s="29" t="s">
        <v>5116</v>
      </c>
      <c r="C1082" s="29" t="s">
        <v>37</v>
      </c>
      <c r="D1082" s="29" t="s">
        <v>5117</v>
      </c>
      <c r="E1082" s="29" t="s">
        <v>351</v>
      </c>
      <c r="F1082" s="29" t="s">
        <v>5118</v>
      </c>
      <c r="G1082" s="29" t="s">
        <v>5119</v>
      </c>
      <c r="H1082" s="29" t="s">
        <v>5120</v>
      </c>
      <c r="I1082" s="29" t="s">
        <v>302</v>
      </c>
      <c r="J1082" s="29" t="s">
        <v>202</v>
      </c>
      <c r="K1082" s="30" t="s">
        <v>44</v>
      </c>
      <c r="L1082" s="31"/>
      <c r="M1082" s="32" t="s">
        <v>45</v>
      </c>
    </row>
    <row r="1083" customFormat="false" ht="51" hidden="false" customHeight="true" outlineLevel="0" collapsed="false">
      <c r="B1083" s="29" t="s">
        <v>5121</v>
      </c>
      <c r="C1083" s="29" t="s">
        <v>37</v>
      </c>
      <c r="D1083" s="29" t="s">
        <v>5122</v>
      </c>
      <c r="E1083" s="29" t="s">
        <v>340</v>
      </c>
      <c r="F1083" s="29" t="s">
        <v>5123</v>
      </c>
      <c r="G1083" s="29" t="s">
        <v>5123</v>
      </c>
      <c r="H1083" s="29" t="s">
        <v>5120</v>
      </c>
      <c r="I1083" s="29" t="s">
        <v>302</v>
      </c>
      <c r="J1083" s="29" t="s">
        <v>202</v>
      </c>
      <c r="K1083" s="30" t="s">
        <v>44</v>
      </c>
      <c r="L1083" s="31"/>
      <c r="M1083" s="32" t="s">
        <v>45</v>
      </c>
    </row>
    <row r="1084" customFormat="false" ht="51" hidden="false" customHeight="true" outlineLevel="0" collapsed="false">
      <c r="B1084" s="29" t="s">
        <v>5124</v>
      </c>
      <c r="C1084" s="29" t="s">
        <v>37</v>
      </c>
      <c r="D1084" s="29" t="s">
        <v>5125</v>
      </c>
      <c r="E1084" s="29" t="s">
        <v>340</v>
      </c>
      <c r="F1084" s="29" t="s">
        <v>5126</v>
      </c>
      <c r="G1084" s="29" t="s">
        <v>5126</v>
      </c>
      <c r="H1084" s="29" t="s">
        <v>5120</v>
      </c>
      <c r="I1084" s="29" t="s">
        <v>302</v>
      </c>
      <c r="J1084" s="29" t="s">
        <v>202</v>
      </c>
      <c r="K1084" s="30" t="s">
        <v>44</v>
      </c>
      <c r="L1084" s="31"/>
      <c r="M1084" s="32" t="s">
        <v>45</v>
      </c>
    </row>
    <row r="1085" customFormat="false" ht="51" hidden="false" customHeight="true" outlineLevel="0" collapsed="false">
      <c r="B1085" s="29" t="s">
        <v>5127</v>
      </c>
      <c r="C1085" s="29" t="s">
        <v>37</v>
      </c>
      <c r="D1085" s="29" t="s">
        <v>5128</v>
      </c>
      <c r="E1085" s="29" t="s">
        <v>340</v>
      </c>
      <c r="F1085" s="29" t="s">
        <v>5129</v>
      </c>
      <c r="G1085" s="29" t="s">
        <v>5130</v>
      </c>
      <c r="H1085" s="29" t="s">
        <v>5120</v>
      </c>
      <c r="I1085" s="29" t="s">
        <v>302</v>
      </c>
      <c r="J1085" s="29" t="s">
        <v>202</v>
      </c>
      <c r="K1085" s="30" t="s">
        <v>44</v>
      </c>
      <c r="L1085" s="31"/>
      <c r="M1085" s="32" t="s">
        <v>45</v>
      </c>
    </row>
    <row r="1086" customFormat="false" ht="51" hidden="false" customHeight="true" outlineLevel="0" collapsed="false">
      <c r="B1086" s="29" t="s">
        <v>5131</v>
      </c>
      <c r="C1086" s="29" t="s">
        <v>37</v>
      </c>
      <c r="D1086" s="29" t="s">
        <v>5132</v>
      </c>
      <c r="E1086" s="29" t="s">
        <v>340</v>
      </c>
      <c r="F1086" s="29" t="s">
        <v>5133</v>
      </c>
      <c r="G1086" s="29" t="s">
        <v>5134</v>
      </c>
      <c r="H1086" s="29" t="s">
        <v>5120</v>
      </c>
      <c r="I1086" s="29" t="s">
        <v>302</v>
      </c>
      <c r="J1086" s="29" t="s">
        <v>202</v>
      </c>
      <c r="K1086" s="30" t="s">
        <v>44</v>
      </c>
      <c r="L1086" s="31"/>
      <c r="M1086" s="32" t="s">
        <v>45</v>
      </c>
    </row>
    <row r="1087" customFormat="false" ht="51" hidden="false" customHeight="true" outlineLevel="0" collapsed="false">
      <c r="B1087" s="29" t="s">
        <v>5135</v>
      </c>
      <c r="C1087" s="29" t="s">
        <v>37</v>
      </c>
      <c r="D1087" s="29" t="s">
        <v>5136</v>
      </c>
      <c r="E1087" s="29" t="s">
        <v>206</v>
      </c>
      <c r="F1087" s="29" t="s">
        <v>5137</v>
      </c>
      <c r="G1087" s="29" t="s">
        <v>5138</v>
      </c>
      <c r="H1087" s="29" t="s">
        <v>5120</v>
      </c>
      <c r="I1087" s="29" t="s">
        <v>302</v>
      </c>
      <c r="J1087" s="29" t="s">
        <v>202</v>
      </c>
      <c r="K1087" s="30" t="s">
        <v>44</v>
      </c>
      <c r="L1087" s="31"/>
      <c r="M1087" s="32" t="s">
        <v>45</v>
      </c>
    </row>
    <row r="1088" customFormat="false" ht="51" hidden="false" customHeight="true" outlineLevel="0" collapsed="false">
      <c r="B1088" s="29" t="s">
        <v>5139</v>
      </c>
      <c r="C1088" s="29" t="s">
        <v>37</v>
      </c>
      <c r="D1088" s="29" t="s">
        <v>5140</v>
      </c>
      <c r="E1088" s="29" t="s">
        <v>600</v>
      </c>
      <c r="F1088" s="29" t="s">
        <v>5141</v>
      </c>
      <c r="G1088" s="29" t="s">
        <v>5142</v>
      </c>
      <c r="H1088" s="29" t="s">
        <v>5120</v>
      </c>
      <c r="I1088" s="29" t="s">
        <v>286</v>
      </c>
      <c r="J1088" s="29" t="s">
        <v>804</v>
      </c>
      <c r="K1088" s="30" t="s">
        <v>44</v>
      </c>
      <c r="L1088" s="31"/>
      <c r="M1088" s="32" t="s">
        <v>45</v>
      </c>
    </row>
    <row r="1089" customFormat="false" ht="51" hidden="false" customHeight="true" outlineLevel="0" collapsed="false">
      <c r="B1089" s="29" t="s">
        <v>5143</v>
      </c>
      <c r="C1089" s="29" t="s">
        <v>37</v>
      </c>
      <c r="D1089" s="29" t="s">
        <v>5144</v>
      </c>
      <c r="E1089" s="29" t="s">
        <v>340</v>
      </c>
      <c r="F1089" s="29" t="s">
        <v>5145</v>
      </c>
      <c r="G1089" s="29" t="s">
        <v>5145</v>
      </c>
      <c r="H1089" s="29" t="s">
        <v>5120</v>
      </c>
      <c r="I1089" s="29" t="s">
        <v>302</v>
      </c>
      <c r="J1089" s="29" t="s">
        <v>202</v>
      </c>
      <c r="K1089" s="30" t="s">
        <v>44</v>
      </c>
      <c r="L1089" s="31"/>
      <c r="M1089" s="32" t="s">
        <v>45</v>
      </c>
    </row>
    <row r="1090" customFormat="false" ht="51" hidden="false" customHeight="true" outlineLevel="0" collapsed="false">
      <c r="B1090" s="29" t="s">
        <v>5146</v>
      </c>
      <c r="C1090" s="29" t="s">
        <v>37</v>
      </c>
      <c r="D1090" s="29" t="s">
        <v>5147</v>
      </c>
      <c r="E1090" s="29" t="s">
        <v>151</v>
      </c>
      <c r="F1090" s="29" t="s">
        <v>5148</v>
      </c>
      <c r="G1090" s="29" t="s">
        <v>5149</v>
      </c>
      <c r="H1090" s="29" t="s">
        <v>5120</v>
      </c>
      <c r="I1090" s="29" t="s">
        <v>4368</v>
      </c>
      <c r="J1090" s="29" t="s">
        <v>4369</v>
      </c>
      <c r="K1090" s="30" t="s">
        <v>44</v>
      </c>
      <c r="L1090" s="31"/>
      <c r="M1090" s="32" t="s">
        <v>45</v>
      </c>
    </row>
    <row r="1091" customFormat="false" ht="51" hidden="false" customHeight="true" outlineLevel="0" collapsed="false">
      <c r="B1091" s="29" t="s">
        <v>5150</v>
      </c>
      <c r="C1091" s="29" t="s">
        <v>37</v>
      </c>
      <c r="D1091" s="29" t="s">
        <v>5151</v>
      </c>
      <c r="E1091" s="29" t="s">
        <v>340</v>
      </c>
      <c r="F1091" s="29" t="s">
        <v>5152</v>
      </c>
      <c r="G1091" s="29" t="s">
        <v>5152</v>
      </c>
      <c r="H1091" s="29" t="s">
        <v>5120</v>
      </c>
      <c r="I1091" s="29" t="s">
        <v>302</v>
      </c>
      <c r="J1091" s="29" t="s">
        <v>202</v>
      </c>
      <c r="K1091" s="30" t="s">
        <v>44</v>
      </c>
      <c r="L1091" s="31"/>
      <c r="M1091" s="32" t="s">
        <v>45</v>
      </c>
    </row>
    <row r="1092" customFormat="false" ht="51" hidden="false" customHeight="true" outlineLevel="0" collapsed="false">
      <c r="B1092" s="29" t="s">
        <v>5153</v>
      </c>
      <c r="C1092" s="29" t="s">
        <v>37</v>
      </c>
      <c r="D1092" s="29" t="s">
        <v>5154</v>
      </c>
      <c r="E1092" s="29" t="s">
        <v>340</v>
      </c>
      <c r="F1092" s="29" t="s">
        <v>5155</v>
      </c>
      <c r="G1092" s="29" t="s">
        <v>5156</v>
      </c>
      <c r="H1092" s="29" t="s">
        <v>5157</v>
      </c>
      <c r="I1092" s="29" t="s">
        <v>302</v>
      </c>
      <c r="J1092" s="29" t="s">
        <v>202</v>
      </c>
      <c r="K1092" s="30" t="s">
        <v>44</v>
      </c>
      <c r="L1092" s="31"/>
      <c r="M1092" s="32" t="s">
        <v>45</v>
      </c>
    </row>
    <row r="1093" customFormat="false" ht="51" hidden="false" customHeight="true" outlineLevel="0" collapsed="false">
      <c r="B1093" s="29" t="s">
        <v>5158</v>
      </c>
      <c r="C1093" s="29" t="s">
        <v>37</v>
      </c>
      <c r="D1093" s="29" t="s">
        <v>5159</v>
      </c>
      <c r="E1093" s="29" t="s">
        <v>340</v>
      </c>
      <c r="F1093" s="29" t="s">
        <v>5160</v>
      </c>
      <c r="G1093" s="29" t="s">
        <v>5161</v>
      </c>
      <c r="H1093" s="29" t="s">
        <v>5162</v>
      </c>
      <c r="I1093" s="29" t="s">
        <v>302</v>
      </c>
      <c r="J1093" s="29" t="s">
        <v>202</v>
      </c>
      <c r="K1093" s="30" t="s">
        <v>44</v>
      </c>
      <c r="L1093" s="31"/>
      <c r="M1093" s="32" t="s">
        <v>45</v>
      </c>
    </row>
    <row r="1094" customFormat="false" ht="51" hidden="false" customHeight="true" outlineLevel="0" collapsed="false">
      <c r="B1094" s="29" t="s">
        <v>5163</v>
      </c>
      <c r="C1094" s="29" t="s">
        <v>37</v>
      </c>
      <c r="D1094" s="29" t="s">
        <v>5164</v>
      </c>
      <c r="E1094" s="29" t="s">
        <v>340</v>
      </c>
      <c r="F1094" s="29" t="s">
        <v>5165</v>
      </c>
      <c r="G1094" s="29" t="s">
        <v>5166</v>
      </c>
      <c r="H1094" s="29" t="s">
        <v>5162</v>
      </c>
      <c r="I1094" s="29" t="s">
        <v>286</v>
      </c>
      <c r="J1094" s="29" t="s">
        <v>804</v>
      </c>
      <c r="K1094" s="30" t="s">
        <v>44</v>
      </c>
      <c r="L1094" s="31"/>
      <c r="M1094" s="32" t="s">
        <v>45</v>
      </c>
    </row>
    <row r="1095" customFormat="false" ht="51" hidden="false" customHeight="true" outlineLevel="0" collapsed="false">
      <c r="B1095" s="29" t="s">
        <v>5167</v>
      </c>
      <c r="C1095" s="29" t="s">
        <v>37</v>
      </c>
      <c r="D1095" s="29" t="s">
        <v>5168</v>
      </c>
      <c r="E1095" s="29" t="s">
        <v>340</v>
      </c>
      <c r="F1095" s="29" t="s">
        <v>5169</v>
      </c>
      <c r="G1095" s="29" t="s">
        <v>5170</v>
      </c>
      <c r="H1095" s="29" t="s">
        <v>5162</v>
      </c>
      <c r="I1095" s="29" t="s">
        <v>302</v>
      </c>
      <c r="J1095" s="29" t="s">
        <v>202</v>
      </c>
      <c r="K1095" s="30" t="s">
        <v>44</v>
      </c>
      <c r="L1095" s="31"/>
      <c r="M1095" s="32" t="s">
        <v>45</v>
      </c>
    </row>
    <row r="1096" customFormat="false" ht="51" hidden="false" customHeight="true" outlineLevel="0" collapsed="false">
      <c r="B1096" s="29" t="s">
        <v>5171</v>
      </c>
      <c r="C1096" s="29" t="s">
        <v>37</v>
      </c>
      <c r="D1096" s="29" t="s">
        <v>5172</v>
      </c>
      <c r="E1096" s="29" t="s">
        <v>340</v>
      </c>
      <c r="F1096" s="29" t="s">
        <v>5173</v>
      </c>
      <c r="G1096" s="29" t="s">
        <v>5173</v>
      </c>
      <c r="H1096" s="29" t="s">
        <v>5162</v>
      </c>
      <c r="I1096" s="29" t="s">
        <v>302</v>
      </c>
      <c r="J1096" s="29" t="s">
        <v>202</v>
      </c>
      <c r="K1096" s="30" t="s">
        <v>44</v>
      </c>
      <c r="L1096" s="31"/>
      <c r="M1096" s="32" t="s">
        <v>45</v>
      </c>
    </row>
    <row r="1097" customFormat="false" ht="51" hidden="false" customHeight="true" outlineLevel="0" collapsed="false">
      <c r="B1097" s="29" t="s">
        <v>5174</v>
      </c>
      <c r="C1097" s="29" t="s">
        <v>37</v>
      </c>
      <c r="D1097" s="29" t="s">
        <v>5175</v>
      </c>
      <c r="E1097" s="29" t="s">
        <v>340</v>
      </c>
      <c r="F1097" s="29" t="s">
        <v>5176</v>
      </c>
      <c r="G1097" s="29" t="s">
        <v>5177</v>
      </c>
      <c r="H1097" s="29" t="s">
        <v>5162</v>
      </c>
      <c r="I1097" s="29" t="s">
        <v>302</v>
      </c>
      <c r="J1097" s="29" t="s">
        <v>202</v>
      </c>
      <c r="K1097" s="30" t="s">
        <v>44</v>
      </c>
      <c r="L1097" s="31"/>
      <c r="M1097" s="32" t="s">
        <v>45</v>
      </c>
    </row>
    <row r="1098" customFormat="false" ht="51" hidden="false" customHeight="true" outlineLevel="0" collapsed="false">
      <c r="B1098" s="29" t="s">
        <v>5178</v>
      </c>
      <c r="C1098" s="29" t="s">
        <v>37</v>
      </c>
      <c r="D1098" s="29" t="s">
        <v>5179</v>
      </c>
      <c r="E1098" s="29" t="s">
        <v>340</v>
      </c>
      <c r="F1098" s="29" t="s">
        <v>5180</v>
      </c>
      <c r="G1098" s="29" t="s">
        <v>5181</v>
      </c>
      <c r="H1098" s="29" t="s">
        <v>5162</v>
      </c>
      <c r="I1098" s="29" t="s">
        <v>302</v>
      </c>
      <c r="J1098" s="29" t="s">
        <v>202</v>
      </c>
      <c r="K1098" s="30" t="s">
        <v>44</v>
      </c>
      <c r="L1098" s="31"/>
      <c r="M1098" s="32" t="s">
        <v>45</v>
      </c>
    </row>
    <row r="1099" customFormat="false" ht="51" hidden="false" customHeight="true" outlineLevel="0" collapsed="false">
      <c r="B1099" s="29" t="s">
        <v>5182</v>
      </c>
      <c r="C1099" s="29" t="s">
        <v>37</v>
      </c>
      <c r="D1099" s="29" t="s">
        <v>5183</v>
      </c>
      <c r="E1099" s="29" t="s">
        <v>340</v>
      </c>
      <c r="F1099" s="29" t="s">
        <v>5184</v>
      </c>
      <c r="G1099" s="29" t="s">
        <v>5185</v>
      </c>
      <c r="H1099" s="29" t="s">
        <v>5162</v>
      </c>
      <c r="I1099" s="29" t="s">
        <v>302</v>
      </c>
      <c r="J1099" s="29" t="s">
        <v>202</v>
      </c>
      <c r="K1099" s="30" t="s">
        <v>44</v>
      </c>
      <c r="L1099" s="31"/>
      <c r="M1099" s="32" t="s">
        <v>45</v>
      </c>
    </row>
    <row r="1100" customFormat="false" ht="51" hidden="false" customHeight="true" outlineLevel="0" collapsed="false">
      <c r="B1100" s="29" t="s">
        <v>5186</v>
      </c>
      <c r="C1100" s="29" t="s">
        <v>37</v>
      </c>
      <c r="D1100" s="29" t="s">
        <v>5187</v>
      </c>
      <c r="E1100" s="29" t="s">
        <v>340</v>
      </c>
      <c r="F1100" s="29" t="s">
        <v>5188</v>
      </c>
      <c r="G1100" s="29" t="s">
        <v>5189</v>
      </c>
      <c r="H1100" s="29" t="s">
        <v>5162</v>
      </c>
      <c r="I1100" s="29" t="s">
        <v>302</v>
      </c>
      <c r="J1100" s="29" t="s">
        <v>202</v>
      </c>
      <c r="K1100" s="30" t="s">
        <v>44</v>
      </c>
      <c r="L1100" s="31"/>
      <c r="M1100" s="32" t="s">
        <v>45</v>
      </c>
    </row>
    <row r="1101" customFormat="false" ht="51" hidden="false" customHeight="true" outlineLevel="0" collapsed="false">
      <c r="B1101" s="29" t="s">
        <v>5190</v>
      </c>
      <c r="C1101" s="29" t="s">
        <v>37</v>
      </c>
      <c r="D1101" s="29" t="s">
        <v>5191</v>
      </c>
      <c r="E1101" s="29" t="s">
        <v>340</v>
      </c>
      <c r="F1101" s="29" t="s">
        <v>5192</v>
      </c>
      <c r="G1101" s="29" t="s">
        <v>5193</v>
      </c>
      <c r="H1101" s="29" t="s">
        <v>5194</v>
      </c>
      <c r="I1101" s="29" t="s">
        <v>302</v>
      </c>
      <c r="J1101" s="29" t="s">
        <v>202</v>
      </c>
      <c r="K1101" s="30" t="s">
        <v>44</v>
      </c>
      <c r="L1101" s="31"/>
      <c r="M1101" s="32" t="s">
        <v>45</v>
      </c>
    </row>
    <row r="1102" customFormat="false" ht="51" hidden="false" customHeight="true" outlineLevel="0" collapsed="false">
      <c r="B1102" s="29" t="s">
        <v>5195</v>
      </c>
      <c r="C1102" s="29" t="s">
        <v>37</v>
      </c>
      <c r="D1102" s="29" t="s">
        <v>5196</v>
      </c>
      <c r="E1102" s="29" t="s">
        <v>340</v>
      </c>
      <c r="F1102" s="29" t="s">
        <v>5197</v>
      </c>
      <c r="G1102" s="29" t="s">
        <v>5198</v>
      </c>
      <c r="H1102" s="29" t="s">
        <v>5194</v>
      </c>
      <c r="I1102" s="29" t="s">
        <v>302</v>
      </c>
      <c r="J1102" s="29" t="s">
        <v>202</v>
      </c>
      <c r="K1102" s="30" t="s">
        <v>44</v>
      </c>
      <c r="L1102" s="31"/>
      <c r="M1102" s="32" t="s">
        <v>45</v>
      </c>
    </row>
    <row r="1103" customFormat="false" ht="51" hidden="false" customHeight="true" outlineLevel="0" collapsed="false">
      <c r="B1103" s="29" t="s">
        <v>5199</v>
      </c>
      <c r="C1103" s="29" t="s">
        <v>37</v>
      </c>
      <c r="D1103" s="29" t="s">
        <v>5200</v>
      </c>
      <c r="E1103" s="29" t="s">
        <v>340</v>
      </c>
      <c r="F1103" s="29" t="s">
        <v>5201</v>
      </c>
      <c r="G1103" s="29" t="s">
        <v>5202</v>
      </c>
      <c r="H1103" s="29" t="s">
        <v>5194</v>
      </c>
      <c r="I1103" s="29" t="s">
        <v>302</v>
      </c>
      <c r="J1103" s="29" t="s">
        <v>202</v>
      </c>
      <c r="K1103" s="30" t="s">
        <v>44</v>
      </c>
      <c r="L1103" s="31"/>
      <c r="M1103" s="32" t="s">
        <v>45</v>
      </c>
    </row>
    <row r="1104" customFormat="false" ht="51" hidden="false" customHeight="true" outlineLevel="0" collapsed="false">
      <c r="B1104" s="29" t="s">
        <v>5203</v>
      </c>
      <c r="C1104" s="29" t="s">
        <v>37</v>
      </c>
      <c r="D1104" s="29" t="s">
        <v>5204</v>
      </c>
      <c r="E1104" s="29" t="s">
        <v>340</v>
      </c>
      <c r="F1104" s="29" t="s">
        <v>5205</v>
      </c>
      <c r="G1104" s="29" t="s">
        <v>5206</v>
      </c>
      <c r="H1104" s="29" t="s">
        <v>5207</v>
      </c>
      <c r="I1104" s="29" t="s">
        <v>302</v>
      </c>
      <c r="J1104" s="29" t="s">
        <v>202</v>
      </c>
      <c r="K1104" s="30" t="s">
        <v>44</v>
      </c>
      <c r="L1104" s="31"/>
      <c r="M1104" s="32" t="s">
        <v>45</v>
      </c>
    </row>
    <row r="1105" customFormat="false" ht="51" hidden="false" customHeight="true" outlineLevel="0" collapsed="false">
      <c r="B1105" s="29" t="s">
        <v>5208</v>
      </c>
      <c r="C1105" s="29" t="s">
        <v>37</v>
      </c>
      <c r="D1105" s="29" t="s">
        <v>5209</v>
      </c>
      <c r="E1105" s="29" t="s">
        <v>340</v>
      </c>
      <c r="F1105" s="29" t="s">
        <v>5210</v>
      </c>
      <c r="G1105" s="29" t="s">
        <v>5211</v>
      </c>
      <c r="H1105" s="29" t="s">
        <v>5212</v>
      </c>
      <c r="I1105" s="29" t="s">
        <v>302</v>
      </c>
      <c r="J1105" s="29" t="s">
        <v>202</v>
      </c>
      <c r="K1105" s="30" t="s">
        <v>44</v>
      </c>
      <c r="L1105" s="31"/>
      <c r="M1105" s="32" t="s">
        <v>45</v>
      </c>
    </row>
    <row r="1106" customFormat="false" ht="51" hidden="false" customHeight="true" outlineLevel="0" collapsed="false">
      <c r="B1106" s="29" t="s">
        <v>5213</v>
      </c>
      <c r="C1106" s="29" t="s">
        <v>37</v>
      </c>
      <c r="D1106" s="29" t="s">
        <v>5214</v>
      </c>
      <c r="E1106" s="29" t="s">
        <v>340</v>
      </c>
      <c r="F1106" s="29" t="s">
        <v>5215</v>
      </c>
      <c r="G1106" s="29" t="s">
        <v>5216</v>
      </c>
      <c r="H1106" s="29" t="s">
        <v>5212</v>
      </c>
      <c r="I1106" s="29" t="s">
        <v>302</v>
      </c>
      <c r="J1106" s="29" t="s">
        <v>202</v>
      </c>
      <c r="K1106" s="30" t="s">
        <v>44</v>
      </c>
      <c r="L1106" s="31"/>
      <c r="M1106" s="32" t="s">
        <v>45</v>
      </c>
    </row>
    <row r="1107" customFormat="false" ht="51" hidden="false" customHeight="true" outlineLevel="0" collapsed="false">
      <c r="B1107" s="29" t="s">
        <v>5217</v>
      </c>
      <c r="C1107" s="29" t="s">
        <v>37</v>
      </c>
      <c r="D1107" s="29" t="s">
        <v>5218</v>
      </c>
      <c r="E1107" s="29" t="s">
        <v>340</v>
      </c>
      <c r="F1107" s="29" t="s">
        <v>5219</v>
      </c>
      <c r="G1107" s="29" t="s">
        <v>5220</v>
      </c>
      <c r="H1107" s="29" t="s">
        <v>5212</v>
      </c>
      <c r="I1107" s="29" t="s">
        <v>302</v>
      </c>
      <c r="J1107" s="29" t="s">
        <v>202</v>
      </c>
      <c r="K1107" s="30" t="s">
        <v>44</v>
      </c>
      <c r="L1107" s="31"/>
      <c r="M1107" s="32" t="s">
        <v>45</v>
      </c>
    </row>
    <row r="1108" customFormat="false" ht="51" hidden="false" customHeight="true" outlineLevel="0" collapsed="false">
      <c r="B1108" s="29" t="s">
        <v>5221</v>
      </c>
      <c r="C1108" s="29" t="s">
        <v>37</v>
      </c>
      <c r="D1108" s="29" t="s">
        <v>5222</v>
      </c>
      <c r="E1108" s="29" t="s">
        <v>340</v>
      </c>
      <c r="F1108" s="29" t="s">
        <v>5223</v>
      </c>
      <c r="G1108" s="29" t="s">
        <v>5224</v>
      </c>
      <c r="H1108" s="29" t="s">
        <v>5212</v>
      </c>
      <c r="I1108" s="29" t="s">
        <v>302</v>
      </c>
      <c r="J1108" s="29" t="s">
        <v>202</v>
      </c>
      <c r="K1108" s="30" t="s">
        <v>44</v>
      </c>
      <c r="L1108" s="31"/>
      <c r="M1108" s="32" t="s">
        <v>45</v>
      </c>
    </row>
    <row r="1109" customFormat="false" ht="51" hidden="false" customHeight="true" outlineLevel="0" collapsed="false">
      <c r="B1109" s="29" t="s">
        <v>5225</v>
      </c>
      <c r="C1109" s="29" t="s">
        <v>37</v>
      </c>
      <c r="D1109" s="29" t="s">
        <v>5226</v>
      </c>
      <c r="E1109" s="29" t="s">
        <v>340</v>
      </c>
      <c r="F1109" s="29" t="s">
        <v>5227</v>
      </c>
      <c r="G1109" s="29" t="s">
        <v>5227</v>
      </c>
      <c r="H1109" s="29" t="s">
        <v>5212</v>
      </c>
      <c r="I1109" s="29" t="s">
        <v>302</v>
      </c>
      <c r="J1109" s="29" t="s">
        <v>202</v>
      </c>
      <c r="K1109" s="30" t="s">
        <v>44</v>
      </c>
      <c r="L1109" s="31"/>
      <c r="M1109" s="32" t="s">
        <v>45</v>
      </c>
    </row>
    <row r="1110" customFormat="false" ht="51" hidden="false" customHeight="true" outlineLevel="0" collapsed="false">
      <c r="B1110" s="29" t="s">
        <v>5228</v>
      </c>
      <c r="C1110" s="29" t="s">
        <v>37</v>
      </c>
      <c r="D1110" s="29" t="s">
        <v>5229</v>
      </c>
      <c r="E1110" s="29" t="s">
        <v>340</v>
      </c>
      <c r="F1110" s="29" t="s">
        <v>5230</v>
      </c>
      <c r="G1110" s="29" t="s">
        <v>5231</v>
      </c>
      <c r="H1110" s="29" t="s">
        <v>5212</v>
      </c>
      <c r="I1110" s="29" t="s">
        <v>302</v>
      </c>
      <c r="J1110" s="29" t="s">
        <v>202</v>
      </c>
      <c r="K1110" s="30" t="s">
        <v>44</v>
      </c>
      <c r="L1110" s="31"/>
      <c r="M1110" s="32" t="s">
        <v>45</v>
      </c>
    </row>
    <row r="1111" customFormat="false" ht="51" hidden="false" customHeight="true" outlineLevel="0" collapsed="false">
      <c r="B1111" s="29" t="s">
        <v>5232</v>
      </c>
      <c r="C1111" s="29" t="s">
        <v>37</v>
      </c>
      <c r="D1111" s="29" t="s">
        <v>5233</v>
      </c>
      <c r="E1111" s="29" t="s">
        <v>340</v>
      </c>
      <c r="F1111" s="29" t="s">
        <v>5234</v>
      </c>
      <c r="G1111" s="29" t="s">
        <v>5235</v>
      </c>
      <c r="H1111" s="29" t="s">
        <v>5236</v>
      </c>
      <c r="I1111" s="29" t="s">
        <v>302</v>
      </c>
      <c r="J1111" s="29" t="s">
        <v>202</v>
      </c>
      <c r="K1111" s="30" t="s">
        <v>44</v>
      </c>
      <c r="L1111" s="31"/>
      <c r="M1111" s="32" t="s">
        <v>45</v>
      </c>
    </row>
    <row r="1112" customFormat="false" ht="51" hidden="false" customHeight="true" outlineLevel="0" collapsed="false">
      <c r="B1112" s="29" t="s">
        <v>5237</v>
      </c>
      <c r="C1112" s="29" t="s">
        <v>37</v>
      </c>
      <c r="D1112" s="29" t="s">
        <v>5238</v>
      </c>
      <c r="E1112" s="29" t="s">
        <v>600</v>
      </c>
      <c r="F1112" s="29" t="s">
        <v>5239</v>
      </c>
      <c r="G1112" s="29" t="s">
        <v>5240</v>
      </c>
      <c r="H1112" s="29" t="s">
        <v>5236</v>
      </c>
      <c r="I1112" s="29" t="s">
        <v>3696</v>
      </c>
      <c r="J1112" s="29" t="s">
        <v>155</v>
      </c>
      <c r="K1112" s="30" t="s">
        <v>44</v>
      </c>
      <c r="L1112" s="31"/>
      <c r="M1112" s="32" t="s">
        <v>45</v>
      </c>
    </row>
    <row r="1113" customFormat="false" ht="51" hidden="false" customHeight="true" outlineLevel="0" collapsed="false">
      <c r="B1113" s="29" t="s">
        <v>5241</v>
      </c>
      <c r="C1113" s="29" t="s">
        <v>37</v>
      </c>
      <c r="D1113" s="29" t="s">
        <v>5242</v>
      </c>
      <c r="E1113" s="29" t="s">
        <v>340</v>
      </c>
      <c r="F1113" s="29" t="s">
        <v>5243</v>
      </c>
      <c r="G1113" s="29" t="s">
        <v>5243</v>
      </c>
      <c r="H1113" s="29" t="s">
        <v>5236</v>
      </c>
      <c r="I1113" s="29" t="s">
        <v>302</v>
      </c>
      <c r="J1113" s="29" t="s">
        <v>202</v>
      </c>
      <c r="K1113" s="30" t="s">
        <v>44</v>
      </c>
      <c r="L1113" s="31"/>
      <c r="M1113" s="32" t="s">
        <v>45</v>
      </c>
    </row>
    <row r="1114" customFormat="false" ht="51" hidden="false" customHeight="true" outlineLevel="0" collapsed="false">
      <c r="B1114" s="29" t="s">
        <v>5244</v>
      </c>
      <c r="C1114" s="29" t="s">
        <v>37</v>
      </c>
      <c r="D1114" s="29" t="s">
        <v>5245</v>
      </c>
      <c r="E1114" s="29" t="s">
        <v>340</v>
      </c>
      <c r="F1114" s="29" t="s">
        <v>5246</v>
      </c>
      <c r="G1114" s="29" t="s">
        <v>5247</v>
      </c>
      <c r="H1114" s="29" t="s">
        <v>5236</v>
      </c>
      <c r="I1114" s="29" t="s">
        <v>302</v>
      </c>
      <c r="J1114" s="29" t="s">
        <v>202</v>
      </c>
      <c r="K1114" s="30" t="s">
        <v>44</v>
      </c>
      <c r="L1114" s="31"/>
      <c r="M1114" s="32" t="s">
        <v>45</v>
      </c>
    </row>
    <row r="1115" customFormat="false" ht="51" hidden="false" customHeight="true" outlineLevel="0" collapsed="false">
      <c r="B1115" s="29" t="s">
        <v>5248</v>
      </c>
      <c r="C1115" s="29" t="s">
        <v>37</v>
      </c>
      <c r="D1115" s="29" t="s">
        <v>5249</v>
      </c>
      <c r="E1115" s="29" t="s">
        <v>340</v>
      </c>
      <c r="F1115" s="29" t="s">
        <v>5250</v>
      </c>
      <c r="G1115" s="29" t="s">
        <v>5250</v>
      </c>
      <c r="H1115" s="29" t="s">
        <v>5236</v>
      </c>
      <c r="I1115" s="29" t="s">
        <v>302</v>
      </c>
      <c r="J1115" s="29" t="s">
        <v>202</v>
      </c>
      <c r="K1115" s="30" t="s">
        <v>44</v>
      </c>
      <c r="L1115" s="31"/>
      <c r="M1115" s="32" t="s">
        <v>45</v>
      </c>
    </row>
    <row r="1116" customFormat="false" ht="51" hidden="false" customHeight="true" outlineLevel="0" collapsed="false">
      <c r="B1116" s="29" t="s">
        <v>5251</v>
      </c>
      <c r="C1116" s="29" t="s">
        <v>37</v>
      </c>
      <c r="D1116" s="29" t="s">
        <v>5252</v>
      </c>
      <c r="E1116" s="29" t="s">
        <v>340</v>
      </c>
      <c r="F1116" s="29" t="s">
        <v>5253</v>
      </c>
      <c r="G1116" s="29" t="s">
        <v>5253</v>
      </c>
      <c r="H1116" s="29" t="s">
        <v>5236</v>
      </c>
      <c r="I1116" s="29" t="s">
        <v>302</v>
      </c>
      <c r="J1116" s="29" t="s">
        <v>202</v>
      </c>
      <c r="K1116" s="30" t="s">
        <v>44</v>
      </c>
      <c r="L1116" s="31"/>
      <c r="M1116" s="32" t="s">
        <v>45</v>
      </c>
    </row>
    <row r="1117" customFormat="false" ht="51" hidden="false" customHeight="true" outlineLevel="0" collapsed="false">
      <c r="B1117" s="29" t="s">
        <v>5254</v>
      </c>
      <c r="C1117" s="29" t="s">
        <v>37</v>
      </c>
      <c r="D1117" s="29" t="s">
        <v>5255</v>
      </c>
      <c r="E1117" s="29" t="s">
        <v>351</v>
      </c>
      <c r="F1117" s="29" t="s">
        <v>5256</v>
      </c>
      <c r="G1117" s="29" t="s">
        <v>5257</v>
      </c>
      <c r="H1117" s="29" t="s">
        <v>5236</v>
      </c>
      <c r="I1117" s="29" t="s">
        <v>302</v>
      </c>
      <c r="J1117" s="29" t="s">
        <v>202</v>
      </c>
      <c r="K1117" s="30" t="s">
        <v>44</v>
      </c>
      <c r="L1117" s="31"/>
      <c r="M1117" s="32" t="s">
        <v>45</v>
      </c>
    </row>
    <row r="1118" customFormat="false" ht="51" hidden="false" customHeight="true" outlineLevel="0" collapsed="false">
      <c r="B1118" s="29" t="s">
        <v>5258</v>
      </c>
      <c r="C1118" s="29" t="s">
        <v>37</v>
      </c>
      <c r="D1118" s="29" t="s">
        <v>5259</v>
      </c>
      <c r="E1118" s="29" t="s">
        <v>340</v>
      </c>
      <c r="F1118" s="29" t="s">
        <v>5260</v>
      </c>
      <c r="G1118" s="29" t="s">
        <v>5260</v>
      </c>
      <c r="H1118" s="29" t="s">
        <v>5236</v>
      </c>
      <c r="I1118" s="29" t="s">
        <v>302</v>
      </c>
      <c r="J1118" s="29" t="s">
        <v>202</v>
      </c>
      <c r="K1118" s="30" t="s">
        <v>44</v>
      </c>
      <c r="L1118" s="31"/>
      <c r="M1118" s="32" t="s">
        <v>45</v>
      </c>
    </row>
    <row r="1119" customFormat="false" ht="51" hidden="false" customHeight="true" outlineLevel="0" collapsed="false">
      <c r="B1119" s="29" t="s">
        <v>5261</v>
      </c>
      <c r="C1119" s="29" t="s">
        <v>37</v>
      </c>
      <c r="D1119" s="29" t="s">
        <v>5262</v>
      </c>
      <c r="E1119" s="29" t="s">
        <v>357</v>
      </c>
      <c r="F1119" s="29" t="s">
        <v>5263</v>
      </c>
      <c r="G1119" s="29" t="s">
        <v>5264</v>
      </c>
      <c r="H1119" s="29" t="s">
        <v>5265</v>
      </c>
      <c r="I1119" s="29" t="s">
        <v>302</v>
      </c>
      <c r="J1119" s="29" t="s">
        <v>202</v>
      </c>
      <c r="K1119" s="30" t="s">
        <v>44</v>
      </c>
      <c r="L1119" s="31"/>
      <c r="M1119" s="32" t="s">
        <v>45</v>
      </c>
    </row>
    <row r="1120" customFormat="false" ht="51" hidden="false" customHeight="true" outlineLevel="0" collapsed="false">
      <c r="B1120" s="29" t="s">
        <v>5266</v>
      </c>
      <c r="C1120" s="29" t="s">
        <v>37</v>
      </c>
      <c r="D1120" s="29" t="s">
        <v>5267</v>
      </c>
      <c r="E1120" s="29" t="s">
        <v>340</v>
      </c>
      <c r="F1120" s="29" t="s">
        <v>5268</v>
      </c>
      <c r="G1120" s="29" t="s">
        <v>5269</v>
      </c>
      <c r="H1120" s="29" t="s">
        <v>5265</v>
      </c>
      <c r="I1120" s="29" t="s">
        <v>302</v>
      </c>
      <c r="J1120" s="29" t="s">
        <v>202</v>
      </c>
      <c r="K1120" s="30" t="s">
        <v>44</v>
      </c>
      <c r="L1120" s="31"/>
      <c r="M1120" s="32" t="s">
        <v>45</v>
      </c>
    </row>
    <row r="1121" customFormat="false" ht="51" hidden="false" customHeight="true" outlineLevel="0" collapsed="false">
      <c r="B1121" s="29" t="s">
        <v>5270</v>
      </c>
      <c r="C1121" s="29" t="s">
        <v>37</v>
      </c>
      <c r="D1121" s="29" t="s">
        <v>5271</v>
      </c>
      <c r="E1121" s="29" t="s">
        <v>543</v>
      </c>
      <c r="F1121" s="29" t="s">
        <v>5272</v>
      </c>
      <c r="G1121" s="29" t="s">
        <v>5272</v>
      </c>
      <c r="H1121" s="29" t="s">
        <v>5273</v>
      </c>
      <c r="I1121" s="29" t="s">
        <v>472</v>
      </c>
      <c r="J1121" s="29" t="s">
        <v>472</v>
      </c>
      <c r="K1121" s="30" t="s">
        <v>44</v>
      </c>
      <c r="L1121" s="31"/>
      <c r="M1121" s="32" t="s">
        <v>45</v>
      </c>
    </row>
    <row r="1122" customFormat="false" ht="51" hidden="false" customHeight="true" outlineLevel="0" collapsed="false">
      <c r="B1122" s="29" t="s">
        <v>5274</v>
      </c>
      <c r="C1122" s="29" t="s">
        <v>37</v>
      </c>
      <c r="D1122" s="29" t="s">
        <v>5275</v>
      </c>
      <c r="E1122" s="29" t="s">
        <v>600</v>
      </c>
      <c r="F1122" s="29" t="s">
        <v>5276</v>
      </c>
      <c r="G1122" s="29" t="s">
        <v>5277</v>
      </c>
      <c r="H1122" s="29" t="s">
        <v>5278</v>
      </c>
      <c r="I1122" s="29" t="s">
        <v>3696</v>
      </c>
      <c r="J1122" s="29" t="s">
        <v>155</v>
      </c>
      <c r="K1122" s="30" t="s">
        <v>44</v>
      </c>
      <c r="L1122" s="31"/>
      <c r="M1122" s="32" t="s">
        <v>45</v>
      </c>
    </row>
    <row r="1123" customFormat="false" ht="51" hidden="false" customHeight="true" outlineLevel="0" collapsed="false">
      <c r="B1123" s="29" t="s">
        <v>5279</v>
      </c>
      <c r="C1123" s="29" t="s">
        <v>37</v>
      </c>
      <c r="D1123" s="29" t="s">
        <v>5280</v>
      </c>
      <c r="E1123" s="29" t="s">
        <v>340</v>
      </c>
      <c r="F1123" s="29" t="s">
        <v>5281</v>
      </c>
      <c r="G1123" s="29" t="s">
        <v>5282</v>
      </c>
      <c r="H1123" s="29" t="s">
        <v>5278</v>
      </c>
      <c r="I1123" s="29" t="s">
        <v>302</v>
      </c>
      <c r="J1123" s="29" t="s">
        <v>202</v>
      </c>
      <c r="K1123" s="30" t="s">
        <v>44</v>
      </c>
      <c r="L1123" s="31"/>
      <c r="M1123" s="32" t="s">
        <v>45</v>
      </c>
    </row>
    <row r="1124" customFormat="false" ht="51" hidden="false" customHeight="true" outlineLevel="0" collapsed="false">
      <c r="B1124" s="29" t="s">
        <v>5283</v>
      </c>
      <c r="C1124" s="29" t="s">
        <v>37</v>
      </c>
      <c r="D1124" s="29" t="s">
        <v>5284</v>
      </c>
      <c r="E1124" s="29" t="s">
        <v>340</v>
      </c>
      <c r="F1124" s="29" t="s">
        <v>5285</v>
      </c>
      <c r="G1124" s="29" t="s">
        <v>5286</v>
      </c>
      <c r="H1124" s="29" t="s">
        <v>5278</v>
      </c>
      <c r="I1124" s="29" t="s">
        <v>302</v>
      </c>
      <c r="J1124" s="29" t="s">
        <v>202</v>
      </c>
      <c r="K1124" s="30" t="s">
        <v>44</v>
      </c>
      <c r="L1124" s="31"/>
      <c r="M1124" s="32" t="s">
        <v>45</v>
      </c>
    </row>
    <row r="1125" customFormat="false" ht="51" hidden="false" customHeight="true" outlineLevel="0" collapsed="false">
      <c r="B1125" s="29" t="s">
        <v>5287</v>
      </c>
      <c r="C1125" s="29" t="s">
        <v>37</v>
      </c>
      <c r="D1125" s="29" t="s">
        <v>5288</v>
      </c>
      <c r="E1125" s="29" t="s">
        <v>340</v>
      </c>
      <c r="F1125" s="29" t="s">
        <v>5289</v>
      </c>
      <c r="G1125" s="29" t="s">
        <v>5289</v>
      </c>
      <c r="H1125" s="29" t="s">
        <v>5290</v>
      </c>
      <c r="I1125" s="29" t="s">
        <v>302</v>
      </c>
      <c r="J1125" s="29" t="s">
        <v>202</v>
      </c>
      <c r="K1125" s="30" t="s">
        <v>44</v>
      </c>
      <c r="L1125" s="31"/>
      <c r="M1125" s="32" t="s">
        <v>45</v>
      </c>
    </row>
    <row r="1126" customFormat="false" ht="51" hidden="false" customHeight="true" outlineLevel="0" collapsed="false">
      <c r="B1126" s="29" t="s">
        <v>5291</v>
      </c>
      <c r="C1126" s="29" t="s">
        <v>37</v>
      </c>
      <c r="D1126" s="29" t="s">
        <v>5292</v>
      </c>
      <c r="E1126" s="29" t="s">
        <v>543</v>
      </c>
      <c r="F1126" s="29" t="s">
        <v>5293</v>
      </c>
      <c r="G1126" s="29" t="s">
        <v>5294</v>
      </c>
      <c r="H1126" s="29" t="s">
        <v>5295</v>
      </c>
      <c r="I1126" s="29" t="s">
        <v>472</v>
      </c>
      <c r="J1126" s="29" t="s">
        <v>472</v>
      </c>
      <c r="K1126" s="30" t="s">
        <v>44</v>
      </c>
      <c r="L1126" s="31"/>
      <c r="M1126" s="32" t="s">
        <v>45</v>
      </c>
    </row>
    <row r="1127" customFormat="false" ht="51" hidden="false" customHeight="true" outlineLevel="0" collapsed="false">
      <c r="B1127" s="29" t="s">
        <v>5296</v>
      </c>
      <c r="C1127" s="29" t="s">
        <v>37</v>
      </c>
      <c r="D1127" s="29" t="s">
        <v>5297</v>
      </c>
      <c r="E1127" s="29" t="s">
        <v>340</v>
      </c>
      <c r="F1127" s="29" t="s">
        <v>5298</v>
      </c>
      <c r="G1127" s="29" t="s">
        <v>5299</v>
      </c>
      <c r="H1127" s="29" t="s">
        <v>5290</v>
      </c>
      <c r="I1127" s="29" t="s">
        <v>302</v>
      </c>
      <c r="J1127" s="29" t="s">
        <v>202</v>
      </c>
      <c r="K1127" s="30" t="s">
        <v>44</v>
      </c>
      <c r="L1127" s="31"/>
      <c r="M1127" s="32" t="s">
        <v>45</v>
      </c>
    </row>
    <row r="1128" customFormat="false" ht="51" hidden="false" customHeight="true" outlineLevel="0" collapsed="false">
      <c r="B1128" s="29" t="s">
        <v>5300</v>
      </c>
      <c r="C1128" s="29" t="s">
        <v>37</v>
      </c>
      <c r="D1128" s="29" t="s">
        <v>5301</v>
      </c>
      <c r="E1128" s="29" t="s">
        <v>600</v>
      </c>
      <c r="F1128" s="29" t="s">
        <v>5302</v>
      </c>
      <c r="G1128" s="29" t="s">
        <v>5303</v>
      </c>
      <c r="H1128" s="29" t="s">
        <v>5304</v>
      </c>
      <c r="I1128" s="29" t="s">
        <v>3696</v>
      </c>
      <c r="J1128" s="29" t="s">
        <v>155</v>
      </c>
      <c r="K1128" s="30" t="s">
        <v>44</v>
      </c>
      <c r="L1128" s="31"/>
      <c r="M1128" s="32" t="s">
        <v>45</v>
      </c>
    </row>
    <row r="1129" customFormat="false" ht="51" hidden="false" customHeight="true" outlineLevel="0" collapsed="false">
      <c r="B1129" s="29" t="s">
        <v>5305</v>
      </c>
      <c r="C1129" s="29" t="s">
        <v>37</v>
      </c>
      <c r="D1129" s="29" t="s">
        <v>5306</v>
      </c>
      <c r="E1129" s="29" t="s">
        <v>543</v>
      </c>
      <c r="F1129" s="29" t="s">
        <v>5307</v>
      </c>
      <c r="G1129" s="29" t="s">
        <v>5308</v>
      </c>
      <c r="H1129" s="29" t="s">
        <v>5309</v>
      </c>
      <c r="I1129" s="29" t="s">
        <v>472</v>
      </c>
      <c r="J1129" s="29" t="s">
        <v>472</v>
      </c>
      <c r="K1129" s="30" t="s">
        <v>44</v>
      </c>
      <c r="L1129" s="31"/>
      <c r="M1129" s="32" t="s">
        <v>45</v>
      </c>
    </row>
    <row r="1130" customFormat="false" ht="51" hidden="false" customHeight="true" outlineLevel="0" collapsed="false">
      <c r="B1130" s="29" t="s">
        <v>5310</v>
      </c>
      <c r="C1130" s="29" t="s">
        <v>37</v>
      </c>
      <c r="D1130" s="29" t="s">
        <v>5311</v>
      </c>
      <c r="E1130" s="29" t="s">
        <v>543</v>
      </c>
      <c r="F1130" s="29" t="s">
        <v>5312</v>
      </c>
      <c r="G1130" s="29" t="s">
        <v>5313</v>
      </c>
      <c r="H1130" s="29" t="s">
        <v>5309</v>
      </c>
      <c r="I1130" s="29" t="s">
        <v>472</v>
      </c>
      <c r="J1130" s="29" t="s">
        <v>472</v>
      </c>
      <c r="K1130" s="30" t="s">
        <v>44</v>
      </c>
      <c r="L1130" s="31"/>
      <c r="M1130" s="32" t="s">
        <v>45</v>
      </c>
    </row>
    <row r="1131" customFormat="false" ht="51" hidden="false" customHeight="true" outlineLevel="0" collapsed="false">
      <c r="B1131" s="29" t="s">
        <v>5314</v>
      </c>
      <c r="C1131" s="29" t="s">
        <v>37</v>
      </c>
      <c r="D1131" s="29" t="s">
        <v>5315</v>
      </c>
      <c r="E1131" s="29" t="s">
        <v>543</v>
      </c>
      <c r="F1131" s="29" t="s">
        <v>5316</v>
      </c>
      <c r="G1131" s="29" t="s">
        <v>5316</v>
      </c>
      <c r="H1131" s="29" t="s">
        <v>5309</v>
      </c>
      <c r="I1131" s="29" t="s">
        <v>472</v>
      </c>
      <c r="J1131" s="29" t="s">
        <v>472</v>
      </c>
      <c r="K1131" s="30" t="s">
        <v>44</v>
      </c>
      <c r="L1131" s="31"/>
      <c r="M1131" s="32" t="s">
        <v>45</v>
      </c>
    </row>
    <row r="1132" customFormat="false" ht="51" hidden="false" customHeight="true" outlineLevel="0" collapsed="false">
      <c r="B1132" s="29" t="s">
        <v>5317</v>
      </c>
      <c r="C1132" s="29" t="s">
        <v>37</v>
      </c>
      <c r="D1132" s="29" t="s">
        <v>5318</v>
      </c>
      <c r="E1132" s="29" t="s">
        <v>340</v>
      </c>
      <c r="F1132" s="29" t="s">
        <v>5319</v>
      </c>
      <c r="G1132" s="29" t="s">
        <v>5320</v>
      </c>
      <c r="H1132" s="29" t="s">
        <v>5304</v>
      </c>
      <c r="I1132" s="29" t="s">
        <v>302</v>
      </c>
      <c r="J1132" s="29" t="s">
        <v>202</v>
      </c>
      <c r="K1132" s="30" t="s">
        <v>44</v>
      </c>
      <c r="L1132" s="31"/>
      <c r="M1132" s="32" t="s">
        <v>45</v>
      </c>
    </row>
    <row r="1133" customFormat="false" ht="51" hidden="false" customHeight="true" outlineLevel="0" collapsed="false">
      <c r="B1133" s="29" t="s">
        <v>5321</v>
      </c>
      <c r="C1133" s="29" t="s">
        <v>37</v>
      </c>
      <c r="D1133" s="29" t="s">
        <v>5322</v>
      </c>
      <c r="E1133" s="29" t="s">
        <v>340</v>
      </c>
      <c r="F1133" s="29" t="s">
        <v>5323</v>
      </c>
      <c r="G1133" s="29" t="s">
        <v>5324</v>
      </c>
      <c r="H1133" s="29" t="s">
        <v>5304</v>
      </c>
      <c r="I1133" s="29" t="s">
        <v>302</v>
      </c>
      <c r="J1133" s="29" t="s">
        <v>202</v>
      </c>
      <c r="K1133" s="30" t="s">
        <v>44</v>
      </c>
      <c r="L1133" s="31"/>
      <c r="M1133" s="32" t="s">
        <v>45</v>
      </c>
    </row>
    <row r="1134" customFormat="false" ht="51" hidden="false" customHeight="true" outlineLevel="0" collapsed="false">
      <c r="B1134" s="29" t="s">
        <v>5325</v>
      </c>
      <c r="C1134" s="29" t="s">
        <v>37</v>
      </c>
      <c r="D1134" s="29" t="s">
        <v>5326</v>
      </c>
      <c r="E1134" s="29" t="s">
        <v>340</v>
      </c>
      <c r="F1134" s="29" t="s">
        <v>5327</v>
      </c>
      <c r="G1134" s="29" t="s">
        <v>5328</v>
      </c>
      <c r="H1134" s="29" t="s">
        <v>5329</v>
      </c>
      <c r="I1134" s="29" t="s">
        <v>302</v>
      </c>
      <c r="J1134" s="29" t="s">
        <v>202</v>
      </c>
      <c r="K1134" s="30" t="s">
        <v>44</v>
      </c>
      <c r="L1134" s="31"/>
      <c r="M1134" s="32" t="s">
        <v>45</v>
      </c>
    </row>
    <row r="1135" customFormat="false" ht="51" hidden="false" customHeight="true" outlineLevel="0" collapsed="false">
      <c r="B1135" s="29" t="s">
        <v>5330</v>
      </c>
      <c r="C1135" s="29" t="s">
        <v>37</v>
      </c>
      <c r="D1135" s="29" t="s">
        <v>5331</v>
      </c>
      <c r="E1135" s="29" t="s">
        <v>340</v>
      </c>
      <c r="F1135" s="29" t="s">
        <v>5332</v>
      </c>
      <c r="G1135" s="29" t="s">
        <v>5333</v>
      </c>
      <c r="H1135" s="29" t="s">
        <v>5329</v>
      </c>
      <c r="I1135" s="29" t="s">
        <v>302</v>
      </c>
      <c r="J1135" s="29" t="s">
        <v>202</v>
      </c>
      <c r="K1135" s="30" t="s">
        <v>44</v>
      </c>
      <c r="L1135" s="31"/>
      <c r="M1135" s="32" t="s">
        <v>45</v>
      </c>
    </row>
    <row r="1136" customFormat="false" ht="51" hidden="false" customHeight="true" outlineLevel="0" collapsed="false">
      <c r="B1136" s="29" t="s">
        <v>5334</v>
      </c>
      <c r="C1136" s="29" t="s">
        <v>37</v>
      </c>
      <c r="D1136" s="29" t="s">
        <v>5335</v>
      </c>
      <c r="E1136" s="29" t="s">
        <v>340</v>
      </c>
      <c r="F1136" s="29" t="s">
        <v>5336</v>
      </c>
      <c r="G1136" s="29" t="s">
        <v>5337</v>
      </c>
      <c r="H1136" s="29" t="s">
        <v>5329</v>
      </c>
      <c r="I1136" s="29" t="s">
        <v>302</v>
      </c>
      <c r="J1136" s="29" t="s">
        <v>202</v>
      </c>
      <c r="K1136" s="30" t="s">
        <v>44</v>
      </c>
      <c r="L1136" s="31"/>
      <c r="M1136" s="32" t="s">
        <v>45</v>
      </c>
    </row>
    <row r="1137" customFormat="false" ht="51" hidden="false" customHeight="true" outlineLevel="0" collapsed="false">
      <c r="B1137" s="29" t="s">
        <v>5338</v>
      </c>
      <c r="C1137" s="29" t="s">
        <v>37</v>
      </c>
      <c r="D1137" s="29" t="s">
        <v>5339</v>
      </c>
      <c r="E1137" s="29" t="s">
        <v>340</v>
      </c>
      <c r="F1137" s="29" t="s">
        <v>5340</v>
      </c>
      <c r="G1137" s="29" t="s">
        <v>5341</v>
      </c>
      <c r="H1137" s="29" t="s">
        <v>5342</v>
      </c>
      <c r="I1137" s="29" t="s">
        <v>302</v>
      </c>
      <c r="J1137" s="29" t="s">
        <v>202</v>
      </c>
      <c r="K1137" s="30" t="s">
        <v>44</v>
      </c>
      <c r="L1137" s="31"/>
      <c r="M1137" s="32" t="s">
        <v>45</v>
      </c>
    </row>
    <row r="1138" customFormat="false" ht="51" hidden="false" customHeight="true" outlineLevel="0" collapsed="false">
      <c r="B1138" s="29" t="s">
        <v>5343</v>
      </c>
      <c r="C1138" s="29" t="s">
        <v>37</v>
      </c>
      <c r="D1138" s="29" t="s">
        <v>5344</v>
      </c>
      <c r="E1138" s="29" t="s">
        <v>340</v>
      </c>
      <c r="F1138" s="29" t="s">
        <v>5345</v>
      </c>
      <c r="G1138" s="29" t="s">
        <v>5346</v>
      </c>
      <c r="H1138" s="29" t="s">
        <v>5342</v>
      </c>
      <c r="I1138" s="29" t="s">
        <v>302</v>
      </c>
      <c r="J1138" s="29" t="s">
        <v>202</v>
      </c>
      <c r="K1138" s="30" t="s">
        <v>44</v>
      </c>
      <c r="L1138" s="31"/>
      <c r="M1138" s="32" t="s">
        <v>45</v>
      </c>
    </row>
    <row r="1139" customFormat="false" ht="51" hidden="false" customHeight="true" outlineLevel="0" collapsed="false">
      <c r="B1139" s="29" t="s">
        <v>5347</v>
      </c>
      <c r="C1139" s="29" t="s">
        <v>37</v>
      </c>
      <c r="D1139" s="29" t="s">
        <v>5348</v>
      </c>
      <c r="E1139" s="29" t="s">
        <v>340</v>
      </c>
      <c r="F1139" s="29" t="s">
        <v>5349</v>
      </c>
      <c r="G1139" s="29" t="s">
        <v>5350</v>
      </c>
      <c r="H1139" s="29" t="s">
        <v>5342</v>
      </c>
      <c r="I1139" s="29" t="s">
        <v>302</v>
      </c>
      <c r="J1139" s="29" t="s">
        <v>202</v>
      </c>
      <c r="K1139" s="30" t="s">
        <v>44</v>
      </c>
      <c r="L1139" s="31"/>
      <c r="M1139" s="32" t="s">
        <v>45</v>
      </c>
    </row>
    <row r="1140" customFormat="false" ht="51" hidden="false" customHeight="true" outlineLevel="0" collapsed="false">
      <c r="B1140" s="29" t="s">
        <v>5351</v>
      </c>
      <c r="C1140" s="29" t="s">
        <v>37</v>
      </c>
      <c r="D1140" s="29" t="s">
        <v>5352</v>
      </c>
      <c r="E1140" s="29" t="s">
        <v>340</v>
      </c>
      <c r="F1140" s="29" t="s">
        <v>5353</v>
      </c>
      <c r="G1140" s="29" t="s">
        <v>5354</v>
      </c>
      <c r="H1140" s="29" t="s">
        <v>5355</v>
      </c>
      <c r="I1140" s="29" t="s">
        <v>302</v>
      </c>
      <c r="J1140" s="29" t="s">
        <v>202</v>
      </c>
      <c r="K1140" s="30" t="s">
        <v>44</v>
      </c>
      <c r="L1140" s="31"/>
      <c r="M1140" s="32" t="s">
        <v>45</v>
      </c>
    </row>
    <row r="1141" customFormat="false" ht="51" hidden="false" customHeight="true" outlineLevel="0" collapsed="false">
      <c r="B1141" s="29" t="s">
        <v>5356</v>
      </c>
      <c r="C1141" s="29" t="s">
        <v>37</v>
      </c>
      <c r="D1141" s="29" t="s">
        <v>5357</v>
      </c>
      <c r="E1141" s="29" t="s">
        <v>340</v>
      </c>
      <c r="F1141" s="29" t="s">
        <v>5358</v>
      </c>
      <c r="G1141" s="29" t="s">
        <v>5359</v>
      </c>
      <c r="H1141" s="29" t="s">
        <v>5355</v>
      </c>
      <c r="I1141" s="29" t="s">
        <v>302</v>
      </c>
      <c r="J1141" s="29" t="s">
        <v>202</v>
      </c>
      <c r="K1141" s="30" t="s">
        <v>44</v>
      </c>
      <c r="L1141" s="31"/>
      <c r="M1141" s="32" t="s">
        <v>45</v>
      </c>
    </row>
    <row r="1142" customFormat="false" ht="51" hidden="false" customHeight="true" outlineLevel="0" collapsed="false">
      <c r="B1142" s="29" t="s">
        <v>5360</v>
      </c>
      <c r="C1142" s="29" t="s">
        <v>37</v>
      </c>
      <c r="D1142" s="29" t="s">
        <v>5361</v>
      </c>
      <c r="E1142" s="29" t="s">
        <v>340</v>
      </c>
      <c r="F1142" s="29" t="s">
        <v>5362</v>
      </c>
      <c r="G1142" s="29" t="s">
        <v>5362</v>
      </c>
      <c r="H1142" s="29" t="s">
        <v>5355</v>
      </c>
      <c r="I1142" s="29" t="s">
        <v>302</v>
      </c>
      <c r="J1142" s="29" t="s">
        <v>202</v>
      </c>
      <c r="K1142" s="30" t="s">
        <v>44</v>
      </c>
      <c r="L1142" s="31"/>
      <c r="M1142" s="32" t="s">
        <v>45</v>
      </c>
    </row>
    <row r="1143" customFormat="false" ht="51" hidden="false" customHeight="true" outlineLevel="0" collapsed="false">
      <c r="B1143" s="29" t="s">
        <v>5363</v>
      </c>
      <c r="C1143" s="29" t="s">
        <v>37</v>
      </c>
      <c r="D1143" s="29" t="s">
        <v>5364</v>
      </c>
      <c r="E1143" s="29" t="s">
        <v>340</v>
      </c>
      <c r="F1143" s="29" t="s">
        <v>5365</v>
      </c>
      <c r="G1143" s="29" t="s">
        <v>5366</v>
      </c>
      <c r="H1143" s="29" t="s">
        <v>5367</v>
      </c>
      <c r="I1143" s="29" t="s">
        <v>302</v>
      </c>
      <c r="J1143" s="29" t="s">
        <v>202</v>
      </c>
      <c r="K1143" s="30" t="s">
        <v>44</v>
      </c>
      <c r="L1143" s="31"/>
      <c r="M1143" s="32" t="s">
        <v>45</v>
      </c>
    </row>
    <row r="1144" customFormat="false" ht="51" hidden="false" customHeight="true" outlineLevel="0" collapsed="false">
      <c r="B1144" s="29" t="s">
        <v>5368</v>
      </c>
      <c r="C1144" s="29" t="s">
        <v>37</v>
      </c>
      <c r="D1144" s="29" t="s">
        <v>5369</v>
      </c>
      <c r="E1144" s="29" t="s">
        <v>543</v>
      </c>
      <c r="F1144" s="29" t="s">
        <v>5370</v>
      </c>
      <c r="G1144" s="29" t="s">
        <v>5371</v>
      </c>
      <c r="H1144" s="29" t="s">
        <v>5372</v>
      </c>
      <c r="I1144" s="29" t="s">
        <v>472</v>
      </c>
      <c r="J1144" s="29" t="s">
        <v>472</v>
      </c>
      <c r="K1144" s="30" t="s">
        <v>44</v>
      </c>
      <c r="L1144" s="31"/>
      <c r="M1144" s="32" t="s">
        <v>45</v>
      </c>
    </row>
    <row r="1145" customFormat="false" ht="51" hidden="false" customHeight="true" outlineLevel="0" collapsed="false">
      <c r="B1145" s="29" t="s">
        <v>5373</v>
      </c>
      <c r="C1145" s="29" t="s">
        <v>37</v>
      </c>
      <c r="D1145" s="29" t="s">
        <v>5374</v>
      </c>
      <c r="E1145" s="29" t="s">
        <v>340</v>
      </c>
      <c r="F1145" s="29" t="s">
        <v>5375</v>
      </c>
      <c r="G1145" s="29" t="s">
        <v>5375</v>
      </c>
      <c r="H1145" s="29" t="s">
        <v>5367</v>
      </c>
      <c r="I1145" s="29" t="s">
        <v>302</v>
      </c>
      <c r="J1145" s="29" t="s">
        <v>202</v>
      </c>
      <c r="K1145" s="30" t="s">
        <v>44</v>
      </c>
      <c r="L1145" s="31"/>
      <c r="M1145" s="32" t="s">
        <v>45</v>
      </c>
    </row>
    <row r="1146" customFormat="false" ht="51" hidden="false" customHeight="true" outlineLevel="0" collapsed="false">
      <c r="B1146" s="29" t="s">
        <v>5376</v>
      </c>
      <c r="C1146" s="29" t="s">
        <v>37</v>
      </c>
      <c r="D1146" s="29" t="s">
        <v>5377</v>
      </c>
      <c r="E1146" s="29" t="s">
        <v>340</v>
      </c>
      <c r="F1146" s="29" t="s">
        <v>5378</v>
      </c>
      <c r="G1146" s="29" t="s">
        <v>5378</v>
      </c>
      <c r="H1146" s="29" t="s">
        <v>5367</v>
      </c>
      <c r="I1146" s="29" t="s">
        <v>302</v>
      </c>
      <c r="J1146" s="29" t="s">
        <v>202</v>
      </c>
      <c r="K1146" s="30" t="s">
        <v>44</v>
      </c>
      <c r="L1146" s="31"/>
      <c r="M1146" s="32" t="s">
        <v>45</v>
      </c>
    </row>
    <row r="1147" customFormat="false" ht="51" hidden="false" customHeight="true" outlineLevel="0" collapsed="false">
      <c r="B1147" s="29" t="s">
        <v>5379</v>
      </c>
      <c r="C1147" s="29" t="s">
        <v>37</v>
      </c>
      <c r="D1147" s="29" t="s">
        <v>5380</v>
      </c>
      <c r="E1147" s="29" t="s">
        <v>543</v>
      </c>
      <c r="F1147" s="29" t="s">
        <v>5381</v>
      </c>
      <c r="G1147" s="29" t="s">
        <v>5382</v>
      </c>
      <c r="H1147" s="29" t="s">
        <v>5372</v>
      </c>
      <c r="I1147" s="29" t="s">
        <v>472</v>
      </c>
      <c r="J1147" s="29" t="s">
        <v>472</v>
      </c>
      <c r="K1147" s="30" t="s">
        <v>44</v>
      </c>
      <c r="L1147" s="31"/>
      <c r="M1147" s="32" t="s">
        <v>45</v>
      </c>
    </row>
    <row r="1148" customFormat="false" ht="51" hidden="false" customHeight="true" outlineLevel="0" collapsed="false">
      <c r="B1148" s="29" t="s">
        <v>5383</v>
      </c>
      <c r="C1148" s="29" t="s">
        <v>37</v>
      </c>
      <c r="D1148" s="29" t="s">
        <v>5384</v>
      </c>
      <c r="E1148" s="29" t="s">
        <v>543</v>
      </c>
      <c r="F1148" s="29" t="s">
        <v>5385</v>
      </c>
      <c r="G1148" s="29" t="s">
        <v>5386</v>
      </c>
      <c r="H1148" s="29" t="s">
        <v>5372</v>
      </c>
      <c r="I1148" s="29" t="s">
        <v>472</v>
      </c>
      <c r="J1148" s="29" t="s">
        <v>472</v>
      </c>
      <c r="K1148" s="30" t="s">
        <v>44</v>
      </c>
      <c r="L1148" s="31"/>
      <c r="M1148" s="32" t="s">
        <v>45</v>
      </c>
    </row>
    <row r="1149" customFormat="false" ht="51" hidden="false" customHeight="true" outlineLevel="0" collapsed="false">
      <c r="B1149" s="29" t="s">
        <v>5387</v>
      </c>
      <c r="C1149" s="29" t="s">
        <v>37</v>
      </c>
      <c r="D1149" s="29" t="s">
        <v>5388</v>
      </c>
      <c r="E1149" s="29" t="s">
        <v>543</v>
      </c>
      <c r="F1149" s="29" t="s">
        <v>5389</v>
      </c>
      <c r="G1149" s="29" t="s">
        <v>5390</v>
      </c>
      <c r="H1149" s="29" t="s">
        <v>5372</v>
      </c>
      <c r="I1149" s="29" t="s">
        <v>472</v>
      </c>
      <c r="J1149" s="29" t="s">
        <v>472</v>
      </c>
      <c r="K1149" s="30" t="s">
        <v>44</v>
      </c>
      <c r="L1149" s="31"/>
      <c r="M1149" s="32" t="s">
        <v>45</v>
      </c>
    </row>
    <row r="1150" customFormat="false" ht="51" hidden="false" customHeight="true" outlineLevel="0" collapsed="false">
      <c r="B1150" s="29" t="s">
        <v>5391</v>
      </c>
      <c r="C1150" s="29" t="s">
        <v>37</v>
      </c>
      <c r="D1150" s="29" t="s">
        <v>5392</v>
      </c>
      <c r="E1150" s="29" t="s">
        <v>340</v>
      </c>
      <c r="F1150" s="29" t="s">
        <v>5393</v>
      </c>
      <c r="G1150" s="29" t="s">
        <v>5393</v>
      </c>
      <c r="H1150" s="29" t="s">
        <v>5394</v>
      </c>
      <c r="I1150" s="29" t="s">
        <v>302</v>
      </c>
      <c r="J1150" s="29" t="s">
        <v>202</v>
      </c>
      <c r="K1150" s="30" t="s">
        <v>44</v>
      </c>
      <c r="L1150" s="31"/>
      <c r="M1150" s="32" t="s">
        <v>45</v>
      </c>
    </row>
    <row r="1151" customFormat="false" ht="51" hidden="false" customHeight="true" outlineLevel="0" collapsed="false">
      <c r="B1151" s="29" t="s">
        <v>5395</v>
      </c>
      <c r="C1151" s="29" t="s">
        <v>37</v>
      </c>
      <c r="D1151" s="29" t="s">
        <v>5396</v>
      </c>
      <c r="E1151" s="29" t="s">
        <v>543</v>
      </c>
      <c r="F1151" s="29" t="s">
        <v>5397</v>
      </c>
      <c r="G1151" s="29" t="s">
        <v>5398</v>
      </c>
      <c r="H1151" s="29" t="s">
        <v>5399</v>
      </c>
      <c r="I1151" s="29" t="s">
        <v>472</v>
      </c>
      <c r="J1151" s="29" t="s">
        <v>472</v>
      </c>
      <c r="K1151" s="30" t="s">
        <v>44</v>
      </c>
      <c r="L1151" s="31"/>
      <c r="M1151" s="32" t="s">
        <v>45</v>
      </c>
    </row>
    <row r="1152" customFormat="false" ht="51" hidden="false" customHeight="true" outlineLevel="0" collapsed="false">
      <c r="B1152" s="29" t="s">
        <v>5400</v>
      </c>
      <c r="C1152" s="29" t="s">
        <v>37</v>
      </c>
      <c r="D1152" s="29" t="s">
        <v>5401</v>
      </c>
      <c r="E1152" s="29" t="s">
        <v>340</v>
      </c>
      <c r="F1152" s="29" t="s">
        <v>5402</v>
      </c>
      <c r="G1152" s="29" t="s">
        <v>5403</v>
      </c>
      <c r="H1152" s="29" t="s">
        <v>5394</v>
      </c>
      <c r="I1152" s="29" t="s">
        <v>302</v>
      </c>
      <c r="J1152" s="29" t="s">
        <v>202</v>
      </c>
      <c r="K1152" s="30" t="s">
        <v>44</v>
      </c>
      <c r="L1152" s="31"/>
      <c r="M1152" s="32" t="s">
        <v>45</v>
      </c>
    </row>
    <row r="1153" customFormat="false" ht="51" hidden="false" customHeight="true" outlineLevel="0" collapsed="false">
      <c r="B1153" s="29" t="s">
        <v>5404</v>
      </c>
      <c r="C1153" s="29" t="s">
        <v>37</v>
      </c>
      <c r="D1153" s="29" t="s">
        <v>5405</v>
      </c>
      <c r="E1153" s="29" t="s">
        <v>340</v>
      </c>
      <c r="F1153" s="29" t="s">
        <v>5406</v>
      </c>
      <c r="G1153" s="29" t="s">
        <v>5406</v>
      </c>
      <c r="H1153" s="29" t="s">
        <v>5394</v>
      </c>
      <c r="I1153" s="29" t="s">
        <v>302</v>
      </c>
      <c r="J1153" s="29" t="s">
        <v>202</v>
      </c>
      <c r="K1153" s="30" t="s">
        <v>44</v>
      </c>
      <c r="L1153" s="31"/>
      <c r="M1153" s="32" t="s">
        <v>45</v>
      </c>
    </row>
    <row r="1154" customFormat="false" ht="51" hidden="false" customHeight="true" outlineLevel="0" collapsed="false">
      <c r="B1154" s="29" t="s">
        <v>5407</v>
      </c>
      <c r="C1154" s="29" t="s">
        <v>37</v>
      </c>
      <c r="D1154" s="29" t="s">
        <v>5408</v>
      </c>
      <c r="E1154" s="29" t="s">
        <v>340</v>
      </c>
      <c r="F1154" s="29" t="s">
        <v>5409</v>
      </c>
      <c r="G1154" s="29" t="s">
        <v>5409</v>
      </c>
      <c r="H1154" s="29" t="s">
        <v>5410</v>
      </c>
      <c r="I1154" s="29" t="s">
        <v>302</v>
      </c>
      <c r="J1154" s="29" t="s">
        <v>202</v>
      </c>
      <c r="K1154" s="30" t="s">
        <v>44</v>
      </c>
      <c r="L1154" s="31"/>
      <c r="M1154" s="32" t="s">
        <v>45</v>
      </c>
    </row>
    <row r="1155" customFormat="false" ht="51" hidden="false" customHeight="true" outlineLevel="0" collapsed="false">
      <c r="B1155" s="29" t="s">
        <v>5411</v>
      </c>
      <c r="C1155" s="29" t="s">
        <v>37</v>
      </c>
      <c r="D1155" s="29" t="s">
        <v>5412</v>
      </c>
      <c r="E1155" s="29" t="s">
        <v>340</v>
      </c>
      <c r="F1155" s="29" t="s">
        <v>5413</v>
      </c>
      <c r="G1155" s="29" t="s">
        <v>5414</v>
      </c>
      <c r="H1155" s="29" t="s">
        <v>5410</v>
      </c>
      <c r="I1155" s="29" t="s">
        <v>302</v>
      </c>
      <c r="J1155" s="29" t="s">
        <v>202</v>
      </c>
      <c r="K1155" s="30" t="s">
        <v>44</v>
      </c>
      <c r="L1155" s="31"/>
      <c r="M1155" s="32" t="s">
        <v>45</v>
      </c>
    </row>
    <row r="1156" customFormat="false" ht="51" hidden="false" customHeight="true" outlineLevel="0" collapsed="false">
      <c r="B1156" s="29" t="s">
        <v>5415</v>
      </c>
      <c r="C1156" s="29" t="s">
        <v>37</v>
      </c>
      <c r="D1156" s="29" t="s">
        <v>5416</v>
      </c>
      <c r="E1156" s="29" t="s">
        <v>340</v>
      </c>
      <c r="F1156" s="29" t="s">
        <v>5417</v>
      </c>
      <c r="G1156" s="29" t="s">
        <v>5417</v>
      </c>
      <c r="H1156" s="29" t="s">
        <v>5410</v>
      </c>
      <c r="I1156" s="29" t="s">
        <v>302</v>
      </c>
      <c r="J1156" s="29" t="s">
        <v>202</v>
      </c>
      <c r="K1156" s="30" t="s">
        <v>44</v>
      </c>
      <c r="L1156" s="31"/>
      <c r="M1156" s="32" t="s">
        <v>45</v>
      </c>
    </row>
    <row r="1157" customFormat="false" ht="51" hidden="false" customHeight="true" outlineLevel="0" collapsed="false">
      <c r="B1157" s="29" t="s">
        <v>5418</v>
      </c>
      <c r="C1157" s="29" t="s">
        <v>37</v>
      </c>
      <c r="D1157" s="29" t="s">
        <v>5419</v>
      </c>
      <c r="E1157" s="29" t="s">
        <v>340</v>
      </c>
      <c r="F1157" s="29" t="s">
        <v>5420</v>
      </c>
      <c r="G1157" s="29" t="s">
        <v>5421</v>
      </c>
      <c r="H1157" s="29" t="s">
        <v>5410</v>
      </c>
      <c r="I1157" s="29" t="s">
        <v>302</v>
      </c>
      <c r="J1157" s="29" t="s">
        <v>202</v>
      </c>
      <c r="K1157" s="30" t="s">
        <v>44</v>
      </c>
      <c r="L1157" s="31"/>
      <c r="M1157" s="32" t="s">
        <v>45</v>
      </c>
    </row>
    <row r="1158" customFormat="false" ht="51" hidden="false" customHeight="true" outlineLevel="0" collapsed="false">
      <c r="B1158" s="29" t="s">
        <v>5422</v>
      </c>
      <c r="C1158" s="29" t="s">
        <v>37</v>
      </c>
      <c r="D1158" s="29" t="s">
        <v>5423</v>
      </c>
      <c r="E1158" s="29" t="s">
        <v>357</v>
      </c>
      <c r="F1158" s="29" t="s">
        <v>5424</v>
      </c>
      <c r="G1158" s="29" t="s">
        <v>5425</v>
      </c>
      <c r="H1158" s="29" t="s">
        <v>5410</v>
      </c>
      <c r="I1158" s="29" t="s">
        <v>302</v>
      </c>
      <c r="J1158" s="29" t="s">
        <v>202</v>
      </c>
      <c r="K1158" s="30" t="s">
        <v>44</v>
      </c>
      <c r="L1158" s="31"/>
      <c r="M1158" s="32" t="s">
        <v>45</v>
      </c>
    </row>
    <row r="1159" customFormat="false" ht="51" hidden="false" customHeight="true" outlineLevel="0" collapsed="false">
      <c r="B1159" s="29" t="s">
        <v>5426</v>
      </c>
      <c r="C1159" s="29" t="s">
        <v>214</v>
      </c>
      <c r="D1159" s="29" t="s">
        <v>3644</v>
      </c>
      <c r="E1159" s="29" t="s">
        <v>543</v>
      </c>
      <c r="F1159" s="29" t="s">
        <v>5427</v>
      </c>
      <c r="G1159" s="29" t="s">
        <v>5427</v>
      </c>
      <c r="H1159" s="29" t="s">
        <v>5428</v>
      </c>
      <c r="I1159" s="29" t="s">
        <v>472</v>
      </c>
      <c r="J1159" s="29" t="s">
        <v>472</v>
      </c>
      <c r="K1159" s="30" t="s">
        <v>44</v>
      </c>
      <c r="L1159" s="31"/>
      <c r="M1159" s="32" t="s">
        <v>45</v>
      </c>
    </row>
    <row r="1160" customFormat="false" ht="51" hidden="false" customHeight="true" outlineLevel="0" collapsed="false">
      <c r="B1160" s="29" t="s">
        <v>5429</v>
      </c>
      <c r="C1160" s="29" t="s">
        <v>214</v>
      </c>
      <c r="D1160" s="29" t="s">
        <v>3658</v>
      </c>
      <c r="E1160" s="29" t="s">
        <v>543</v>
      </c>
      <c r="F1160" s="29" t="s">
        <v>5430</v>
      </c>
      <c r="G1160" s="29" t="s">
        <v>5430</v>
      </c>
      <c r="H1160" s="29" t="s">
        <v>5431</v>
      </c>
      <c r="I1160" s="29" t="s">
        <v>3696</v>
      </c>
      <c r="J1160" s="29" t="s">
        <v>155</v>
      </c>
      <c r="K1160" s="30" t="s">
        <v>44</v>
      </c>
      <c r="L1160" s="31"/>
      <c r="M1160" s="32" t="s">
        <v>45</v>
      </c>
    </row>
    <row r="1161" customFormat="false" ht="51" hidden="false" customHeight="true" outlineLevel="0" collapsed="false">
      <c r="B1161" s="29" t="s">
        <v>5432</v>
      </c>
      <c r="C1161" s="29" t="s">
        <v>214</v>
      </c>
      <c r="D1161" s="29" t="s">
        <v>5433</v>
      </c>
      <c r="E1161" s="29" t="s">
        <v>600</v>
      </c>
      <c r="F1161" s="29" t="s">
        <v>5434</v>
      </c>
      <c r="G1161" s="29" t="s">
        <v>5434</v>
      </c>
      <c r="H1161" s="29" t="s">
        <v>5431</v>
      </c>
      <c r="I1161" s="29" t="s">
        <v>3696</v>
      </c>
      <c r="J1161" s="29" t="s">
        <v>155</v>
      </c>
      <c r="K1161" s="30" t="s">
        <v>44</v>
      </c>
      <c r="L1161" s="31"/>
      <c r="M1161" s="32" t="s">
        <v>45</v>
      </c>
    </row>
    <row r="1162" customFormat="false" ht="51" hidden="false" customHeight="true" outlineLevel="0" collapsed="false">
      <c r="B1162" s="29" t="s">
        <v>5435</v>
      </c>
      <c r="C1162" s="29" t="s">
        <v>214</v>
      </c>
      <c r="D1162" s="29" t="s">
        <v>5436</v>
      </c>
      <c r="E1162" s="29" t="s">
        <v>600</v>
      </c>
      <c r="F1162" s="29" t="s">
        <v>5437</v>
      </c>
      <c r="G1162" s="29" t="s">
        <v>5438</v>
      </c>
      <c r="H1162" s="29" t="s">
        <v>5431</v>
      </c>
      <c r="I1162" s="29" t="s">
        <v>3696</v>
      </c>
      <c r="J1162" s="29" t="s">
        <v>155</v>
      </c>
      <c r="K1162" s="30" t="s">
        <v>44</v>
      </c>
      <c r="L1162" s="31"/>
      <c r="M1162" s="32" t="s">
        <v>45</v>
      </c>
    </row>
    <row r="1163" customFormat="false" ht="51" hidden="false" customHeight="true" outlineLevel="0" collapsed="false">
      <c r="B1163" s="29" t="s">
        <v>5439</v>
      </c>
      <c r="C1163" s="29" t="s">
        <v>214</v>
      </c>
      <c r="D1163" s="29" t="s">
        <v>5440</v>
      </c>
      <c r="E1163" s="29" t="s">
        <v>91</v>
      </c>
      <c r="F1163" s="29" t="s">
        <v>5441</v>
      </c>
      <c r="G1163" s="29" t="s">
        <v>5441</v>
      </c>
      <c r="H1163" s="29" t="s">
        <v>5431</v>
      </c>
      <c r="I1163" s="29" t="s">
        <v>3843</v>
      </c>
      <c r="J1163" s="29" t="s">
        <v>2544</v>
      </c>
      <c r="K1163" s="30" t="s">
        <v>44</v>
      </c>
      <c r="L1163" s="31"/>
      <c r="M1163" s="32" t="s">
        <v>45</v>
      </c>
    </row>
    <row r="1164" customFormat="false" ht="51" hidden="false" customHeight="true" outlineLevel="0" collapsed="false">
      <c r="B1164" s="29" t="s">
        <v>5442</v>
      </c>
      <c r="C1164" s="29" t="s">
        <v>214</v>
      </c>
      <c r="D1164" s="29" t="s">
        <v>5443</v>
      </c>
      <c r="E1164" s="29" t="s">
        <v>600</v>
      </c>
      <c r="F1164" s="29" t="s">
        <v>5444</v>
      </c>
      <c r="G1164" s="29" t="s">
        <v>5444</v>
      </c>
      <c r="H1164" s="29" t="s">
        <v>5431</v>
      </c>
      <c r="I1164" s="29" t="s">
        <v>3843</v>
      </c>
      <c r="J1164" s="29" t="s">
        <v>2117</v>
      </c>
      <c r="K1164" s="30" t="s">
        <v>44</v>
      </c>
      <c r="L1164" s="31"/>
      <c r="M1164" s="32" t="s">
        <v>45</v>
      </c>
    </row>
    <row r="1165" customFormat="false" ht="51" hidden="false" customHeight="true" outlineLevel="0" collapsed="false">
      <c r="B1165" s="29" t="s">
        <v>5445</v>
      </c>
      <c r="C1165" s="29" t="s">
        <v>214</v>
      </c>
      <c r="D1165" s="29" t="s">
        <v>5446</v>
      </c>
      <c r="E1165" s="29" t="s">
        <v>543</v>
      </c>
      <c r="F1165" s="29" t="s">
        <v>5447</v>
      </c>
      <c r="G1165" s="29" t="s">
        <v>5447</v>
      </c>
      <c r="H1165" s="29" t="s">
        <v>5428</v>
      </c>
      <c r="I1165" s="29" t="s">
        <v>472</v>
      </c>
      <c r="J1165" s="29" t="s">
        <v>472</v>
      </c>
      <c r="K1165" s="30" t="s">
        <v>44</v>
      </c>
      <c r="L1165" s="31"/>
      <c r="M1165" s="32" t="s">
        <v>45</v>
      </c>
    </row>
    <row r="1166" customFormat="false" ht="51" hidden="false" customHeight="true" outlineLevel="0" collapsed="false">
      <c r="B1166" s="29" t="s">
        <v>5448</v>
      </c>
      <c r="C1166" s="29" t="s">
        <v>214</v>
      </c>
      <c r="D1166" s="29" t="s">
        <v>5449</v>
      </c>
      <c r="E1166" s="29" t="s">
        <v>99</v>
      </c>
      <c r="F1166" s="29" t="s">
        <v>5450</v>
      </c>
      <c r="G1166" s="29" t="s">
        <v>5451</v>
      </c>
      <c r="H1166" s="29" t="s">
        <v>5431</v>
      </c>
      <c r="I1166" s="29" t="s">
        <v>42</v>
      </c>
      <c r="J1166" s="29" t="s">
        <v>67</v>
      </c>
      <c r="K1166" s="30" t="s">
        <v>44</v>
      </c>
      <c r="L1166" s="31"/>
      <c r="M1166" s="32" t="s">
        <v>45</v>
      </c>
    </row>
    <row r="1167" customFormat="false" ht="51" hidden="false" customHeight="true" outlineLevel="0" collapsed="false">
      <c r="B1167" s="29" t="s">
        <v>5452</v>
      </c>
      <c r="C1167" s="29" t="s">
        <v>214</v>
      </c>
      <c r="D1167" s="29" t="s">
        <v>5453</v>
      </c>
      <c r="E1167" s="29" t="s">
        <v>99</v>
      </c>
      <c r="F1167" s="29" t="s">
        <v>5454</v>
      </c>
      <c r="G1167" s="29" t="s">
        <v>5454</v>
      </c>
      <c r="H1167" s="29" t="s">
        <v>5455</v>
      </c>
      <c r="I1167" s="29" t="s">
        <v>42</v>
      </c>
      <c r="J1167" s="29" t="s">
        <v>67</v>
      </c>
      <c r="K1167" s="30" t="s">
        <v>44</v>
      </c>
      <c r="L1167" s="31"/>
      <c r="M1167" s="32" t="s">
        <v>45</v>
      </c>
    </row>
    <row r="1168" customFormat="false" ht="51" hidden="false" customHeight="true" outlineLevel="0" collapsed="false">
      <c r="B1168" s="29" t="s">
        <v>5456</v>
      </c>
      <c r="C1168" s="29" t="s">
        <v>214</v>
      </c>
      <c r="D1168" s="29" t="s">
        <v>5457</v>
      </c>
      <c r="E1168" s="29" t="s">
        <v>99</v>
      </c>
      <c r="F1168" s="29" t="s">
        <v>5458</v>
      </c>
      <c r="G1168" s="29" t="s">
        <v>5458</v>
      </c>
      <c r="H1168" s="29" t="s">
        <v>5455</v>
      </c>
      <c r="I1168" s="29" t="s">
        <v>42</v>
      </c>
      <c r="J1168" s="29" t="s">
        <v>67</v>
      </c>
      <c r="K1168" s="30" t="s">
        <v>44</v>
      </c>
      <c r="L1168" s="31"/>
      <c r="M1168" s="32" t="s">
        <v>45</v>
      </c>
    </row>
    <row r="1169" customFormat="false" ht="51" hidden="false" customHeight="true" outlineLevel="0" collapsed="false">
      <c r="B1169" s="29" t="s">
        <v>5459</v>
      </c>
      <c r="C1169" s="29" t="s">
        <v>214</v>
      </c>
      <c r="D1169" s="29" t="s">
        <v>5460</v>
      </c>
      <c r="E1169" s="29" t="s">
        <v>600</v>
      </c>
      <c r="F1169" s="29" t="s">
        <v>5461</v>
      </c>
      <c r="G1169" s="29" t="s">
        <v>5461</v>
      </c>
      <c r="H1169" s="29" t="s">
        <v>5462</v>
      </c>
      <c r="I1169" s="29" t="s">
        <v>3696</v>
      </c>
      <c r="J1169" s="29" t="s">
        <v>155</v>
      </c>
      <c r="K1169" s="30" t="s">
        <v>44</v>
      </c>
      <c r="L1169" s="31"/>
      <c r="M1169" s="32" t="s">
        <v>45</v>
      </c>
    </row>
    <row r="1170" customFormat="false" ht="51" hidden="false" customHeight="true" outlineLevel="0" collapsed="false">
      <c r="B1170" s="29" t="s">
        <v>5463</v>
      </c>
      <c r="C1170" s="29" t="s">
        <v>214</v>
      </c>
      <c r="D1170" s="29" t="s">
        <v>5464</v>
      </c>
      <c r="E1170" s="29" t="s">
        <v>543</v>
      </c>
      <c r="F1170" s="29" t="s">
        <v>5465</v>
      </c>
      <c r="G1170" s="29" t="s">
        <v>5465</v>
      </c>
      <c r="H1170" s="29" t="s">
        <v>5466</v>
      </c>
      <c r="I1170" s="29" t="s">
        <v>472</v>
      </c>
      <c r="J1170" s="29" t="s">
        <v>472</v>
      </c>
      <c r="K1170" s="30" t="s">
        <v>44</v>
      </c>
      <c r="L1170" s="31"/>
      <c r="M1170" s="32" t="s">
        <v>45</v>
      </c>
    </row>
    <row r="1171" customFormat="false" ht="51" hidden="false" customHeight="true" outlineLevel="0" collapsed="false">
      <c r="B1171" s="29" t="s">
        <v>5467</v>
      </c>
      <c r="C1171" s="29" t="s">
        <v>214</v>
      </c>
      <c r="D1171" s="29" t="s">
        <v>5468</v>
      </c>
      <c r="E1171" s="29" t="s">
        <v>600</v>
      </c>
      <c r="F1171" s="29" t="s">
        <v>5469</v>
      </c>
      <c r="G1171" s="29" t="s">
        <v>5469</v>
      </c>
      <c r="H1171" s="29" t="s">
        <v>5462</v>
      </c>
      <c r="I1171" s="29" t="s">
        <v>3696</v>
      </c>
      <c r="J1171" s="29" t="s">
        <v>155</v>
      </c>
      <c r="K1171" s="30" t="s">
        <v>44</v>
      </c>
      <c r="L1171" s="31"/>
      <c r="M1171" s="32" t="s">
        <v>45</v>
      </c>
    </row>
    <row r="1172" customFormat="false" ht="51" hidden="false" customHeight="true" outlineLevel="0" collapsed="false">
      <c r="B1172" s="29" t="s">
        <v>5470</v>
      </c>
      <c r="C1172" s="29" t="s">
        <v>214</v>
      </c>
      <c r="D1172" s="29" t="s">
        <v>5471</v>
      </c>
      <c r="E1172" s="29" t="s">
        <v>351</v>
      </c>
      <c r="F1172" s="29" t="s">
        <v>5472</v>
      </c>
      <c r="G1172" s="29" t="s">
        <v>5472</v>
      </c>
      <c r="H1172" s="29" t="s">
        <v>5462</v>
      </c>
      <c r="I1172" s="29" t="s">
        <v>302</v>
      </c>
      <c r="J1172" s="29" t="s">
        <v>202</v>
      </c>
      <c r="K1172" s="30" t="s">
        <v>44</v>
      </c>
      <c r="L1172" s="31"/>
      <c r="M1172" s="32" t="s">
        <v>45</v>
      </c>
    </row>
    <row r="1173" customFormat="false" ht="51" hidden="false" customHeight="true" outlineLevel="0" collapsed="false">
      <c r="B1173" s="29" t="s">
        <v>5473</v>
      </c>
      <c r="C1173" s="29" t="s">
        <v>214</v>
      </c>
      <c r="D1173" s="29" t="s">
        <v>5474</v>
      </c>
      <c r="E1173" s="29" t="s">
        <v>600</v>
      </c>
      <c r="F1173" s="29" t="s">
        <v>5475</v>
      </c>
      <c r="G1173" s="29" t="s">
        <v>5476</v>
      </c>
      <c r="H1173" s="29" t="s">
        <v>5477</v>
      </c>
      <c r="I1173" s="29" t="s">
        <v>3696</v>
      </c>
      <c r="J1173" s="29" t="s">
        <v>155</v>
      </c>
      <c r="K1173" s="30" t="s">
        <v>44</v>
      </c>
      <c r="L1173" s="31"/>
      <c r="M1173" s="32" t="s">
        <v>45</v>
      </c>
    </row>
    <row r="1174" customFormat="false" ht="51" hidden="false" customHeight="true" outlineLevel="0" collapsed="false">
      <c r="B1174" s="29" t="s">
        <v>5478</v>
      </c>
      <c r="C1174" s="29" t="s">
        <v>214</v>
      </c>
      <c r="D1174" s="29" t="s">
        <v>5479</v>
      </c>
      <c r="E1174" s="29" t="s">
        <v>600</v>
      </c>
      <c r="F1174" s="29" t="s">
        <v>5480</v>
      </c>
      <c r="G1174" s="29" t="s">
        <v>5480</v>
      </c>
      <c r="H1174" s="29" t="s">
        <v>5481</v>
      </c>
      <c r="I1174" s="29" t="s">
        <v>472</v>
      </c>
      <c r="J1174" s="29" t="s">
        <v>472</v>
      </c>
      <c r="K1174" s="30" t="s">
        <v>44</v>
      </c>
      <c r="L1174" s="31"/>
      <c r="M1174" s="32" t="s">
        <v>45</v>
      </c>
    </row>
    <row r="1175" customFormat="false" ht="51" hidden="false" customHeight="true" outlineLevel="0" collapsed="false">
      <c r="B1175" s="29" t="s">
        <v>5482</v>
      </c>
      <c r="C1175" s="29" t="s">
        <v>214</v>
      </c>
      <c r="D1175" s="29" t="s">
        <v>5483</v>
      </c>
      <c r="E1175" s="29" t="s">
        <v>600</v>
      </c>
      <c r="F1175" s="29" t="s">
        <v>5484</v>
      </c>
      <c r="G1175" s="29" t="s">
        <v>5485</v>
      </c>
      <c r="H1175" s="29" t="s">
        <v>5477</v>
      </c>
      <c r="I1175" s="29" t="s">
        <v>3696</v>
      </c>
      <c r="J1175" s="29" t="s">
        <v>155</v>
      </c>
      <c r="K1175" s="30" t="s">
        <v>44</v>
      </c>
      <c r="L1175" s="31"/>
      <c r="M1175" s="32" t="s">
        <v>45</v>
      </c>
    </row>
    <row r="1176" customFormat="false" ht="51" hidden="false" customHeight="true" outlineLevel="0" collapsed="false">
      <c r="B1176" s="29" t="s">
        <v>5486</v>
      </c>
      <c r="C1176" s="29" t="s">
        <v>214</v>
      </c>
      <c r="D1176" s="29" t="s">
        <v>5487</v>
      </c>
      <c r="E1176" s="29" t="s">
        <v>600</v>
      </c>
      <c r="F1176" s="29" t="s">
        <v>5488</v>
      </c>
      <c r="G1176" s="29" t="s">
        <v>5489</v>
      </c>
      <c r="H1176" s="29" t="s">
        <v>5477</v>
      </c>
      <c r="I1176" s="29" t="s">
        <v>3696</v>
      </c>
      <c r="J1176" s="29" t="s">
        <v>155</v>
      </c>
      <c r="K1176" s="30" t="s">
        <v>44</v>
      </c>
      <c r="L1176" s="31"/>
      <c r="M1176" s="32" t="s">
        <v>45</v>
      </c>
    </row>
    <row r="1177" customFormat="false" ht="51" hidden="false" customHeight="true" outlineLevel="0" collapsed="false">
      <c r="B1177" s="29" t="s">
        <v>5490</v>
      </c>
      <c r="C1177" s="29" t="s">
        <v>214</v>
      </c>
      <c r="D1177" s="29" t="s">
        <v>5491</v>
      </c>
      <c r="E1177" s="29" t="s">
        <v>600</v>
      </c>
      <c r="F1177" s="29" t="s">
        <v>5492</v>
      </c>
      <c r="G1177" s="29" t="s">
        <v>5492</v>
      </c>
      <c r="H1177" s="29" t="s">
        <v>5477</v>
      </c>
      <c r="I1177" s="29" t="s">
        <v>3696</v>
      </c>
      <c r="J1177" s="29" t="s">
        <v>155</v>
      </c>
      <c r="K1177" s="30" t="s">
        <v>44</v>
      </c>
      <c r="L1177" s="31"/>
      <c r="M1177" s="32" t="s">
        <v>45</v>
      </c>
    </row>
    <row r="1178" customFormat="false" ht="51" hidden="false" customHeight="true" outlineLevel="0" collapsed="false">
      <c r="B1178" s="29" t="s">
        <v>5493</v>
      </c>
      <c r="C1178" s="29" t="s">
        <v>214</v>
      </c>
      <c r="D1178" s="29" t="s">
        <v>5494</v>
      </c>
      <c r="E1178" s="29" t="s">
        <v>600</v>
      </c>
      <c r="F1178" s="29" t="s">
        <v>5495</v>
      </c>
      <c r="G1178" s="29" t="s">
        <v>5495</v>
      </c>
      <c r="H1178" s="29" t="s">
        <v>5496</v>
      </c>
      <c r="I1178" s="29" t="s">
        <v>472</v>
      </c>
      <c r="J1178" s="29" t="s">
        <v>472</v>
      </c>
      <c r="K1178" s="30" t="s">
        <v>44</v>
      </c>
      <c r="L1178" s="31"/>
      <c r="M1178" s="32" t="s">
        <v>45</v>
      </c>
    </row>
    <row r="1179" customFormat="false" ht="51" hidden="false" customHeight="true" outlineLevel="0" collapsed="false">
      <c r="B1179" s="29" t="s">
        <v>5497</v>
      </c>
      <c r="C1179" s="29" t="s">
        <v>214</v>
      </c>
      <c r="D1179" s="29" t="s">
        <v>5498</v>
      </c>
      <c r="E1179" s="29" t="s">
        <v>600</v>
      </c>
      <c r="F1179" s="29" t="s">
        <v>5499</v>
      </c>
      <c r="G1179" s="29" t="s">
        <v>5499</v>
      </c>
      <c r="H1179" s="29" t="s">
        <v>5500</v>
      </c>
      <c r="I1179" s="29" t="s">
        <v>472</v>
      </c>
      <c r="J1179" s="29" t="s">
        <v>472</v>
      </c>
      <c r="K1179" s="30" t="s">
        <v>44</v>
      </c>
      <c r="L1179" s="31"/>
      <c r="M1179" s="32" t="s">
        <v>45</v>
      </c>
    </row>
    <row r="1180" customFormat="false" ht="51" hidden="false" customHeight="true" outlineLevel="0" collapsed="false">
      <c r="B1180" s="29" t="s">
        <v>5501</v>
      </c>
      <c r="C1180" s="29" t="s">
        <v>214</v>
      </c>
      <c r="D1180" s="29" t="s">
        <v>5502</v>
      </c>
      <c r="E1180" s="29" t="s">
        <v>600</v>
      </c>
      <c r="F1180" s="29" t="s">
        <v>5503</v>
      </c>
      <c r="G1180" s="29" t="s">
        <v>5504</v>
      </c>
      <c r="H1180" s="29" t="s">
        <v>5505</v>
      </c>
      <c r="I1180" s="29" t="s">
        <v>3696</v>
      </c>
      <c r="J1180" s="29" t="s">
        <v>155</v>
      </c>
      <c r="K1180" s="30" t="s">
        <v>44</v>
      </c>
      <c r="L1180" s="31"/>
      <c r="M1180" s="32" t="s">
        <v>45</v>
      </c>
    </row>
    <row r="1181" customFormat="false" ht="51" hidden="false" customHeight="true" outlineLevel="0" collapsed="false">
      <c r="B1181" s="29" t="s">
        <v>5506</v>
      </c>
      <c r="C1181" s="29" t="s">
        <v>214</v>
      </c>
      <c r="D1181" s="29" t="s">
        <v>5507</v>
      </c>
      <c r="E1181" s="29" t="s">
        <v>600</v>
      </c>
      <c r="F1181" s="29" t="s">
        <v>5508</v>
      </c>
      <c r="G1181" s="29" t="s">
        <v>5508</v>
      </c>
      <c r="H1181" s="29" t="s">
        <v>5500</v>
      </c>
      <c r="I1181" s="29" t="s">
        <v>472</v>
      </c>
      <c r="J1181" s="29" t="s">
        <v>472</v>
      </c>
      <c r="K1181" s="30" t="s">
        <v>44</v>
      </c>
      <c r="L1181" s="31"/>
      <c r="M1181" s="32" t="s">
        <v>45</v>
      </c>
    </row>
    <row r="1182" customFormat="false" ht="51" hidden="false" customHeight="true" outlineLevel="0" collapsed="false">
      <c r="B1182" s="29" t="s">
        <v>5509</v>
      </c>
      <c r="C1182" s="29" t="s">
        <v>214</v>
      </c>
      <c r="D1182" s="29" t="s">
        <v>5510</v>
      </c>
      <c r="E1182" s="29" t="s">
        <v>600</v>
      </c>
      <c r="F1182" s="29" t="s">
        <v>5511</v>
      </c>
      <c r="G1182" s="29" t="s">
        <v>5511</v>
      </c>
      <c r="H1182" s="29" t="s">
        <v>5500</v>
      </c>
      <c r="I1182" s="29" t="s">
        <v>472</v>
      </c>
      <c r="J1182" s="29" t="s">
        <v>472</v>
      </c>
      <c r="K1182" s="30" t="s">
        <v>44</v>
      </c>
      <c r="L1182" s="31"/>
      <c r="M1182" s="32" t="s">
        <v>45</v>
      </c>
    </row>
    <row r="1183" customFormat="false" ht="51" hidden="false" customHeight="true" outlineLevel="0" collapsed="false">
      <c r="B1183" s="29" t="s">
        <v>5512</v>
      </c>
      <c r="C1183" s="29" t="s">
        <v>214</v>
      </c>
      <c r="D1183" s="29" t="s">
        <v>5513</v>
      </c>
      <c r="E1183" s="29" t="s">
        <v>600</v>
      </c>
      <c r="F1183" s="29" t="s">
        <v>5514</v>
      </c>
      <c r="G1183" s="29" t="s">
        <v>5514</v>
      </c>
      <c r="H1183" s="29" t="s">
        <v>5515</v>
      </c>
      <c r="I1183" s="29" t="s">
        <v>472</v>
      </c>
      <c r="J1183" s="29" t="s">
        <v>472</v>
      </c>
      <c r="K1183" s="30" t="s">
        <v>44</v>
      </c>
      <c r="L1183" s="31"/>
      <c r="M1183" s="32" t="s">
        <v>45</v>
      </c>
    </row>
    <row r="1184" customFormat="false" ht="51" hidden="false" customHeight="true" outlineLevel="0" collapsed="false">
      <c r="B1184" s="29" t="s">
        <v>5516</v>
      </c>
      <c r="C1184" s="29" t="s">
        <v>214</v>
      </c>
      <c r="D1184" s="29" t="s">
        <v>5517</v>
      </c>
      <c r="E1184" s="29" t="s">
        <v>600</v>
      </c>
      <c r="F1184" s="29" t="s">
        <v>5518</v>
      </c>
      <c r="G1184" s="29" t="s">
        <v>5518</v>
      </c>
      <c r="H1184" s="29" t="s">
        <v>5515</v>
      </c>
      <c r="I1184" s="29" t="s">
        <v>472</v>
      </c>
      <c r="J1184" s="29" t="s">
        <v>472</v>
      </c>
      <c r="K1184" s="30" t="s">
        <v>44</v>
      </c>
      <c r="L1184" s="31"/>
      <c r="M1184" s="32" t="s">
        <v>45</v>
      </c>
    </row>
    <row r="1185" customFormat="false" ht="51" hidden="false" customHeight="true" outlineLevel="0" collapsed="false">
      <c r="B1185" s="29" t="s">
        <v>5519</v>
      </c>
      <c r="C1185" s="29" t="s">
        <v>214</v>
      </c>
      <c r="D1185" s="29" t="s">
        <v>5520</v>
      </c>
      <c r="E1185" s="29" t="s">
        <v>600</v>
      </c>
      <c r="F1185" s="29" t="s">
        <v>5521</v>
      </c>
      <c r="G1185" s="29" t="s">
        <v>5521</v>
      </c>
      <c r="H1185" s="29" t="s">
        <v>5522</v>
      </c>
      <c r="I1185" s="29" t="s">
        <v>3696</v>
      </c>
      <c r="J1185" s="29" t="s">
        <v>155</v>
      </c>
      <c r="K1185" s="30" t="s">
        <v>44</v>
      </c>
      <c r="L1185" s="31"/>
      <c r="M1185" s="32" t="s">
        <v>45</v>
      </c>
    </row>
    <row r="1186" customFormat="false" ht="51" hidden="false" customHeight="true" outlineLevel="0" collapsed="false">
      <c r="B1186" s="29" t="s">
        <v>5523</v>
      </c>
      <c r="C1186" s="29" t="s">
        <v>214</v>
      </c>
      <c r="D1186" s="29" t="s">
        <v>5524</v>
      </c>
      <c r="E1186" s="29" t="s">
        <v>600</v>
      </c>
      <c r="F1186" s="29" t="s">
        <v>5525</v>
      </c>
      <c r="G1186" s="29" t="s">
        <v>5525</v>
      </c>
      <c r="H1186" s="29" t="s">
        <v>5522</v>
      </c>
      <c r="I1186" s="29" t="s">
        <v>3696</v>
      </c>
      <c r="J1186" s="29" t="s">
        <v>155</v>
      </c>
      <c r="K1186" s="30" t="s">
        <v>44</v>
      </c>
      <c r="L1186" s="31"/>
      <c r="M1186" s="32" t="s">
        <v>45</v>
      </c>
    </row>
    <row r="1187" customFormat="false" ht="51" hidden="false" customHeight="true" outlineLevel="0" collapsed="false">
      <c r="B1187" s="29" t="s">
        <v>5526</v>
      </c>
      <c r="C1187" s="29" t="s">
        <v>214</v>
      </c>
      <c r="D1187" s="29" t="s">
        <v>5527</v>
      </c>
      <c r="E1187" s="29" t="s">
        <v>600</v>
      </c>
      <c r="F1187" s="29" t="s">
        <v>5528</v>
      </c>
      <c r="G1187" s="29" t="s">
        <v>5529</v>
      </c>
      <c r="H1187" s="29" t="s">
        <v>5530</v>
      </c>
      <c r="I1187" s="29" t="s">
        <v>472</v>
      </c>
      <c r="J1187" s="29" t="s">
        <v>472</v>
      </c>
      <c r="K1187" s="30" t="s">
        <v>44</v>
      </c>
      <c r="L1187" s="31"/>
      <c r="M1187" s="32" t="s">
        <v>45</v>
      </c>
    </row>
    <row r="1188" customFormat="false" ht="51" hidden="false" customHeight="true" outlineLevel="0" collapsed="false">
      <c r="B1188" s="29" t="s">
        <v>5531</v>
      </c>
      <c r="C1188" s="29" t="s">
        <v>214</v>
      </c>
      <c r="D1188" s="29" t="s">
        <v>5532</v>
      </c>
      <c r="E1188" s="29" t="s">
        <v>600</v>
      </c>
      <c r="F1188" s="29" t="s">
        <v>5533</v>
      </c>
      <c r="G1188" s="29" t="s">
        <v>5534</v>
      </c>
      <c r="H1188" s="29" t="s">
        <v>5535</v>
      </c>
      <c r="I1188" s="29" t="s">
        <v>3696</v>
      </c>
      <c r="J1188" s="29" t="s">
        <v>155</v>
      </c>
      <c r="K1188" s="30" t="s">
        <v>44</v>
      </c>
      <c r="L1188" s="31"/>
      <c r="M1188" s="32" t="s">
        <v>45</v>
      </c>
    </row>
    <row r="1189" customFormat="false" ht="51" hidden="false" customHeight="true" outlineLevel="0" collapsed="false">
      <c r="B1189" s="29" t="s">
        <v>5536</v>
      </c>
      <c r="C1189" s="29" t="s">
        <v>214</v>
      </c>
      <c r="D1189" s="29" t="s">
        <v>5537</v>
      </c>
      <c r="E1189" s="29" t="s">
        <v>543</v>
      </c>
      <c r="F1189" s="29" t="s">
        <v>5538</v>
      </c>
      <c r="G1189" s="29" t="s">
        <v>5538</v>
      </c>
      <c r="H1189" s="29" t="s">
        <v>5535</v>
      </c>
      <c r="I1189" s="29" t="s">
        <v>42</v>
      </c>
      <c r="J1189" s="29" t="s">
        <v>43</v>
      </c>
      <c r="K1189" s="30" t="s">
        <v>44</v>
      </c>
      <c r="L1189" s="31"/>
      <c r="M1189" s="32" t="s">
        <v>45</v>
      </c>
    </row>
    <row r="1190" customFormat="false" ht="51" hidden="false" customHeight="true" outlineLevel="0" collapsed="false">
      <c r="B1190" s="29" t="s">
        <v>5539</v>
      </c>
      <c r="C1190" s="29" t="s">
        <v>214</v>
      </c>
      <c r="D1190" s="29" t="s">
        <v>5540</v>
      </c>
      <c r="E1190" s="29" t="s">
        <v>357</v>
      </c>
      <c r="F1190" s="29" t="s">
        <v>5541</v>
      </c>
      <c r="G1190" s="29" t="s">
        <v>5542</v>
      </c>
      <c r="H1190" s="29" t="s">
        <v>5535</v>
      </c>
      <c r="I1190" s="29" t="s">
        <v>302</v>
      </c>
      <c r="J1190" s="29" t="s">
        <v>202</v>
      </c>
      <c r="K1190" s="30" t="s">
        <v>44</v>
      </c>
      <c r="L1190" s="31"/>
      <c r="M1190" s="32" t="s">
        <v>45</v>
      </c>
    </row>
    <row r="1191" customFormat="false" ht="51" hidden="false" customHeight="true" outlineLevel="0" collapsed="false">
      <c r="B1191" s="29" t="s">
        <v>5543</v>
      </c>
      <c r="C1191" s="29" t="s">
        <v>214</v>
      </c>
      <c r="D1191" s="29" t="s">
        <v>5544</v>
      </c>
      <c r="E1191" s="29" t="s">
        <v>543</v>
      </c>
      <c r="F1191" s="29" t="s">
        <v>5545</v>
      </c>
      <c r="G1191" s="29" t="s">
        <v>5545</v>
      </c>
      <c r="H1191" s="29" t="s">
        <v>5530</v>
      </c>
      <c r="I1191" s="29" t="s">
        <v>472</v>
      </c>
      <c r="J1191" s="29" t="s">
        <v>472</v>
      </c>
      <c r="K1191" s="30" t="s">
        <v>44</v>
      </c>
      <c r="L1191" s="31"/>
      <c r="M1191" s="32" t="s">
        <v>45</v>
      </c>
    </row>
    <row r="1192" customFormat="false" ht="51" hidden="false" customHeight="true" outlineLevel="0" collapsed="false">
      <c r="B1192" s="29" t="s">
        <v>5546</v>
      </c>
      <c r="C1192" s="29" t="s">
        <v>214</v>
      </c>
      <c r="D1192" s="29" t="s">
        <v>5547</v>
      </c>
      <c r="E1192" s="29" t="s">
        <v>357</v>
      </c>
      <c r="F1192" s="29" t="s">
        <v>5548</v>
      </c>
      <c r="G1192" s="29" t="s">
        <v>5549</v>
      </c>
      <c r="H1192" s="29" t="s">
        <v>5535</v>
      </c>
      <c r="I1192" s="29" t="s">
        <v>302</v>
      </c>
      <c r="J1192" s="29" t="s">
        <v>202</v>
      </c>
      <c r="K1192" s="30" t="s">
        <v>44</v>
      </c>
      <c r="L1192" s="31"/>
      <c r="M1192" s="32" t="s">
        <v>45</v>
      </c>
    </row>
    <row r="1193" customFormat="false" ht="51" hidden="false" customHeight="true" outlineLevel="0" collapsed="false">
      <c r="B1193" s="29" t="s">
        <v>5550</v>
      </c>
      <c r="C1193" s="29" t="s">
        <v>214</v>
      </c>
      <c r="D1193" s="29" t="s">
        <v>3667</v>
      </c>
      <c r="E1193" s="29" t="s">
        <v>600</v>
      </c>
      <c r="F1193" s="29" t="s">
        <v>5551</v>
      </c>
      <c r="G1193" s="29" t="s">
        <v>5551</v>
      </c>
      <c r="H1193" s="29" t="s">
        <v>5552</v>
      </c>
      <c r="I1193" s="29" t="s">
        <v>3696</v>
      </c>
      <c r="J1193" s="29" t="s">
        <v>155</v>
      </c>
      <c r="K1193" s="30" t="s">
        <v>44</v>
      </c>
      <c r="L1193" s="31"/>
      <c r="M1193" s="32" t="s">
        <v>45</v>
      </c>
    </row>
    <row r="1194" customFormat="false" ht="51" hidden="false" customHeight="true" outlineLevel="0" collapsed="false">
      <c r="B1194" s="29" t="s">
        <v>5553</v>
      </c>
      <c r="C1194" s="29" t="s">
        <v>214</v>
      </c>
      <c r="D1194" s="29" t="s">
        <v>3689</v>
      </c>
      <c r="E1194" s="29" t="s">
        <v>600</v>
      </c>
      <c r="F1194" s="29" t="s">
        <v>5554</v>
      </c>
      <c r="G1194" s="29" t="s">
        <v>5554</v>
      </c>
      <c r="H1194" s="29" t="s">
        <v>5552</v>
      </c>
      <c r="I1194" s="29" t="s">
        <v>3696</v>
      </c>
      <c r="J1194" s="29" t="s">
        <v>155</v>
      </c>
      <c r="K1194" s="30" t="s">
        <v>44</v>
      </c>
      <c r="L1194" s="31"/>
      <c r="M1194" s="32" t="s">
        <v>45</v>
      </c>
    </row>
    <row r="1195" customFormat="false" ht="51" hidden="false" customHeight="true" outlineLevel="0" collapsed="false">
      <c r="B1195" s="29" t="s">
        <v>5555</v>
      </c>
      <c r="C1195" s="29" t="s">
        <v>214</v>
      </c>
      <c r="D1195" s="29" t="s">
        <v>5556</v>
      </c>
      <c r="E1195" s="29" t="s">
        <v>600</v>
      </c>
      <c r="F1195" s="29" t="s">
        <v>5557</v>
      </c>
      <c r="G1195" s="29" t="s">
        <v>5557</v>
      </c>
      <c r="H1195" s="29" t="s">
        <v>5558</v>
      </c>
      <c r="I1195" s="29" t="s">
        <v>3696</v>
      </c>
      <c r="J1195" s="29" t="s">
        <v>155</v>
      </c>
      <c r="K1195" s="30" t="s">
        <v>44</v>
      </c>
      <c r="L1195" s="31"/>
      <c r="M1195" s="32" t="s">
        <v>45</v>
      </c>
    </row>
    <row r="1196" customFormat="false" ht="51" hidden="false" customHeight="true" outlineLevel="0" collapsed="false">
      <c r="B1196" s="29" t="s">
        <v>5559</v>
      </c>
      <c r="C1196" s="29" t="s">
        <v>214</v>
      </c>
      <c r="D1196" s="29" t="s">
        <v>5560</v>
      </c>
      <c r="E1196" s="29" t="s">
        <v>600</v>
      </c>
      <c r="F1196" s="29" t="s">
        <v>5561</v>
      </c>
      <c r="G1196" s="29" t="s">
        <v>5561</v>
      </c>
      <c r="H1196" s="29" t="s">
        <v>5558</v>
      </c>
      <c r="I1196" s="29" t="s">
        <v>3696</v>
      </c>
      <c r="J1196" s="29" t="s">
        <v>155</v>
      </c>
      <c r="K1196" s="30" t="s">
        <v>44</v>
      </c>
      <c r="L1196" s="31"/>
      <c r="M1196" s="32" t="s">
        <v>45</v>
      </c>
    </row>
    <row r="1197" customFormat="false" ht="51" hidden="false" customHeight="true" outlineLevel="0" collapsed="false">
      <c r="B1197" s="29" t="s">
        <v>5562</v>
      </c>
      <c r="C1197" s="29" t="s">
        <v>214</v>
      </c>
      <c r="D1197" s="29" t="s">
        <v>5563</v>
      </c>
      <c r="E1197" s="29" t="s">
        <v>600</v>
      </c>
      <c r="F1197" s="29" t="s">
        <v>5564</v>
      </c>
      <c r="G1197" s="29" t="s">
        <v>5564</v>
      </c>
      <c r="H1197" s="29" t="s">
        <v>5565</v>
      </c>
      <c r="I1197" s="29" t="s">
        <v>3696</v>
      </c>
      <c r="J1197" s="29" t="s">
        <v>155</v>
      </c>
      <c r="K1197" s="30" t="s">
        <v>44</v>
      </c>
      <c r="L1197" s="31"/>
      <c r="M1197" s="32" t="s">
        <v>45</v>
      </c>
    </row>
    <row r="1198" customFormat="false" ht="51" hidden="false" customHeight="true" outlineLevel="0" collapsed="false">
      <c r="B1198" s="29" t="s">
        <v>5566</v>
      </c>
      <c r="C1198" s="29" t="s">
        <v>214</v>
      </c>
      <c r="D1198" s="29" t="s">
        <v>5567</v>
      </c>
      <c r="E1198" s="29" t="s">
        <v>600</v>
      </c>
      <c r="F1198" s="29" t="s">
        <v>5568</v>
      </c>
      <c r="G1198" s="29" t="s">
        <v>5568</v>
      </c>
      <c r="H1198" s="29" t="s">
        <v>5565</v>
      </c>
      <c r="I1198" s="29" t="s">
        <v>3696</v>
      </c>
      <c r="J1198" s="29" t="s">
        <v>155</v>
      </c>
      <c r="K1198" s="30" t="s">
        <v>44</v>
      </c>
      <c r="L1198" s="31"/>
      <c r="M1198" s="32" t="s">
        <v>45</v>
      </c>
    </row>
    <row r="1199" customFormat="false" ht="51" hidden="false" customHeight="true" outlineLevel="0" collapsed="false">
      <c r="B1199" s="29" t="s">
        <v>5569</v>
      </c>
      <c r="C1199" s="29" t="s">
        <v>214</v>
      </c>
      <c r="D1199" s="29" t="s">
        <v>5570</v>
      </c>
      <c r="E1199" s="29" t="s">
        <v>600</v>
      </c>
      <c r="F1199" s="29" t="s">
        <v>5571</v>
      </c>
      <c r="G1199" s="29" t="s">
        <v>5572</v>
      </c>
      <c r="H1199" s="29" t="s">
        <v>5565</v>
      </c>
      <c r="I1199" s="29" t="s">
        <v>3696</v>
      </c>
      <c r="J1199" s="29" t="s">
        <v>155</v>
      </c>
      <c r="K1199" s="30" t="s">
        <v>44</v>
      </c>
      <c r="L1199" s="31"/>
      <c r="M1199" s="32" t="s">
        <v>45</v>
      </c>
    </row>
    <row r="1200" customFormat="false" ht="51" hidden="false" customHeight="true" outlineLevel="0" collapsed="false">
      <c r="B1200" s="29" t="s">
        <v>5573</v>
      </c>
      <c r="C1200" s="29" t="s">
        <v>214</v>
      </c>
      <c r="D1200" s="29" t="s">
        <v>5574</v>
      </c>
      <c r="E1200" s="29" t="s">
        <v>600</v>
      </c>
      <c r="F1200" s="29" t="s">
        <v>5575</v>
      </c>
      <c r="G1200" s="29" t="s">
        <v>5575</v>
      </c>
      <c r="H1200" s="29" t="s">
        <v>5565</v>
      </c>
      <c r="I1200" s="29" t="s">
        <v>3696</v>
      </c>
      <c r="J1200" s="29" t="s">
        <v>155</v>
      </c>
      <c r="K1200" s="30" t="s">
        <v>44</v>
      </c>
      <c r="L1200" s="31"/>
      <c r="M1200" s="32" t="s">
        <v>45</v>
      </c>
    </row>
    <row r="1201" customFormat="false" ht="51" hidden="false" customHeight="true" outlineLevel="0" collapsed="false">
      <c r="B1201" s="29" t="s">
        <v>5576</v>
      </c>
      <c r="C1201" s="29" t="s">
        <v>214</v>
      </c>
      <c r="D1201" s="29" t="s">
        <v>5577</v>
      </c>
      <c r="E1201" s="29" t="s">
        <v>221</v>
      </c>
      <c r="F1201" s="29" t="s">
        <v>5578</v>
      </c>
      <c r="G1201" s="29" t="s">
        <v>5578</v>
      </c>
      <c r="H1201" s="29" t="s">
        <v>5565</v>
      </c>
      <c r="I1201" s="29" t="s">
        <v>4368</v>
      </c>
      <c r="J1201" s="29" t="s">
        <v>5579</v>
      </c>
      <c r="K1201" s="30" t="s">
        <v>44</v>
      </c>
      <c r="L1201" s="31"/>
      <c r="M1201" s="32" t="s">
        <v>45</v>
      </c>
    </row>
    <row r="1202" customFormat="false" ht="51" hidden="false" customHeight="true" outlineLevel="0" collapsed="false">
      <c r="B1202" s="29" t="s">
        <v>5580</v>
      </c>
      <c r="C1202" s="29" t="s">
        <v>214</v>
      </c>
      <c r="D1202" s="29" t="s">
        <v>3699</v>
      </c>
      <c r="E1202" s="29" t="s">
        <v>543</v>
      </c>
      <c r="F1202" s="29" t="s">
        <v>5581</v>
      </c>
      <c r="G1202" s="29" t="s">
        <v>5581</v>
      </c>
      <c r="H1202" s="29" t="s">
        <v>5582</v>
      </c>
      <c r="I1202" s="29" t="s">
        <v>286</v>
      </c>
      <c r="J1202" s="29" t="s">
        <v>190</v>
      </c>
      <c r="K1202" s="30" t="s">
        <v>62</v>
      </c>
      <c r="L1202" s="31"/>
      <c r="M1202" s="32"/>
    </row>
    <row r="1203" customFormat="false" ht="51" hidden="false" customHeight="true" outlineLevel="0" collapsed="false">
      <c r="B1203" s="29" t="s">
        <v>5583</v>
      </c>
      <c r="C1203" s="29" t="s">
        <v>214</v>
      </c>
      <c r="D1203" s="29" t="s">
        <v>3703</v>
      </c>
      <c r="E1203" s="29" t="s">
        <v>543</v>
      </c>
      <c r="F1203" s="29" t="s">
        <v>5584</v>
      </c>
      <c r="G1203" s="29" t="s">
        <v>5584</v>
      </c>
      <c r="H1203" s="29" t="s">
        <v>5585</v>
      </c>
      <c r="I1203" s="29" t="s">
        <v>472</v>
      </c>
      <c r="J1203" s="29" t="s">
        <v>472</v>
      </c>
      <c r="K1203" s="30" t="s">
        <v>44</v>
      </c>
      <c r="L1203" s="31"/>
      <c r="M1203" s="32" t="s">
        <v>45</v>
      </c>
    </row>
    <row r="1204" customFormat="false" ht="51" hidden="false" customHeight="true" outlineLevel="0" collapsed="false">
      <c r="B1204" s="29" t="s">
        <v>5586</v>
      </c>
      <c r="C1204" s="29" t="s">
        <v>214</v>
      </c>
      <c r="D1204" s="29" t="s">
        <v>3706</v>
      </c>
      <c r="E1204" s="29" t="s">
        <v>91</v>
      </c>
      <c r="F1204" s="29" t="s">
        <v>5587</v>
      </c>
      <c r="G1204" s="29" t="s">
        <v>5588</v>
      </c>
      <c r="H1204" s="29" t="s">
        <v>5582</v>
      </c>
      <c r="I1204" s="29" t="s">
        <v>42</v>
      </c>
      <c r="J1204" s="29" t="s">
        <v>261</v>
      </c>
      <c r="K1204" s="30" t="s">
        <v>44</v>
      </c>
      <c r="L1204" s="31"/>
      <c r="M1204" s="32" t="s">
        <v>45</v>
      </c>
    </row>
    <row r="1205" customFormat="false" ht="51" hidden="false" customHeight="true" outlineLevel="0" collapsed="false">
      <c r="B1205" s="29" t="s">
        <v>5589</v>
      </c>
      <c r="C1205" s="29" t="s">
        <v>214</v>
      </c>
      <c r="D1205" s="29" t="s">
        <v>3713</v>
      </c>
      <c r="E1205" s="29" t="s">
        <v>91</v>
      </c>
      <c r="F1205" s="29" t="s">
        <v>5590</v>
      </c>
      <c r="G1205" s="29" t="s">
        <v>5591</v>
      </c>
      <c r="H1205" s="29" t="s">
        <v>5582</v>
      </c>
      <c r="I1205" s="29" t="s">
        <v>3843</v>
      </c>
      <c r="J1205" s="29" t="s">
        <v>2544</v>
      </c>
      <c r="K1205" s="30" t="s">
        <v>44</v>
      </c>
      <c r="L1205" s="31"/>
      <c r="M1205" s="32" t="s">
        <v>45</v>
      </c>
    </row>
    <row r="1206" customFormat="false" ht="51" hidden="false" customHeight="true" outlineLevel="0" collapsed="false">
      <c r="B1206" s="29" t="s">
        <v>5592</v>
      </c>
      <c r="C1206" s="29" t="s">
        <v>214</v>
      </c>
      <c r="D1206" s="29" t="s">
        <v>5593</v>
      </c>
      <c r="E1206" s="29" t="s">
        <v>91</v>
      </c>
      <c r="F1206" s="29" t="s">
        <v>5594</v>
      </c>
      <c r="G1206" s="29" t="s">
        <v>5594</v>
      </c>
      <c r="H1206" s="29" t="s">
        <v>5595</v>
      </c>
      <c r="I1206" s="29" t="s">
        <v>3843</v>
      </c>
      <c r="J1206" s="29" t="s">
        <v>2544</v>
      </c>
      <c r="K1206" s="30" t="s">
        <v>44</v>
      </c>
      <c r="L1206" s="31"/>
      <c r="M1206" s="32" t="s">
        <v>45</v>
      </c>
    </row>
    <row r="1207" customFormat="false" ht="51" hidden="false" customHeight="true" outlineLevel="0" collapsed="false">
      <c r="B1207" s="29" t="s">
        <v>5596</v>
      </c>
      <c r="C1207" s="29" t="s">
        <v>214</v>
      </c>
      <c r="D1207" s="29" t="s">
        <v>5597</v>
      </c>
      <c r="E1207" s="29" t="s">
        <v>91</v>
      </c>
      <c r="F1207" s="29" t="s">
        <v>5598</v>
      </c>
      <c r="G1207" s="29" t="s">
        <v>5599</v>
      </c>
      <c r="H1207" s="29" t="s">
        <v>5595</v>
      </c>
      <c r="I1207" s="29" t="s">
        <v>42</v>
      </c>
      <c r="J1207" s="29" t="s">
        <v>261</v>
      </c>
      <c r="K1207" s="30" t="s">
        <v>44</v>
      </c>
      <c r="L1207" s="31"/>
      <c r="M1207" s="32" t="s">
        <v>45</v>
      </c>
    </row>
    <row r="1208" customFormat="false" ht="51" hidden="false" customHeight="true" outlineLevel="0" collapsed="false">
      <c r="B1208" s="29" t="s">
        <v>5600</v>
      </c>
      <c r="C1208" s="29" t="s">
        <v>214</v>
      </c>
      <c r="D1208" s="29" t="s">
        <v>5601</v>
      </c>
      <c r="E1208" s="29" t="s">
        <v>91</v>
      </c>
      <c r="F1208" s="29" t="s">
        <v>5602</v>
      </c>
      <c r="G1208" s="29" t="s">
        <v>5602</v>
      </c>
      <c r="H1208" s="29" t="s">
        <v>5595</v>
      </c>
      <c r="I1208" s="29" t="s">
        <v>3843</v>
      </c>
      <c r="J1208" s="29" t="s">
        <v>2544</v>
      </c>
      <c r="K1208" s="30" t="s">
        <v>44</v>
      </c>
      <c r="L1208" s="31"/>
      <c r="M1208" s="32" t="s">
        <v>45</v>
      </c>
    </row>
    <row r="1209" customFormat="false" ht="51" hidden="false" customHeight="true" outlineLevel="0" collapsed="false">
      <c r="B1209" s="29" t="s">
        <v>5603</v>
      </c>
      <c r="C1209" s="29" t="s">
        <v>214</v>
      </c>
      <c r="D1209" s="29" t="s">
        <v>5604</v>
      </c>
      <c r="E1209" s="29" t="s">
        <v>91</v>
      </c>
      <c r="F1209" s="29" t="s">
        <v>5605</v>
      </c>
      <c r="G1209" s="29" t="s">
        <v>5606</v>
      </c>
      <c r="H1209" s="29" t="s">
        <v>5595</v>
      </c>
      <c r="I1209" s="29" t="s">
        <v>3843</v>
      </c>
      <c r="J1209" s="29" t="s">
        <v>2544</v>
      </c>
      <c r="K1209" s="30" t="s">
        <v>44</v>
      </c>
      <c r="L1209" s="31"/>
      <c r="M1209" s="32" t="s">
        <v>45</v>
      </c>
    </row>
    <row r="1210" customFormat="false" ht="51" hidden="false" customHeight="true" outlineLevel="0" collapsed="false">
      <c r="B1210" s="29" t="s">
        <v>5607</v>
      </c>
      <c r="C1210" s="29" t="s">
        <v>214</v>
      </c>
      <c r="D1210" s="29" t="s">
        <v>3887</v>
      </c>
      <c r="E1210" s="29" t="s">
        <v>600</v>
      </c>
      <c r="F1210" s="29" t="s">
        <v>5608</v>
      </c>
      <c r="G1210" s="29" t="s">
        <v>5608</v>
      </c>
      <c r="H1210" s="29" t="s">
        <v>5609</v>
      </c>
      <c r="I1210" s="29" t="s">
        <v>3843</v>
      </c>
      <c r="J1210" s="29" t="s">
        <v>2117</v>
      </c>
      <c r="K1210" s="30" t="s">
        <v>44</v>
      </c>
      <c r="L1210" s="31"/>
      <c r="M1210" s="32" t="s">
        <v>45</v>
      </c>
    </row>
    <row r="1211" customFormat="false" ht="51" hidden="false" customHeight="true" outlineLevel="0" collapsed="false">
      <c r="B1211" s="29" t="s">
        <v>5610</v>
      </c>
      <c r="C1211" s="29" t="s">
        <v>214</v>
      </c>
      <c r="D1211" s="29" t="s">
        <v>3891</v>
      </c>
      <c r="E1211" s="29" t="s">
        <v>39</v>
      </c>
      <c r="F1211" s="29" t="s">
        <v>5611</v>
      </c>
      <c r="G1211" s="29" t="s">
        <v>5611</v>
      </c>
      <c r="H1211" s="29" t="s">
        <v>5609</v>
      </c>
      <c r="I1211" s="29" t="s">
        <v>42</v>
      </c>
      <c r="J1211" s="29" t="s">
        <v>43</v>
      </c>
      <c r="K1211" s="30" t="s">
        <v>44</v>
      </c>
      <c r="L1211" s="31"/>
      <c r="M1211" s="32" t="s">
        <v>45</v>
      </c>
    </row>
    <row r="1212" customFormat="false" ht="51" hidden="false" customHeight="true" outlineLevel="0" collapsed="false">
      <c r="B1212" s="29" t="s">
        <v>5612</v>
      </c>
      <c r="C1212" s="29" t="s">
        <v>214</v>
      </c>
      <c r="D1212" s="29" t="s">
        <v>3895</v>
      </c>
      <c r="E1212" s="29" t="s">
        <v>600</v>
      </c>
      <c r="F1212" s="29" t="s">
        <v>5613</v>
      </c>
      <c r="G1212" s="29" t="s">
        <v>5613</v>
      </c>
      <c r="H1212" s="29" t="s">
        <v>5609</v>
      </c>
      <c r="I1212" s="29" t="s">
        <v>3696</v>
      </c>
      <c r="J1212" s="29" t="s">
        <v>155</v>
      </c>
      <c r="K1212" s="30" t="s">
        <v>44</v>
      </c>
      <c r="L1212" s="31"/>
      <c r="M1212" s="32" t="s">
        <v>45</v>
      </c>
    </row>
    <row r="1213" customFormat="false" ht="51" hidden="false" customHeight="true" outlineLevel="0" collapsed="false">
      <c r="B1213" s="29" t="s">
        <v>5614</v>
      </c>
      <c r="C1213" s="29" t="s">
        <v>214</v>
      </c>
      <c r="D1213" s="29" t="s">
        <v>3899</v>
      </c>
      <c r="E1213" s="29" t="s">
        <v>600</v>
      </c>
      <c r="F1213" s="29" t="s">
        <v>5615</v>
      </c>
      <c r="G1213" s="29" t="s">
        <v>5616</v>
      </c>
      <c r="H1213" s="29" t="s">
        <v>5609</v>
      </c>
      <c r="I1213" s="29" t="s">
        <v>3696</v>
      </c>
      <c r="J1213" s="29" t="s">
        <v>155</v>
      </c>
      <c r="K1213" s="30" t="s">
        <v>44</v>
      </c>
      <c r="L1213" s="31"/>
      <c r="M1213" s="32" t="s">
        <v>45</v>
      </c>
    </row>
    <row r="1214" customFormat="false" ht="51" hidden="false" customHeight="true" outlineLevel="0" collapsed="false">
      <c r="B1214" s="29" t="s">
        <v>5617</v>
      </c>
      <c r="C1214" s="29" t="s">
        <v>214</v>
      </c>
      <c r="D1214" s="29" t="s">
        <v>3903</v>
      </c>
      <c r="E1214" s="29" t="s">
        <v>600</v>
      </c>
      <c r="F1214" s="29" t="s">
        <v>5618</v>
      </c>
      <c r="G1214" s="29" t="s">
        <v>5618</v>
      </c>
      <c r="H1214" s="29" t="s">
        <v>5609</v>
      </c>
      <c r="I1214" s="29" t="s">
        <v>3696</v>
      </c>
      <c r="J1214" s="29" t="s">
        <v>155</v>
      </c>
      <c r="K1214" s="30" t="s">
        <v>44</v>
      </c>
      <c r="L1214" s="31"/>
      <c r="M1214" s="32" t="s">
        <v>45</v>
      </c>
    </row>
    <row r="1215" customFormat="false" ht="51" hidden="false" customHeight="true" outlineLevel="0" collapsed="false">
      <c r="B1215" s="29" t="s">
        <v>5619</v>
      </c>
      <c r="C1215" s="29" t="s">
        <v>214</v>
      </c>
      <c r="D1215" s="29" t="s">
        <v>5620</v>
      </c>
      <c r="E1215" s="29" t="s">
        <v>266</v>
      </c>
      <c r="F1215" s="29" t="s">
        <v>5621</v>
      </c>
      <c r="G1215" s="29" t="s">
        <v>5621</v>
      </c>
      <c r="H1215" s="29" t="s">
        <v>5609</v>
      </c>
      <c r="I1215" s="29" t="s">
        <v>42</v>
      </c>
      <c r="J1215" s="29" t="s">
        <v>270</v>
      </c>
      <c r="K1215" s="30" t="s">
        <v>44</v>
      </c>
      <c r="L1215" s="31"/>
      <c r="M1215" s="32" t="s">
        <v>45</v>
      </c>
    </row>
    <row r="1216" customFormat="false" ht="51" hidden="false" customHeight="true" outlineLevel="0" collapsed="false">
      <c r="B1216" s="29" t="s">
        <v>5622</v>
      </c>
      <c r="C1216" s="29" t="s">
        <v>214</v>
      </c>
      <c r="D1216" s="29" t="s">
        <v>5623</v>
      </c>
      <c r="E1216" s="29" t="s">
        <v>600</v>
      </c>
      <c r="F1216" s="29" t="s">
        <v>5624</v>
      </c>
      <c r="G1216" s="29" t="s">
        <v>5624</v>
      </c>
      <c r="H1216" s="29" t="s">
        <v>5625</v>
      </c>
      <c r="I1216" s="29" t="s">
        <v>472</v>
      </c>
      <c r="J1216" s="29" t="s">
        <v>472</v>
      </c>
      <c r="K1216" s="30" t="s">
        <v>44</v>
      </c>
      <c r="L1216" s="31"/>
      <c r="M1216" s="32" t="s">
        <v>45</v>
      </c>
    </row>
    <row r="1217" customFormat="false" ht="51" hidden="false" customHeight="true" outlineLevel="0" collapsed="false">
      <c r="B1217" s="29" t="s">
        <v>5626</v>
      </c>
      <c r="C1217" s="29" t="s">
        <v>214</v>
      </c>
      <c r="D1217" s="29" t="s">
        <v>5627</v>
      </c>
      <c r="E1217" s="29" t="s">
        <v>543</v>
      </c>
      <c r="F1217" s="29" t="s">
        <v>5628</v>
      </c>
      <c r="G1217" s="29" t="s">
        <v>5628</v>
      </c>
      <c r="H1217" s="29" t="s">
        <v>5625</v>
      </c>
      <c r="I1217" s="29" t="s">
        <v>472</v>
      </c>
      <c r="J1217" s="29" t="s">
        <v>472</v>
      </c>
      <c r="K1217" s="30" t="s">
        <v>44</v>
      </c>
      <c r="L1217" s="31"/>
      <c r="M1217" s="32" t="s">
        <v>45</v>
      </c>
    </row>
    <row r="1218" customFormat="false" ht="51" hidden="false" customHeight="true" outlineLevel="0" collapsed="false">
      <c r="B1218" s="29" t="s">
        <v>5629</v>
      </c>
      <c r="C1218" s="29" t="s">
        <v>214</v>
      </c>
      <c r="D1218" s="29" t="s">
        <v>5630</v>
      </c>
      <c r="E1218" s="29" t="s">
        <v>357</v>
      </c>
      <c r="F1218" s="29" t="s">
        <v>5631</v>
      </c>
      <c r="G1218" s="29" t="s">
        <v>5632</v>
      </c>
      <c r="H1218" s="29" t="s">
        <v>5609</v>
      </c>
      <c r="I1218" s="29" t="s">
        <v>302</v>
      </c>
      <c r="J1218" s="29" t="s">
        <v>202</v>
      </c>
      <c r="K1218" s="30" t="s">
        <v>44</v>
      </c>
      <c r="L1218" s="31"/>
      <c r="M1218" s="32" t="s">
        <v>45</v>
      </c>
    </row>
    <row r="1219" customFormat="false" ht="51" hidden="false" customHeight="true" outlineLevel="0" collapsed="false">
      <c r="B1219" s="29" t="s">
        <v>5633</v>
      </c>
      <c r="C1219" s="29" t="s">
        <v>214</v>
      </c>
      <c r="D1219" s="29" t="s">
        <v>3907</v>
      </c>
      <c r="E1219" s="29" t="s">
        <v>91</v>
      </c>
      <c r="F1219" s="29" t="s">
        <v>5634</v>
      </c>
      <c r="G1219" s="29" t="s">
        <v>5634</v>
      </c>
      <c r="H1219" s="29" t="s">
        <v>5635</v>
      </c>
      <c r="I1219" s="29" t="s">
        <v>3843</v>
      </c>
      <c r="J1219" s="29" t="s">
        <v>2544</v>
      </c>
      <c r="K1219" s="30" t="s">
        <v>44</v>
      </c>
      <c r="L1219" s="31"/>
      <c r="M1219" s="32" t="s">
        <v>45</v>
      </c>
    </row>
    <row r="1220" customFormat="false" ht="51" hidden="false" customHeight="true" outlineLevel="0" collapsed="false">
      <c r="B1220" s="29" t="s">
        <v>5636</v>
      </c>
      <c r="C1220" s="29" t="s">
        <v>214</v>
      </c>
      <c r="D1220" s="29" t="s">
        <v>3911</v>
      </c>
      <c r="E1220" s="29" t="s">
        <v>543</v>
      </c>
      <c r="F1220" s="29" t="s">
        <v>5637</v>
      </c>
      <c r="G1220" s="29" t="s">
        <v>5637</v>
      </c>
      <c r="H1220" s="29" t="s">
        <v>5638</v>
      </c>
      <c r="I1220" s="29" t="s">
        <v>472</v>
      </c>
      <c r="J1220" s="29" t="s">
        <v>472</v>
      </c>
      <c r="K1220" s="30" t="s">
        <v>44</v>
      </c>
      <c r="L1220" s="31"/>
      <c r="M1220" s="32" t="s">
        <v>45</v>
      </c>
    </row>
    <row r="1221" customFormat="false" ht="51" hidden="false" customHeight="true" outlineLevel="0" collapsed="false">
      <c r="B1221" s="29" t="s">
        <v>5639</v>
      </c>
      <c r="C1221" s="29" t="s">
        <v>214</v>
      </c>
      <c r="D1221" s="29" t="s">
        <v>3916</v>
      </c>
      <c r="E1221" s="29" t="s">
        <v>543</v>
      </c>
      <c r="F1221" s="29" t="s">
        <v>5640</v>
      </c>
      <c r="G1221" s="29" t="s">
        <v>5640</v>
      </c>
      <c r="H1221" s="29" t="s">
        <v>5638</v>
      </c>
      <c r="I1221" s="29" t="s">
        <v>472</v>
      </c>
      <c r="J1221" s="29" t="s">
        <v>472</v>
      </c>
      <c r="K1221" s="30" t="s">
        <v>44</v>
      </c>
      <c r="L1221" s="31"/>
      <c r="M1221" s="32" t="s">
        <v>45</v>
      </c>
    </row>
    <row r="1222" customFormat="false" ht="51" hidden="false" customHeight="true" outlineLevel="0" collapsed="false">
      <c r="B1222" s="29" t="s">
        <v>5641</v>
      </c>
      <c r="C1222" s="29" t="s">
        <v>214</v>
      </c>
      <c r="D1222" s="29" t="s">
        <v>3920</v>
      </c>
      <c r="E1222" s="29" t="s">
        <v>91</v>
      </c>
      <c r="F1222" s="29" t="s">
        <v>5642</v>
      </c>
      <c r="G1222" s="29" t="s">
        <v>5643</v>
      </c>
      <c r="H1222" s="29" t="s">
        <v>5635</v>
      </c>
      <c r="I1222" s="29" t="s">
        <v>3974</v>
      </c>
      <c r="J1222" s="29" t="s">
        <v>5644</v>
      </c>
      <c r="K1222" s="30" t="s">
        <v>62</v>
      </c>
      <c r="L1222" s="31"/>
      <c r="M1222" s="32"/>
    </row>
    <row r="1223" customFormat="false" ht="51" hidden="false" customHeight="true" outlineLevel="0" collapsed="false">
      <c r="B1223" s="29" t="s">
        <v>5645</v>
      </c>
      <c r="C1223" s="29" t="s">
        <v>214</v>
      </c>
      <c r="D1223" s="29" t="s">
        <v>3923</v>
      </c>
      <c r="E1223" s="29" t="s">
        <v>543</v>
      </c>
      <c r="F1223" s="29" t="s">
        <v>5646</v>
      </c>
      <c r="G1223" s="29" t="s">
        <v>5646</v>
      </c>
      <c r="H1223" s="29" t="s">
        <v>5638</v>
      </c>
      <c r="I1223" s="29" t="s">
        <v>472</v>
      </c>
      <c r="J1223" s="29" t="s">
        <v>472</v>
      </c>
      <c r="K1223" s="30" t="s">
        <v>44</v>
      </c>
      <c r="L1223" s="31"/>
      <c r="M1223" s="32" t="s">
        <v>45</v>
      </c>
    </row>
    <row r="1224" customFormat="false" ht="51" hidden="false" customHeight="true" outlineLevel="0" collapsed="false">
      <c r="B1224" s="29" t="s">
        <v>5647</v>
      </c>
      <c r="C1224" s="29" t="s">
        <v>214</v>
      </c>
      <c r="D1224" s="29" t="s">
        <v>3927</v>
      </c>
      <c r="E1224" s="29" t="s">
        <v>600</v>
      </c>
      <c r="F1224" s="29" t="s">
        <v>5648</v>
      </c>
      <c r="G1224" s="29" t="s">
        <v>5648</v>
      </c>
      <c r="H1224" s="29" t="s">
        <v>5635</v>
      </c>
      <c r="I1224" s="29" t="s">
        <v>3696</v>
      </c>
      <c r="J1224" s="29" t="s">
        <v>155</v>
      </c>
      <c r="K1224" s="30" t="s">
        <v>44</v>
      </c>
      <c r="L1224" s="31"/>
      <c r="M1224" s="32" t="s">
        <v>45</v>
      </c>
    </row>
    <row r="1225" customFormat="false" ht="51" hidden="false" customHeight="true" outlineLevel="0" collapsed="false">
      <c r="B1225" s="29" t="s">
        <v>5649</v>
      </c>
      <c r="C1225" s="29" t="s">
        <v>214</v>
      </c>
      <c r="D1225" s="29" t="s">
        <v>3951</v>
      </c>
      <c r="E1225" s="29" t="s">
        <v>91</v>
      </c>
      <c r="F1225" s="29" t="s">
        <v>5650</v>
      </c>
      <c r="G1225" s="29" t="s">
        <v>5650</v>
      </c>
      <c r="H1225" s="29" t="s">
        <v>5651</v>
      </c>
      <c r="I1225" s="29" t="s">
        <v>42</v>
      </c>
      <c r="J1225" s="29" t="s">
        <v>261</v>
      </c>
      <c r="K1225" s="30" t="s">
        <v>44</v>
      </c>
      <c r="L1225" s="31"/>
      <c r="M1225" s="32" t="s">
        <v>45</v>
      </c>
    </row>
    <row r="1226" customFormat="false" ht="51" hidden="false" customHeight="true" outlineLevel="0" collapsed="false">
      <c r="B1226" s="29" t="s">
        <v>5652</v>
      </c>
      <c r="C1226" s="29" t="s">
        <v>214</v>
      </c>
      <c r="D1226" s="29" t="s">
        <v>3956</v>
      </c>
      <c r="E1226" s="29" t="s">
        <v>91</v>
      </c>
      <c r="F1226" s="29" t="s">
        <v>5653</v>
      </c>
      <c r="G1226" s="29" t="s">
        <v>5653</v>
      </c>
      <c r="H1226" s="29" t="s">
        <v>5651</v>
      </c>
      <c r="I1226" s="29" t="s">
        <v>42</v>
      </c>
      <c r="J1226" s="29" t="s">
        <v>261</v>
      </c>
      <c r="K1226" s="30" t="s">
        <v>44</v>
      </c>
      <c r="L1226" s="31"/>
      <c r="M1226" s="32" t="s">
        <v>45</v>
      </c>
    </row>
    <row r="1227" customFormat="false" ht="51" hidden="false" customHeight="true" outlineLevel="0" collapsed="false">
      <c r="B1227" s="29" t="s">
        <v>5654</v>
      </c>
      <c r="C1227" s="29" t="s">
        <v>214</v>
      </c>
      <c r="D1227" s="29" t="s">
        <v>3960</v>
      </c>
      <c r="E1227" s="29" t="s">
        <v>91</v>
      </c>
      <c r="F1227" s="29" t="s">
        <v>5655</v>
      </c>
      <c r="G1227" s="29" t="s">
        <v>5655</v>
      </c>
      <c r="H1227" s="29" t="s">
        <v>5651</v>
      </c>
      <c r="I1227" s="29" t="s">
        <v>42</v>
      </c>
      <c r="J1227" s="29" t="s">
        <v>261</v>
      </c>
      <c r="K1227" s="30" t="s">
        <v>44</v>
      </c>
      <c r="L1227" s="31"/>
      <c r="M1227" s="32" t="s">
        <v>45</v>
      </c>
    </row>
    <row r="1228" customFormat="false" ht="51" hidden="false" customHeight="true" outlineLevel="0" collapsed="false">
      <c r="B1228" s="29" t="s">
        <v>5656</v>
      </c>
      <c r="C1228" s="29" t="s">
        <v>214</v>
      </c>
      <c r="D1228" s="29" t="s">
        <v>5657</v>
      </c>
      <c r="E1228" s="29" t="s">
        <v>78</v>
      </c>
      <c r="F1228" s="29" t="s">
        <v>5658</v>
      </c>
      <c r="G1228" s="29" t="s">
        <v>5659</v>
      </c>
      <c r="H1228" s="29" t="s">
        <v>5651</v>
      </c>
      <c r="I1228" s="29" t="s">
        <v>2758</v>
      </c>
      <c r="J1228" s="29" t="s">
        <v>2759</v>
      </c>
      <c r="K1228" s="30" t="s">
        <v>62</v>
      </c>
      <c r="L1228" s="31"/>
      <c r="M1228" s="32"/>
    </row>
    <row r="1229" customFormat="false" ht="51" hidden="false" customHeight="true" outlineLevel="0" collapsed="false">
      <c r="B1229" s="29" t="s">
        <v>5660</v>
      </c>
      <c r="C1229" s="29" t="s">
        <v>214</v>
      </c>
      <c r="D1229" s="29" t="s">
        <v>239</v>
      </c>
      <c r="E1229" s="29" t="s">
        <v>78</v>
      </c>
      <c r="F1229" s="29" t="s">
        <v>5661</v>
      </c>
      <c r="G1229" s="29" t="s">
        <v>5662</v>
      </c>
      <c r="H1229" s="29" t="s">
        <v>5663</v>
      </c>
      <c r="I1229" s="29" t="s">
        <v>95</v>
      </c>
      <c r="J1229" s="29" t="s">
        <v>5664</v>
      </c>
      <c r="K1229" s="30" t="s">
        <v>62</v>
      </c>
      <c r="L1229" s="31"/>
      <c r="M1229" s="32"/>
    </row>
    <row r="1230" customFormat="false" ht="51" hidden="false" customHeight="true" outlineLevel="0" collapsed="false">
      <c r="B1230" s="29" t="s">
        <v>5665</v>
      </c>
      <c r="C1230" s="29" t="s">
        <v>214</v>
      </c>
      <c r="D1230" s="29" t="s">
        <v>245</v>
      </c>
      <c r="E1230" s="29" t="s">
        <v>543</v>
      </c>
      <c r="F1230" s="29" t="s">
        <v>5666</v>
      </c>
      <c r="G1230" s="29" t="s">
        <v>5667</v>
      </c>
      <c r="H1230" s="29" t="s">
        <v>5663</v>
      </c>
      <c r="I1230" s="29" t="s">
        <v>286</v>
      </c>
      <c r="J1230" s="29" t="s">
        <v>81</v>
      </c>
      <c r="K1230" s="30" t="s">
        <v>62</v>
      </c>
      <c r="L1230" s="31"/>
      <c r="M1230" s="32"/>
    </row>
    <row r="1231" customFormat="false" ht="51" hidden="false" customHeight="true" outlineLevel="0" collapsed="false">
      <c r="B1231" s="29" t="s">
        <v>5668</v>
      </c>
      <c r="C1231" s="29" t="s">
        <v>214</v>
      </c>
      <c r="D1231" s="29" t="s">
        <v>251</v>
      </c>
      <c r="E1231" s="29" t="s">
        <v>543</v>
      </c>
      <c r="F1231" s="29" t="s">
        <v>5669</v>
      </c>
      <c r="G1231" s="29" t="s">
        <v>5669</v>
      </c>
      <c r="H1231" s="29" t="s">
        <v>5663</v>
      </c>
      <c r="I1231" s="29" t="s">
        <v>286</v>
      </c>
      <c r="J1231" s="29" t="s">
        <v>81</v>
      </c>
      <c r="K1231" s="30" t="s">
        <v>62</v>
      </c>
      <c r="L1231" s="31"/>
      <c r="M1231" s="32"/>
    </row>
    <row r="1232" customFormat="false" ht="51" hidden="false" customHeight="true" outlineLevel="0" collapsed="false">
      <c r="B1232" s="29" t="s">
        <v>5670</v>
      </c>
      <c r="C1232" s="29" t="s">
        <v>214</v>
      </c>
      <c r="D1232" s="29" t="s">
        <v>5671</v>
      </c>
      <c r="E1232" s="29" t="s">
        <v>543</v>
      </c>
      <c r="F1232" s="29" t="s">
        <v>5672</v>
      </c>
      <c r="G1232" s="29" t="s">
        <v>5672</v>
      </c>
      <c r="H1232" s="29" t="s">
        <v>5673</v>
      </c>
      <c r="I1232" s="29" t="s">
        <v>286</v>
      </c>
      <c r="J1232" s="29" t="s">
        <v>81</v>
      </c>
      <c r="K1232" s="30" t="s">
        <v>62</v>
      </c>
      <c r="L1232" s="31"/>
      <c r="M1232" s="32"/>
    </row>
    <row r="1233" customFormat="false" ht="51" hidden="false" customHeight="true" outlineLevel="0" collapsed="false">
      <c r="B1233" s="29" t="s">
        <v>5674</v>
      </c>
      <c r="C1233" s="29" t="s">
        <v>264</v>
      </c>
      <c r="D1233" s="29" t="s">
        <v>3644</v>
      </c>
      <c r="E1233" s="29" t="s">
        <v>543</v>
      </c>
      <c r="F1233" s="29" t="s">
        <v>5675</v>
      </c>
      <c r="G1233" s="29" t="s">
        <v>5676</v>
      </c>
      <c r="H1233" s="29" t="s">
        <v>5677</v>
      </c>
      <c r="I1233" s="29" t="s">
        <v>472</v>
      </c>
      <c r="J1233" s="29" t="s">
        <v>472</v>
      </c>
      <c r="K1233" s="30" t="s">
        <v>44</v>
      </c>
      <c r="L1233" s="31"/>
      <c r="M1233" s="32" t="s">
        <v>45</v>
      </c>
    </row>
    <row r="1234" customFormat="false" ht="51" hidden="false" customHeight="true" outlineLevel="0" collapsed="false">
      <c r="B1234" s="29" t="s">
        <v>5678</v>
      </c>
      <c r="C1234" s="29" t="s">
        <v>264</v>
      </c>
      <c r="D1234" s="29" t="s">
        <v>3658</v>
      </c>
      <c r="E1234" s="29" t="s">
        <v>206</v>
      </c>
      <c r="F1234" s="29" t="s">
        <v>5679</v>
      </c>
      <c r="G1234" s="29" t="s">
        <v>5680</v>
      </c>
      <c r="H1234" s="29" t="s">
        <v>5681</v>
      </c>
      <c r="I1234" s="29" t="s">
        <v>302</v>
      </c>
      <c r="J1234" s="29" t="s">
        <v>202</v>
      </c>
      <c r="K1234" s="30" t="s">
        <v>44</v>
      </c>
      <c r="L1234" s="31"/>
      <c r="M1234" s="32" t="s">
        <v>45</v>
      </c>
    </row>
    <row r="1235" customFormat="false" ht="51" hidden="false" customHeight="true" outlineLevel="0" collapsed="false">
      <c r="B1235" s="29" t="s">
        <v>5682</v>
      </c>
      <c r="C1235" s="29" t="s">
        <v>264</v>
      </c>
      <c r="D1235" s="29" t="s">
        <v>5433</v>
      </c>
      <c r="E1235" s="29" t="s">
        <v>340</v>
      </c>
      <c r="F1235" s="29" t="s">
        <v>5683</v>
      </c>
      <c r="G1235" s="29" t="s">
        <v>5684</v>
      </c>
      <c r="H1235" s="29" t="s">
        <v>5681</v>
      </c>
      <c r="I1235" s="29" t="s">
        <v>302</v>
      </c>
      <c r="J1235" s="29" t="s">
        <v>202</v>
      </c>
      <c r="K1235" s="30" t="s">
        <v>44</v>
      </c>
      <c r="L1235" s="31"/>
      <c r="M1235" s="32" t="s">
        <v>45</v>
      </c>
    </row>
    <row r="1236" customFormat="false" ht="51" hidden="false" customHeight="true" outlineLevel="0" collapsed="false">
      <c r="B1236" s="29" t="s">
        <v>5685</v>
      </c>
      <c r="C1236" s="29" t="s">
        <v>264</v>
      </c>
      <c r="D1236" s="29" t="s">
        <v>5436</v>
      </c>
      <c r="E1236" s="29" t="s">
        <v>39</v>
      </c>
      <c r="F1236" s="29" t="s">
        <v>5686</v>
      </c>
      <c r="G1236" s="29" t="s">
        <v>5687</v>
      </c>
      <c r="H1236" s="29" t="s">
        <v>5681</v>
      </c>
      <c r="I1236" s="29" t="s">
        <v>42</v>
      </c>
      <c r="J1236" s="29" t="s">
        <v>43</v>
      </c>
      <c r="K1236" s="30" t="s">
        <v>44</v>
      </c>
      <c r="L1236" s="31"/>
      <c r="M1236" s="32" t="s">
        <v>45</v>
      </c>
    </row>
    <row r="1237" customFormat="false" ht="51" hidden="false" customHeight="true" outlineLevel="0" collapsed="false">
      <c r="B1237" s="29" t="s">
        <v>5688</v>
      </c>
      <c r="C1237" s="29" t="s">
        <v>264</v>
      </c>
      <c r="D1237" s="29" t="s">
        <v>5440</v>
      </c>
      <c r="E1237" s="29" t="s">
        <v>39</v>
      </c>
      <c r="F1237" s="29" t="s">
        <v>5689</v>
      </c>
      <c r="G1237" s="29" t="s">
        <v>5689</v>
      </c>
      <c r="H1237" s="29" t="s">
        <v>5681</v>
      </c>
      <c r="I1237" s="29" t="s">
        <v>42</v>
      </c>
      <c r="J1237" s="29" t="s">
        <v>43</v>
      </c>
      <c r="K1237" s="30" t="s">
        <v>44</v>
      </c>
      <c r="L1237" s="31"/>
      <c r="M1237" s="32" t="s">
        <v>45</v>
      </c>
    </row>
    <row r="1238" customFormat="false" ht="51" hidden="false" customHeight="true" outlineLevel="0" collapsed="false">
      <c r="B1238" s="29" t="s">
        <v>5690</v>
      </c>
      <c r="C1238" s="29" t="s">
        <v>264</v>
      </c>
      <c r="D1238" s="29" t="s">
        <v>5443</v>
      </c>
      <c r="E1238" s="29" t="s">
        <v>543</v>
      </c>
      <c r="F1238" s="29" t="s">
        <v>5691</v>
      </c>
      <c r="G1238" s="29" t="s">
        <v>5691</v>
      </c>
      <c r="H1238" s="29" t="s">
        <v>5677</v>
      </c>
      <c r="I1238" s="29" t="s">
        <v>472</v>
      </c>
      <c r="J1238" s="29" t="s">
        <v>472</v>
      </c>
      <c r="K1238" s="30" t="s">
        <v>44</v>
      </c>
      <c r="L1238" s="31"/>
      <c r="M1238" s="32" t="s">
        <v>45</v>
      </c>
    </row>
    <row r="1239" customFormat="false" ht="51" hidden="false" customHeight="true" outlineLevel="0" collapsed="false">
      <c r="B1239" s="29" t="s">
        <v>5692</v>
      </c>
      <c r="C1239" s="29" t="s">
        <v>264</v>
      </c>
      <c r="D1239" s="29" t="s">
        <v>5446</v>
      </c>
      <c r="E1239" s="29" t="s">
        <v>543</v>
      </c>
      <c r="F1239" s="29" t="s">
        <v>5693</v>
      </c>
      <c r="G1239" s="29" t="s">
        <v>5694</v>
      </c>
      <c r="H1239" s="29" t="s">
        <v>5677</v>
      </c>
      <c r="I1239" s="29" t="s">
        <v>472</v>
      </c>
      <c r="J1239" s="29" t="s">
        <v>472</v>
      </c>
      <c r="K1239" s="30" t="s">
        <v>44</v>
      </c>
      <c r="L1239" s="31"/>
      <c r="M1239" s="32" t="s">
        <v>45</v>
      </c>
    </row>
    <row r="1240" customFormat="false" ht="51" hidden="false" customHeight="true" outlineLevel="0" collapsed="false">
      <c r="B1240" s="29" t="s">
        <v>5695</v>
      </c>
      <c r="C1240" s="29" t="s">
        <v>264</v>
      </c>
      <c r="D1240" s="29" t="s">
        <v>5449</v>
      </c>
      <c r="E1240" s="29" t="s">
        <v>91</v>
      </c>
      <c r="F1240" s="29" t="s">
        <v>5696</v>
      </c>
      <c r="G1240" s="29" t="s">
        <v>5697</v>
      </c>
      <c r="H1240" s="29" t="s">
        <v>5681</v>
      </c>
      <c r="I1240" s="29" t="s">
        <v>42</v>
      </c>
      <c r="J1240" s="29" t="s">
        <v>261</v>
      </c>
      <c r="K1240" s="30" t="s">
        <v>44</v>
      </c>
      <c r="L1240" s="31"/>
      <c r="M1240" s="32" t="s">
        <v>45</v>
      </c>
    </row>
    <row r="1241" customFormat="false" ht="51" hidden="false" customHeight="true" outlineLevel="0" collapsed="false">
      <c r="B1241" s="29" t="s">
        <v>5698</v>
      </c>
      <c r="C1241" s="29" t="s">
        <v>264</v>
      </c>
      <c r="D1241" s="29" t="s">
        <v>5699</v>
      </c>
      <c r="E1241" s="29" t="s">
        <v>543</v>
      </c>
      <c r="F1241" s="29" t="s">
        <v>5700</v>
      </c>
      <c r="G1241" s="29" t="s">
        <v>5700</v>
      </c>
      <c r="H1241" s="29" t="s">
        <v>5677</v>
      </c>
      <c r="I1241" s="29" t="s">
        <v>472</v>
      </c>
      <c r="J1241" s="29" t="s">
        <v>472</v>
      </c>
      <c r="K1241" s="30" t="s">
        <v>44</v>
      </c>
      <c r="L1241" s="31"/>
      <c r="M1241" s="32" t="s">
        <v>45</v>
      </c>
    </row>
    <row r="1242" customFormat="false" ht="51" hidden="false" customHeight="true" outlineLevel="0" collapsed="false">
      <c r="B1242" s="29" t="s">
        <v>5701</v>
      </c>
      <c r="C1242" s="29" t="s">
        <v>264</v>
      </c>
      <c r="D1242" s="29" t="s">
        <v>5702</v>
      </c>
      <c r="E1242" s="29" t="s">
        <v>543</v>
      </c>
      <c r="F1242" s="29" t="s">
        <v>5703</v>
      </c>
      <c r="G1242" s="29" t="s">
        <v>5703</v>
      </c>
      <c r="H1242" s="29" t="s">
        <v>5704</v>
      </c>
      <c r="I1242" s="29" t="s">
        <v>472</v>
      </c>
      <c r="J1242" s="29" t="s">
        <v>472</v>
      </c>
      <c r="K1242" s="30" t="s">
        <v>44</v>
      </c>
      <c r="L1242" s="31"/>
      <c r="M1242" s="32" t="s">
        <v>45</v>
      </c>
    </row>
    <row r="1243" customFormat="false" ht="51" hidden="false" customHeight="true" outlineLevel="0" collapsed="false">
      <c r="B1243" s="29" t="s">
        <v>5705</v>
      </c>
      <c r="C1243" s="29" t="s">
        <v>264</v>
      </c>
      <c r="D1243" s="29" t="s">
        <v>5706</v>
      </c>
      <c r="E1243" s="29" t="s">
        <v>206</v>
      </c>
      <c r="F1243" s="29" t="s">
        <v>5707</v>
      </c>
      <c r="G1243" s="29" t="s">
        <v>5708</v>
      </c>
      <c r="H1243" s="29" t="s">
        <v>5709</v>
      </c>
      <c r="I1243" s="29" t="s">
        <v>3696</v>
      </c>
      <c r="J1243" s="29" t="s">
        <v>155</v>
      </c>
      <c r="K1243" s="30" t="s">
        <v>44</v>
      </c>
      <c r="L1243" s="31"/>
      <c r="M1243" s="32" t="s">
        <v>45</v>
      </c>
    </row>
    <row r="1244" customFormat="false" ht="51" hidden="false" customHeight="true" outlineLevel="0" collapsed="false">
      <c r="B1244" s="29" t="s">
        <v>5710</v>
      </c>
      <c r="C1244" s="29" t="s">
        <v>264</v>
      </c>
      <c r="D1244" s="29" t="s">
        <v>5527</v>
      </c>
      <c r="E1244" s="29" t="s">
        <v>543</v>
      </c>
      <c r="F1244" s="29" t="s">
        <v>5711</v>
      </c>
      <c r="G1244" s="29" t="s">
        <v>5711</v>
      </c>
      <c r="H1244" s="29" t="s">
        <v>5712</v>
      </c>
      <c r="I1244" s="29" t="s">
        <v>472</v>
      </c>
      <c r="J1244" s="29" t="s">
        <v>472</v>
      </c>
      <c r="K1244" s="30" t="s">
        <v>44</v>
      </c>
      <c r="L1244" s="31"/>
      <c r="M1244" s="32" t="s">
        <v>45</v>
      </c>
    </row>
    <row r="1245" customFormat="false" ht="51" hidden="false" customHeight="true" outlineLevel="0" collapsed="false">
      <c r="B1245" s="29" t="s">
        <v>5713</v>
      </c>
      <c r="C1245" s="29" t="s">
        <v>264</v>
      </c>
      <c r="D1245" s="29" t="s">
        <v>5532</v>
      </c>
      <c r="E1245" s="29" t="s">
        <v>543</v>
      </c>
      <c r="F1245" s="29" t="s">
        <v>5714</v>
      </c>
      <c r="G1245" s="29" t="s">
        <v>5714</v>
      </c>
      <c r="H1245" s="29" t="s">
        <v>5712</v>
      </c>
      <c r="I1245" s="29" t="s">
        <v>472</v>
      </c>
      <c r="J1245" s="29" t="s">
        <v>472</v>
      </c>
      <c r="K1245" s="30" t="s">
        <v>44</v>
      </c>
      <c r="L1245" s="31"/>
      <c r="M1245" s="32" t="s">
        <v>45</v>
      </c>
    </row>
    <row r="1246" customFormat="false" ht="51" hidden="false" customHeight="true" outlineLevel="0" collapsed="false">
      <c r="B1246" s="29" t="s">
        <v>5715</v>
      </c>
      <c r="C1246" s="29" t="s">
        <v>264</v>
      </c>
      <c r="D1246" s="29" t="s">
        <v>5537</v>
      </c>
      <c r="E1246" s="29" t="s">
        <v>543</v>
      </c>
      <c r="F1246" s="29" t="s">
        <v>5716</v>
      </c>
      <c r="G1246" s="29" t="s">
        <v>5716</v>
      </c>
      <c r="H1246" s="29" t="s">
        <v>5712</v>
      </c>
      <c r="I1246" s="29" t="s">
        <v>472</v>
      </c>
      <c r="J1246" s="29" t="s">
        <v>472</v>
      </c>
      <c r="K1246" s="30" t="s">
        <v>44</v>
      </c>
      <c r="L1246" s="31"/>
      <c r="M1246" s="32" t="s">
        <v>45</v>
      </c>
    </row>
    <row r="1247" customFormat="false" ht="51" hidden="false" customHeight="true" outlineLevel="0" collapsed="false">
      <c r="B1247" s="29" t="s">
        <v>5717</v>
      </c>
      <c r="C1247" s="29" t="s">
        <v>264</v>
      </c>
      <c r="D1247" s="29" t="s">
        <v>5540</v>
      </c>
      <c r="E1247" s="29" t="s">
        <v>543</v>
      </c>
      <c r="F1247" s="29" t="s">
        <v>5718</v>
      </c>
      <c r="G1247" s="29" t="s">
        <v>5718</v>
      </c>
      <c r="H1247" s="29" t="s">
        <v>5712</v>
      </c>
      <c r="I1247" s="29" t="s">
        <v>472</v>
      </c>
      <c r="J1247" s="29" t="s">
        <v>472</v>
      </c>
      <c r="K1247" s="30" t="s">
        <v>44</v>
      </c>
      <c r="L1247" s="31"/>
      <c r="M1247" s="32" t="s">
        <v>45</v>
      </c>
    </row>
    <row r="1248" customFormat="false" ht="51" hidden="false" customHeight="true" outlineLevel="0" collapsed="false">
      <c r="B1248" s="29" t="s">
        <v>5719</v>
      </c>
      <c r="C1248" s="29" t="s">
        <v>264</v>
      </c>
      <c r="D1248" s="29" t="s">
        <v>3667</v>
      </c>
      <c r="E1248" s="29" t="s">
        <v>266</v>
      </c>
      <c r="F1248" s="29" t="s">
        <v>5720</v>
      </c>
      <c r="G1248" s="29" t="s">
        <v>5721</v>
      </c>
      <c r="H1248" s="29" t="s">
        <v>5722</v>
      </c>
      <c r="I1248" s="29" t="s">
        <v>42</v>
      </c>
      <c r="J1248" s="29" t="s">
        <v>270</v>
      </c>
      <c r="K1248" s="30" t="s">
        <v>44</v>
      </c>
      <c r="L1248" s="31"/>
      <c r="M1248" s="32" t="s">
        <v>45</v>
      </c>
    </row>
    <row r="1249" customFormat="false" ht="51" hidden="false" customHeight="true" outlineLevel="0" collapsed="false">
      <c r="B1249" s="29" t="s">
        <v>5723</v>
      </c>
      <c r="C1249" s="29" t="s">
        <v>264</v>
      </c>
      <c r="D1249" s="29" t="s">
        <v>5724</v>
      </c>
      <c r="E1249" s="29" t="s">
        <v>266</v>
      </c>
      <c r="F1249" s="29" t="s">
        <v>5725</v>
      </c>
      <c r="G1249" s="29" t="s">
        <v>5725</v>
      </c>
      <c r="H1249" s="29" t="s">
        <v>5722</v>
      </c>
      <c r="I1249" s="29" t="s">
        <v>42</v>
      </c>
      <c r="J1249" s="29" t="s">
        <v>270</v>
      </c>
      <c r="K1249" s="30" t="s">
        <v>44</v>
      </c>
      <c r="L1249" s="31"/>
      <c r="M1249" s="32" t="s">
        <v>45</v>
      </c>
    </row>
    <row r="1250" customFormat="false" ht="51" hidden="false" customHeight="true" outlineLevel="0" collapsed="false">
      <c r="B1250" s="29" t="s">
        <v>5726</v>
      </c>
      <c r="C1250" s="29" t="s">
        <v>264</v>
      </c>
      <c r="D1250" s="29" t="s">
        <v>5556</v>
      </c>
      <c r="E1250" s="29" t="s">
        <v>266</v>
      </c>
      <c r="F1250" s="29" t="s">
        <v>5727</v>
      </c>
      <c r="G1250" s="29" t="s">
        <v>5727</v>
      </c>
      <c r="H1250" s="29" t="s">
        <v>5728</v>
      </c>
      <c r="I1250" s="29" t="s">
        <v>42</v>
      </c>
      <c r="J1250" s="29" t="s">
        <v>270</v>
      </c>
      <c r="K1250" s="30" t="s">
        <v>44</v>
      </c>
      <c r="L1250" s="31"/>
      <c r="M1250" s="32" t="s">
        <v>45</v>
      </c>
    </row>
    <row r="1251" customFormat="false" ht="51" hidden="false" customHeight="true" outlineLevel="0" collapsed="false">
      <c r="B1251" s="29" t="s">
        <v>5729</v>
      </c>
      <c r="C1251" s="29" t="s">
        <v>264</v>
      </c>
      <c r="D1251" s="29" t="s">
        <v>5560</v>
      </c>
      <c r="E1251" s="29" t="s">
        <v>266</v>
      </c>
      <c r="F1251" s="29" t="s">
        <v>5730</v>
      </c>
      <c r="G1251" s="29" t="s">
        <v>5730</v>
      </c>
      <c r="H1251" s="29" t="s">
        <v>5728</v>
      </c>
      <c r="I1251" s="29" t="s">
        <v>42</v>
      </c>
      <c r="J1251" s="29" t="s">
        <v>270</v>
      </c>
      <c r="K1251" s="30" t="s">
        <v>44</v>
      </c>
      <c r="L1251" s="31"/>
      <c r="M1251" s="32" t="s">
        <v>45</v>
      </c>
    </row>
    <row r="1252" customFormat="false" ht="51" hidden="false" customHeight="true" outlineLevel="0" collapsed="false">
      <c r="B1252" s="29" t="s">
        <v>5731</v>
      </c>
      <c r="C1252" s="29" t="s">
        <v>264</v>
      </c>
      <c r="D1252" s="29" t="s">
        <v>5732</v>
      </c>
      <c r="E1252" s="29" t="s">
        <v>266</v>
      </c>
      <c r="F1252" s="29" t="s">
        <v>5733</v>
      </c>
      <c r="G1252" s="29" t="s">
        <v>5733</v>
      </c>
      <c r="H1252" s="29" t="s">
        <v>5728</v>
      </c>
      <c r="I1252" s="29" t="s">
        <v>42</v>
      </c>
      <c r="J1252" s="29" t="s">
        <v>270</v>
      </c>
      <c r="K1252" s="30" t="s">
        <v>44</v>
      </c>
      <c r="L1252" s="31"/>
      <c r="M1252" s="32" t="s">
        <v>45</v>
      </c>
    </row>
    <row r="1253" customFormat="false" ht="51" hidden="false" customHeight="true" outlineLevel="0" collapsed="false">
      <c r="B1253" s="29" t="s">
        <v>5734</v>
      </c>
      <c r="C1253" s="29" t="s">
        <v>264</v>
      </c>
      <c r="D1253" s="29" t="s">
        <v>5735</v>
      </c>
      <c r="E1253" s="29" t="s">
        <v>266</v>
      </c>
      <c r="F1253" s="29" t="s">
        <v>5736</v>
      </c>
      <c r="G1253" s="29" t="s">
        <v>5736</v>
      </c>
      <c r="H1253" s="29" t="s">
        <v>5728</v>
      </c>
      <c r="I1253" s="29" t="s">
        <v>42</v>
      </c>
      <c r="J1253" s="29" t="s">
        <v>270</v>
      </c>
      <c r="K1253" s="30" t="s">
        <v>44</v>
      </c>
      <c r="L1253" s="31"/>
      <c r="M1253" s="32" t="s">
        <v>45</v>
      </c>
    </row>
    <row r="1254" customFormat="false" ht="51" hidden="false" customHeight="true" outlineLevel="0" collapsed="false">
      <c r="B1254" s="29" t="s">
        <v>5737</v>
      </c>
      <c r="C1254" s="29" t="s">
        <v>264</v>
      </c>
      <c r="D1254" s="29" t="s">
        <v>5738</v>
      </c>
      <c r="E1254" s="29" t="s">
        <v>266</v>
      </c>
      <c r="F1254" s="29" t="s">
        <v>5739</v>
      </c>
      <c r="G1254" s="29" t="s">
        <v>5739</v>
      </c>
      <c r="H1254" s="29" t="s">
        <v>5728</v>
      </c>
      <c r="I1254" s="29" t="s">
        <v>42</v>
      </c>
      <c r="J1254" s="29" t="s">
        <v>270</v>
      </c>
      <c r="K1254" s="30" t="s">
        <v>44</v>
      </c>
      <c r="L1254" s="31"/>
      <c r="M1254" s="32" t="s">
        <v>45</v>
      </c>
    </row>
    <row r="1255" customFormat="false" ht="51" hidden="false" customHeight="true" outlineLevel="0" collapsed="false">
      <c r="B1255" s="29" t="s">
        <v>5740</v>
      </c>
      <c r="C1255" s="29" t="s">
        <v>264</v>
      </c>
      <c r="D1255" s="29" t="s">
        <v>5741</v>
      </c>
      <c r="E1255" s="29" t="s">
        <v>266</v>
      </c>
      <c r="F1255" s="29" t="s">
        <v>5742</v>
      </c>
      <c r="G1255" s="29" t="s">
        <v>5742</v>
      </c>
      <c r="H1255" s="29" t="s">
        <v>5728</v>
      </c>
      <c r="I1255" s="29" t="s">
        <v>42</v>
      </c>
      <c r="J1255" s="29" t="s">
        <v>270</v>
      </c>
      <c r="K1255" s="30" t="s">
        <v>44</v>
      </c>
      <c r="L1255" s="31"/>
      <c r="M1255" s="32" t="s">
        <v>45</v>
      </c>
    </row>
    <row r="1256" customFormat="false" ht="51" hidden="false" customHeight="true" outlineLevel="0" collapsed="false">
      <c r="B1256" s="29" t="s">
        <v>5743</v>
      </c>
      <c r="C1256" s="29" t="s">
        <v>264</v>
      </c>
      <c r="D1256" s="29" t="s">
        <v>5744</v>
      </c>
      <c r="E1256" s="29" t="s">
        <v>266</v>
      </c>
      <c r="F1256" s="29" t="s">
        <v>5745</v>
      </c>
      <c r="G1256" s="29" t="s">
        <v>5745</v>
      </c>
      <c r="H1256" s="29" t="s">
        <v>5728</v>
      </c>
      <c r="I1256" s="29" t="s">
        <v>42</v>
      </c>
      <c r="J1256" s="29" t="s">
        <v>270</v>
      </c>
      <c r="K1256" s="30" t="s">
        <v>44</v>
      </c>
      <c r="L1256" s="31"/>
      <c r="M1256" s="32" t="s">
        <v>45</v>
      </c>
    </row>
    <row r="1257" customFormat="false" ht="51" hidden="false" customHeight="true" outlineLevel="0" collapsed="false">
      <c r="B1257" s="29" t="s">
        <v>5746</v>
      </c>
      <c r="C1257" s="29" t="s">
        <v>264</v>
      </c>
      <c r="D1257" s="29" t="s">
        <v>5747</v>
      </c>
      <c r="E1257" s="29" t="s">
        <v>266</v>
      </c>
      <c r="F1257" s="29" t="s">
        <v>5748</v>
      </c>
      <c r="G1257" s="29" t="s">
        <v>5748</v>
      </c>
      <c r="H1257" s="29" t="s">
        <v>5728</v>
      </c>
      <c r="I1257" s="29" t="s">
        <v>42</v>
      </c>
      <c r="J1257" s="29" t="s">
        <v>270</v>
      </c>
      <c r="K1257" s="30" t="s">
        <v>44</v>
      </c>
      <c r="L1257" s="31"/>
      <c r="M1257" s="32" t="s">
        <v>45</v>
      </c>
    </row>
    <row r="1258" customFormat="false" ht="51" hidden="false" customHeight="true" outlineLevel="0" collapsed="false">
      <c r="B1258" s="29" t="s">
        <v>5749</v>
      </c>
      <c r="C1258" s="29" t="s">
        <v>264</v>
      </c>
      <c r="D1258" s="29" t="s">
        <v>5750</v>
      </c>
      <c r="E1258" s="29" t="s">
        <v>39</v>
      </c>
      <c r="F1258" s="29" t="s">
        <v>5751</v>
      </c>
      <c r="G1258" s="29" t="s">
        <v>5752</v>
      </c>
      <c r="H1258" s="29" t="s">
        <v>5728</v>
      </c>
      <c r="I1258" s="29" t="s">
        <v>3843</v>
      </c>
      <c r="J1258" s="29" t="s">
        <v>5753</v>
      </c>
      <c r="K1258" s="30" t="s">
        <v>44</v>
      </c>
      <c r="L1258" s="31"/>
      <c r="M1258" s="32" t="s">
        <v>45</v>
      </c>
    </row>
    <row r="1259" customFormat="false" ht="51" hidden="false" customHeight="true" outlineLevel="0" collapsed="false">
      <c r="B1259" s="29" t="s">
        <v>5754</v>
      </c>
      <c r="C1259" s="29" t="s">
        <v>264</v>
      </c>
      <c r="D1259" s="29" t="s">
        <v>5563</v>
      </c>
      <c r="E1259" s="29" t="s">
        <v>266</v>
      </c>
      <c r="F1259" s="29" t="s">
        <v>5755</v>
      </c>
      <c r="G1259" s="29" t="s">
        <v>5755</v>
      </c>
      <c r="H1259" s="29" t="s">
        <v>5756</v>
      </c>
      <c r="I1259" s="29" t="s">
        <v>42</v>
      </c>
      <c r="J1259" s="29" t="s">
        <v>270</v>
      </c>
      <c r="K1259" s="30" t="s">
        <v>44</v>
      </c>
      <c r="L1259" s="31"/>
      <c r="M1259" s="32" t="s">
        <v>45</v>
      </c>
    </row>
    <row r="1260" customFormat="false" ht="51" hidden="false" customHeight="true" outlineLevel="0" collapsed="false">
      <c r="B1260" s="29" t="s">
        <v>5757</v>
      </c>
      <c r="C1260" s="29" t="s">
        <v>264</v>
      </c>
      <c r="D1260" s="29" t="s">
        <v>5567</v>
      </c>
      <c r="E1260" s="29" t="s">
        <v>266</v>
      </c>
      <c r="F1260" s="29" t="s">
        <v>5758</v>
      </c>
      <c r="G1260" s="29" t="s">
        <v>5758</v>
      </c>
      <c r="H1260" s="29" t="s">
        <v>5756</v>
      </c>
      <c r="I1260" s="29" t="s">
        <v>42</v>
      </c>
      <c r="J1260" s="29" t="s">
        <v>270</v>
      </c>
      <c r="K1260" s="30" t="s">
        <v>44</v>
      </c>
      <c r="L1260" s="31"/>
      <c r="M1260" s="32" t="s">
        <v>45</v>
      </c>
    </row>
    <row r="1261" customFormat="false" ht="51" hidden="false" customHeight="true" outlineLevel="0" collapsed="false">
      <c r="B1261" s="29" t="s">
        <v>5759</v>
      </c>
      <c r="C1261" s="29" t="s">
        <v>264</v>
      </c>
      <c r="D1261" s="29" t="s">
        <v>5570</v>
      </c>
      <c r="E1261" s="29" t="s">
        <v>266</v>
      </c>
      <c r="F1261" s="29" t="s">
        <v>5760</v>
      </c>
      <c r="G1261" s="29" t="s">
        <v>5760</v>
      </c>
      <c r="H1261" s="29" t="s">
        <v>5756</v>
      </c>
      <c r="I1261" s="29" t="s">
        <v>42</v>
      </c>
      <c r="J1261" s="29" t="s">
        <v>270</v>
      </c>
      <c r="K1261" s="30" t="s">
        <v>44</v>
      </c>
      <c r="L1261" s="31"/>
      <c r="M1261" s="32" t="s">
        <v>45</v>
      </c>
    </row>
    <row r="1262" customFormat="false" ht="51" hidden="false" customHeight="true" outlineLevel="0" collapsed="false">
      <c r="B1262" s="29" t="s">
        <v>5761</v>
      </c>
      <c r="C1262" s="29" t="s">
        <v>264</v>
      </c>
      <c r="D1262" s="29" t="s">
        <v>5574</v>
      </c>
      <c r="E1262" s="29" t="s">
        <v>266</v>
      </c>
      <c r="F1262" s="29" t="s">
        <v>5762</v>
      </c>
      <c r="G1262" s="29" t="s">
        <v>5762</v>
      </c>
      <c r="H1262" s="29" t="s">
        <v>5756</v>
      </c>
      <c r="I1262" s="29" t="s">
        <v>42</v>
      </c>
      <c r="J1262" s="29" t="s">
        <v>270</v>
      </c>
      <c r="K1262" s="30" t="s">
        <v>44</v>
      </c>
      <c r="L1262" s="31"/>
      <c r="M1262" s="32" t="s">
        <v>45</v>
      </c>
    </row>
    <row r="1263" customFormat="false" ht="51" hidden="false" customHeight="true" outlineLevel="0" collapsed="false">
      <c r="B1263" s="29" t="s">
        <v>5763</v>
      </c>
      <c r="C1263" s="29" t="s">
        <v>264</v>
      </c>
      <c r="D1263" s="29" t="s">
        <v>5577</v>
      </c>
      <c r="E1263" s="29" t="s">
        <v>266</v>
      </c>
      <c r="F1263" s="29" t="s">
        <v>5764</v>
      </c>
      <c r="G1263" s="29" t="s">
        <v>5765</v>
      </c>
      <c r="H1263" s="29" t="s">
        <v>5756</v>
      </c>
      <c r="I1263" s="29" t="s">
        <v>42</v>
      </c>
      <c r="J1263" s="29" t="s">
        <v>270</v>
      </c>
      <c r="K1263" s="30" t="s">
        <v>44</v>
      </c>
      <c r="L1263" s="31"/>
      <c r="M1263" s="32" t="s">
        <v>45</v>
      </c>
    </row>
    <row r="1264" customFormat="false" ht="51" hidden="false" customHeight="true" outlineLevel="0" collapsed="false">
      <c r="B1264" s="29" t="s">
        <v>5766</v>
      </c>
      <c r="C1264" s="29" t="s">
        <v>264</v>
      </c>
      <c r="D1264" s="29" t="s">
        <v>5767</v>
      </c>
      <c r="E1264" s="29" t="s">
        <v>543</v>
      </c>
      <c r="F1264" s="29" t="s">
        <v>5768</v>
      </c>
      <c r="G1264" s="29" t="s">
        <v>5769</v>
      </c>
      <c r="H1264" s="29" t="s">
        <v>5770</v>
      </c>
      <c r="I1264" s="29" t="s">
        <v>472</v>
      </c>
      <c r="J1264" s="29" t="s">
        <v>472</v>
      </c>
      <c r="K1264" s="30" t="s">
        <v>44</v>
      </c>
      <c r="L1264" s="31"/>
      <c r="M1264" s="32" t="s">
        <v>45</v>
      </c>
    </row>
    <row r="1265" customFormat="false" ht="51" hidden="false" customHeight="true" outlineLevel="0" collapsed="false">
      <c r="B1265" s="29" t="s">
        <v>5771</v>
      </c>
      <c r="C1265" s="29" t="s">
        <v>264</v>
      </c>
      <c r="D1265" s="29" t="s">
        <v>5772</v>
      </c>
      <c r="E1265" s="29" t="s">
        <v>543</v>
      </c>
      <c r="F1265" s="29" t="s">
        <v>5773</v>
      </c>
      <c r="G1265" s="29" t="s">
        <v>5773</v>
      </c>
      <c r="H1265" s="29" t="s">
        <v>5770</v>
      </c>
      <c r="I1265" s="29" t="s">
        <v>472</v>
      </c>
      <c r="J1265" s="29" t="s">
        <v>472</v>
      </c>
      <c r="K1265" s="30" t="s">
        <v>44</v>
      </c>
      <c r="L1265" s="31"/>
      <c r="M1265" s="32" t="s">
        <v>45</v>
      </c>
    </row>
    <row r="1266" customFormat="false" ht="51" hidden="false" customHeight="true" outlineLevel="0" collapsed="false">
      <c r="B1266" s="29" t="s">
        <v>5774</v>
      </c>
      <c r="C1266" s="29" t="s">
        <v>264</v>
      </c>
      <c r="D1266" s="29" t="s">
        <v>5775</v>
      </c>
      <c r="E1266" s="29" t="s">
        <v>543</v>
      </c>
      <c r="F1266" s="29" t="s">
        <v>5776</v>
      </c>
      <c r="G1266" s="29" t="s">
        <v>5777</v>
      </c>
      <c r="H1266" s="29" t="s">
        <v>5770</v>
      </c>
      <c r="I1266" s="29" t="s">
        <v>472</v>
      </c>
      <c r="J1266" s="29" t="s">
        <v>472</v>
      </c>
      <c r="K1266" s="30" t="s">
        <v>44</v>
      </c>
      <c r="L1266" s="31"/>
      <c r="M1266" s="32" t="s">
        <v>45</v>
      </c>
    </row>
    <row r="1267" customFormat="false" ht="51" hidden="false" customHeight="true" outlineLevel="0" collapsed="false">
      <c r="B1267" s="29" t="s">
        <v>5778</v>
      </c>
      <c r="C1267" s="29" t="s">
        <v>264</v>
      </c>
      <c r="D1267" s="29" t="s">
        <v>5779</v>
      </c>
      <c r="E1267" s="29" t="s">
        <v>543</v>
      </c>
      <c r="F1267" s="29" t="s">
        <v>5780</v>
      </c>
      <c r="G1267" s="29" t="s">
        <v>5780</v>
      </c>
      <c r="H1267" s="29" t="s">
        <v>5770</v>
      </c>
      <c r="I1267" s="29" t="s">
        <v>472</v>
      </c>
      <c r="J1267" s="29" t="s">
        <v>472</v>
      </c>
      <c r="K1267" s="30" t="s">
        <v>44</v>
      </c>
      <c r="L1267" s="31"/>
      <c r="M1267" s="32" t="s">
        <v>45</v>
      </c>
    </row>
    <row r="1268" customFormat="false" ht="51" hidden="false" customHeight="true" outlineLevel="0" collapsed="false">
      <c r="B1268" s="29" t="s">
        <v>5781</v>
      </c>
      <c r="C1268" s="29" t="s">
        <v>264</v>
      </c>
      <c r="D1268" s="29" t="s">
        <v>5782</v>
      </c>
      <c r="E1268" s="29" t="s">
        <v>543</v>
      </c>
      <c r="F1268" s="29" t="s">
        <v>5783</v>
      </c>
      <c r="G1268" s="29" t="s">
        <v>5783</v>
      </c>
      <c r="H1268" s="29" t="s">
        <v>5770</v>
      </c>
      <c r="I1268" s="29" t="s">
        <v>472</v>
      </c>
      <c r="J1268" s="29" t="s">
        <v>472</v>
      </c>
      <c r="K1268" s="30" t="s">
        <v>44</v>
      </c>
      <c r="L1268" s="31"/>
      <c r="M1268" s="32" t="s">
        <v>45</v>
      </c>
    </row>
    <row r="1269" customFormat="false" ht="51" hidden="false" customHeight="true" outlineLevel="0" collapsed="false">
      <c r="B1269" s="29" t="s">
        <v>5784</v>
      </c>
      <c r="C1269" s="29" t="s">
        <v>264</v>
      </c>
      <c r="D1269" s="29" t="s">
        <v>5785</v>
      </c>
      <c r="E1269" s="29" t="s">
        <v>543</v>
      </c>
      <c r="F1269" s="29" t="s">
        <v>5786</v>
      </c>
      <c r="G1269" s="29" t="s">
        <v>5787</v>
      </c>
      <c r="H1269" s="29" t="s">
        <v>5770</v>
      </c>
      <c r="I1269" s="29" t="s">
        <v>472</v>
      </c>
      <c r="J1269" s="29" t="s">
        <v>472</v>
      </c>
      <c r="K1269" s="30" t="s">
        <v>44</v>
      </c>
      <c r="L1269" s="31"/>
      <c r="M1269" s="32" t="s">
        <v>45</v>
      </c>
    </row>
    <row r="1270" customFormat="false" ht="51" hidden="false" customHeight="true" outlineLevel="0" collapsed="false">
      <c r="B1270" s="29" t="s">
        <v>5788</v>
      </c>
      <c r="C1270" s="29" t="s">
        <v>264</v>
      </c>
      <c r="D1270" s="29" t="s">
        <v>5789</v>
      </c>
      <c r="E1270" s="29" t="s">
        <v>543</v>
      </c>
      <c r="F1270" s="29" t="s">
        <v>5790</v>
      </c>
      <c r="G1270" s="29" t="s">
        <v>5790</v>
      </c>
      <c r="H1270" s="29" t="s">
        <v>5770</v>
      </c>
      <c r="I1270" s="29" t="s">
        <v>472</v>
      </c>
      <c r="J1270" s="29" t="s">
        <v>472</v>
      </c>
      <c r="K1270" s="30" t="s">
        <v>44</v>
      </c>
      <c r="L1270" s="31"/>
      <c r="M1270" s="32" t="s">
        <v>45</v>
      </c>
    </row>
    <row r="1271" customFormat="false" ht="51" hidden="false" customHeight="true" outlineLevel="0" collapsed="false">
      <c r="B1271" s="29" t="s">
        <v>5791</v>
      </c>
      <c r="C1271" s="29" t="s">
        <v>264</v>
      </c>
      <c r="D1271" s="29" t="s">
        <v>5792</v>
      </c>
      <c r="E1271" s="29" t="s">
        <v>543</v>
      </c>
      <c r="F1271" s="29" t="s">
        <v>5793</v>
      </c>
      <c r="G1271" s="29" t="s">
        <v>5793</v>
      </c>
      <c r="H1271" s="29" t="s">
        <v>5770</v>
      </c>
      <c r="I1271" s="29" t="s">
        <v>472</v>
      </c>
      <c r="J1271" s="29" t="s">
        <v>472</v>
      </c>
      <c r="K1271" s="30" t="s">
        <v>44</v>
      </c>
      <c r="L1271" s="31"/>
      <c r="M1271" s="32" t="s">
        <v>45</v>
      </c>
    </row>
    <row r="1272" customFormat="false" ht="51" hidden="false" customHeight="true" outlineLevel="0" collapsed="false">
      <c r="B1272" s="29" t="s">
        <v>5794</v>
      </c>
      <c r="C1272" s="29" t="s">
        <v>264</v>
      </c>
      <c r="D1272" s="29" t="s">
        <v>5795</v>
      </c>
      <c r="E1272" s="29" t="s">
        <v>266</v>
      </c>
      <c r="F1272" s="29" t="s">
        <v>5796</v>
      </c>
      <c r="G1272" s="29" t="s">
        <v>5797</v>
      </c>
      <c r="H1272" s="29" t="s">
        <v>5798</v>
      </c>
      <c r="I1272" s="29" t="s">
        <v>42</v>
      </c>
      <c r="J1272" s="29" t="s">
        <v>270</v>
      </c>
      <c r="K1272" s="30" t="s">
        <v>44</v>
      </c>
      <c r="L1272" s="31"/>
      <c r="M1272" s="32" t="s">
        <v>45</v>
      </c>
    </row>
    <row r="1273" customFormat="false" ht="51" hidden="false" customHeight="true" outlineLevel="0" collapsed="false">
      <c r="B1273" s="29" t="s">
        <v>5799</v>
      </c>
      <c r="C1273" s="29" t="s">
        <v>264</v>
      </c>
      <c r="D1273" s="29" t="s">
        <v>5800</v>
      </c>
      <c r="E1273" s="29" t="s">
        <v>266</v>
      </c>
      <c r="F1273" s="29" t="s">
        <v>5801</v>
      </c>
      <c r="G1273" s="29" t="s">
        <v>5801</v>
      </c>
      <c r="H1273" s="29" t="s">
        <v>5798</v>
      </c>
      <c r="I1273" s="29" t="s">
        <v>42</v>
      </c>
      <c r="J1273" s="29" t="s">
        <v>270</v>
      </c>
      <c r="K1273" s="30" t="s">
        <v>44</v>
      </c>
      <c r="L1273" s="31"/>
      <c r="M1273" s="32" t="s">
        <v>45</v>
      </c>
    </row>
    <row r="1274" customFormat="false" ht="51" hidden="false" customHeight="true" outlineLevel="0" collapsed="false">
      <c r="B1274" s="29" t="s">
        <v>5802</v>
      </c>
      <c r="C1274" s="29" t="s">
        <v>264</v>
      </c>
      <c r="D1274" s="29" t="s">
        <v>5803</v>
      </c>
      <c r="E1274" s="29" t="s">
        <v>266</v>
      </c>
      <c r="F1274" s="29" t="s">
        <v>5804</v>
      </c>
      <c r="G1274" s="29" t="s">
        <v>5804</v>
      </c>
      <c r="H1274" s="29" t="s">
        <v>5798</v>
      </c>
      <c r="I1274" s="29" t="s">
        <v>42</v>
      </c>
      <c r="J1274" s="29" t="s">
        <v>270</v>
      </c>
      <c r="K1274" s="30" t="s">
        <v>44</v>
      </c>
      <c r="L1274" s="31"/>
      <c r="M1274" s="32" t="s">
        <v>45</v>
      </c>
    </row>
    <row r="1275" customFormat="false" ht="51" hidden="false" customHeight="true" outlineLevel="0" collapsed="false">
      <c r="B1275" s="29" t="s">
        <v>5805</v>
      </c>
      <c r="C1275" s="29" t="s">
        <v>264</v>
      </c>
      <c r="D1275" s="29" t="s">
        <v>5806</v>
      </c>
      <c r="E1275" s="29" t="s">
        <v>266</v>
      </c>
      <c r="F1275" s="29" t="s">
        <v>5807</v>
      </c>
      <c r="G1275" s="29" t="s">
        <v>5807</v>
      </c>
      <c r="H1275" s="29" t="s">
        <v>5798</v>
      </c>
      <c r="I1275" s="29" t="s">
        <v>42</v>
      </c>
      <c r="J1275" s="29" t="s">
        <v>270</v>
      </c>
      <c r="K1275" s="30" t="s">
        <v>44</v>
      </c>
      <c r="L1275" s="31"/>
      <c r="M1275" s="32" t="s">
        <v>45</v>
      </c>
    </row>
    <row r="1276" customFormat="false" ht="51" hidden="false" customHeight="true" outlineLevel="0" collapsed="false">
      <c r="B1276" s="29" t="s">
        <v>5808</v>
      </c>
      <c r="C1276" s="29" t="s">
        <v>264</v>
      </c>
      <c r="D1276" s="29" t="s">
        <v>5809</v>
      </c>
      <c r="E1276" s="29" t="s">
        <v>266</v>
      </c>
      <c r="F1276" s="29" t="s">
        <v>5810</v>
      </c>
      <c r="G1276" s="29" t="s">
        <v>5810</v>
      </c>
      <c r="H1276" s="29" t="s">
        <v>5798</v>
      </c>
      <c r="I1276" s="29" t="s">
        <v>42</v>
      </c>
      <c r="J1276" s="29" t="s">
        <v>1386</v>
      </c>
      <c r="K1276" s="30" t="s">
        <v>44</v>
      </c>
      <c r="L1276" s="31"/>
      <c r="M1276" s="32" t="s">
        <v>45</v>
      </c>
    </row>
    <row r="1277" customFormat="false" ht="51" hidden="false" customHeight="true" outlineLevel="0" collapsed="false">
      <c r="B1277" s="29" t="s">
        <v>5811</v>
      </c>
      <c r="C1277" s="29" t="s">
        <v>264</v>
      </c>
      <c r="D1277" s="29" t="s">
        <v>5812</v>
      </c>
      <c r="E1277" s="29" t="s">
        <v>91</v>
      </c>
      <c r="F1277" s="29" t="s">
        <v>5813</v>
      </c>
      <c r="G1277" s="29" t="s">
        <v>5814</v>
      </c>
      <c r="H1277" s="29" t="s">
        <v>5798</v>
      </c>
      <c r="I1277" s="29" t="s">
        <v>42</v>
      </c>
      <c r="J1277" s="29" t="s">
        <v>5815</v>
      </c>
      <c r="K1277" s="30" t="s">
        <v>44</v>
      </c>
      <c r="L1277" s="31"/>
      <c r="M1277" s="32" t="s">
        <v>45</v>
      </c>
    </row>
    <row r="1278" customFormat="false" ht="51" hidden="false" customHeight="true" outlineLevel="0" collapsed="false">
      <c r="B1278" s="29" t="s">
        <v>5816</v>
      </c>
      <c r="C1278" s="29" t="s">
        <v>264</v>
      </c>
      <c r="D1278" s="29" t="s">
        <v>5817</v>
      </c>
      <c r="E1278" s="29" t="s">
        <v>266</v>
      </c>
      <c r="F1278" s="29" t="s">
        <v>5818</v>
      </c>
      <c r="G1278" s="29" t="s">
        <v>5818</v>
      </c>
      <c r="H1278" s="29" t="s">
        <v>5798</v>
      </c>
      <c r="I1278" s="29" t="s">
        <v>42</v>
      </c>
      <c r="J1278" s="29" t="s">
        <v>270</v>
      </c>
      <c r="K1278" s="30" t="s">
        <v>44</v>
      </c>
      <c r="L1278" s="31"/>
      <c r="M1278" s="32" t="s">
        <v>45</v>
      </c>
    </row>
    <row r="1279" customFormat="false" ht="51" hidden="false" customHeight="true" outlineLevel="0" collapsed="false">
      <c r="B1279" s="29" t="s">
        <v>5819</v>
      </c>
      <c r="C1279" s="29" t="s">
        <v>264</v>
      </c>
      <c r="D1279" s="29" t="s">
        <v>5820</v>
      </c>
      <c r="E1279" s="29" t="s">
        <v>266</v>
      </c>
      <c r="F1279" s="29" t="s">
        <v>5821</v>
      </c>
      <c r="G1279" s="29" t="s">
        <v>5822</v>
      </c>
      <c r="H1279" s="29" t="s">
        <v>5798</v>
      </c>
      <c r="I1279" s="29" t="s">
        <v>42</v>
      </c>
      <c r="J1279" s="29" t="s">
        <v>270</v>
      </c>
      <c r="K1279" s="30" t="s">
        <v>44</v>
      </c>
      <c r="L1279" s="31"/>
      <c r="M1279" s="32" t="s">
        <v>45</v>
      </c>
    </row>
    <row r="1280" customFormat="false" ht="51" hidden="false" customHeight="true" outlineLevel="0" collapsed="false">
      <c r="B1280" s="29" t="s">
        <v>5823</v>
      </c>
      <c r="C1280" s="29" t="s">
        <v>264</v>
      </c>
      <c r="D1280" s="29" t="s">
        <v>5824</v>
      </c>
      <c r="E1280" s="29" t="s">
        <v>266</v>
      </c>
      <c r="F1280" s="29" t="s">
        <v>5825</v>
      </c>
      <c r="G1280" s="29" t="s">
        <v>5826</v>
      </c>
      <c r="H1280" s="29" t="s">
        <v>5798</v>
      </c>
      <c r="I1280" s="29" t="s">
        <v>42</v>
      </c>
      <c r="J1280" s="29" t="s">
        <v>270</v>
      </c>
      <c r="K1280" s="30" t="s">
        <v>44</v>
      </c>
      <c r="L1280" s="31"/>
      <c r="M1280" s="32" t="s">
        <v>45</v>
      </c>
    </row>
    <row r="1281" customFormat="false" ht="51" hidden="false" customHeight="true" outlineLevel="0" collapsed="false">
      <c r="B1281" s="29" t="s">
        <v>5827</v>
      </c>
      <c r="C1281" s="29" t="s">
        <v>264</v>
      </c>
      <c r="D1281" s="29" t="s">
        <v>5828</v>
      </c>
      <c r="E1281" s="29" t="s">
        <v>266</v>
      </c>
      <c r="F1281" s="29" t="s">
        <v>5829</v>
      </c>
      <c r="G1281" s="29" t="s">
        <v>5829</v>
      </c>
      <c r="H1281" s="29" t="s">
        <v>5798</v>
      </c>
      <c r="I1281" s="29" t="s">
        <v>42</v>
      </c>
      <c r="J1281" s="29" t="s">
        <v>270</v>
      </c>
      <c r="K1281" s="30" t="s">
        <v>44</v>
      </c>
      <c r="L1281" s="31"/>
      <c r="M1281" s="32" t="s">
        <v>45</v>
      </c>
    </row>
    <row r="1282" customFormat="false" ht="51" hidden="false" customHeight="true" outlineLevel="0" collapsed="false">
      <c r="B1282" s="29" t="s">
        <v>5830</v>
      </c>
      <c r="C1282" s="29" t="s">
        <v>264</v>
      </c>
      <c r="D1282" s="29" t="s">
        <v>3693</v>
      </c>
      <c r="E1282" s="29" t="s">
        <v>543</v>
      </c>
      <c r="F1282" s="29" t="s">
        <v>5831</v>
      </c>
      <c r="G1282" s="29" t="s">
        <v>5831</v>
      </c>
      <c r="H1282" s="29" t="s">
        <v>5832</v>
      </c>
      <c r="I1282" s="29" t="s">
        <v>472</v>
      </c>
      <c r="J1282" s="29" t="s">
        <v>472</v>
      </c>
      <c r="K1282" s="30" t="s">
        <v>44</v>
      </c>
      <c r="L1282" s="31"/>
      <c r="M1282" s="32" t="s">
        <v>45</v>
      </c>
    </row>
    <row r="1283" customFormat="false" ht="51" hidden="false" customHeight="true" outlineLevel="0" collapsed="false">
      <c r="B1283" s="29" t="s">
        <v>5833</v>
      </c>
      <c r="C1283" s="29" t="s">
        <v>264</v>
      </c>
      <c r="D1283" s="29" t="s">
        <v>3699</v>
      </c>
      <c r="E1283" s="29" t="s">
        <v>266</v>
      </c>
      <c r="F1283" s="29" t="s">
        <v>5834</v>
      </c>
      <c r="G1283" s="29" t="s">
        <v>5835</v>
      </c>
      <c r="H1283" s="29" t="s">
        <v>5836</v>
      </c>
      <c r="I1283" s="29" t="s">
        <v>42</v>
      </c>
      <c r="J1283" s="29" t="s">
        <v>270</v>
      </c>
      <c r="K1283" s="30" t="s">
        <v>44</v>
      </c>
      <c r="L1283" s="31"/>
      <c r="M1283" s="32" t="s">
        <v>45</v>
      </c>
    </row>
    <row r="1284" customFormat="false" ht="51" hidden="false" customHeight="true" outlineLevel="0" collapsed="false">
      <c r="B1284" s="29" t="s">
        <v>5837</v>
      </c>
      <c r="C1284" s="29" t="s">
        <v>264</v>
      </c>
      <c r="D1284" s="29" t="s">
        <v>5593</v>
      </c>
      <c r="E1284" s="29" t="s">
        <v>351</v>
      </c>
      <c r="F1284" s="29" t="s">
        <v>5838</v>
      </c>
      <c r="G1284" s="29" t="s">
        <v>5839</v>
      </c>
      <c r="H1284" s="29" t="s">
        <v>5840</v>
      </c>
      <c r="I1284" s="29" t="s">
        <v>3696</v>
      </c>
      <c r="J1284" s="29" t="s">
        <v>155</v>
      </c>
      <c r="K1284" s="30" t="s">
        <v>44</v>
      </c>
      <c r="L1284" s="31"/>
      <c r="M1284" s="32" t="s">
        <v>45</v>
      </c>
    </row>
    <row r="1285" customFormat="false" ht="51" hidden="false" customHeight="true" outlineLevel="0" collapsed="false">
      <c r="B1285" s="29" t="s">
        <v>5841</v>
      </c>
      <c r="C1285" s="29" t="s">
        <v>264</v>
      </c>
      <c r="D1285" s="29" t="s">
        <v>5604</v>
      </c>
      <c r="E1285" s="29" t="s">
        <v>600</v>
      </c>
      <c r="F1285" s="29" t="s">
        <v>5842</v>
      </c>
      <c r="G1285" s="29" t="s">
        <v>5843</v>
      </c>
      <c r="H1285" s="29" t="s">
        <v>5840</v>
      </c>
      <c r="I1285" s="29" t="s">
        <v>3696</v>
      </c>
      <c r="J1285" s="29" t="s">
        <v>155</v>
      </c>
      <c r="K1285" s="30" t="s">
        <v>44</v>
      </c>
      <c r="L1285" s="31"/>
      <c r="M1285" s="32" t="s">
        <v>45</v>
      </c>
    </row>
    <row r="1286" customFormat="false" ht="51" hidden="false" customHeight="true" outlineLevel="0" collapsed="false">
      <c r="B1286" s="29" t="s">
        <v>5844</v>
      </c>
      <c r="C1286" s="29" t="s">
        <v>264</v>
      </c>
      <c r="D1286" s="29" t="s">
        <v>5845</v>
      </c>
      <c r="E1286" s="29" t="s">
        <v>357</v>
      </c>
      <c r="F1286" s="29" t="s">
        <v>5846</v>
      </c>
      <c r="G1286" s="29" t="s">
        <v>5847</v>
      </c>
      <c r="H1286" s="29" t="s">
        <v>5840</v>
      </c>
      <c r="I1286" s="29" t="s">
        <v>302</v>
      </c>
      <c r="J1286" s="29" t="s">
        <v>202</v>
      </c>
      <c r="K1286" s="30" t="s">
        <v>44</v>
      </c>
      <c r="L1286" s="31"/>
      <c r="M1286" s="32" t="s">
        <v>45</v>
      </c>
    </row>
    <row r="1287" customFormat="false" ht="51" hidden="false" customHeight="true" outlineLevel="0" collapsed="false">
      <c r="B1287" s="29" t="s">
        <v>5848</v>
      </c>
      <c r="C1287" s="29" t="s">
        <v>264</v>
      </c>
      <c r="D1287" s="29" t="s">
        <v>5849</v>
      </c>
      <c r="E1287" s="29" t="s">
        <v>543</v>
      </c>
      <c r="F1287" s="29" t="s">
        <v>5850</v>
      </c>
      <c r="G1287" s="29" t="s">
        <v>5850</v>
      </c>
      <c r="H1287" s="29" t="s">
        <v>5851</v>
      </c>
      <c r="I1287" s="29" t="s">
        <v>472</v>
      </c>
      <c r="J1287" s="29" t="s">
        <v>472</v>
      </c>
      <c r="K1287" s="30" t="s">
        <v>44</v>
      </c>
      <c r="L1287" s="31"/>
      <c r="M1287" s="32" t="s">
        <v>45</v>
      </c>
    </row>
    <row r="1288" customFormat="false" ht="51" hidden="false" customHeight="true" outlineLevel="0" collapsed="false">
      <c r="B1288" s="29" t="s">
        <v>5852</v>
      </c>
      <c r="C1288" s="29" t="s">
        <v>264</v>
      </c>
      <c r="D1288" s="29" t="s">
        <v>5853</v>
      </c>
      <c r="E1288" s="29" t="s">
        <v>543</v>
      </c>
      <c r="F1288" s="29" t="s">
        <v>5854</v>
      </c>
      <c r="G1288" s="29" t="s">
        <v>5855</v>
      </c>
      <c r="H1288" s="29" t="s">
        <v>5851</v>
      </c>
      <c r="I1288" s="29" t="s">
        <v>472</v>
      </c>
      <c r="J1288" s="29" t="s">
        <v>472</v>
      </c>
      <c r="K1288" s="30" t="s">
        <v>44</v>
      </c>
      <c r="L1288" s="31"/>
      <c r="M1288" s="32" t="s">
        <v>45</v>
      </c>
    </row>
    <row r="1289" customFormat="false" ht="51" hidden="false" customHeight="true" outlineLevel="0" collapsed="false">
      <c r="B1289" s="29" t="s">
        <v>5856</v>
      </c>
      <c r="C1289" s="29" t="s">
        <v>264</v>
      </c>
      <c r="D1289" s="29" t="s">
        <v>5857</v>
      </c>
      <c r="E1289" s="29" t="s">
        <v>543</v>
      </c>
      <c r="F1289" s="29" t="s">
        <v>5858</v>
      </c>
      <c r="G1289" s="29" t="s">
        <v>5858</v>
      </c>
      <c r="H1289" s="29" t="s">
        <v>5851</v>
      </c>
      <c r="I1289" s="29" t="s">
        <v>472</v>
      </c>
      <c r="J1289" s="29" t="s">
        <v>472</v>
      </c>
      <c r="K1289" s="30" t="s">
        <v>44</v>
      </c>
      <c r="L1289" s="31"/>
      <c r="M1289" s="32" t="s">
        <v>45</v>
      </c>
    </row>
    <row r="1290" customFormat="false" ht="51" hidden="false" customHeight="true" outlineLevel="0" collapsed="false">
      <c r="B1290" s="29" t="s">
        <v>5859</v>
      </c>
      <c r="C1290" s="29" t="s">
        <v>264</v>
      </c>
      <c r="D1290" s="29" t="s">
        <v>5860</v>
      </c>
      <c r="E1290" s="29" t="s">
        <v>543</v>
      </c>
      <c r="F1290" s="29" t="s">
        <v>5861</v>
      </c>
      <c r="G1290" s="29" t="s">
        <v>5862</v>
      </c>
      <c r="H1290" s="29" t="s">
        <v>5851</v>
      </c>
      <c r="I1290" s="29" t="s">
        <v>472</v>
      </c>
      <c r="J1290" s="29" t="s">
        <v>472</v>
      </c>
      <c r="K1290" s="30" t="s">
        <v>44</v>
      </c>
      <c r="L1290" s="31"/>
      <c r="M1290" s="32" t="s">
        <v>45</v>
      </c>
    </row>
    <row r="1291" customFormat="false" ht="51" hidden="false" customHeight="true" outlineLevel="0" collapsed="false">
      <c r="B1291" s="29" t="s">
        <v>5863</v>
      </c>
      <c r="C1291" s="29" t="s">
        <v>264</v>
      </c>
      <c r="D1291" s="29" t="s">
        <v>5864</v>
      </c>
      <c r="E1291" s="29" t="s">
        <v>39</v>
      </c>
      <c r="F1291" s="29" t="s">
        <v>5865</v>
      </c>
      <c r="G1291" s="29" t="s">
        <v>5866</v>
      </c>
      <c r="H1291" s="29" t="s">
        <v>5840</v>
      </c>
      <c r="I1291" s="29" t="s">
        <v>42</v>
      </c>
      <c r="J1291" s="29" t="s">
        <v>43</v>
      </c>
      <c r="K1291" s="30" t="s">
        <v>44</v>
      </c>
      <c r="L1291" s="31"/>
      <c r="M1291" s="32" t="s">
        <v>45</v>
      </c>
    </row>
    <row r="1292" customFormat="false" ht="51" hidden="false" customHeight="true" outlineLevel="0" collapsed="false">
      <c r="B1292" s="29" t="s">
        <v>5867</v>
      </c>
      <c r="C1292" s="29" t="s">
        <v>264</v>
      </c>
      <c r="D1292" s="29" t="s">
        <v>5868</v>
      </c>
      <c r="E1292" s="29" t="s">
        <v>543</v>
      </c>
      <c r="F1292" s="29" t="s">
        <v>5869</v>
      </c>
      <c r="G1292" s="29" t="s">
        <v>5870</v>
      </c>
      <c r="H1292" s="29" t="s">
        <v>5871</v>
      </c>
      <c r="I1292" s="29" t="s">
        <v>472</v>
      </c>
      <c r="J1292" s="29" t="s">
        <v>472</v>
      </c>
      <c r="K1292" s="30" t="s">
        <v>44</v>
      </c>
      <c r="L1292" s="31"/>
      <c r="M1292" s="32" t="s">
        <v>45</v>
      </c>
    </row>
    <row r="1293" customFormat="false" ht="51" hidden="false" customHeight="true" outlineLevel="0" collapsed="false">
      <c r="B1293" s="29" t="s">
        <v>5872</v>
      </c>
      <c r="C1293" s="29" t="s">
        <v>264</v>
      </c>
      <c r="D1293" s="29" t="s">
        <v>5873</v>
      </c>
      <c r="E1293" s="29" t="s">
        <v>543</v>
      </c>
      <c r="F1293" s="29" t="s">
        <v>5874</v>
      </c>
      <c r="G1293" s="29" t="s">
        <v>5875</v>
      </c>
      <c r="H1293" s="29" t="s">
        <v>5871</v>
      </c>
      <c r="I1293" s="29" t="s">
        <v>472</v>
      </c>
      <c r="J1293" s="29" t="s">
        <v>472</v>
      </c>
      <c r="K1293" s="30" t="s">
        <v>44</v>
      </c>
      <c r="L1293" s="31"/>
      <c r="M1293" s="32" t="s">
        <v>45</v>
      </c>
    </row>
    <row r="1294" customFormat="false" ht="51" hidden="false" customHeight="true" outlineLevel="0" collapsed="false">
      <c r="B1294" s="29" t="s">
        <v>5876</v>
      </c>
      <c r="C1294" s="29" t="s">
        <v>264</v>
      </c>
      <c r="D1294" s="29" t="s">
        <v>5877</v>
      </c>
      <c r="E1294" s="29" t="s">
        <v>151</v>
      </c>
      <c r="F1294" s="29" t="s">
        <v>5878</v>
      </c>
      <c r="G1294" s="29" t="s">
        <v>5879</v>
      </c>
      <c r="H1294" s="29" t="s">
        <v>5871</v>
      </c>
      <c r="I1294" s="29" t="s">
        <v>472</v>
      </c>
      <c r="J1294" s="29" t="s">
        <v>472</v>
      </c>
      <c r="K1294" s="30" t="s">
        <v>44</v>
      </c>
      <c r="L1294" s="31"/>
      <c r="M1294" s="32" t="s">
        <v>45</v>
      </c>
    </row>
    <row r="1295" customFormat="false" ht="51" hidden="false" customHeight="true" outlineLevel="0" collapsed="false">
      <c r="B1295" s="29" t="s">
        <v>5880</v>
      </c>
      <c r="C1295" s="29" t="s">
        <v>264</v>
      </c>
      <c r="D1295" s="29" t="s">
        <v>5881</v>
      </c>
      <c r="E1295" s="29" t="s">
        <v>543</v>
      </c>
      <c r="F1295" s="29" t="s">
        <v>5882</v>
      </c>
      <c r="G1295" s="29" t="s">
        <v>5882</v>
      </c>
      <c r="H1295" s="29" t="s">
        <v>5883</v>
      </c>
      <c r="I1295" s="29" t="s">
        <v>472</v>
      </c>
      <c r="J1295" s="29" t="s">
        <v>472</v>
      </c>
      <c r="K1295" s="30" t="s">
        <v>44</v>
      </c>
      <c r="L1295" s="31"/>
      <c r="M1295" s="32" t="s">
        <v>45</v>
      </c>
    </row>
    <row r="1296" customFormat="false" ht="51" hidden="false" customHeight="true" outlineLevel="0" collapsed="false">
      <c r="B1296" s="29" t="s">
        <v>5884</v>
      </c>
      <c r="C1296" s="29" t="s">
        <v>264</v>
      </c>
      <c r="D1296" s="29" t="s">
        <v>5885</v>
      </c>
      <c r="E1296" s="29" t="s">
        <v>543</v>
      </c>
      <c r="F1296" s="29" t="s">
        <v>5886</v>
      </c>
      <c r="G1296" s="29" t="s">
        <v>5887</v>
      </c>
      <c r="H1296" s="29" t="s">
        <v>5883</v>
      </c>
      <c r="I1296" s="29" t="s">
        <v>472</v>
      </c>
      <c r="J1296" s="29" t="s">
        <v>472</v>
      </c>
      <c r="K1296" s="30" t="s">
        <v>44</v>
      </c>
      <c r="L1296" s="31"/>
      <c r="M1296" s="32" t="s">
        <v>45</v>
      </c>
    </row>
    <row r="1297" customFormat="false" ht="51" hidden="false" customHeight="true" outlineLevel="0" collapsed="false">
      <c r="B1297" s="29" t="s">
        <v>5888</v>
      </c>
      <c r="C1297" s="29" t="s">
        <v>264</v>
      </c>
      <c r="D1297" s="29" t="s">
        <v>5889</v>
      </c>
      <c r="E1297" s="29" t="s">
        <v>340</v>
      </c>
      <c r="F1297" s="29" t="s">
        <v>5890</v>
      </c>
      <c r="G1297" s="29" t="s">
        <v>5891</v>
      </c>
      <c r="H1297" s="29" t="s">
        <v>5892</v>
      </c>
      <c r="I1297" s="29" t="s">
        <v>302</v>
      </c>
      <c r="J1297" s="29" t="s">
        <v>202</v>
      </c>
      <c r="K1297" s="30" t="s">
        <v>44</v>
      </c>
      <c r="L1297" s="31"/>
      <c r="M1297" s="32" t="s">
        <v>45</v>
      </c>
    </row>
    <row r="1298" customFormat="false" ht="51" hidden="false" customHeight="true" outlineLevel="0" collapsed="false">
      <c r="B1298" s="29" t="s">
        <v>5893</v>
      </c>
      <c r="C1298" s="29" t="s">
        <v>264</v>
      </c>
      <c r="D1298" s="29" t="s">
        <v>5894</v>
      </c>
      <c r="E1298" s="29" t="s">
        <v>151</v>
      </c>
      <c r="F1298" s="29" t="s">
        <v>5895</v>
      </c>
      <c r="G1298" s="29" t="s">
        <v>5895</v>
      </c>
      <c r="H1298" s="29" t="s">
        <v>5883</v>
      </c>
      <c r="I1298" s="29" t="s">
        <v>472</v>
      </c>
      <c r="J1298" s="29" t="s">
        <v>472</v>
      </c>
      <c r="K1298" s="30" t="s">
        <v>44</v>
      </c>
      <c r="L1298" s="31"/>
      <c r="M1298" s="32" t="s">
        <v>45</v>
      </c>
    </row>
    <row r="1299" customFormat="false" ht="51" hidden="false" customHeight="true" outlineLevel="0" collapsed="false">
      <c r="B1299" s="29" t="s">
        <v>5896</v>
      </c>
      <c r="C1299" s="29" t="s">
        <v>264</v>
      </c>
      <c r="D1299" s="29" t="s">
        <v>5897</v>
      </c>
      <c r="E1299" s="29" t="s">
        <v>543</v>
      </c>
      <c r="F1299" s="29" t="s">
        <v>5898</v>
      </c>
      <c r="G1299" s="29" t="s">
        <v>5898</v>
      </c>
      <c r="H1299" s="29" t="s">
        <v>5883</v>
      </c>
      <c r="I1299" s="29" t="s">
        <v>472</v>
      </c>
      <c r="J1299" s="29" t="s">
        <v>472</v>
      </c>
      <c r="K1299" s="30" t="s">
        <v>44</v>
      </c>
      <c r="L1299" s="31"/>
      <c r="M1299" s="32" t="s">
        <v>45</v>
      </c>
    </row>
    <row r="1300" customFormat="false" ht="51" hidden="false" customHeight="true" outlineLevel="0" collapsed="false">
      <c r="B1300" s="29" t="s">
        <v>5899</v>
      </c>
      <c r="C1300" s="29" t="s">
        <v>264</v>
      </c>
      <c r="D1300" s="29" t="s">
        <v>5900</v>
      </c>
      <c r="E1300" s="29" t="s">
        <v>543</v>
      </c>
      <c r="F1300" s="29" t="s">
        <v>5901</v>
      </c>
      <c r="G1300" s="29" t="s">
        <v>5901</v>
      </c>
      <c r="H1300" s="29" t="s">
        <v>5883</v>
      </c>
      <c r="I1300" s="29" t="s">
        <v>472</v>
      </c>
      <c r="J1300" s="29" t="s">
        <v>472</v>
      </c>
      <c r="K1300" s="30" t="s">
        <v>44</v>
      </c>
      <c r="L1300" s="31"/>
      <c r="M1300" s="32" t="s">
        <v>45</v>
      </c>
    </row>
    <row r="1301" customFormat="false" ht="51" hidden="false" customHeight="true" outlineLevel="0" collapsed="false">
      <c r="B1301" s="29" t="s">
        <v>5902</v>
      </c>
      <c r="C1301" s="29" t="s">
        <v>264</v>
      </c>
      <c r="D1301" s="29" t="s">
        <v>5903</v>
      </c>
      <c r="E1301" s="29" t="s">
        <v>543</v>
      </c>
      <c r="F1301" s="29" t="s">
        <v>5904</v>
      </c>
      <c r="G1301" s="29" t="s">
        <v>5904</v>
      </c>
      <c r="H1301" s="29" t="s">
        <v>5883</v>
      </c>
      <c r="I1301" s="29" t="s">
        <v>472</v>
      </c>
      <c r="J1301" s="29" t="s">
        <v>472</v>
      </c>
      <c r="K1301" s="30" t="s">
        <v>44</v>
      </c>
      <c r="L1301" s="31"/>
      <c r="M1301" s="32" t="s">
        <v>45</v>
      </c>
    </row>
    <row r="1302" customFormat="false" ht="51" hidden="false" customHeight="true" outlineLevel="0" collapsed="false">
      <c r="B1302" s="29" t="s">
        <v>5905</v>
      </c>
      <c r="C1302" s="29" t="s">
        <v>264</v>
      </c>
      <c r="D1302" s="29" t="s">
        <v>5906</v>
      </c>
      <c r="E1302" s="29" t="s">
        <v>543</v>
      </c>
      <c r="F1302" s="29" t="s">
        <v>5907</v>
      </c>
      <c r="G1302" s="29" t="s">
        <v>5907</v>
      </c>
      <c r="H1302" s="29" t="s">
        <v>5883</v>
      </c>
      <c r="I1302" s="29" t="s">
        <v>472</v>
      </c>
      <c r="J1302" s="29" t="s">
        <v>472</v>
      </c>
      <c r="K1302" s="30" t="s">
        <v>44</v>
      </c>
      <c r="L1302" s="31"/>
      <c r="M1302" s="32" t="s">
        <v>45</v>
      </c>
    </row>
    <row r="1303" customFormat="false" ht="51" hidden="false" customHeight="true" outlineLevel="0" collapsed="false">
      <c r="B1303" s="29" t="s">
        <v>5908</v>
      </c>
      <c r="C1303" s="29" t="s">
        <v>264</v>
      </c>
      <c r="D1303" s="29" t="s">
        <v>5909</v>
      </c>
      <c r="E1303" s="29" t="s">
        <v>357</v>
      </c>
      <c r="F1303" s="29" t="s">
        <v>5910</v>
      </c>
      <c r="G1303" s="29" t="s">
        <v>5910</v>
      </c>
      <c r="H1303" s="29" t="s">
        <v>5892</v>
      </c>
      <c r="I1303" s="29" t="s">
        <v>302</v>
      </c>
      <c r="J1303" s="29" t="s">
        <v>202</v>
      </c>
      <c r="K1303" s="30" t="s">
        <v>44</v>
      </c>
      <c r="L1303" s="31"/>
      <c r="M1303" s="32" t="s">
        <v>45</v>
      </c>
    </row>
    <row r="1304" customFormat="false" ht="51" hidden="false" customHeight="true" outlineLevel="0" collapsed="false">
      <c r="B1304" s="29" t="s">
        <v>5911</v>
      </c>
      <c r="C1304" s="29" t="s">
        <v>264</v>
      </c>
      <c r="D1304" s="29" t="s">
        <v>5912</v>
      </c>
      <c r="E1304" s="29" t="s">
        <v>543</v>
      </c>
      <c r="F1304" s="29" t="s">
        <v>5913</v>
      </c>
      <c r="G1304" s="29" t="s">
        <v>5913</v>
      </c>
      <c r="H1304" s="29" t="s">
        <v>5883</v>
      </c>
      <c r="I1304" s="29" t="s">
        <v>472</v>
      </c>
      <c r="J1304" s="29" t="s">
        <v>472</v>
      </c>
      <c r="K1304" s="30" t="s">
        <v>44</v>
      </c>
      <c r="L1304" s="31"/>
      <c r="M1304" s="32" t="s">
        <v>45</v>
      </c>
    </row>
    <row r="1305" customFormat="false" ht="51" hidden="false" customHeight="true" outlineLevel="0" collapsed="false">
      <c r="B1305" s="29" t="s">
        <v>5914</v>
      </c>
      <c r="C1305" s="29" t="s">
        <v>264</v>
      </c>
      <c r="D1305" s="29" t="s">
        <v>5915</v>
      </c>
      <c r="E1305" s="29" t="s">
        <v>600</v>
      </c>
      <c r="F1305" s="29" t="s">
        <v>5916</v>
      </c>
      <c r="G1305" s="29" t="s">
        <v>5916</v>
      </c>
      <c r="H1305" s="29" t="s">
        <v>5892</v>
      </c>
      <c r="I1305" s="29" t="s">
        <v>3696</v>
      </c>
      <c r="J1305" s="29" t="s">
        <v>155</v>
      </c>
      <c r="K1305" s="30" t="s">
        <v>44</v>
      </c>
      <c r="L1305" s="31"/>
      <c r="M1305" s="32" t="s">
        <v>45</v>
      </c>
    </row>
    <row r="1306" customFormat="false" ht="51" hidden="false" customHeight="true" outlineLevel="0" collapsed="false">
      <c r="B1306" s="29" t="s">
        <v>5917</v>
      </c>
      <c r="C1306" s="29" t="s">
        <v>264</v>
      </c>
      <c r="D1306" s="29" t="s">
        <v>5918</v>
      </c>
      <c r="E1306" s="29" t="s">
        <v>543</v>
      </c>
      <c r="F1306" s="29" t="s">
        <v>5919</v>
      </c>
      <c r="G1306" s="29" t="s">
        <v>5919</v>
      </c>
      <c r="H1306" s="29" t="s">
        <v>5883</v>
      </c>
      <c r="I1306" s="29" t="s">
        <v>472</v>
      </c>
      <c r="J1306" s="29" t="s">
        <v>472</v>
      </c>
      <c r="K1306" s="30" t="s">
        <v>44</v>
      </c>
      <c r="L1306" s="31"/>
      <c r="M1306" s="32" t="s">
        <v>45</v>
      </c>
    </row>
    <row r="1307" customFormat="false" ht="51" hidden="false" customHeight="true" outlineLevel="0" collapsed="false">
      <c r="B1307" s="29" t="s">
        <v>5920</v>
      </c>
      <c r="C1307" s="29" t="s">
        <v>264</v>
      </c>
      <c r="D1307" s="29" t="s">
        <v>5921</v>
      </c>
      <c r="E1307" s="29" t="s">
        <v>78</v>
      </c>
      <c r="F1307" s="29" t="s">
        <v>5922</v>
      </c>
      <c r="G1307" s="29" t="s">
        <v>5923</v>
      </c>
      <c r="H1307" s="29" t="s">
        <v>5892</v>
      </c>
      <c r="I1307" s="29" t="s">
        <v>1247</v>
      </c>
      <c r="J1307" s="29" t="s">
        <v>1248</v>
      </c>
      <c r="K1307" s="30" t="s">
        <v>62</v>
      </c>
      <c r="L1307" s="31"/>
      <c r="M1307" s="32"/>
    </row>
    <row r="1308" customFormat="false" ht="51" hidden="false" customHeight="true" outlineLevel="0" collapsed="false">
      <c r="B1308" s="29" t="s">
        <v>5924</v>
      </c>
      <c r="C1308" s="29" t="s">
        <v>264</v>
      </c>
      <c r="D1308" s="29" t="s">
        <v>5925</v>
      </c>
      <c r="E1308" s="29" t="s">
        <v>543</v>
      </c>
      <c r="F1308" s="29" t="s">
        <v>5926</v>
      </c>
      <c r="G1308" s="29" t="s">
        <v>5926</v>
      </c>
      <c r="H1308" s="29" t="s">
        <v>5883</v>
      </c>
      <c r="I1308" s="29" t="s">
        <v>472</v>
      </c>
      <c r="J1308" s="29" t="s">
        <v>472</v>
      </c>
      <c r="K1308" s="30" t="s">
        <v>44</v>
      </c>
      <c r="L1308" s="31"/>
      <c r="M1308" s="32" t="s">
        <v>45</v>
      </c>
    </row>
    <row r="1309" customFormat="false" ht="51" hidden="false" customHeight="true" outlineLevel="0" collapsed="false">
      <c r="B1309" s="29" t="s">
        <v>5927</v>
      </c>
      <c r="C1309" s="29" t="s">
        <v>264</v>
      </c>
      <c r="D1309" s="29" t="s">
        <v>5928</v>
      </c>
      <c r="E1309" s="29" t="s">
        <v>543</v>
      </c>
      <c r="F1309" s="29" t="s">
        <v>5929</v>
      </c>
      <c r="G1309" s="29" t="s">
        <v>5930</v>
      </c>
      <c r="H1309" s="29" t="s">
        <v>5883</v>
      </c>
      <c r="I1309" s="29" t="s">
        <v>472</v>
      </c>
      <c r="J1309" s="29" t="s">
        <v>472</v>
      </c>
      <c r="K1309" s="30" t="s">
        <v>44</v>
      </c>
      <c r="L1309" s="31"/>
      <c r="M1309" s="32" t="s">
        <v>45</v>
      </c>
    </row>
    <row r="1310" customFormat="false" ht="51" hidden="false" customHeight="true" outlineLevel="0" collapsed="false">
      <c r="B1310" s="29" t="s">
        <v>5931</v>
      </c>
      <c r="C1310" s="29" t="s">
        <v>264</v>
      </c>
      <c r="D1310" s="29" t="s">
        <v>5932</v>
      </c>
      <c r="E1310" s="29" t="s">
        <v>151</v>
      </c>
      <c r="F1310" s="29" t="s">
        <v>5933</v>
      </c>
      <c r="G1310" s="29" t="s">
        <v>5933</v>
      </c>
      <c r="H1310" s="29" t="s">
        <v>5934</v>
      </c>
      <c r="I1310" s="29" t="s">
        <v>472</v>
      </c>
      <c r="J1310" s="29" t="s">
        <v>472</v>
      </c>
      <c r="K1310" s="30" t="s">
        <v>44</v>
      </c>
      <c r="L1310" s="31"/>
      <c r="M1310" s="32" t="s">
        <v>45</v>
      </c>
    </row>
    <row r="1311" customFormat="false" ht="51" hidden="false" customHeight="true" outlineLevel="0" collapsed="false">
      <c r="B1311" s="29" t="s">
        <v>5935</v>
      </c>
      <c r="C1311" s="29" t="s">
        <v>264</v>
      </c>
      <c r="D1311" s="29" t="s">
        <v>5936</v>
      </c>
      <c r="E1311" s="29" t="s">
        <v>186</v>
      </c>
      <c r="F1311" s="29" t="s">
        <v>5937</v>
      </c>
      <c r="G1311" s="29" t="s">
        <v>5938</v>
      </c>
      <c r="H1311" s="29" t="s">
        <v>5939</v>
      </c>
      <c r="I1311" s="29" t="s">
        <v>5940</v>
      </c>
      <c r="J1311" s="29" t="s">
        <v>5941</v>
      </c>
      <c r="K1311" s="30" t="s">
        <v>44</v>
      </c>
      <c r="L1311" s="31"/>
      <c r="M1311" s="32" t="s">
        <v>45</v>
      </c>
    </row>
    <row r="1312" customFormat="false" ht="51" hidden="false" customHeight="true" outlineLevel="0" collapsed="false">
      <c r="B1312" s="29" t="s">
        <v>5942</v>
      </c>
      <c r="C1312" s="29" t="s">
        <v>264</v>
      </c>
      <c r="D1312" s="29" t="s">
        <v>5943</v>
      </c>
      <c r="E1312" s="29" t="s">
        <v>151</v>
      </c>
      <c r="F1312" s="29" t="s">
        <v>5944</v>
      </c>
      <c r="G1312" s="29" t="s">
        <v>5944</v>
      </c>
      <c r="H1312" s="29" t="s">
        <v>5934</v>
      </c>
      <c r="I1312" s="29" t="s">
        <v>472</v>
      </c>
      <c r="J1312" s="29" t="s">
        <v>472</v>
      </c>
      <c r="K1312" s="30" t="s">
        <v>44</v>
      </c>
      <c r="L1312" s="31"/>
      <c r="M1312" s="32" t="s">
        <v>45</v>
      </c>
    </row>
    <row r="1313" customFormat="false" ht="51" hidden="false" customHeight="true" outlineLevel="0" collapsed="false">
      <c r="B1313" s="29" t="s">
        <v>5945</v>
      </c>
      <c r="C1313" s="29" t="s">
        <v>264</v>
      </c>
      <c r="D1313" s="29" t="s">
        <v>5946</v>
      </c>
      <c r="E1313" s="29" t="s">
        <v>151</v>
      </c>
      <c r="F1313" s="29" t="s">
        <v>5947</v>
      </c>
      <c r="G1313" s="29" t="s">
        <v>5948</v>
      </c>
      <c r="H1313" s="29" t="s">
        <v>5934</v>
      </c>
      <c r="I1313" s="29" t="s">
        <v>472</v>
      </c>
      <c r="J1313" s="29" t="s">
        <v>472</v>
      </c>
      <c r="K1313" s="30" t="s">
        <v>44</v>
      </c>
      <c r="L1313" s="31"/>
      <c r="M1313" s="32" t="s">
        <v>45</v>
      </c>
    </row>
    <row r="1314" customFormat="false" ht="51" hidden="false" customHeight="true" outlineLevel="0" collapsed="false">
      <c r="B1314" s="29" t="s">
        <v>5949</v>
      </c>
      <c r="C1314" s="29" t="s">
        <v>264</v>
      </c>
      <c r="D1314" s="29" t="s">
        <v>5950</v>
      </c>
      <c r="E1314" s="29" t="s">
        <v>151</v>
      </c>
      <c r="F1314" s="29" t="s">
        <v>5951</v>
      </c>
      <c r="G1314" s="29" t="s">
        <v>5951</v>
      </c>
      <c r="H1314" s="29" t="s">
        <v>5934</v>
      </c>
      <c r="I1314" s="29" t="s">
        <v>472</v>
      </c>
      <c r="J1314" s="29" t="s">
        <v>472</v>
      </c>
      <c r="K1314" s="30" t="s">
        <v>44</v>
      </c>
      <c r="L1314" s="31"/>
      <c r="M1314" s="32" t="s">
        <v>45</v>
      </c>
    </row>
    <row r="1315" customFormat="false" ht="51" hidden="false" customHeight="true" outlineLevel="0" collapsed="false">
      <c r="B1315" s="29" t="s">
        <v>5952</v>
      </c>
      <c r="C1315" s="29" t="s">
        <v>264</v>
      </c>
      <c r="D1315" s="29" t="s">
        <v>5953</v>
      </c>
      <c r="E1315" s="29" t="s">
        <v>151</v>
      </c>
      <c r="F1315" s="29" t="s">
        <v>5954</v>
      </c>
      <c r="G1315" s="29" t="s">
        <v>5955</v>
      </c>
      <c r="H1315" s="29" t="s">
        <v>5934</v>
      </c>
      <c r="I1315" s="29" t="s">
        <v>472</v>
      </c>
      <c r="J1315" s="29" t="s">
        <v>472</v>
      </c>
      <c r="K1315" s="30" t="s">
        <v>44</v>
      </c>
      <c r="L1315" s="31"/>
      <c r="M1315" s="32" t="s">
        <v>45</v>
      </c>
    </row>
    <row r="1316" customFormat="false" ht="51" hidden="false" customHeight="true" outlineLevel="0" collapsed="false">
      <c r="B1316" s="29" t="s">
        <v>5956</v>
      </c>
      <c r="C1316" s="29" t="s">
        <v>264</v>
      </c>
      <c r="D1316" s="29" t="s">
        <v>5957</v>
      </c>
      <c r="E1316" s="29" t="s">
        <v>151</v>
      </c>
      <c r="F1316" s="29" t="s">
        <v>5958</v>
      </c>
      <c r="G1316" s="29" t="s">
        <v>5959</v>
      </c>
      <c r="H1316" s="29" t="s">
        <v>5934</v>
      </c>
      <c r="I1316" s="29" t="s">
        <v>472</v>
      </c>
      <c r="J1316" s="29" t="s">
        <v>472</v>
      </c>
      <c r="K1316" s="30" t="s">
        <v>44</v>
      </c>
      <c r="L1316" s="31"/>
      <c r="M1316" s="32" t="s">
        <v>45</v>
      </c>
    </row>
    <row r="1317" customFormat="false" ht="51" hidden="false" customHeight="true" outlineLevel="0" collapsed="false">
      <c r="B1317" s="29" t="s">
        <v>5960</v>
      </c>
      <c r="C1317" s="29" t="s">
        <v>264</v>
      </c>
      <c r="D1317" s="29" t="s">
        <v>5961</v>
      </c>
      <c r="E1317" s="29" t="s">
        <v>151</v>
      </c>
      <c r="F1317" s="29" t="s">
        <v>5962</v>
      </c>
      <c r="G1317" s="29" t="s">
        <v>5963</v>
      </c>
      <c r="H1317" s="29" t="s">
        <v>5934</v>
      </c>
      <c r="I1317" s="29" t="s">
        <v>472</v>
      </c>
      <c r="J1317" s="29" t="s">
        <v>472</v>
      </c>
      <c r="K1317" s="30" t="s">
        <v>44</v>
      </c>
      <c r="L1317" s="31"/>
      <c r="M1317" s="32" t="s">
        <v>45</v>
      </c>
    </row>
    <row r="1318" customFormat="false" ht="51" hidden="false" customHeight="true" outlineLevel="0" collapsed="false">
      <c r="B1318" s="29" t="s">
        <v>5964</v>
      </c>
      <c r="C1318" s="29" t="s">
        <v>264</v>
      </c>
      <c r="D1318" s="29" t="s">
        <v>5965</v>
      </c>
      <c r="E1318" s="29" t="s">
        <v>151</v>
      </c>
      <c r="F1318" s="29" t="s">
        <v>5966</v>
      </c>
      <c r="G1318" s="29" t="s">
        <v>5967</v>
      </c>
      <c r="H1318" s="29" t="s">
        <v>5934</v>
      </c>
      <c r="I1318" s="29" t="s">
        <v>472</v>
      </c>
      <c r="J1318" s="29" t="s">
        <v>472</v>
      </c>
      <c r="K1318" s="30" t="s">
        <v>44</v>
      </c>
      <c r="L1318" s="31"/>
      <c r="M1318" s="32" t="s">
        <v>45</v>
      </c>
    </row>
    <row r="1319" customFormat="false" ht="51" hidden="false" customHeight="true" outlineLevel="0" collapsed="false">
      <c r="B1319" s="29" t="s">
        <v>5968</v>
      </c>
      <c r="C1319" s="29" t="s">
        <v>264</v>
      </c>
      <c r="D1319" s="29" t="s">
        <v>5969</v>
      </c>
      <c r="E1319" s="29" t="s">
        <v>151</v>
      </c>
      <c r="F1319" s="29" t="s">
        <v>5970</v>
      </c>
      <c r="G1319" s="29" t="s">
        <v>5970</v>
      </c>
      <c r="H1319" s="29" t="s">
        <v>5934</v>
      </c>
      <c r="I1319" s="29" t="s">
        <v>472</v>
      </c>
      <c r="J1319" s="29" t="s">
        <v>472</v>
      </c>
      <c r="K1319" s="30" t="s">
        <v>44</v>
      </c>
      <c r="L1319" s="31"/>
      <c r="M1319" s="32" t="s">
        <v>45</v>
      </c>
    </row>
    <row r="1320" customFormat="false" ht="51" hidden="false" customHeight="true" outlineLevel="0" collapsed="false">
      <c r="B1320" s="29" t="s">
        <v>5971</v>
      </c>
      <c r="C1320" s="29" t="s">
        <v>264</v>
      </c>
      <c r="D1320" s="29" t="s">
        <v>5972</v>
      </c>
      <c r="E1320" s="29" t="s">
        <v>351</v>
      </c>
      <c r="F1320" s="29" t="s">
        <v>5973</v>
      </c>
      <c r="G1320" s="29" t="s">
        <v>5973</v>
      </c>
      <c r="H1320" s="29" t="s">
        <v>5939</v>
      </c>
      <c r="I1320" s="29" t="s">
        <v>302</v>
      </c>
      <c r="J1320" s="29" t="s">
        <v>202</v>
      </c>
      <c r="K1320" s="30" t="s">
        <v>44</v>
      </c>
      <c r="L1320" s="31"/>
      <c r="M1320" s="32" t="s">
        <v>45</v>
      </c>
    </row>
    <row r="1321" customFormat="false" ht="51" hidden="false" customHeight="true" outlineLevel="0" collapsed="false">
      <c r="B1321" s="29" t="s">
        <v>5974</v>
      </c>
      <c r="C1321" s="29" t="s">
        <v>264</v>
      </c>
      <c r="D1321" s="29" t="s">
        <v>5975</v>
      </c>
      <c r="E1321" s="29" t="s">
        <v>351</v>
      </c>
      <c r="F1321" s="29" t="s">
        <v>5976</v>
      </c>
      <c r="G1321" s="29" t="s">
        <v>5977</v>
      </c>
      <c r="H1321" s="29" t="s">
        <v>5978</v>
      </c>
      <c r="I1321" s="29" t="s">
        <v>302</v>
      </c>
      <c r="J1321" s="29" t="s">
        <v>202</v>
      </c>
      <c r="K1321" s="30" t="s">
        <v>44</v>
      </c>
      <c r="L1321" s="31"/>
      <c r="M1321" s="32" t="s">
        <v>45</v>
      </c>
    </row>
    <row r="1322" customFormat="false" ht="51" hidden="false" customHeight="true" outlineLevel="0" collapsed="false">
      <c r="B1322" s="29" t="s">
        <v>5979</v>
      </c>
      <c r="C1322" s="29" t="s">
        <v>264</v>
      </c>
      <c r="D1322" s="29" t="s">
        <v>5980</v>
      </c>
      <c r="E1322" s="29" t="s">
        <v>351</v>
      </c>
      <c r="F1322" s="29" t="s">
        <v>5981</v>
      </c>
      <c r="G1322" s="29" t="s">
        <v>5982</v>
      </c>
      <c r="H1322" s="29" t="s">
        <v>5978</v>
      </c>
      <c r="I1322" s="29" t="s">
        <v>3696</v>
      </c>
      <c r="J1322" s="29" t="s">
        <v>155</v>
      </c>
      <c r="K1322" s="30" t="s">
        <v>44</v>
      </c>
      <c r="L1322" s="31"/>
      <c r="M1322" s="32" t="s">
        <v>45</v>
      </c>
    </row>
    <row r="1323" customFormat="false" ht="51" hidden="false" customHeight="true" outlineLevel="0" collapsed="false">
      <c r="B1323" s="29" t="s">
        <v>5983</v>
      </c>
      <c r="C1323" s="29" t="s">
        <v>264</v>
      </c>
      <c r="D1323" s="29" t="s">
        <v>5984</v>
      </c>
      <c r="E1323" s="29" t="s">
        <v>357</v>
      </c>
      <c r="F1323" s="29" t="s">
        <v>5985</v>
      </c>
      <c r="G1323" s="29" t="s">
        <v>5985</v>
      </c>
      <c r="H1323" s="29" t="s">
        <v>5978</v>
      </c>
      <c r="I1323" s="29" t="s">
        <v>302</v>
      </c>
      <c r="J1323" s="29" t="s">
        <v>202</v>
      </c>
      <c r="K1323" s="30" t="s">
        <v>44</v>
      </c>
      <c r="L1323" s="31"/>
      <c r="M1323" s="32" t="s">
        <v>45</v>
      </c>
    </row>
    <row r="1324" customFormat="false" ht="51" hidden="false" customHeight="true" outlineLevel="0" collapsed="false">
      <c r="B1324" s="29" t="s">
        <v>5986</v>
      </c>
      <c r="C1324" s="29" t="s">
        <v>264</v>
      </c>
      <c r="D1324" s="29" t="s">
        <v>5987</v>
      </c>
      <c r="E1324" s="29" t="s">
        <v>151</v>
      </c>
      <c r="F1324" s="29" t="s">
        <v>5988</v>
      </c>
      <c r="G1324" s="29" t="s">
        <v>5988</v>
      </c>
      <c r="H1324" s="29" t="s">
        <v>5989</v>
      </c>
      <c r="I1324" s="29" t="s">
        <v>472</v>
      </c>
      <c r="J1324" s="29" t="s">
        <v>472</v>
      </c>
      <c r="K1324" s="30" t="s">
        <v>44</v>
      </c>
      <c r="L1324" s="31"/>
      <c r="M1324" s="32" t="s">
        <v>45</v>
      </c>
    </row>
    <row r="1325" customFormat="false" ht="51" hidden="false" customHeight="true" outlineLevel="0" collapsed="false">
      <c r="B1325" s="29" t="s">
        <v>5990</v>
      </c>
      <c r="C1325" s="29" t="s">
        <v>264</v>
      </c>
      <c r="D1325" s="29" t="s">
        <v>5991</v>
      </c>
      <c r="E1325" s="29" t="s">
        <v>206</v>
      </c>
      <c r="F1325" s="29" t="s">
        <v>5992</v>
      </c>
      <c r="G1325" s="29" t="s">
        <v>5993</v>
      </c>
      <c r="H1325" s="29" t="s">
        <v>5994</v>
      </c>
      <c r="I1325" s="29" t="s">
        <v>302</v>
      </c>
      <c r="J1325" s="29" t="s">
        <v>202</v>
      </c>
      <c r="K1325" s="30" t="s">
        <v>44</v>
      </c>
      <c r="L1325" s="31"/>
      <c r="M1325" s="32" t="s">
        <v>45</v>
      </c>
    </row>
    <row r="1326" customFormat="false" ht="51" hidden="false" customHeight="true" outlineLevel="0" collapsed="false">
      <c r="B1326" s="29" t="s">
        <v>5995</v>
      </c>
      <c r="C1326" s="29" t="s">
        <v>264</v>
      </c>
      <c r="D1326" s="29" t="s">
        <v>5996</v>
      </c>
      <c r="E1326" s="29" t="s">
        <v>151</v>
      </c>
      <c r="F1326" s="29" t="s">
        <v>5997</v>
      </c>
      <c r="G1326" s="29" t="s">
        <v>5997</v>
      </c>
      <c r="H1326" s="29" t="s">
        <v>5998</v>
      </c>
      <c r="I1326" s="29" t="s">
        <v>472</v>
      </c>
      <c r="J1326" s="29" t="s">
        <v>472</v>
      </c>
      <c r="K1326" s="30" t="s">
        <v>44</v>
      </c>
      <c r="L1326" s="31"/>
      <c r="M1326" s="32" t="s">
        <v>45</v>
      </c>
    </row>
    <row r="1327" customFormat="false" ht="51" hidden="false" customHeight="true" outlineLevel="0" collapsed="false">
      <c r="B1327" s="29" t="s">
        <v>5999</v>
      </c>
      <c r="C1327" s="29" t="s">
        <v>264</v>
      </c>
      <c r="D1327" s="29" t="s">
        <v>6000</v>
      </c>
      <c r="E1327" s="29" t="s">
        <v>186</v>
      </c>
      <c r="F1327" s="29" t="s">
        <v>6001</v>
      </c>
      <c r="G1327" s="29" t="s">
        <v>6002</v>
      </c>
      <c r="H1327" s="29" t="s">
        <v>5994</v>
      </c>
      <c r="I1327" s="29" t="s">
        <v>336</v>
      </c>
      <c r="J1327" s="29" t="s">
        <v>337</v>
      </c>
      <c r="K1327" s="30" t="s">
        <v>44</v>
      </c>
      <c r="L1327" s="31"/>
      <c r="M1327" s="32" t="s">
        <v>45</v>
      </c>
    </row>
    <row r="1328" customFormat="false" ht="51" hidden="false" customHeight="true" outlineLevel="0" collapsed="false">
      <c r="B1328" s="29" t="s">
        <v>6003</v>
      </c>
      <c r="C1328" s="29" t="s">
        <v>264</v>
      </c>
      <c r="D1328" s="29" t="s">
        <v>6004</v>
      </c>
      <c r="E1328" s="29" t="s">
        <v>543</v>
      </c>
      <c r="F1328" s="29" t="s">
        <v>6005</v>
      </c>
      <c r="G1328" s="29" t="s">
        <v>6006</v>
      </c>
      <c r="H1328" s="29" t="s">
        <v>5998</v>
      </c>
      <c r="I1328" s="29" t="s">
        <v>472</v>
      </c>
      <c r="J1328" s="29" t="s">
        <v>472</v>
      </c>
      <c r="K1328" s="30" t="s">
        <v>44</v>
      </c>
      <c r="L1328" s="31"/>
      <c r="M1328" s="32" t="s">
        <v>45</v>
      </c>
    </row>
    <row r="1329" customFormat="false" ht="51" hidden="false" customHeight="true" outlineLevel="0" collapsed="false">
      <c r="B1329" s="29" t="s">
        <v>6007</v>
      </c>
      <c r="C1329" s="29" t="s">
        <v>264</v>
      </c>
      <c r="D1329" s="29" t="s">
        <v>3907</v>
      </c>
      <c r="E1329" s="29" t="s">
        <v>151</v>
      </c>
      <c r="F1329" s="29" t="s">
        <v>6008</v>
      </c>
      <c r="G1329" s="29" t="s">
        <v>6009</v>
      </c>
      <c r="H1329" s="29" t="s">
        <v>6010</v>
      </c>
      <c r="I1329" s="29" t="s">
        <v>286</v>
      </c>
      <c r="J1329" s="29" t="s">
        <v>804</v>
      </c>
      <c r="K1329" s="30" t="s">
        <v>44</v>
      </c>
      <c r="L1329" s="31"/>
      <c r="M1329" s="32" t="s">
        <v>45</v>
      </c>
    </row>
    <row r="1330" customFormat="false" ht="51" hidden="false" customHeight="true" outlineLevel="0" collapsed="false">
      <c r="B1330" s="29" t="s">
        <v>6011</v>
      </c>
      <c r="C1330" s="29" t="s">
        <v>264</v>
      </c>
      <c r="D1330" s="29" t="s">
        <v>3911</v>
      </c>
      <c r="E1330" s="29" t="s">
        <v>266</v>
      </c>
      <c r="F1330" s="29" t="s">
        <v>6012</v>
      </c>
      <c r="G1330" s="29" t="s">
        <v>6012</v>
      </c>
      <c r="H1330" s="29" t="s">
        <v>6010</v>
      </c>
      <c r="I1330" s="29" t="s">
        <v>42</v>
      </c>
      <c r="J1330" s="29" t="s">
        <v>270</v>
      </c>
      <c r="K1330" s="30" t="s">
        <v>44</v>
      </c>
      <c r="L1330" s="31"/>
      <c r="M1330" s="32" t="s">
        <v>45</v>
      </c>
    </row>
    <row r="1331" customFormat="false" ht="51" hidden="false" customHeight="true" outlineLevel="0" collapsed="false">
      <c r="B1331" s="29" t="s">
        <v>6013</v>
      </c>
      <c r="C1331" s="29" t="s">
        <v>264</v>
      </c>
      <c r="D1331" s="29" t="s">
        <v>3916</v>
      </c>
      <c r="E1331" s="29" t="s">
        <v>151</v>
      </c>
      <c r="F1331" s="29" t="s">
        <v>6014</v>
      </c>
      <c r="G1331" s="29" t="s">
        <v>6014</v>
      </c>
      <c r="H1331" s="29" t="s">
        <v>6015</v>
      </c>
      <c r="I1331" s="29" t="s">
        <v>472</v>
      </c>
      <c r="J1331" s="29" t="s">
        <v>472</v>
      </c>
      <c r="K1331" s="30" t="s">
        <v>44</v>
      </c>
      <c r="L1331" s="31"/>
      <c r="M1331" s="32" t="s">
        <v>45</v>
      </c>
    </row>
    <row r="1332" customFormat="false" ht="51" hidden="false" customHeight="true" outlineLevel="0" collapsed="false">
      <c r="B1332" s="29" t="s">
        <v>6016</v>
      </c>
      <c r="C1332" s="29" t="s">
        <v>264</v>
      </c>
      <c r="D1332" s="29" t="s">
        <v>3920</v>
      </c>
      <c r="E1332" s="29" t="s">
        <v>266</v>
      </c>
      <c r="F1332" s="29" t="s">
        <v>6017</v>
      </c>
      <c r="G1332" s="29" t="s">
        <v>6018</v>
      </c>
      <c r="H1332" s="29" t="s">
        <v>6010</v>
      </c>
      <c r="I1332" s="29" t="s">
        <v>95</v>
      </c>
      <c r="J1332" s="29" t="s">
        <v>6019</v>
      </c>
      <c r="K1332" s="30" t="s">
        <v>44</v>
      </c>
      <c r="L1332" s="31"/>
      <c r="M1332" s="32" t="s">
        <v>45</v>
      </c>
    </row>
    <row r="1333" customFormat="false" ht="51" hidden="false" customHeight="true" outlineLevel="0" collapsed="false">
      <c r="B1333" s="29" t="s">
        <v>6020</v>
      </c>
      <c r="C1333" s="29" t="s">
        <v>264</v>
      </c>
      <c r="D1333" s="29" t="s">
        <v>3923</v>
      </c>
      <c r="E1333" s="29" t="s">
        <v>266</v>
      </c>
      <c r="F1333" s="29" t="s">
        <v>6021</v>
      </c>
      <c r="G1333" s="29" t="s">
        <v>6022</v>
      </c>
      <c r="H1333" s="29" t="s">
        <v>6010</v>
      </c>
      <c r="I1333" s="29" t="s">
        <v>95</v>
      </c>
      <c r="J1333" s="29" t="s">
        <v>6019</v>
      </c>
      <c r="K1333" s="30" t="s">
        <v>44</v>
      </c>
      <c r="L1333" s="31"/>
      <c r="M1333" s="32" t="s">
        <v>45</v>
      </c>
    </row>
    <row r="1334" customFormat="false" ht="51" hidden="false" customHeight="true" outlineLevel="0" collapsed="false">
      <c r="B1334" s="29" t="s">
        <v>6023</v>
      </c>
      <c r="C1334" s="29" t="s">
        <v>264</v>
      </c>
      <c r="D1334" s="29" t="s">
        <v>3927</v>
      </c>
      <c r="E1334" s="29" t="s">
        <v>266</v>
      </c>
      <c r="F1334" s="29" t="s">
        <v>6024</v>
      </c>
      <c r="G1334" s="29" t="s">
        <v>6025</v>
      </c>
      <c r="H1334" s="29" t="s">
        <v>6010</v>
      </c>
      <c r="I1334" s="29" t="s">
        <v>95</v>
      </c>
      <c r="J1334" s="29" t="s">
        <v>6019</v>
      </c>
      <c r="K1334" s="30" t="s">
        <v>44</v>
      </c>
      <c r="L1334" s="31"/>
      <c r="M1334" s="32" t="s">
        <v>45</v>
      </c>
    </row>
    <row r="1335" customFormat="false" ht="51" hidden="false" customHeight="true" outlineLevel="0" collapsed="false">
      <c r="B1335" s="29" t="s">
        <v>6026</v>
      </c>
      <c r="C1335" s="29" t="s">
        <v>264</v>
      </c>
      <c r="D1335" s="29" t="s">
        <v>3931</v>
      </c>
      <c r="E1335" s="29" t="s">
        <v>151</v>
      </c>
      <c r="F1335" s="29" t="s">
        <v>6027</v>
      </c>
      <c r="G1335" s="29" t="s">
        <v>6028</v>
      </c>
      <c r="H1335" s="29" t="s">
        <v>6010</v>
      </c>
      <c r="I1335" s="29" t="s">
        <v>286</v>
      </c>
      <c r="J1335" s="29" t="s">
        <v>804</v>
      </c>
      <c r="K1335" s="30" t="s">
        <v>44</v>
      </c>
      <c r="L1335" s="31"/>
      <c r="M1335" s="32" t="s">
        <v>45</v>
      </c>
    </row>
    <row r="1336" customFormat="false" ht="51" hidden="false" customHeight="true" outlineLevel="0" collapsed="false">
      <c r="B1336" s="29" t="s">
        <v>6029</v>
      </c>
      <c r="C1336" s="29" t="s">
        <v>264</v>
      </c>
      <c r="D1336" s="29" t="s">
        <v>3935</v>
      </c>
      <c r="E1336" s="29" t="s">
        <v>151</v>
      </c>
      <c r="F1336" s="29" t="s">
        <v>6030</v>
      </c>
      <c r="G1336" s="29" t="s">
        <v>6031</v>
      </c>
      <c r="H1336" s="29" t="s">
        <v>6015</v>
      </c>
      <c r="I1336" s="29" t="s">
        <v>472</v>
      </c>
      <c r="J1336" s="29" t="s">
        <v>472</v>
      </c>
      <c r="K1336" s="30" t="s">
        <v>44</v>
      </c>
      <c r="L1336" s="31"/>
      <c r="M1336" s="32" t="s">
        <v>45</v>
      </c>
    </row>
    <row r="1337" customFormat="false" ht="51" hidden="false" customHeight="true" outlineLevel="0" collapsed="false">
      <c r="B1337" s="29" t="s">
        <v>6032</v>
      </c>
      <c r="C1337" s="29" t="s">
        <v>264</v>
      </c>
      <c r="D1337" s="29" t="s">
        <v>3939</v>
      </c>
      <c r="E1337" s="29" t="s">
        <v>266</v>
      </c>
      <c r="F1337" s="29" t="s">
        <v>6033</v>
      </c>
      <c r="G1337" s="29" t="s">
        <v>6034</v>
      </c>
      <c r="H1337" s="29" t="s">
        <v>6010</v>
      </c>
      <c r="I1337" s="29" t="s">
        <v>95</v>
      </c>
      <c r="J1337" s="29" t="s">
        <v>6019</v>
      </c>
      <c r="K1337" s="30" t="s">
        <v>44</v>
      </c>
      <c r="L1337" s="31"/>
      <c r="M1337" s="32" t="s">
        <v>45</v>
      </c>
    </row>
    <row r="1338" customFormat="false" ht="51" hidden="false" customHeight="true" outlineLevel="0" collapsed="false">
      <c r="B1338" s="29" t="s">
        <v>6035</v>
      </c>
      <c r="C1338" s="29" t="s">
        <v>276</v>
      </c>
      <c r="D1338" s="29" t="s">
        <v>3644</v>
      </c>
      <c r="E1338" s="29" t="s">
        <v>357</v>
      </c>
      <c r="F1338" s="29" t="s">
        <v>6036</v>
      </c>
      <c r="G1338" s="29" t="s">
        <v>6037</v>
      </c>
      <c r="H1338" s="29" t="s">
        <v>6038</v>
      </c>
      <c r="I1338" s="29" t="s">
        <v>302</v>
      </c>
      <c r="J1338" s="29" t="s">
        <v>202</v>
      </c>
      <c r="K1338" s="30" t="s">
        <v>44</v>
      </c>
      <c r="L1338" s="31"/>
      <c r="M1338" s="32" t="s">
        <v>45</v>
      </c>
    </row>
    <row r="1339" customFormat="false" ht="51" hidden="false" customHeight="true" outlineLevel="0" collapsed="false">
      <c r="B1339" s="29" t="s">
        <v>6039</v>
      </c>
      <c r="C1339" s="29" t="s">
        <v>276</v>
      </c>
      <c r="D1339" s="29" t="s">
        <v>3658</v>
      </c>
      <c r="E1339" s="29" t="s">
        <v>340</v>
      </c>
      <c r="F1339" s="29" t="s">
        <v>6040</v>
      </c>
      <c r="G1339" s="29" t="s">
        <v>6040</v>
      </c>
      <c r="H1339" s="29" t="s">
        <v>6038</v>
      </c>
      <c r="I1339" s="29" t="s">
        <v>302</v>
      </c>
      <c r="J1339" s="29" t="s">
        <v>202</v>
      </c>
      <c r="K1339" s="30" t="s">
        <v>44</v>
      </c>
      <c r="L1339" s="31"/>
      <c r="M1339" s="32" t="s">
        <v>45</v>
      </c>
    </row>
    <row r="1340" customFormat="false" ht="51" hidden="false" customHeight="true" outlineLevel="0" collapsed="false">
      <c r="B1340" s="29" t="s">
        <v>6041</v>
      </c>
      <c r="C1340" s="29" t="s">
        <v>276</v>
      </c>
      <c r="D1340" s="29" t="s">
        <v>5702</v>
      </c>
      <c r="E1340" s="29" t="s">
        <v>357</v>
      </c>
      <c r="F1340" s="29" t="s">
        <v>6042</v>
      </c>
      <c r="G1340" s="29" t="s">
        <v>6043</v>
      </c>
      <c r="H1340" s="29" t="s">
        <v>6044</v>
      </c>
      <c r="I1340" s="29" t="s">
        <v>302</v>
      </c>
      <c r="J1340" s="29" t="s">
        <v>202</v>
      </c>
      <c r="K1340" s="30" t="s">
        <v>44</v>
      </c>
      <c r="L1340" s="31"/>
      <c r="M1340" s="32" t="s">
        <v>45</v>
      </c>
    </row>
    <row r="1341" customFormat="false" ht="51" hidden="false" customHeight="true" outlineLevel="0" collapsed="false">
      <c r="B1341" s="29" t="s">
        <v>6045</v>
      </c>
      <c r="C1341" s="29" t="s">
        <v>276</v>
      </c>
      <c r="D1341" s="29" t="s">
        <v>5706</v>
      </c>
      <c r="E1341" s="29" t="s">
        <v>600</v>
      </c>
      <c r="F1341" s="29" t="s">
        <v>6046</v>
      </c>
      <c r="G1341" s="29" t="s">
        <v>6047</v>
      </c>
      <c r="H1341" s="29" t="s">
        <v>6044</v>
      </c>
      <c r="I1341" s="29" t="s">
        <v>3843</v>
      </c>
      <c r="J1341" s="29" t="s">
        <v>2117</v>
      </c>
      <c r="K1341" s="30" t="s">
        <v>44</v>
      </c>
      <c r="L1341" s="31"/>
      <c r="M1341" s="32" t="s">
        <v>45</v>
      </c>
    </row>
    <row r="1342" customFormat="false" ht="51" hidden="false" customHeight="true" outlineLevel="0" collapsed="false">
      <c r="B1342" s="29" t="s">
        <v>6048</v>
      </c>
      <c r="C1342" s="29" t="s">
        <v>276</v>
      </c>
      <c r="D1342" s="29" t="s">
        <v>6049</v>
      </c>
      <c r="E1342" s="29" t="s">
        <v>357</v>
      </c>
      <c r="F1342" s="29" t="s">
        <v>6050</v>
      </c>
      <c r="G1342" s="29" t="s">
        <v>6051</v>
      </c>
      <c r="H1342" s="29" t="s">
        <v>6044</v>
      </c>
      <c r="I1342" s="29" t="s">
        <v>3696</v>
      </c>
      <c r="J1342" s="29" t="s">
        <v>155</v>
      </c>
      <c r="K1342" s="30" t="s">
        <v>44</v>
      </c>
      <c r="L1342" s="31"/>
      <c r="M1342" s="32" t="s">
        <v>45</v>
      </c>
    </row>
    <row r="1343" customFormat="false" ht="51" hidden="false" customHeight="true" outlineLevel="0" collapsed="false">
      <c r="B1343" s="29" t="s">
        <v>6052</v>
      </c>
      <c r="C1343" s="29" t="s">
        <v>276</v>
      </c>
      <c r="D1343" s="29" t="s">
        <v>6053</v>
      </c>
      <c r="E1343" s="29" t="s">
        <v>357</v>
      </c>
      <c r="F1343" s="29" t="s">
        <v>6054</v>
      </c>
      <c r="G1343" s="29" t="s">
        <v>6055</v>
      </c>
      <c r="H1343" s="29" t="s">
        <v>6044</v>
      </c>
      <c r="I1343" s="29" t="s">
        <v>302</v>
      </c>
      <c r="J1343" s="29" t="s">
        <v>202</v>
      </c>
      <c r="K1343" s="30" t="s">
        <v>44</v>
      </c>
      <c r="L1343" s="31"/>
      <c r="M1343" s="32" t="s">
        <v>45</v>
      </c>
    </row>
    <row r="1344" customFormat="false" ht="51" hidden="false" customHeight="true" outlineLevel="0" collapsed="false">
      <c r="B1344" s="29" t="s">
        <v>6056</v>
      </c>
      <c r="C1344" s="29" t="s">
        <v>276</v>
      </c>
      <c r="D1344" s="29" t="s">
        <v>6057</v>
      </c>
      <c r="E1344" s="29" t="s">
        <v>357</v>
      </c>
      <c r="F1344" s="29" t="s">
        <v>6058</v>
      </c>
      <c r="G1344" s="29" t="s">
        <v>6059</v>
      </c>
      <c r="H1344" s="29" t="s">
        <v>6044</v>
      </c>
      <c r="I1344" s="29" t="s">
        <v>3696</v>
      </c>
      <c r="J1344" s="29" t="s">
        <v>155</v>
      </c>
      <c r="K1344" s="30" t="s">
        <v>44</v>
      </c>
      <c r="L1344" s="31"/>
      <c r="M1344" s="32" t="s">
        <v>45</v>
      </c>
    </row>
    <row r="1345" customFormat="false" ht="51" hidden="false" customHeight="true" outlineLevel="0" collapsed="false">
      <c r="B1345" s="29" t="s">
        <v>6060</v>
      </c>
      <c r="C1345" s="29" t="s">
        <v>276</v>
      </c>
      <c r="D1345" s="29" t="s">
        <v>3667</v>
      </c>
      <c r="E1345" s="29" t="s">
        <v>357</v>
      </c>
      <c r="F1345" s="29" t="s">
        <v>6061</v>
      </c>
      <c r="G1345" s="29" t="s">
        <v>6062</v>
      </c>
      <c r="H1345" s="29" t="s">
        <v>6063</v>
      </c>
      <c r="I1345" s="29" t="s">
        <v>302</v>
      </c>
      <c r="J1345" s="29" t="s">
        <v>202</v>
      </c>
      <c r="K1345" s="30" t="s">
        <v>44</v>
      </c>
      <c r="L1345" s="31"/>
      <c r="M1345" s="32" t="s">
        <v>45</v>
      </c>
    </row>
    <row r="1346" customFormat="false" ht="51" hidden="false" customHeight="true" outlineLevel="0" collapsed="false">
      <c r="B1346" s="29" t="s">
        <v>6064</v>
      </c>
      <c r="C1346" s="29" t="s">
        <v>276</v>
      </c>
      <c r="D1346" s="29" t="s">
        <v>3689</v>
      </c>
      <c r="E1346" s="29" t="s">
        <v>600</v>
      </c>
      <c r="F1346" s="29" t="s">
        <v>6065</v>
      </c>
      <c r="G1346" s="29" t="s">
        <v>6066</v>
      </c>
      <c r="H1346" s="29" t="s">
        <v>6067</v>
      </c>
      <c r="I1346" s="29" t="s">
        <v>472</v>
      </c>
      <c r="J1346" s="29" t="s">
        <v>472</v>
      </c>
      <c r="K1346" s="30" t="s">
        <v>44</v>
      </c>
      <c r="L1346" s="31"/>
      <c r="M1346" s="32" t="s">
        <v>45</v>
      </c>
    </row>
    <row r="1347" customFormat="false" ht="51" hidden="false" customHeight="true" outlineLevel="0" collapsed="false">
      <c r="B1347" s="29" t="s">
        <v>6068</v>
      </c>
      <c r="C1347" s="29" t="s">
        <v>276</v>
      </c>
      <c r="D1347" s="29" t="s">
        <v>5724</v>
      </c>
      <c r="E1347" s="29" t="s">
        <v>543</v>
      </c>
      <c r="F1347" s="29" t="s">
        <v>6069</v>
      </c>
      <c r="G1347" s="29" t="s">
        <v>6070</v>
      </c>
      <c r="H1347" s="29" t="s">
        <v>6067</v>
      </c>
      <c r="I1347" s="29" t="s">
        <v>472</v>
      </c>
      <c r="J1347" s="29" t="s">
        <v>472</v>
      </c>
      <c r="K1347" s="30" t="s">
        <v>44</v>
      </c>
      <c r="L1347" s="31"/>
      <c r="M1347" s="32" t="s">
        <v>45</v>
      </c>
    </row>
    <row r="1348" customFormat="false" ht="51" hidden="false" customHeight="true" outlineLevel="0" collapsed="false">
      <c r="B1348" s="29" t="s">
        <v>6071</v>
      </c>
      <c r="C1348" s="29" t="s">
        <v>276</v>
      </c>
      <c r="D1348" s="29" t="s">
        <v>6072</v>
      </c>
      <c r="E1348" s="29" t="s">
        <v>357</v>
      </c>
      <c r="F1348" s="29" t="s">
        <v>6073</v>
      </c>
      <c r="G1348" s="29" t="s">
        <v>6074</v>
      </c>
      <c r="H1348" s="29" t="s">
        <v>6063</v>
      </c>
      <c r="I1348" s="29" t="s">
        <v>302</v>
      </c>
      <c r="J1348" s="29" t="s">
        <v>202</v>
      </c>
      <c r="K1348" s="30" t="s">
        <v>44</v>
      </c>
      <c r="L1348" s="31"/>
      <c r="M1348" s="32" t="s">
        <v>45</v>
      </c>
    </row>
    <row r="1349" customFormat="false" ht="51" hidden="false" customHeight="true" outlineLevel="0" collapsed="false">
      <c r="B1349" s="29" t="s">
        <v>6075</v>
      </c>
      <c r="C1349" s="29" t="s">
        <v>276</v>
      </c>
      <c r="D1349" s="29" t="s">
        <v>6076</v>
      </c>
      <c r="E1349" s="29" t="s">
        <v>600</v>
      </c>
      <c r="F1349" s="29" t="s">
        <v>6077</v>
      </c>
      <c r="G1349" s="29" t="s">
        <v>6078</v>
      </c>
      <c r="H1349" s="29" t="s">
        <v>6067</v>
      </c>
      <c r="I1349" s="29" t="s">
        <v>472</v>
      </c>
      <c r="J1349" s="29" t="s">
        <v>472</v>
      </c>
      <c r="K1349" s="30" t="s">
        <v>44</v>
      </c>
      <c r="L1349" s="31"/>
      <c r="M1349" s="32" t="s">
        <v>45</v>
      </c>
    </row>
    <row r="1350" customFormat="false" ht="51" hidden="false" customHeight="true" outlineLevel="0" collapsed="false">
      <c r="B1350" s="29" t="s">
        <v>6079</v>
      </c>
      <c r="C1350" s="29" t="s">
        <v>276</v>
      </c>
      <c r="D1350" s="29" t="s">
        <v>6080</v>
      </c>
      <c r="E1350" s="29" t="s">
        <v>600</v>
      </c>
      <c r="F1350" s="29" t="s">
        <v>6081</v>
      </c>
      <c r="G1350" s="29" t="s">
        <v>6081</v>
      </c>
      <c r="H1350" s="29" t="s">
        <v>6067</v>
      </c>
      <c r="I1350" s="29" t="s">
        <v>472</v>
      </c>
      <c r="J1350" s="29" t="s">
        <v>472</v>
      </c>
      <c r="K1350" s="30" t="s">
        <v>44</v>
      </c>
      <c r="L1350" s="31"/>
      <c r="M1350" s="32" t="s">
        <v>45</v>
      </c>
    </row>
    <row r="1351" customFormat="false" ht="51" hidden="false" customHeight="true" outlineLevel="0" collapsed="false">
      <c r="B1351" s="29" t="s">
        <v>6082</v>
      </c>
      <c r="C1351" s="29" t="s">
        <v>276</v>
      </c>
      <c r="D1351" s="29" t="s">
        <v>3693</v>
      </c>
      <c r="E1351" s="29" t="s">
        <v>357</v>
      </c>
      <c r="F1351" s="29" t="s">
        <v>6083</v>
      </c>
      <c r="G1351" s="29" t="s">
        <v>6084</v>
      </c>
      <c r="H1351" s="29" t="s">
        <v>6085</v>
      </c>
      <c r="I1351" s="29" t="s">
        <v>302</v>
      </c>
      <c r="J1351" s="29" t="s">
        <v>202</v>
      </c>
      <c r="K1351" s="30" t="s">
        <v>44</v>
      </c>
      <c r="L1351" s="31"/>
      <c r="M1351" s="32" t="s">
        <v>45</v>
      </c>
    </row>
    <row r="1352" customFormat="false" ht="51" hidden="false" customHeight="true" outlineLevel="0" collapsed="false">
      <c r="B1352" s="29" t="s">
        <v>6086</v>
      </c>
      <c r="C1352" s="29" t="s">
        <v>276</v>
      </c>
      <c r="D1352" s="29" t="s">
        <v>3699</v>
      </c>
      <c r="E1352" s="29" t="s">
        <v>600</v>
      </c>
      <c r="F1352" s="29" t="s">
        <v>6087</v>
      </c>
      <c r="G1352" s="29" t="s">
        <v>6088</v>
      </c>
      <c r="H1352" s="29" t="s">
        <v>6089</v>
      </c>
      <c r="I1352" s="29" t="s">
        <v>472</v>
      </c>
      <c r="J1352" s="29" t="s">
        <v>472</v>
      </c>
      <c r="K1352" s="30" t="s">
        <v>44</v>
      </c>
      <c r="L1352" s="31"/>
      <c r="M1352" s="32" t="s">
        <v>45</v>
      </c>
    </row>
    <row r="1353" customFormat="false" ht="51" hidden="false" customHeight="true" outlineLevel="0" collapsed="false">
      <c r="B1353" s="29" t="s">
        <v>6090</v>
      </c>
      <c r="C1353" s="29" t="s">
        <v>276</v>
      </c>
      <c r="D1353" s="29" t="s">
        <v>3882</v>
      </c>
      <c r="E1353" s="29" t="s">
        <v>600</v>
      </c>
      <c r="F1353" s="29" t="s">
        <v>6091</v>
      </c>
      <c r="G1353" s="29" t="s">
        <v>6092</v>
      </c>
      <c r="H1353" s="29" t="s">
        <v>6093</v>
      </c>
      <c r="I1353" s="29" t="s">
        <v>472</v>
      </c>
      <c r="J1353" s="29" t="s">
        <v>472</v>
      </c>
      <c r="K1353" s="30" t="s">
        <v>44</v>
      </c>
      <c r="L1353" s="31"/>
      <c r="M1353" s="32" t="s">
        <v>45</v>
      </c>
    </row>
    <row r="1354" customFormat="false" ht="51" hidden="false" customHeight="true" outlineLevel="0" collapsed="false">
      <c r="B1354" s="29" t="s">
        <v>6094</v>
      </c>
      <c r="C1354" s="29" t="s">
        <v>276</v>
      </c>
      <c r="D1354" s="29" t="s">
        <v>3887</v>
      </c>
      <c r="E1354" s="29" t="s">
        <v>600</v>
      </c>
      <c r="F1354" s="29" t="s">
        <v>6095</v>
      </c>
      <c r="G1354" s="29" t="s">
        <v>6096</v>
      </c>
      <c r="H1354" s="29" t="s">
        <v>6097</v>
      </c>
      <c r="I1354" s="29" t="s">
        <v>472</v>
      </c>
      <c r="J1354" s="29" t="s">
        <v>472</v>
      </c>
      <c r="K1354" s="30" t="s">
        <v>44</v>
      </c>
      <c r="L1354" s="31"/>
      <c r="M1354" s="32" t="s">
        <v>45</v>
      </c>
    </row>
    <row r="1355" customFormat="false" ht="51" hidden="false" customHeight="true" outlineLevel="0" collapsed="false">
      <c r="B1355" s="29" t="s">
        <v>6098</v>
      </c>
      <c r="C1355" s="29" t="s">
        <v>276</v>
      </c>
      <c r="D1355" s="29" t="s">
        <v>3891</v>
      </c>
      <c r="E1355" s="29" t="s">
        <v>91</v>
      </c>
      <c r="F1355" s="29" t="s">
        <v>6099</v>
      </c>
      <c r="G1355" s="29" t="s">
        <v>6100</v>
      </c>
      <c r="H1355" s="29" t="s">
        <v>6101</v>
      </c>
      <c r="I1355" s="29" t="s">
        <v>42</v>
      </c>
      <c r="J1355" s="29" t="s">
        <v>261</v>
      </c>
      <c r="K1355" s="30" t="s">
        <v>44</v>
      </c>
      <c r="L1355" s="31"/>
      <c r="M1355" s="32" t="s">
        <v>45</v>
      </c>
    </row>
    <row r="1356" customFormat="false" ht="51" hidden="false" customHeight="true" outlineLevel="0" collapsed="false">
      <c r="B1356" s="29" t="s">
        <v>6102</v>
      </c>
      <c r="C1356" s="29" t="s">
        <v>276</v>
      </c>
      <c r="D1356" s="29" t="s">
        <v>6103</v>
      </c>
      <c r="E1356" s="29" t="s">
        <v>543</v>
      </c>
      <c r="F1356" s="29" t="s">
        <v>6104</v>
      </c>
      <c r="G1356" s="29" t="s">
        <v>6104</v>
      </c>
      <c r="H1356" s="29" t="s">
        <v>6097</v>
      </c>
      <c r="I1356" s="29" t="s">
        <v>472</v>
      </c>
      <c r="J1356" s="29" t="s">
        <v>472</v>
      </c>
      <c r="K1356" s="30" t="s">
        <v>44</v>
      </c>
      <c r="L1356" s="31"/>
      <c r="M1356" s="32" t="s">
        <v>45</v>
      </c>
    </row>
    <row r="1357" customFormat="false" ht="51" hidden="false" customHeight="true" outlineLevel="0" collapsed="false">
      <c r="B1357" s="29" t="s">
        <v>6105</v>
      </c>
      <c r="C1357" s="29" t="s">
        <v>276</v>
      </c>
      <c r="D1357" s="29" t="s">
        <v>3907</v>
      </c>
      <c r="E1357" s="29" t="s">
        <v>357</v>
      </c>
      <c r="F1357" s="29" t="s">
        <v>6106</v>
      </c>
      <c r="G1357" s="29" t="s">
        <v>6107</v>
      </c>
      <c r="H1357" s="29" t="s">
        <v>6108</v>
      </c>
      <c r="I1357" s="29" t="s">
        <v>302</v>
      </c>
      <c r="J1357" s="29" t="s">
        <v>202</v>
      </c>
      <c r="K1357" s="30" t="s">
        <v>44</v>
      </c>
      <c r="L1357" s="31"/>
      <c r="M1357" s="32" t="s">
        <v>45</v>
      </c>
    </row>
    <row r="1358" customFormat="false" ht="51" hidden="false" customHeight="true" outlineLevel="0" collapsed="false">
      <c r="B1358" s="29" t="s">
        <v>6109</v>
      </c>
      <c r="C1358" s="29" t="s">
        <v>276</v>
      </c>
      <c r="D1358" s="29" t="s">
        <v>3916</v>
      </c>
      <c r="E1358" s="29" t="s">
        <v>600</v>
      </c>
      <c r="F1358" s="29" t="s">
        <v>6110</v>
      </c>
      <c r="G1358" s="29" t="s">
        <v>6111</v>
      </c>
      <c r="H1358" s="29" t="s">
        <v>6112</v>
      </c>
      <c r="I1358" s="29" t="s">
        <v>472</v>
      </c>
      <c r="J1358" s="29" t="s">
        <v>472</v>
      </c>
      <c r="K1358" s="30" t="s">
        <v>44</v>
      </c>
      <c r="L1358" s="31"/>
      <c r="M1358" s="32" t="s">
        <v>45</v>
      </c>
    </row>
    <row r="1359" customFormat="false" ht="51" hidden="false" customHeight="true" outlineLevel="0" collapsed="false">
      <c r="B1359" s="29" t="s">
        <v>6113</v>
      </c>
      <c r="C1359" s="29" t="s">
        <v>276</v>
      </c>
      <c r="D1359" s="29" t="s">
        <v>3920</v>
      </c>
      <c r="E1359" s="29" t="s">
        <v>600</v>
      </c>
      <c r="F1359" s="29" t="s">
        <v>6114</v>
      </c>
      <c r="G1359" s="29" t="s">
        <v>6115</v>
      </c>
      <c r="H1359" s="29" t="s">
        <v>6112</v>
      </c>
      <c r="I1359" s="29" t="s">
        <v>472</v>
      </c>
      <c r="J1359" s="29" t="s">
        <v>472</v>
      </c>
      <c r="K1359" s="30" t="s">
        <v>44</v>
      </c>
      <c r="L1359" s="31"/>
      <c r="M1359" s="32" t="s">
        <v>45</v>
      </c>
    </row>
    <row r="1360" customFormat="false" ht="51" hidden="false" customHeight="true" outlineLevel="0" collapsed="false">
      <c r="B1360" s="29" t="s">
        <v>6116</v>
      </c>
      <c r="C1360" s="29" t="s">
        <v>276</v>
      </c>
      <c r="D1360" s="29" t="s">
        <v>3923</v>
      </c>
      <c r="E1360" s="29" t="s">
        <v>340</v>
      </c>
      <c r="F1360" s="29" t="s">
        <v>6117</v>
      </c>
      <c r="G1360" s="29" t="s">
        <v>6117</v>
      </c>
      <c r="H1360" s="29" t="s">
        <v>6108</v>
      </c>
      <c r="I1360" s="29" t="s">
        <v>302</v>
      </c>
      <c r="J1360" s="29" t="s">
        <v>202</v>
      </c>
      <c r="K1360" s="30" t="s">
        <v>44</v>
      </c>
      <c r="L1360" s="31"/>
      <c r="M1360" s="32" t="s">
        <v>45</v>
      </c>
    </row>
    <row r="1361" customFormat="false" ht="51" hidden="false" customHeight="true" outlineLevel="0" collapsed="false">
      <c r="B1361" s="29" t="s">
        <v>6118</v>
      </c>
      <c r="C1361" s="29" t="s">
        <v>276</v>
      </c>
      <c r="D1361" s="29" t="s">
        <v>3927</v>
      </c>
      <c r="E1361" s="29" t="s">
        <v>600</v>
      </c>
      <c r="F1361" s="29" t="s">
        <v>6119</v>
      </c>
      <c r="G1361" s="29" t="s">
        <v>6119</v>
      </c>
      <c r="H1361" s="29" t="s">
        <v>6112</v>
      </c>
      <c r="I1361" s="29" t="s">
        <v>472</v>
      </c>
      <c r="J1361" s="29" t="s">
        <v>472</v>
      </c>
      <c r="K1361" s="30" t="s">
        <v>44</v>
      </c>
      <c r="L1361" s="31"/>
      <c r="M1361" s="32" t="s">
        <v>45</v>
      </c>
    </row>
    <row r="1362" customFormat="false" ht="51" hidden="false" customHeight="true" outlineLevel="0" collapsed="false">
      <c r="B1362" s="29" t="s">
        <v>6120</v>
      </c>
      <c r="C1362" s="29" t="s">
        <v>276</v>
      </c>
      <c r="D1362" s="29" t="s">
        <v>3931</v>
      </c>
      <c r="E1362" s="29" t="s">
        <v>600</v>
      </c>
      <c r="F1362" s="29" t="s">
        <v>6121</v>
      </c>
      <c r="G1362" s="29" t="s">
        <v>6122</v>
      </c>
      <c r="H1362" s="29" t="s">
        <v>6112</v>
      </c>
      <c r="I1362" s="29" t="s">
        <v>472</v>
      </c>
      <c r="J1362" s="29" t="s">
        <v>472</v>
      </c>
      <c r="K1362" s="30" t="s">
        <v>44</v>
      </c>
      <c r="L1362" s="31"/>
      <c r="M1362" s="32" t="s">
        <v>45</v>
      </c>
    </row>
    <row r="1363" customFormat="false" ht="51" hidden="false" customHeight="true" outlineLevel="0" collapsed="false">
      <c r="B1363" s="29" t="s">
        <v>6123</v>
      </c>
      <c r="C1363" s="29" t="s">
        <v>276</v>
      </c>
      <c r="D1363" s="29" t="s">
        <v>277</v>
      </c>
      <c r="E1363" s="29" t="s">
        <v>99</v>
      </c>
      <c r="F1363" s="29" t="s">
        <v>6124</v>
      </c>
      <c r="G1363" s="29" t="s">
        <v>6125</v>
      </c>
      <c r="H1363" s="29" t="s">
        <v>6126</v>
      </c>
      <c r="I1363" s="29" t="s">
        <v>42</v>
      </c>
      <c r="J1363" s="29" t="s">
        <v>67</v>
      </c>
      <c r="K1363" s="30" t="s">
        <v>44</v>
      </c>
      <c r="L1363" s="31"/>
      <c r="M1363" s="32" t="s">
        <v>45</v>
      </c>
    </row>
    <row r="1364" customFormat="false" ht="51" hidden="false" customHeight="true" outlineLevel="0" collapsed="false">
      <c r="B1364" s="29" t="s">
        <v>6127</v>
      </c>
      <c r="C1364" s="29" t="s">
        <v>276</v>
      </c>
      <c r="D1364" s="29" t="s">
        <v>3951</v>
      </c>
      <c r="E1364" s="29" t="s">
        <v>39</v>
      </c>
      <c r="F1364" s="29" t="s">
        <v>6128</v>
      </c>
      <c r="G1364" s="29" t="s">
        <v>6129</v>
      </c>
      <c r="H1364" s="29" t="s">
        <v>6130</v>
      </c>
      <c r="I1364" s="29" t="s">
        <v>42</v>
      </c>
      <c r="J1364" s="29" t="s">
        <v>1544</v>
      </c>
      <c r="K1364" s="30" t="s">
        <v>44</v>
      </c>
      <c r="L1364" s="31"/>
      <c r="M1364" s="32" t="s">
        <v>45</v>
      </c>
    </row>
    <row r="1365" customFormat="false" ht="51" hidden="false" customHeight="true" outlineLevel="0" collapsed="false">
      <c r="B1365" s="29" t="s">
        <v>6131</v>
      </c>
      <c r="C1365" s="29" t="s">
        <v>276</v>
      </c>
      <c r="D1365" s="29" t="s">
        <v>3956</v>
      </c>
      <c r="E1365" s="29" t="s">
        <v>39</v>
      </c>
      <c r="F1365" s="29" t="s">
        <v>6132</v>
      </c>
      <c r="G1365" s="29" t="s">
        <v>6133</v>
      </c>
      <c r="H1365" s="29" t="s">
        <v>6130</v>
      </c>
      <c r="I1365" s="29" t="s">
        <v>42</v>
      </c>
      <c r="J1365" s="29" t="s">
        <v>1544</v>
      </c>
      <c r="K1365" s="30" t="s">
        <v>44</v>
      </c>
      <c r="L1365" s="31"/>
      <c r="M1365" s="32" t="s">
        <v>45</v>
      </c>
    </row>
    <row r="1366" customFormat="false" ht="51" hidden="false" customHeight="true" outlineLevel="0" collapsed="false">
      <c r="B1366" s="29" t="s">
        <v>6134</v>
      </c>
      <c r="C1366" s="29" t="s">
        <v>276</v>
      </c>
      <c r="D1366" s="29" t="s">
        <v>6135</v>
      </c>
      <c r="E1366" s="29" t="s">
        <v>99</v>
      </c>
      <c r="F1366" s="29" t="s">
        <v>6136</v>
      </c>
      <c r="G1366" s="29" t="s">
        <v>6137</v>
      </c>
      <c r="H1366" s="29" t="s">
        <v>6130</v>
      </c>
      <c r="I1366" s="29" t="s">
        <v>42</v>
      </c>
      <c r="J1366" s="29" t="s">
        <v>67</v>
      </c>
      <c r="K1366" s="30" t="s">
        <v>44</v>
      </c>
      <c r="L1366" s="31"/>
      <c r="M1366" s="32" t="s">
        <v>45</v>
      </c>
    </row>
    <row r="1367" customFormat="false" ht="51" hidden="false" customHeight="true" outlineLevel="0" collapsed="false">
      <c r="B1367" s="29" t="s">
        <v>6138</v>
      </c>
      <c r="C1367" s="29" t="s">
        <v>276</v>
      </c>
      <c r="D1367" s="29" t="s">
        <v>6139</v>
      </c>
      <c r="E1367" s="29" t="s">
        <v>99</v>
      </c>
      <c r="F1367" s="29" t="s">
        <v>6140</v>
      </c>
      <c r="G1367" s="29" t="s">
        <v>6141</v>
      </c>
      <c r="H1367" s="29" t="s">
        <v>6130</v>
      </c>
      <c r="I1367" s="29" t="s">
        <v>42</v>
      </c>
      <c r="J1367" s="29" t="s">
        <v>67</v>
      </c>
      <c r="K1367" s="30" t="s">
        <v>44</v>
      </c>
      <c r="L1367" s="31"/>
      <c r="M1367" s="32" t="s">
        <v>45</v>
      </c>
    </row>
    <row r="1368" customFormat="false" ht="51" hidden="false" customHeight="true" outlineLevel="0" collapsed="false">
      <c r="B1368" s="29" t="s">
        <v>6142</v>
      </c>
      <c r="C1368" s="29" t="s">
        <v>276</v>
      </c>
      <c r="D1368" s="29" t="s">
        <v>6143</v>
      </c>
      <c r="E1368" s="29" t="s">
        <v>99</v>
      </c>
      <c r="F1368" s="29" t="s">
        <v>6144</v>
      </c>
      <c r="G1368" s="29" t="s">
        <v>6145</v>
      </c>
      <c r="H1368" s="29" t="s">
        <v>6130</v>
      </c>
      <c r="I1368" s="29" t="s">
        <v>42</v>
      </c>
      <c r="J1368" s="29" t="s">
        <v>67</v>
      </c>
      <c r="K1368" s="30" t="s">
        <v>44</v>
      </c>
      <c r="L1368" s="31"/>
      <c r="M1368" s="32" t="s">
        <v>45</v>
      </c>
    </row>
    <row r="1369" customFormat="false" ht="51" hidden="false" customHeight="true" outlineLevel="0" collapsed="false">
      <c r="B1369" s="29" t="s">
        <v>6146</v>
      </c>
      <c r="C1369" s="29" t="s">
        <v>276</v>
      </c>
      <c r="D1369" s="29" t="s">
        <v>6147</v>
      </c>
      <c r="E1369" s="29" t="s">
        <v>99</v>
      </c>
      <c r="F1369" s="29" t="s">
        <v>6148</v>
      </c>
      <c r="G1369" s="29" t="s">
        <v>6149</v>
      </c>
      <c r="H1369" s="29" t="s">
        <v>6130</v>
      </c>
      <c r="I1369" s="29" t="s">
        <v>42</v>
      </c>
      <c r="J1369" s="29" t="s">
        <v>67</v>
      </c>
      <c r="K1369" s="30" t="s">
        <v>44</v>
      </c>
      <c r="L1369" s="31"/>
      <c r="M1369" s="32" t="s">
        <v>45</v>
      </c>
    </row>
    <row r="1370" customFormat="false" ht="51" hidden="false" customHeight="true" outlineLevel="0" collapsed="false">
      <c r="B1370" s="29" t="s">
        <v>6150</v>
      </c>
      <c r="C1370" s="29" t="s">
        <v>276</v>
      </c>
      <c r="D1370" s="29" t="s">
        <v>220</v>
      </c>
      <c r="E1370" s="29" t="s">
        <v>340</v>
      </c>
      <c r="F1370" s="29" t="s">
        <v>6151</v>
      </c>
      <c r="G1370" s="29" t="s">
        <v>6151</v>
      </c>
      <c r="H1370" s="29" t="s">
        <v>6152</v>
      </c>
      <c r="I1370" s="29" t="s">
        <v>302</v>
      </c>
      <c r="J1370" s="29" t="s">
        <v>202</v>
      </c>
      <c r="K1370" s="30" t="s">
        <v>44</v>
      </c>
      <c r="L1370" s="31"/>
      <c r="M1370" s="32" t="s">
        <v>45</v>
      </c>
    </row>
    <row r="1371" customFormat="false" ht="51" hidden="false" customHeight="true" outlineLevel="0" collapsed="false">
      <c r="B1371" s="29" t="s">
        <v>6153</v>
      </c>
      <c r="C1371" s="29" t="s">
        <v>276</v>
      </c>
      <c r="D1371" s="29" t="s">
        <v>228</v>
      </c>
      <c r="E1371" s="29" t="s">
        <v>600</v>
      </c>
      <c r="F1371" s="29" t="s">
        <v>6154</v>
      </c>
      <c r="G1371" s="29" t="s">
        <v>6155</v>
      </c>
      <c r="H1371" s="29" t="s">
        <v>6156</v>
      </c>
      <c r="I1371" s="29" t="s">
        <v>472</v>
      </c>
      <c r="J1371" s="29" t="s">
        <v>472</v>
      </c>
      <c r="K1371" s="30" t="s">
        <v>44</v>
      </c>
      <c r="L1371" s="31"/>
      <c r="M1371" s="32" t="s">
        <v>45</v>
      </c>
    </row>
    <row r="1372" customFormat="false" ht="51" hidden="false" customHeight="true" outlineLevel="0" collapsed="false">
      <c r="B1372" s="29" t="s">
        <v>6157</v>
      </c>
      <c r="C1372" s="29" t="s">
        <v>276</v>
      </c>
      <c r="D1372" s="29" t="s">
        <v>3971</v>
      </c>
      <c r="E1372" s="29" t="s">
        <v>340</v>
      </c>
      <c r="F1372" s="29" t="s">
        <v>6158</v>
      </c>
      <c r="G1372" s="29" t="s">
        <v>6159</v>
      </c>
      <c r="H1372" s="29" t="s">
        <v>6152</v>
      </c>
      <c r="I1372" s="29" t="s">
        <v>302</v>
      </c>
      <c r="J1372" s="29" t="s">
        <v>202</v>
      </c>
      <c r="K1372" s="30" t="s">
        <v>44</v>
      </c>
      <c r="L1372" s="31"/>
      <c r="M1372" s="32" t="s">
        <v>45</v>
      </c>
    </row>
    <row r="1373" customFormat="false" ht="51" hidden="false" customHeight="true" outlineLevel="0" collapsed="false">
      <c r="B1373" s="29" t="s">
        <v>6160</v>
      </c>
      <c r="C1373" s="29" t="s">
        <v>276</v>
      </c>
      <c r="D1373" s="29" t="s">
        <v>3976</v>
      </c>
      <c r="E1373" s="29" t="s">
        <v>600</v>
      </c>
      <c r="F1373" s="29" t="s">
        <v>6161</v>
      </c>
      <c r="G1373" s="29" t="s">
        <v>6162</v>
      </c>
      <c r="H1373" s="29" t="s">
        <v>6156</v>
      </c>
      <c r="I1373" s="29" t="s">
        <v>472</v>
      </c>
      <c r="J1373" s="29" t="s">
        <v>472</v>
      </c>
      <c r="K1373" s="30" t="s">
        <v>44</v>
      </c>
      <c r="L1373" s="31"/>
      <c r="M1373" s="32" t="s">
        <v>45</v>
      </c>
    </row>
    <row r="1374" customFormat="false" ht="51" hidden="false" customHeight="true" outlineLevel="0" collapsed="false">
      <c r="B1374" s="29" t="s">
        <v>6163</v>
      </c>
      <c r="C1374" s="29" t="s">
        <v>276</v>
      </c>
      <c r="D1374" s="29" t="s">
        <v>3979</v>
      </c>
      <c r="E1374" s="29" t="s">
        <v>340</v>
      </c>
      <c r="F1374" s="29" t="s">
        <v>6164</v>
      </c>
      <c r="G1374" s="29" t="s">
        <v>6164</v>
      </c>
      <c r="H1374" s="29" t="s">
        <v>6152</v>
      </c>
      <c r="I1374" s="29" t="s">
        <v>302</v>
      </c>
      <c r="J1374" s="29" t="s">
        <v>202</v>
      </c>
      <c r="K1374" s="30" t="s">
        <v>44</v>
      </c>
      <c r="L1374" s="31"/>
      <c r="M1374" s="32" t="s">
        <v>45</v>
      </c>
    </row>
    <row r="1375" customFormat="false" ht="51" hidden="false" customHeight="true" outlineLevel="0" collapsed="false">
      <c r="B1375" s="29" t="s">
        <v>6165</v>
      </c>
      <c r="C1375" s="29" t="s">
        <v>276</v>
      </c>
      <c r="D1375" s="29" t="s">
        <v>234</v>
      </c>
      <c r="E1375" s="29" t="s">
        <v>340</v>
      </c>
      <c r="F1375" s="29" t="s">
        <v>6166</v>
      </c>
      <c r="G1375" s="29" t="s">
        <v>6167</v>
      </c>
      <c r="H1375" s="29" t="s">
        <v>6168</v>
      </c>
      <c r="I1375" s="29" t="s">
        <v>302</v>
      </c>
      <c r="J1375" s="29" t="s">
        <v>202</v>
      </c>
      <c r="K1375" s="30" t="s">
        <v>44</v>
      </c>
      <c r="L1375" s="31"/>
      <c r="M1375" s="32" t="s">
        <v>45</v>
      </c>
    </row>
    <row r="1376" customFormat="false" ht="51" hidden="false" customHeight="true" outlineLevel="0" collapsed="false">
      <c r="B1376" s="29" t="s">
        <v>6169</v>
      </c>
      <c r="C1376" s="29" t="s">
        <v>276</v>
      </c>
      <c r="D1376" s="29" t="s">
        <v>239</v>
      </c>
      <c r="E1376" s="29" t="s">
        <v>600</v>
      </c>
      <c r="F1376" s="29" t="s">
        <v>6170</v>
      </c>
      <c r="G1376" s="29" t="s">
        <v>6171</v>
      </c>
      <c r="H1376" s="29" t="s">
        <v>6172</v>
      </c>
      <c r="I1376" s="29" t="s">
        <v>472</v>
      </c>
      <c r="J1376" s="29" t="s">
        <v>472</v>
      </c>
      <c r="K1376" s="30" t="s">
        <v>44</v>
      </c>
      <c r="L1376" s="31"/>
      <c r="M1376" s="32" t="s">
        <v>45</v>
      </c>
    </row>
    <row r="1377" customFormat="false" ht="51" hidden="false" customHeight="true" outlineLevel="0" collapsed="false">
      <c r="B1377" s="29" t="s">
        <v>6173</v>
      </c>
      <c r="C1377" s="29" t="s">
        <v>276</v>
      </c>
      <c r="D1377" s="29" t="s">
        <v>245</v>
      </c>
      <c r="E1377" s="29" t="s">
        <v>600</v>
      </c>
      <c r="F1377" s="29" t="s">
        <v>6174</v>
      </c>
      <c r="G1377" s="29" t="s">
        <v>6175</v>
      </c>
      <c r="H1377" s="29" t="s">
        <v>6172</v>
      </c>
      <c r="I1377" s="29" t="s">
        <v>472</v>
      </c>
      <c r="J1377" s="29" t="s">
        <v>472</v>
      </c>
      <c r="K1377" s="30" t="s">
        <v>44</v>
      </c>
      <c r="L1377" s="31"/>
      <c r="M1377" s="32" t="s">
        <v>45</v>
      </c>
    </row>
    <row r="1378" customFormat="false" ht="51" hidden="false" customHeight="true" outlineLevel="0" collapsed="false">
      <c r="B1378" s="29" t="s">
        <v>6176</v>
      </c>
      <c r="C1378" s="29" t="s">
        <v>276</v>
      </c>
      <c r="D1378" s="29" t="s">
        <v>6177</v>
      </c>
      <c r="E1378" s="29" t="s">
        <v>600</v>
      </c>
      <c r="F1378" s="29" t="s">
        <v>6178</v>
      </c>
      <c r="G1378" s="29" t="s">
        <v>6179</v>
      </c>
      <c r="H1378" s="29" t="s">
        <v>6180</v>
      </c>
      <c r="I1378" s="29" t="s">
        <v>472</v>
      </c>
      <c r="J1378" s="29" t="s">
        <v>472</v>
      </c>
      <c r="K1378" s="30" t="s">
        <v>44</v>
      </c>
      <c r="L1378" s="31"/>
      <c r="M1378" s="32" t="s">
        <v>45</v>
      </c>
    </row>
    <row r="1379" customFormat="false" ht="51" hidden="false" customHeight="true" outlineLevel="0" collapsed="false">
      <c r="B1379" s="29" t="s">
        <v>6181</v>
      </c>
      <c r="C1379" s="29" t="s">
        <v>276</v>
      </c>
      <c r="D1379" s="29" t="s">
        <v>6182</v>
      </c>
      <c r="E1379" s="29" t="s">
        <v>340</v>
      </c>
      <c r="F1379" s="29" t="s">
        <v>6183</v>
      </c>
      <c r="G1379" s="29" t="s">
        <v>6184</v>
      </c>
      <c r="H1379" s="29" t="s">
        <v>6185</v>
      </c>
      <c r="I1379" s="29" t="s">
        <v>302</v>
      </c>
      <c r="J1379" s="29" t="s">
        <v>202</v>
      </c>
      <c r="K1379" s="30" t="s">
        <v>44</v>
      </c>
      <c r="L1379" s="31"/>
      <c r="M1379" s="32" t="s">
        <v>45</v>
      </c>
    </row>
    <row r="1380" customFormat="false" ht="51" hidden="false" customHeight="true" outlineLevel="0" collapsed="false">
      <c r="B1380" s="29" t="s">
        <v>6186</v>
      </c>
      <c r="C1380" s="29" t="s">
        <v>276</v>
      </c>
      <c r="D1380" s="29" t="s">
        <v>6187</v>
      </c>
      <c r="E1380" s="29" t="s">
        <v>600</v>
      </c>
      <c r="F1380" s="29" t="s">
        <v>6188</v>
      </c>
      <c r="G1380" s="29" t="s">
        <v>6188</v>
      </c>
      <c r="H1380" s="29" t="s">
        <v>6189</v>
      </c>
      <c r="I1380" s="29" t="s">
        <v>472</v>
      </c>
      <c r="J1380" s="29" t="s">
        <v>472</v>
      </c>
      <c r="K1380" s="30" t="s">
        <v>44</v>
      </c>
      <c r="L1380" s="31"/>
      <c r="M1380" s="32" t="s">
        <v>45</v>
      </c>
    </row>
    <row r="1381" customFormat="false" ht="51" hidden="false" customHeight="true" outlineLevel="0" collapsed="false">
      <c r="B1381" s="29" t="s">
        <v>6190</v>
      </c>
      <c r="C1381" s="29" t="s">
        <v>276</v>
      </c>
      <c r="D1381" s="29" t="s">
        <v>6191</v>
      </c>
      <c r="E1381" s="29" t="s">
        <v>340</v>
      </c>
      <c r="F1381" s="29" t="s">
        <v>6192</v>
      </c>
      <c r="G1381" s="29" t="s">
        <v>6193</v>
      </c>
      <c r="H1381" s="29" t="s">
        <v>6194</v>
      </c>
      <c r="I1381" s="29" t="s">
        <v>302</v>
      </c>
      <c r="J1381" s="29" t="s">
        <v>202</v>
      </c>
      <c r="K1381" s="30" t="s">
        <v>44</v>
      </c>
      <c r="L1381" s="31"/>
      <c r="M1381" s="32" t="s">
        <v>45</v>
      </c>
    </row>
    <row r="1382" customFormat="false" ht="51" hidden="false" customHeight="true" outlineLevel="0" collapsed="false">
      <c r="B1382" s="29" t="s">
        <v>6195</v>
      </c>
      <c r="C1382" s="29" t="s">
        <v>276</v>
      </c>
      <c r="D1382" s="29" t="s">
        <v>6196</v>
      </c>
      <c r="E1382" s="29" t="s">
        <v>340</v>
      </c>
      <c r="F1382" s="29" t="s">
        <v>6197</v>
      </c>
      <c r="G1382" s="29" t="s">
        <v>6197</v>
      </c>
      <c r="H1382" s="29" t="s">
        <v>6194</v>
      </c>
      <c r="I1382" s="29" t="s">
        <v>302</v>
      </c>
      <c r="J1382" s="29" t="s">
        <v>202</v>
      </c>
      <c r="K1382" s="30" t="s">
        <v>44</v>
      </c>
      <c r="L1382" s="31"/>
      <c r="M1382" s="32" t="s">
        <v>45</v>
      </c>
    </row>
    <row r="1383" customFormat="false" ht="51" hidden="false" customHeight="true" outlineLevel="0" collapsed="false">
      <c r="B1383" s="29" t="s">
        <v>6198</v>
      </c>
      <c r="C1383" s="29" t="s">
        <v>276</v>
      </c>
      <c r="D1383" s="29" t="s">
        <v>4083</v>
      </c>
      <c r="E1383" s="29" t="s">
        <v>357</v>
      </c>
      <c r="F1383" s="29" t="s">
        <v>6199</v>
      </c>
      <c r="G1383" s="29" t="s">
        <v>6200</v>
      </c>
      <c r="H1383" s="29" t="s">
        <v>6201</v>
      </c>
      <c r="I1383" s="29" t="s">
        <v>302</v>
      </c>
      <c r="J1383" s="29" t="s">
        <v>202</v>
      </c>
      <c r="K1383" s="30" t="s">
        <v>44</v>
      </c>
      <c r="L1383" s="31"/>
      <c r="M1383" s="32" t="s">
        <v>45</v>
      </c>
    </row>
    <row r="1384" customFormat="false" ht="51" hidden="false" customHeight="true" outlineLevel="0" collapsed="false">
      <c r="B1384" s="29" t="s">
        <v>6202</v>
      </c>
      <c r="C1384" s="29" t="s">
        <v>276</v>
      </c>
      <c r="D1384" s="29" t="s">
        <v>4088</v>
      </c>
      <c r="E1384" s="29" t="s">
        <v>600</v>
      </c>
      <c r="F1384" s="29" t="s">
        <v>6203</v>
      </c>
      <c r="G1384" s="29" t="s">
        <v>6204</v>
      </c>
      <c r="H1384" s="29" t="s">
        <v>6205</v>
      </c>
      <c r="I1384" s="29" t="s">
        <v>472</v>
      </c>
      <c r="J1384" s="29" t="s">
        <v>472</v>
      </c>
      <c r="K1384" s="30" t="s">
        <v>44</v>
      </c>
      <c r="L1384" s="31"/>
      <c r="M1384" s="32" t="s">
        <v>45</v>
      </c>
    </row>
    <row r="1385" customFormat="false" ht="51" hidden="false" customHeight="true" outlineLevel="0" collapsed="false">
      <c r="B1385" s="29" t="s">
        <v>6206</v>
      </c>
      <c r="C1385" s="29" t="s">
        <v>276</v>
      </c>
      <c r="D1385" s="29" t="s">
        <v>4092</v>
      </c>
      <c r="E1385" s="29" t="s">
        <v>357</v>
      </c>
      <c r="F1385" s="29" t="s">
        <v>6207</v>
      </c>
      <c r="G1385" s="29" t="s">
        <v>6208</v>
      </c>
      <c r="H1385" s="29" t="s">
        <v>6201</v>
      </c>
      <c r="I1385" s="29" t="s">
        <v>302</v>
      </c>
      <c r="J1385" s="29" t="s">
        <v>202</v>
      </c>
      <c r="K1385" s="30" t="s">
        <v>44</v>
      </c>
      <c r="L1385" s="31"/>
      <c r="M1385" s="32" t="s">
        <v>45</v>
      </c>
    </row>
    <row r="1386" customFormat="false" ht="51" hidden="false" customHeight="true" outlineLevel="0" collapsed="false">
      <c r="B1386" s="29" t="s">
        <v>6209</v>
      </c>
      <c r="C1386" s="29" t="s">
        <v>276</v>
      </c>
      <c r="D1386" s="29" t="s">
        <v>6210</v>
      </c>
      <c r="E1386" s="29" t="s">
        <v>600</v>
      </c>
      <c r="F1386" s="29" t="s">
        <v>6211</v>
      </c>
      <c r="G1386" s="29" t="s">
        <v>6212</v>
      </c>
      <c r="H1386" s="29" t="s">
        <v>6205</v>
      </c>
      <c r="I1386" s="29" t="s">
        <v>472</v>
      </c>
      <c r="J1386" s="29" t="s">
        <v>472</v>
      </c>
      <c r="K1386" s="30" t="s">
        <v>44</v>
      </c>
      <c r="L1386" s="31"/>
      <c r="M1386" s="32" t="s">
        <v>45</v>
      </c>
    </row>
    <row r="1387" customFormat="false" ht="51" hidden="false" customHeight="true" outlineLevel="0" collapsed="false">
      <c r="B1387" s="29" t="s">
        <v>6213</v>
      </c>
      <c r="C1387" s="29" t="s">
        <v>276</v>
      </c>
      <c r="D1387" s="29" t="s">
        <v>6214</v>
      </c>
      <c r="E1387" s="29" t="s">
        <v>600</v>
      </c>
      <c r="F1387" s="29" t="s">
        <v>6215</v>
      </c>
      <c r="G1387" s="29" t="s">
        <v>6216</v>
      </c>
      <c r="H1387" s="29" t="s">
        <v>6205</v>
      </c>
      <c r="I1387" s="29" t="s">
        <v>472</v>
      </c>
      <c r="J1387" s="29" t="s">
        <v>472</v>
      </c>
      <c r="K1387" s="30" t="s">
        <v>44</v>
      </c>
      <c r="L1387" s="31"/>
      <c r="M1387" s="32" t="s">
        <v>45</v>
      </c>
    </row>
    <row r="1388" customFormat="false" ht="51" hidden="false" customHeight="true" outlineLevel="0" collapsed="false">
      <c r="B1388" s="29" t="s">
        <v>6217</v>
      </c>
      <c r="C1388" s="29" t="s">
        <v>276</v>
      </c>
      <c r="D1388" s="29" t="s">
        <v>6218</v>
      </c>
      <c r="E1388" s="29" t="s">
        <v>600</v>
      </c>
      <c r="F1388" s="29" t="s">
        <v>6219</v>
      </c>
      <c r="G1388" s="29" t="s">
        <v>6220</v>
      </c>
      <c r="H1388" s="29" t="s">
        <v>6205</v>
      </c>
      <c r="I1388" s="29" t="s">
        <v>472</v>
      </c>
      <c r="J1388" s="29" t="s">
        <v>472</v>
      </c>
      <c r="K1388" s="30" t="s">
        <v>44</v>
      </c>
      <c r="L1388" s="31"/>
      <c r="M1388" s="32" t="s">
        <v>45</v>
      </c>
    </row>
  </sheetData>
  <mergeCells count="2">
    <mergeCell ref="B5:J5"/>
    <mergeCell ref="K5:M5"/>
  </mergeCells>
  <conditionalFormatting sqref="K7:K2000">
    <cfRule type="expression" priority="2" aboveAverage="0" equalAverage="0" bottom="0" percent="0" rank="0" text="" dxfId="15">
      <formula>K7="erfasst"</formula>
    </cfRule>
    <cfRule type="expression" priority="3" aboveAverage="0" equalAverage="0" bottom="0" percent="0" rank="0" text="" dxfId="16">
      <formula>K7="bewertet"</formula>
    </cfRule>
    <cfRule type="expression" priority="4" aboveAverage="0" equalAverage="0" bottom="0" percent="0" rank="0" text="" dxfId="17">
      <formula>K7="erfüllt"</formula>
    </cfRule>
    <cfRule type="expression" priority="5" aboveAverage="0" equalAverage="0" bottom="0" percent="0" rank="0" text="" dxfId="18">
      <formula>K7="trifft nicht zu"</formula>
    </cfRule>
  </conditionalFormatting>
  <conditionalFormatting sqref="L7:L2000">
    <cfRule type="expression" priority="6" aboveAverage="0" equalAverage="0" bottom="0" percent="0" rank="0" text="" dxfId="19">
      <formula>AND($K7="erfüllt",$L7="")</formula>
    </cfRule>
    <cfRule type="expression" priority="7" aboveAverage="0" equalAverage="0" bottom="0" percent="0" rank="0" text="" dxfId="20">
      <formula>AND($K7="erfüllt",$L7&lt;&gt;"")</formula>
    </cfRule>
    <cfRule type="expression" priority="8" aboveAverage="0" equalAverage="0" bottom="0" percent="0" rank="0" text="" dxfId="21">
      <formula>AND($K7&lt;&gt;"erfüllt",$L7&lt;&gt;"")</formula>
    </cfRule>
  </conditionalFormatting>
  <conditionalFormatting sqref="M7:M2000">
    <cfRule type="expression" priority="9" aboveAverage="0" equalAverage="0" bottom="0" percent="0" rank="0" text="" dxfId="19">
      <formula>AND($K7="erfüllt",$M7="")</formula>
    </cfRule>
    <cfRule type="expression" priority="10" aboveAverage="0" equalAverage="0" bottom="0" percent="0" rank="0" text="" dxfId="20">
      <formula>AND($K7="erfüllt",$M7&lt;&gt;"")</formula>
    </cfRule>
    <cfRule type="expression" priority="11" aboveAverage="0" equalAverage="0" bottom="0" percent="0" rank="0" text="" dxfId="19">
      <formula>AND($K7="trifft nicht zu",$M7="")</formula>
    </cfRule>
    <cfRule type="expression" priority="12" aboveAverage="0" equalAverage="0" bottom="0" percent="0" rank="0" text="" dxfId="15">
      <formula>AND($K7="trifft nicht zu",$M7&lt;&gt;"")</formula>
    </cfRule>
  </conditionalFormatting>
  <conditionalFormatting sqref="I7:J2000">
    <cfRule type="expression" priority="13" aboveAverage="0" equalAverage="0" bottom="0" percent="0" rank="0" text="" dxfId="22">
      <formula>I7="Zuordnung prüfen"</formula>
    </cfRule>
  </conditionalFormatting>
  <dataValidations count="2">
    <dataValidation allowBlank="false" error="Bitte einen der vier Status auswählen." errorStyle="stop" errorTitle="Ungültiger Status" operator="between" prompt="erfasst → bewertet → erfüllt oder trifft nicht zu" promptTitle="Status" showDropDown="false" showErrorMessage="true" showInputMessage="true" sqref="K7:K2000" type="list">
      <formula1>"erfasst,bewertet,erfüllt,trifft nicht zu"</formula1>
      <formula2>0</formula2>
    </dataValidation>
    <dataValidation allowBlank="true" error="Bitte ein gültiges Datum für „Erfüllt am“ auswählen oder eingeben." errorStyle="stop" errorTitle="Ungültiges Datum" operator="greaterThanOrEqual" prompt="Datum auswählen bzw. im Format TT.MM.JJJJ eingeben." promptTitle="Erfüllt am" showDropDown="false" showErrorMessage="true" showInputMessage="true" sqref="L7:L2000" type="date">
      <formula1>DATE(2020,1,1)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Komponenten!$N$6:$N$29</xm:f>
          </x14:formula1>
          <xm:sqref>I7:I2000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3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5"/>
    <col collapsed="false" customWidth="true" hidden="false" outlineLevel="0" max="4" min="4" style="0" width="22"/>
    <col collapsed="false" customWidth="true" hidden="false" outlineLevel="0" max="5" min="5" style="0" width="52"/>
    <col collapsed="false" customWidth="true" hidden="false" outlineLevel="0" max="6" min="6" style="0" width="60"/>
    <col collapsed="false" customWidth="true" hidden="false" outlineLevel="0" max="7" min="7" style="0" width="18"/>
    <col collapsed="false" customWidth="true" hidden="false" outlineLevel="0" max="8" min="8" style="0" width="30"/>
    <col collapsed="false" customWidth="true" hidden="false" outlineLevel="0" max="9" min="9" style="0" width="15"/>
    <col collapsed="false" customWidth="true" hidden="false" outlineLevel="0" max="10" min="10" style="0" width="12"/>
    <col collapsed="false" customWidth="true" hidden="false" outlineLevel="0" max="11" min="11" style="0" width="40"/>
    <col collapsed="false" customWidth="true" hidden="true" outlineLevel="0" max="18" min="18" style="0" width="13"/>
    <col collapsed="false" customWidth="true" hidden="true" outlineLevel="0" max="20" min="20" style="0" width="13"/>
    <col collapsed="false" customWidth="true" hidden="false" outlineLevel="0" max="26" min="22" style="0" width="30"/>
  </cols>
  <sheetData>
    <row r="1" customFormat="false" ht="21.75" hidden="false" customHeight="true" outlineLevel="0" collapsed="false">
      <c r="A1" s="33" t="s">
        <v>6221</v>
      </c>
      <c r="V1" s="34" t="s">
        <v>6222</v>
      </c>
    </row>
    <row r="2" customFormat="false" ht="30" hidden="false" customHeight="true" outlineLevel="0" collapsed="false">
      <c r="A2" s="35" t="s">
        <v>6223</v>
      </c>
      <c r="B2" s="35"/>
      <c r="C2" s="35"/>
      <c r="D2" s="35"/>
      <c r="E2" s="35"/>
      <c r="F2" s="35"/>
      <c r="G2" s="35"/>
      <c r="H2" s="35"/>
      <c r="I2" s="35"/>
      <c r="J2" s="35"/>
      <c r="K2" s="35"/>
      <c r="V2" s="36" t="s">
        <v>6224</v>
      </c>
      <c r="W2" s="36" t="s">
        <v>6224</v>
      </c>
      <c r="X2" s="36" t="s">
        <v>6224</v>
      </c>
      <c r="Y2" s="36" t="s">
        <v>6224</v>
      </c>
      <c r="Z2" s="36" t="s">
        <v>6224</v>
      </c>
    </row>
    <row r="3" customFormat="false" ht="15" hidden="false" customHeight="false" outlineLevel="0" collapsed="false">
      <c r="V3" s="36" t="s">
        <v>171</v>
      </c>
      <c r="W3" s="36" t="s">
        <v>37</v>
      </c>
      <c r="X3" s="36" t="s">
        <v>186</v>
      </c>
      <c r="Y3" s="36" t="s">
        <v>67</v>
      </c>
      <c r="Z3" s="36" t="s">
        <v>154</v>
      </c>
    </row>
    <row r="4" customFormat="false" ht="15" hidden="false" customHeight="false" outlineLevel="0" collapsed="false">
      <c r="B4" s="37" t="s">
        <v>33</v>
      </c>
      <c r="E4" s="37" t="s">
        <v>25</v>
      </c>
      <c r="H4" s="37" t="s">
        <v>27</v>
      </c>
      <c r="V4" s="36" t="s">
        <v>62</v>
      </c>
      <c r="W4" s="36" t="s">
        <v>282</v>
      </c>
      <c r="X4" s="36" t="s">
        <v>91</v>
      </c>
      <c r="Y4" s="36" t="s">
        <v>53</v>
      </c>
      <c r="Z4" s="36" t="s">
        <v>170</v>
      </c>
    </row>
    <row r="5" customFormat="false" ht="15" hidden="false" customHeight="false" outlineLevel="0" collapsed="false">
      <c r="B5" s="38" t="s">
        <v>6224</v>
      </c>
      <c r="C5" s="38"/>
      <c r="E5" s="38" t="s">
        <v>6224</v>
      </c>
      <c r="F5" s="38"/>
      <c r="H5" s="38" t="s">
        <v>6224</v>
      </c>
      <c r="I5" s="38"/>
      <c r="V5" s="36" t="s">
        <v>163</v>
      </c>
      <c r="W5" s="36" t="s">
        <v>264</v>
      </c>
      <c r="X5" s="36" t="s">
        <v>206</v>
      </c>
      <c r="Y5" s="36" t="s">
        <v>261</v>
      </c>
      <c r="Z5" s="36" t="s">
        <v>297</v>
      </c>
    </row>
    <row r="6" customFormat="false" ht="15" hidden="false" customHeight="false" outlineLevel="0" collapsed="false">
      <c r="B6" s="37" t="s">
        <v>6225</v>
      </c>
      <c r="E6" s="37" t="s">
        <v>31</v>
      </c>
      <c r="H6" s="37" t="s">
        <v>6226</v>
      </c>
      <c r="T6" s="0" t="s">
        <v>6227</v>
      </c>
      <c r="V6" s="36" t="s">
        <v>44</v>
      </c>
      <c r="W6" s="36" t="s">
        <v>276</v>
      </c>
      <c r="X6" s="36" t="s">
        <v>221</v>
      </c>
      <c r="Y6" s="36" t="s">
        <v>221</v>
      </c>
      <c r="Z6" s="36" t="s">
        <v>286</v>
      </c>
    </row>
    <row r="7" customFormat="false" ht="15" hidden="false" customHeight="false" outlineLevel="0" collapsed="false">
      <c r="B7" s="38" t="s">
        <v>6224</v>
      </c>
      <c r="C7" s="38"/>
      <c r="E7" s="38" t="s">
        <v>6224</v>
      </c>
      <c r="F7" s="38"/>
      <c r="H7" s="38"/>
      <c r="I7" s="38"/>
      <c r="T7" s="0" t="n">
        <f aca="false">IF(Anforderungen!$B7="","",IF(AND(OR($B5="(alle)",Anforderungen!$K7=$B5),OR($E5="(alle)",Anforderungen!$C7=$E5),OR($H5="(alle)",Anforderungen!$E7=$H5),OR($B7="(alle)",ISNUMBER(SEARCH($B7,Anforderungen!$J7))),OR($E7="(alle)",ISNUMBER(SEARCH($E7,Anforderungen!$I7))),OR($H7="",ISNUMBER(SEARCH($H7,Anforderungen!$F7&amp;" "&amp;Anforderungen!$G7)))),COUNT($T$6:$T6)+1,""))</f>
        <v>1</v>
      </c>
      <c r="W7" s="36" t="s">
        <v>173</v>
      </c>
      <c r="X7" s="36" t="s">
        <v>151</v>
      </c>
      <c r="Y7" s="36" t="s">
        <v>337</v>
      </c>
      <c r="Z7" s="36" t="s">
        <v>82</v>
      </c>
    </row>
    <row r="8" customFormat="false" ht="15" hidden="false" customHeight="false" outlineLevel="0" collapsed="false">
      <c r="H8" s="39" t="s">
        <v>6228</v>
      </c>
      <c r="T8" s="0" t="n">
        <f aca="false">IF(Anforderungen!$B8="","",IF(AND(OR($B5="(alle)",Anforderungen!$K8=$B5),OR($E5="(alle)",Anforderungen!$C8=$E5),OR($H5="(alle)",Anforderungen!$E8=$H5),OR($B7="(alle)",ISNUMBER(SEARCH($B7,Anforderungen!$J8))),OR($E7="(alle)",ISNUMBER(SEARCH($E7,Anforderungen!$I8))),OR($H7="",ISNUMBER(SEARCH($H7,Anforderungen!$F8&amp;" "&amp;Anforderungen!$G8)))),COUNT($T$6:$T7)+1,""))</f>
        <v>2</v>
      </c>
      <c r="W8" s="36" t="s">
        <v>214</v>
      </c>
      <c r="X8" s="36" t="s">
        <v>351</v>
      </c>
      <c r="Y8" s="36" t="s">
        <v>190</v>
      </c>
      <c r="Z8" s="36" t="s">
        <v>225</v>
      </c>
    </row>
    <row r="9" customFormat="false" ht="15" hidden="false" customHeight="false" outlineLevel="0" collapsed="false">
      <c r="T9" s="0" t="n">
        <f aca="false">IF(Anforderungen!$B9="","",IF(AND(OR($B5="(alle)",Anforderungen!$K9=$B5),OR($E5="(alle)",Anforderungen!$C9=$E5),OR($H5="(alle)",Anforderungen!$E9=$H5),OR($B7="(alle)",ISNUMBER(SEARCH($B7,Anforderungen!$J9))),OR($E7="(alle)",ISNUMBER(SEARCH($E7,Anforderungen!$I9))),OR($H7="",ISNUMBER(SEARCH($H7,Anforderungen!$F9&amp;" "&amp;Anforderungen!$G9)))),COUNT($T$6:$T8)+1,""))</f>
        <v>3</v>
      </c>
      <c r="X9" s="36" t="s">
        <v>266</v>
      </c>
      <c r="Y9" s="36" t="s">
        <v>3404</v>
      </c>
      <c r="Z9" s="36" t="s">
        <v>196</v>
      </c>
    </row>
    <row r="10" customFormat="false" ht="17.35" hidden="false" customHeight="false" outlineLevel="0" collapsed="false">
      <c r="A10" s="37" t="s">
        <v>6229</v>
      </c>
      <c r="B10" s="40" t="n">
        <f aca="false">COUNT($T$7:$T$2000)</f>
        <v>1382</v>
      </c>
      <c r="D10" s="41" t="s">
        <v>62</v>
      </c>
      <c r="E10" s="42" t="n">
        <f aca="false">SUMPRODUCT((ISNUMBER($T$7:$T$2000))*(Anforderungen!$K$7:$K$2000="erfasst"))</f>
        <v>50</v>
      </c>
      <c r="F10" s="41" t="s">
        <v>171</v>
      </c>
      <c r="G10" s="42" t="n">
        <f aca="false">SUMPRODUCT((ISNUMBER($T$7:$T$2000))*(Anforderungen!$K$7:$K$2000="bewertet"))</f>
        <v>3</v>
      </c>
      <c r="H10" s="41" t="s">
        <v>163</v>
      </c>
      <c r="I10" s="42" t="n">
        <f aca="false">SUMPRODUCT((ISNUMBER($T$7:$T$2000))*(Anforderungen!$K$7:$K$2000="erfüllt"))</f>
        <v>10</v>
      </c>
      <c r="J10" s="41" t="s">
        <v>44</v>
      </c>
      <c r="K10" s="42" t="n">
        <f aca="false">SUMPRODUCT((ISNUMBER($T$7:$T$2000))*(Anforderungen!$K$7:$K$2000="trifft nicht zu"))</f>
        <v>1319</v>
      </c>
      <c r="T10" s="0" t="n">
        <f aca="false">IF(Anforderungen!$B10="","",IF(AND(OR($B5="(alle)",Anforderungen!$K10=$B5),OR($E5="(alle)",Anforderungen!$C10=$E5),OR($H5="(alle)",Anforderungen!$E10=$H5),OR($B7="(alle)",ISNUMBER(SEARCH($B7,Anforderungen!$J10))),OR($E7="(alle)",ISNUMBER(SEARCH($E7,Anforderungen!$I10))),OR($H7="",ISNUMBER(SEARCH($H7,Anforderungen!$F10&amp;" "&amp;Anforderungen!$G10)))),COUNT($T$6:$T9)+1,""))</f>
        <v>4</v>
      </c>
      <c r="X10" s="36" t="s">
        <v>357</v>
      </c>
      <c r="Y10" s="36" t="s">
        <v>155</v>
      </c>
      <c r="Z10" s="36" t="s">
        <v>6230</v>
      </c>
    </row>
    <row r="11" customFormat="false" ht="15" hidden="false" customHeight="false" outlineLevel="0" collapsed="false">
      <c r="A11" s="43" t="s">
        <v>6231</v>
      </c>
      <c r="B11" s="43"/>
      <c r="C11" s="43"/>
      <c r="D11" s="43"/>
      <c r="E11" s="43"/>
      <c r="F11" s="43"/>
      <c r="G11" s="43"/>
      <c r="H11" s="43"/>
      <c r="I11" s="43"/>
      <c r="J11" s="43"/>
      <c r="K11" s="43"/>
      <c r="T11" s="0" t="n">
        <f aca="false">IF(Anforderungen!$B11="","",IF(AND(OR($B5="(alle)",Anforderungen!$K11=$B5),OR($E5="(alle)",Anforderungen!$C11=$E5),OR($H5="(alle)",Anforderungen!$E11=$H5),OR($B7="(alle)",ISNUMBER(SEARCH($B7,Anforderungen!$J11))),OR($E7="(alle)",ISNUMBER(SEARCH($E7,Anforderungen!$I11))),OR($H7="",ISNUMBER(SEARCH($H7,Anforderungen!$F11&amp;" "&amp;Anforderungen!$G11)))),COUNT($T$6:$T10)+1,""))</f>
        <v>5</v>
      </c>
      <c r="X11" s="36" t="s">
        <v>99</v>
      </c>
      <c r="Y11" s="36" t="s">
        <v>270</v>
      </c>
      <c r="Z11" s="36" t="s">
        <v>472</v>
      </c>
    </row>
    <row r="12" customFormat="false" ht="15" hidden="false" customHeight="false" outlineLevel="0" collapsed="false">
      <c r="T12" s="0" t="n">
        <f aca="false">IF(Anforderungen!$B12="","",IF(AND(OR($B5="(alle)",Anforderungen!$K12=$B5),OR($E5="(alle)",Anforderungen!$C12=$E5),OR($H5="(alle)",Anforderungen!$E12=$H5),OR($B7="(alle)",ISNUMBER(SEARCH($B7,Anforderungen!$J12))),OR($E7="(alle)",ISNUMBER(SEARCH($E7,Anforderungen!$I12))),OR($H7="",ISNUMBER(SEARCH($H7,Anforderungen!$F12&amp;" "&amp;Anforderungen!$G12)))),COUNT($T$6:$T11)+1,""))</f>
        <v>6</v>
      </c>
      <c r="X12" s="36" t="s">
        <v>39</v>
      </c>
      <c r="Y12" s="36" t="s">
        <v>43</v>
      </c>
      <c r="Z12" s="36" t="s">
        <v>42</v>
      </c>
    </row>
    <row r="13" customFormat="false" ht="27.75" hidden="false" customHeight="true" outlineLevel="0" collapsed="false">
      <c r="A13" s="44" t="s">
        <v>24</v>
      </c>
      <c r="B13" s="44" t="s">
        <v>25</v>
      </c>
      <c r="C13" s="44" t="s">
        <v>26</v>
      </c>
      <c r="D13" s="44" t="s">
        <v>27</v>
      </c>
      <c r="E13" s="44" t="s">
        <v>28</v>
      </c>
      <c r="F13" s="44" t="s">
        <v>6232</v>
      </c>
      <c r="G13" s="44" t="s">
        <v>31</v>
      </c>
      <c r="H13" s="44" t="s">
        <v>32</v>
      </c>
      <c r="I13" s="44" t="s">
        <v>33</v>
      </c>
      <c r="J13" s="44" t="s">
        <v>34</v>
      </c>
      <c r="K13" s="44" t="s">
        <v>35</v>
      </c>
      <c r="T13" s="0" t="n">
        <f aca="false">IF(Anforderungen!$B13="","",IF(AND(OR($B5="(alle)",Anforderungen!$K13=$B5),OR($E5="(alle)",Anforderungen!$C13=$E5),OR($H5="(alle)",Anforderungen!$E13=$H5),OR($B7="(alle)",ISNUMBER(SEARCH($B7,Anforderungen!$J13))),OR($E7="(alle)",ISNUMBER(SEARCH($E7,Anforderungen!$I13))),OR($H7="",ISNUMBER(SEARCH($H7,Anforderungen!$F13&amp;" "&amp;Anforderungen!$G13)))),COUNT($T$6:$T12)+1,""))</f>
        <v>7</v>
      </c>
      <c r="X13" s="36" t="s">
        <v>543</v>
      </c>
      <c r="Y13" s="36" t="s">
        <v>804</v>
      </c>
      <c r="Z13" s="36" t="s">
        <v>95</v>
      </c>
    </row>
    <row r="14" customFormat="false" ht="30" hidden="false" customHeight="true" outlineLevel="0" collapsed="false">
      <c r="A14" s="45" t="str">
        <f aca="false">IF($R14="","",INDEX(Anforderungen!$B:$B,$R14))</f>
        <v>ANF-001</v>
      </c>
      <c r="B14" s="45" t="str">
        <f aca="false">IF($R14="","",INDEX(Anforderungen!$C:$C,$R14))</f>
        <v>Betreibervertrag</v>
      </c>
      <c r="C14" s="45" t="str">
        <f aca="false">IF($R14="","",INDEX(Anforderungen!$D:$D,$R14))</f>
        <v>§ 25 (1)</v>
      </c>
      <c r="D14" s="45" t="str">
        <f aca="false">IF($R14="","",INDEX(Anforderungen!$E:$E,$R14))</f>
        <v>Reservierung</v>
      </c>
      <c r="E14" s="45" t="str">
        <f aca="false">IF($R14="","",INDEX(Anforderungen!$F:$F,$R14))</f>
        <v>OCPI Schnittstelle</v>
      </c>
      <c r="F14" s="45" t="str">
        <f aca="false">IF($R14="","",INDEX(Anforderungen!$G:$G,$R14))</f>
        <v>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v>
      </c>
      <c r="G14" s="45" t="str">
        <f aca="false">IF($R14="","",INDEX(Anforderungen!$I:$I,$R14))</f>
        <v>eRound</v>
      </c>
      <c r="H14" s="45" t="str">
        <f aca="false">IF($R14="","",INDEX(Anforderungen!$J:$J,$R14))</f>
        <v>OCPI Buchungskalender</v>
      </c>
      <c r="I14" s="45" t="str">
        <f aca="false">IF($R14="","",INDEX(Anforderungen!$K:$K,$R14))</f>
        <v>trifft nicht zu</v>
      </c>
      <c r="J14" s="46" t="n">
        <f aca="false">IF($R14="","",INDEX(Anforderungen!$L:$L,$R14))</f>
        <v>0</v>
      </c>
      <c r="K14" s="45" t="str">
        <f aca="false">IF($R14="","",INDEX(Anforderungen!$M:$M,$R14))</f>
        <v>Automatisch ausgewertet: Außerhalb des betrachteten Leistungsumfangs (Schranken, Kennzeichenerfassung, dynamische Anzeige).</v>
      </c>
      <c r="R14" s="0" t="n">
        <f aca="false">IFERROR(MATCH(ROWS($A$14:$A14),$T$7:$T$2000,0)+6,"")</f>
        <v>7</v>
      </c>
      <c r="T14" s="0" t="n">
        <f aca="false">IF(Anforderungen!$B14="","",IF(AND(OR($B5="(alle)",Anforderungen!$K14=$B5),OR($E5="(alle)",Anforderungen!$C14=$E5),OR($H5="(alle)",Anforderungen!$E14=$H5),OR($B7="(alle)",ISNUMBER(SEARCH($B7,Anforderungen!$J14))),OR($E7="(alle)",ISNUMBER(SEARCH($E7,Anforderungen!$I14))),OR($H7="",ISNUMBER(SEARCH($H7,Anforderungen!$F14&amp;" "&amp;Anforderungen!$G14)))),COUNT($T$6:$T13)+1,""))</f>
        <v>8</v>
      </c>
      <c r="X14" s="36" t="s">
        <v>600</v>
      </c>
      <c r="Y14" s="36" t="s">
        <v>297</v>
      </c>
      <c r="Z14" s="36" t="s">
        <v>302</v>
      </c>
    </row>
    <row r="15" customFormat="false" ht="30" hidden="false" customHeight="true" outlineLevel="0" collapsed="false">
      <c r="A15" s="45" t="str">
        <f aca="false">IF($R15="","",INDEX(Anforderungen!$B:$B,$R15))</f>
        <v>ANF-002</v>
      </c>
      <c r="B15" s="45" t="str">
        <f aca="false">IF($R15="","",INDEX(Anforderungen!$C:$C,$R15))</f>
        <v>Betreibervertrag</v>
      </c>
      <c r="C15" s="45" t="str">
        <f aca="false">IF($R15="","",INDEX(Anforderungen!$D:$D,$R15))</f>
        <v>§ 25 (2)</v>
      </c>
      <c r="D15" s="45" t="str">
        <f aca="false">IF($R15="","",INDEX(Anforderungen!$E:$E,$R15))</f>
        <v>Reservierung</v>
      </c>
      <c r="E15" s="45" t="str">
        <f aca="false">IF($R15="","",INDEX(Anforderungen!$F:$F,$R15))</f>
        <v>OCPI Kostenfrei</v>
      </c>
      <c r="F15" s="45" t="str">
        <f aca="false">IF($R15="","",INDEX(Anforderungen!$G:$G,$R15))</f>
        <v>Der Auftragnehmer ist verpflichtet, jeder Reservierungsplattform die Anbindung über die in Absatz 1 genannte Schnittstelle kostenfrei zu ermöglichen, soweit die Reservierungsplattform die folgenden Mindestvoraussetzungen erfüllt:</v>
      </c>
      <c r="G15" s="45" t="str">
        <f aca="false">IF($R15="","",INDEX(Anforderungen!$I:$I,$R15))</f>
        <v>eRound</v>
      </c>
      <c r="H15" s="45" t="str">
        <f aca="false">IF($R15="","",INDEX(Anforderungen!$J:$J,$R15))</f>
        <v>OCPI Buchungskalender</v>
      </c>
      <c r="I15" s="45" t="str">
        <f aca="false">IF($R15="","",INDEX(Anforderungen!$K:$K,$R15))</f>
        <v>trifft nicht zu</v>
      </c>
      <c r="J15" s="46" t="n">
        <f aca="false">IF($R15="","",INDEX(Anforderungen!$L:$L,$R15))</f>
        <v>0</v>
      </c>
      <c r="K15" s="45" t="str">
        <f aca="false">IF($R15="","",INDEX(Anforderungen!$M:$M,$R15))</f>
        <v>Automatisch ausgewertet: Außerhalb des betrachteten Leistungsumfangs (Schranken, Kennzeichenerfassung, dynamische Anzeige).</v>
      </c>
      <c r="R15" s="0" t="n">
        <f aca="false">IFERROR(MATCH(ROWS($A$14:$A15),$T$7:$T$2000,0)+6,"")</f>
        <v>8</v>
      </c>
      <c r="T15" s="0" t="n">
        <f aca="false">IF(Anforderungen!$B15="","",IF(AND(OR($B5="(alle)",Anforderungen!$K15=$B5),OR($E5="(alle)",Anforderungen!$C15=$E5),OR($H5="(alle)",Anforderungen!$E15=$H5),OR($B7="(alle)",ISNUMBER(SEARCH($B7,Anforderungen!$J15))),OR($E7="(alle)",ISNUMBER(SEARCH($E7,Anforderungen!$I15))),OR($H7="",ISNUMBER(SEARCH($H7,Anforderungen!$F15&amp;" "&amp;Anforderungen!$G15)))),COUNT($T$6:$T14)+1,""))</f>
        <v>9</v>
      </c>
      <c r="X15" s="36" t="s">
        <v>327</v>
      </c>
      <c r="Y15" s="36" t="s">
        <v>83</v>
      </c>
      <c r="Z15" s="36" t="s">
        <v>336</v>
      </c>
    </row>
    <row r="16" customFormat="false" ht="30" hidden="false" customHeight="true" outlineLevel="0" collapsed="false">
      <c r="A16" s="45" t="str">
        <f aca="false">IF($R16="","",INDEX(Anforderungen!$B:$B,$R16))</f>
        <v>ANF-003</v>
      </c>
      <c r="B16" s="45" t="str">
        <f aca="false">IF($R16="","",INDEX(Anforderungen!$C:$C,$R16))</f>
        <v>Betreibervertrag</v>
      </c>
      <c r="C16" s="45" t="str">
        <f aca="false">IF($R16="","",INDEX(Anforderungen!$D:$D,$R16))</f>
        <v>§ 25 (2) a</v>
      </c>
      <c r="D16" s="45" t="str">
        <f aca="false">IF($R16="","",INDEX(Anforderungen!$E:$E,$R16))</f>
        <v>Reservierung</v>
      </c>
      <c r="E16" s="45" t="str">
        <f aca="false">IF($R16="","",INDEX(Anforderungen!$F:$F,$R16))</f>
        <v>OCPI Kostenfrei</v>
      </c>
      <c r="F16" s="45" t="str">
        <f aca="false">IF($R16="","",INDEX(Anforderungen!$G:$G,$R16))</f>
        <v>Die Reservierungsplattform stellt dem Auftragnehmer für die Anbindung der Reservierungsplattform keine Anbindungskosten in Rechnung</v>
      </c>
      <c r="G16" s="45" t="str">
        <f aca="false">IF($R16="","",INDEX(Anforderungen!$I:$I,$R16))</f>
        <v>eRound</v>
      </c>
      <c r="H16" s="45" t="str">
        <f aca="false">IF($R16="","",INDEX(Anforderungen!$J:$J,$R16))</f>
        <v>Anbindung</v>
      </c>
      <c r="I16" s="45" t="str">
        <f aca="false">IF($R16="","",INDEX(Anforderungen!$K:$K,$R16))</f>
        <v>trifft nicht zu</v>
      </c>
      <c r="J16" s="46" t="n">
        <f aca="false">IF($R16="","",INDEX(Anforderungen!$L:$L,$R16))</f>
        <v>0</v>
      </c>
      <c r="K16" s="45" t="str">
        <f aca="false">IF($R16="","",INDEX(Anforderungen!$M:$M,$R16))</f>
        <v>Automatisch ausgewertet: Außerhalb des betrachteten Leistungsumfangs (Schranken, Kennzeichenerfassung, dynamische Anzeige).</v>
      </c>
      <c r="R16" s="0" t="n">
        <f aca="false">IFERROR(MATCH(ROWS($A$14:$A16),$T$7:$T$2000,0)+6,"")</f>
        <v>9</v>
      </c>
      <c r="T16" s="0" t="n">
        <f aca="false">IF(Anforderungen!$B16="","",IF(AND(OR($B5="(alle)",Anforderungen!$K16=$B5),OR($E5="(alle)",Anforderungen!$C16=$E5),OR($H5="(alle)",Anforderungen!$E16=$H5),OR($B7="(alle)",ISNUMBER(SEARCH($B7,Anforderungen!$J16))),OR($E7="(alle)",ISNUMBER(SEARCH($E7,Anforderungen!$I16))),OR($H7="",ISNUMBER(SEARCH($H7,Anforderungen!$F16&amp;" "&amp;Anforderungen!$G16)))),COUNT($T$6:$T15)+1,""))</f>
        <v>10</v>
      </c>
      <c r="X16" s="36" t="s">
        <v>340</v>
      </c>
      <c r="Y16" s="36" t="s">
        <v>81</v>
      </c>
    </row>
    <row r="17" customFormat="false" ht="30" hidden="false" customHeight="true" outlineLevel="0" collapsed="false">
      <c r="A17" s="45" t="str">
        <f aca="false">IF($R17="","",INDEX(Anforderungen!$B:$B,$R17))</f>
        <v>ANF-004</v>
      </c>
      <c r="B17" s="45" t="str">
        <f aca="false">IF($R17="","",INDEX(Anforderungen!$C:$C,$R17))</f>
        <v>Betreibervertrag</v>
      </c>
      <c r="C17" s="45" t="str">
        <f aca="false">IF($R17="","",INDEX(Anforderungen!$D:$D,$R17))</f>
        <v>§ 25 (2) b</v>
      </c>
      <c r="D17" s="45" t="str">
        <f aca="false">IF($R17="","",INDEX(Anforderungen!$E:$E,$R17))</f>
        <v>Reservierung</v>
      </c>
      <c r="E17" s="45" t="str">
        <f aca="false">IF($R17="","",INDEX(Anforderungen!$F:$F,$R17))</f>
        <v>Anbindung verpflichtend, wenn alle AN angebunden werden oder AG2 auffordert</v>
      </c>
      <c r="F17" s="45" t="str">
        <f aca="false">IF($R17="","",INDEX(Anforderungen!$G:$G,$R17))</f>
        <v>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v>
      </c>
      <c r="G17" s="45" t="str">
        <f aca="false">IF($R17="","",INDEX(Anforderungen!$I:$I,$R17))</f>
        <v>eRound</v>
      </c>
      <c r="H17" s="45" t="str">
        <f aca="false">IF($R17="","",INDEX(Anforderungen!$J:$J,$R17))</f>
        <v>OCPI Buchungskalender</v>
      </c>
      <c r="I17" s="45" t="str">
        <f aca="false">IF($R17="","",INDEX(Anforderungen!$K:$K,$R17))</f>
        <v>trifft nicht zu</v>
      </c>
      <c r="J17" s="46" t="n">
        <f aca="false">IF($R17="","",INDEX(Anforderungen!$L:$L,$R17))</f>
        <v>0</v>
      </c>
      <c r="K17" s="45" t="str">
        <f aca="false">IF($R17="","",INDEX(Anforderungen!$M:$M,$R17))</f>
        <v>Automatisch ausgewertet: Außerhalb des betrachteten Leistungsumfangs (Schranken, Kennzeichenerfassung, dynamische Anzeige).</v>
      </c>
      <c r="R17" s="0" t="n">
        <f aca="false">IFERROR(MATCH(ROWS($A$14:$A17),$T$7:$T$2000,0)+6,"")</f>
        <v>10</v>
      </c>
      <c r="T17" s="0" t="n">
        <f aca="false">IF(Anforderungen!$B17="","",IF(AND(OR($B5="(alle)",Anforderungen!$K17=$B5),OR($E5="(alle)",Anforderungen!$C17=$E5),OR($H5="(alle)",Anforderungen!$E17=$H5),OR($B7="(alle)",ISNUMBER(SEARCH($B7,Anforderungen!$J17))),OR($E7="(alle)",ISNUMBER(SEARCH($E7,Anforderungen!$I17))),OR($H7="",ISNUMBER(SEARCH($H7,Anforderungen!$F17&amp;" "&amp;Anforderungen!$G17)))),COUNT($T$6:$T16)+1,""))</f>
        <v>11</v>
      </c>
      <c r="X17" s="36" t="s">
        <v>78</v>
      </c>
      <c r="Y17" s="36" t="s">
        <v>472</v>
      </c>
    </row>
    <row r="18" customFormat="false" ht="30" hidden="false" customHeight="true" outlineLevel="0" collapsed="false">
      <c r="A18" s="45" t="str">
        <f aca="false">IF($R18="","",INDEX(Anforderungen!$B:$B,$R18))</f>
        <v>ANF-005</v>
      </c>
      <c r="B18" s="45" t="str">
        <f aca="false">IF($R18="","",INDEX(Anforderungen!$C:$C,$R18))</f>
        <v>Betreibervertrag</v>
      </c>
      <c r="C18" s="45" t="str">
        <f aca="false">IF($R18="","",INDEX(Anforderungen!$D:$D,$R18))</f>
        <v>§ 25 (2) c</v>
      </c>
      <c r="D18" s="45" t="str">
        <f aca="false">IF($R18="","",INDEX(Anforderungen!$E:$E,$R18))</f>
        <v>Reservierung</v>
      </c>
      <c r="E18" s="45" t="str">
        <f aca="false">IF($R18="","",INDEX(Anforderungen!$F:$F,$R18))</f>
        <v>Reservierung mit Vorlauf von max. 7 Tagen und min. 15 min.
Kostenfreie Stornierung und Änderung bis 30min vorher.
Kennzeichenabgleich zur Unterbindung von Doppelbuchungen.</v>
      </c>
      <c r="F18" s="45" t="str">
        <f aca="false">IF($R18="","",INDEX(Anforderungen!$G:$G,$R18))</f>
        <v>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v>
      </c>
      <c r="G18" s="45" t="str">
        <f aca="false">IF($R18="","",INDEX(Anforderungen!$I:$I,$R18))</f>
        <v>eRound</v>
      </c>
      <c r="H18" s="45" t="str">
        <f aca="false">IF($R18="","",INDEX(Anforderungen!$J:$J,$R18))</f>
        <v>OCPI Buchungskalender</v>
      </c>
      <c r="I18" s="45" t="str">
        <f aca="false">IF($R18="","",INDEX(Anforderungen!$K:$K,$R18))</f>
        <v>erfasst</v>
      </c>
      <c r="J18" s="46" t="n">
        <f aca="false">IF($R18="","",INDEX(Anforderungen!$L:$L,$R18))</f>
        <v>0</v>
      </c>
      <c r="K18" s="45" t="n">
        <f aca="false">IF($R18="","",INDEX(Anforderungen!$M:$M,$R18))</f>
        <v>0</v>
      </c>
      <c r="R18" s="0" t="n">
        <f aca="false">IFERROR(MATCH(ROWS($A$14:$A18),$T$7:$T$2000,0)+6,"")</f>
        <v>11</v>
      </c>
      <c r="T18" s="0" t="n">
        <f aca="false">IF(Anforderungen!$B18="","",IF(AND(OR($B5="(alle)",Anforderungen!$K18=$B5),OR($E5="(alle)",Anforderungen!$C18=$E5),OR($H5="(alle)",Anforderungen!$E18=$H5),OR($B7="(alle)",ISNUMBER(SEARCH($B7,Anforderungen!$J18))),OR($E7="(alle)",ISNUMBER(SEARCH($E7,Anforderungen!$I18))),OR($H7="",ISNUMBER(SEARCH($H7,Anforderungen!$F18&amp;" "&amp;Anforderungen!$G18)))),COUNT($T$6:$T17)+1,""))</f>
        <v>12</v>
      </c>
      <c r="Y18" s="36" t="s">
        <v>202</v>
      </c>
    </row>
    <row r="19" customFormat="false" ht="30" hidden="false" customHeight="true" outlineLevel="0" collapsed="false">
      <c r="A19" s="45" t="str">
        <f aca="false">IF($R19="","",INDEX(Anforderungen!$B:$B,$R19))</f>
        <v>ANF-006</v>
      </c>
      <c r="B19" s="45" t="str">
        <f aca="false">IF($R19="","",INDEX(Anforderungen!$C:$C,$R19))</f>
        <v>Betreibervertrag</v>
      </c>
      <c r="C19" s="45" t="str">
        <f aca="false">IF($R19="","",INDEX(Anforderungen!$D:$D,$R19))</f>
        <v>§ 25 (2) d</v>
      </c>
      <c r="D19" s="45" t="str">
        <f aca="false">IF($R19="","",INDEX(Anforderungen!$E:$E,$R19))</f>
        <v>Reservierung</v>
      </c>
      <c r="E19" s="45" t="str">
        <f aca="false">IF($R19="","",INDEX(Anforderungen!$F:$F,$R19))</f>
        <v>Entschädigung an AN von der Reservierungsplattform i.H.v. mind. 30€ nach 15/30 min Wartezeit bei No-Show.</v>
      </c>
      <c r="F19" s="45" t="str">
        <f aca="false">IF($R19="","",INDEX(Anforderungen!$G:$G,$R19))</f>
        <v>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v>
      </c>
      <c r="G19" s="45" t="str">
        <f aca="false">IF($R19="","",INDEX(Anforderungen!$I:$I,$R19))</f>
        <v>eRound</v>
      </c>
      <c r="H19" s="45" t="str">
        <f aca="false">IF($R19="","",INDEX(Anforderungen!$J:$J,$R19))</f>
        <v>Abrechnungskomponente</v>
      </c>
      <c r="I19" s="45" t="str">
        <f aca="false">IF($R19="","",INDEX(Anforderungen!$K:$K,$R19))</f>
        <v>trifft nicht zu</v>
      </c>
      <c r="J19" s="46" t="n">
        <f aca="false">IF($R19="","",INDEX(Anforderungen!$L:$L,$R19))</f>
        <v>0</v>
      </c>
      <c r="K19" s="45" t="str">
        <f aca="false">IF($R19="","",INDEX(Anforderungen!$M:$M,$R19))</f>
        <v>Automatisch ausgewertet: Außerhalb des betrachteten Leistungsumfangs (Schranken, Kennzeichenerfassung, dynamische Anzeige).</v>
      </c>
      <c r="R19" s="0" t="n">
        <f aca="false">IFERROR(MATCH(ROWS($A$14:$A19),$T$7:$T$2000,0)+6,"")</f>
        <v>12</v>
      </c>
      <c r="T19" s="0" t="n">
        <f aca="false">IF(Anforderungen!$B19="","",IF(AND(OR($B5="(alle)",Anforderungen!$K19=$B5),OR($E5="(alle)",Anforderungen!$C19=$E5),OR($H5="(alle)",Anforderungen!$E19=$H5),OR($B7="(alle)",ISNUMBER(SEARCH($B7,Anforderungen!$J19))),OR($E7="(alle)",ISNUMBER(SEARCH($E7,Anforderungen!$I19))),OR($H7="",ISNUMBER(SEARCH($H7,Anforderungen!$F19&amp;" "&amp;Anforderungen!$G19)))),COUNT($T$6:$T18)+1,""))</f>
        <v>13</v>
      </c>
    </row>
    <row r="20" customFormat="false" ht="30" hidden="false" customHeight="true" outlineLevel="0" collapsed="false">
      <c r="A20" s="45" t="str">
        <f aca="false">IF($R20="","",INDEX(Anforderungen!$B:$B,$R20))</f>
        <v>ANF-007</v>
      </c>
      <c r="B20" s="45" t="str">
        <f aca="false">IF($R20="","",INDEX(Anforderungen!$C:$C,$R20))</f>
        <v>Betreibervertrag</v>
      </c>
      <c r="C20" s="45" t="str">
        <f aca="false">IF($R20="","",INDEX(Anforderungen!$D:$D,$R20))</f>
        <v>§ 25 (3)</v>
      </c>
      <c r="D20" s="45" t="str">
        <f aca="false">IF($R20="","",INDEX(Anforderungen!$E:$E,$R20))</f>
        <v>Reservierung</v>
      </c>
      <c r="E20" s="45" t="str">
        <f aca="false">IF($R20="","",INDEX(Anforderungen!$F:$F,$R20))</f>
        <v>Anpassung an Marktstandards mit 2 Monaten Vorlauf.</v>
      </c>
      <c r="F20" s="45" t="str">
        <f aca="false">IF($R20="","",INDEX(Anforderungen!$G:$G,$R20))</f>
        <v>Der Auftraggeber 2 ist berechtigt, die in Absatz 2 definierten Mindestvoraussetzungen im Fall abweichender Marktstandards mit einer Vorlaufzeit von zwei Monaten anzupassen</v>
      </c>
      <c r="G20" s="45" t="str">
        <f aca="false">IF($R20="","",INDEX(Anforderungen!$I:$I,$R20))</f>
        <v>eRound</v>
      </c>
      <c r="H20" s="45" t="str">
        <f aca="false">IF($R20="","",INDEX(Anforderungen!$J:$J,$R20))</f>
        <v>OCPI Buchungskalender</v>
      </c>
      <c r="I20" s="45" t="str">
        <f aca="false">IF($R20="","",INDEX(Anforderungen!$K:$K,$R20))</f>
        <v>trifft nicht zu</v>
      </c>
      <c r="J20" s="46" t="n">
        <f aca="false">IF($R20="","",INDEX(Anforderungen!$L:$L,$R20))</f>
        <v>0</v>
      </c>
      <c r="K20" s="45" t="str">
        <f aca="false">IF($R20="","",INDEX(Anforderungen!$M:$M,$R20))</f>
        <v>Automatisch ausgewertet: Außerhalb des betrachteten Leistungsumfangs (Schranken, Kennzeichenerfassung, dynamische Anzeige).</v>
      </c>
      <c r="R20" s="0" t="n">
        <f aca="false">IFERROR(MATCH(ROWS($A$14:$A20),$T$7:$T$2000,0)+6,"")</f>
        <v>13</v>
      </c>
      <c r="T20" s="0" t="n">
        <f aca="false">IF(Anforderungen!$B20="","",IF(AND(OR($B5="(alle)",Anforderungen!$K20=$B5),OR($E5="(alle)",Anforderungen!$C20=$E5),OR($H5="(alle)",Anforderungen!$E20=$H5),OR($B7="(alle)",ISNUMBER(SEARCH($B7,Anforderungen!$J20))),OR($E7="(alle)",ISNUMBER(SEARCH($E7,Anforderungen!$I20))),OR($H7="",ISNUMBER(SEARCH($H7,Anforderungen!$F20&amp;" "&amp;Anforderungen!$G20)))),COUNT($T$6:$T19)+1,""))</f>
        <v>14</v>
      </c>
    </row>
    <row r="21" customFormat="false" ht="30" hidden="false" customHeight="true" outlineLevel="0" collapsed="false">
      <c r="A21" s="45" t="str">
        <f aca="false">IF($R21="","",INDEX(Anforderungen!$B:$B,$R21))</f>
        <v>ANF-008</v>
      </c>
      <c r="B21" s="45" t="str">
        <f aca="false">IF($R21="","",INDEX(Anforderungen!$C:$C,$R21))</f>
        <v>Betreibervertrag</v>
      </c>
      <c r="C21" s="45" t="str">
        <f aca="false">IF($R21="","",INDEX(Anforderungen!$D:$D,$R21))</f>
        <v>§ 25 (4)</v>
      </c>
      <c r="D21" s="45" t="str">
        <f aca="false">IF($R21="","",INDEX(Anforderungen!$E:$E,$R21))</f>
        <v>Reservierung</v>
      </c>
      <c r="E21" s="45" t="str">
        <f aca="false">IF($R21="","",INDEX(Anforderungen!$F:$F,$R21))</f>
        <v>Ladepunkte an einem Standort können von der Reservierung ausgenommen werden.</v>
      </c>
      <c r="F21" s="45" t="str">
        <f aca="false">IF($R21="","",INDEX(Anforderungen!$G:$G,$R21))</f>
        <v>Der Auftragnehmer kann CCS- und MCS-Ladepunkten an einem Standort von der Reservierungsmöglichkeit ausnehmen.</v>
      </c>
      <c r="G21" s="45" t="str">
        <f aca="false">IF($R21="","",INDEX(Anforderungen!$I:$I,$R21))</f>
        <v>eRound</v>
      </c>
      <c r="H21" s="45" t="str">
        <f aca="false">IF($R21="","",INDEX(Anforderungen!$J:$J,$R21))</f>
        <v>OCPI Buchungskalender</v>
      </c>
      <c r="I21" s="45" t="str">
        <f aca="false">IF($R21="","",INDEX(Anforderungen!$K:$K,$R21))</f>
        <v>trifft nicht zu</v>
      </c>
      <c r="J21" s="46" t="n">
        <f aca="false">IF($R21="","",INDEX(Anforderungen!$L:$L,$R21))</f>
        <v>0</v>
      </c>
      <c r="K21" s="45" t="str">
        <f aca="false">IF($R21="","",INDEX(Anforderungen!$M:$M,$R21))</f>
        <v>Automatisch ausgewertet: Außerhalb des betrachteten Leistungsumfangs (Schranken, Kennzeichenerfassung, dynamische Anzeige).</v>
      </c>
      <c r="R21" s="0" t="n">
        <f aca="false">IFERROR(MATCH(ROWS($A$14:$A21),$T$7:$T$2000,0)+6,"")</f>
        <v>14</v>
      </c>
      <c r="T21" s="0" t="n">
        <f aca="false">IF(Anforderungen!$B21="","",IF(AND(OR($B5="(alle)",Anforderungen!$K21=$B5),OR($E5="(alle)",Anforderungen!$C21=$E5),OR($H5="(alle)",Anforderungen!$E21=$H5),OR($B7="(alle)",ISNUMBER(SEARCH($B7,Anforderungen!$J21))),OR($E7="(alle)",ISNUMBER(SEARCH($E7,Anforderungen!$I21))),OR($H7="",ISNUMBER(SEARCH($H7,Anforderungen!$F21&amp;" "&amp;Anforderungen!$G21)))),COUNT($T$6:$T20)+1,""))</f>
        <v>15</v>
      </c>
    </row>
    <row r="22" customFormat="false" ht="30" hidden="false" customHeight="true" outlineLevel="0" collapsed="false">
      <c r="A22" s="45" t="str">
        <f aca="false">IF($R22="","",INDEX(Anforderungen!$B:$B,$R22))</f>
        <v>ANF-009</v>
      </c>
      <c r="B22" s="45" t="str">
        <f aca="false">IF($R22="","",INDEX(Anforderungen!$C:$C,$R22))</f>
        <v>Betreibervertrag</v>
      </c>
      <c r="C22" s="45" t="str">
        <f aca="false">IF($R22="","",INDEX(Anforderungen!$D:$D,$R22))</f>
        <v>§ 25 (5)</v>
      </c>
      <c r="D22" s="45" t="str">
        <f aca="false">IF($R22="","",INDEX(Anforderungen!$E:$E,$R22))</f>
        <v>Zufahrt &amp; Schranke</v>
      </c>
      <c r="E22" s="45" t="str">
        <f aca="false">IF($R22="","",INDEX(Anforderungen!$F:$F,$R22))</f>
        <v>Bauliche Maßnahme zur Reservierung an jedem Ladepunkt.</v>
      </c>
      <c r="F22" s="45" t="str">
        <f aca="false">IF($R22="","",INDEX(Anforderungen!$G:$G,$R22))</f>
        <v>Der Auftragnehmer hat geeignete Vorkehrungen, insbesondere die in Vertragsanlage 4: Leistungsbeschreibung Errichtung vorgesehenen baulichen Maßnahmen, zu treffen, um ein anderweitiges Laden an dem Ladepunkt der Ladeeinrichtung während des reservierten Zeitraums zu verhindern.</v>
      </c>
      <c r="G22" s="45" t="str">
        <f aca="false">IF($R22="","",INDEX(Anforderungen!$I:$I,$R22))</f>
        <v>Schrankenhersteller</v>
      </c>
      <c r="H22" s="45" t="str">
        <f aca="false">IF($R22="","",INDEX(Anforderungen!$J:$J,$R22))</f>
        <v>Schrankenanlage</v>
      </c>
      <c r="I22" s="45" t="str">
        <f aca="false">IF($R22="","",INDEX(Anforderungen!$K:$K,$R22))</f>
        <v>erfasst</v>
      </c>
      <c r="J22" s="46" t="n">
        <f aca="false">IF($R22="","",INDEX(Anforderungen!$L:$L,$R22))</f>
        <v>0</v>
      </c>
      <c r="K22" s="45" t="n">
        <f aca="false">IF($R22="","",INDEX(Anforderungen!$M:$M,$R22))</f>
        <v>0</v>
      </c>
      <c r="R22" s="0" t="n">
        <f aca="false">IFERROR(MATCH(ROWS($A$14:$A22),$T$7:$T$2000,0)+6,"")</f>
        <v>15</v>
      </c>
      <c r="T22" s="0" t="n">
        <f aca="false">IF(Anforderungen!$B22="","",IF(AND(OR($B5="(alle)",Anforderungen!$K22=$B5),OR($E5="(alle)",Anforderungen!$C22=$E5),OR($H5="(alle)",Anforderungen!$E22=$H5),OR($B7="(alle)",ISNUMBER(SEARCH($B7,Anforderungen!$J22))),OR($E7="(alle)",ISNUMBER(SEARCH($E7,Anforderungen!$I22))),OR($H7="",ISNUMBER(SEARCH($H7,Anforderungen!$F22&amp;" "&amp;Anforderungen!$G22)))),COUNT($T$6:$T21)+1,""))</f>
        <v>16</v>
      </c>
    </row>
    <row r="23" customFormat="false" ht="30" hidden="false" customHeight="true" outlineLevel="0" collapsed="false">
      <c r="A23" s="45" t="str">
        <f aca="false">IF($R23="","",INDEX(Anforderungen!$B:$B,$R23))</f>
        <v>ANF-010</v>
      </c>
      <c r="B23" s="45" t="str">
        <f aca="false">IF($R23="","",INDEX(Anforderungen!$C:$C,$R23))</f>
        <v>Betreibervertrag</v>
      </c>
      <c r="C23" s="45" t="str">
        <f aca="false">IF($R23="","",INDEX(Anforderungen!$D:$D,$R23))</f>
        <v>§ 25 (6)</v>
      </c>
      <c r="D23" s="45" t="str">
        <f aca="false">IF($R23="","",INDEX(Anforderungen!$E:$E,$R23))</f>
        <v>Reservierung</v>
      </c>
      <c r="E23" s="45" t="str">
        <f aca="false">IF($R23="","",INDEX(Anforderungen!$F:$F,$R23))</f>
        <v>Mindestens 40% der Ladepunkte müssen reserviert werden können.</v>
      </c>
      <c r="F23" s="45" t="str">
        <f aca="false">IF($R23="","",INDEX(Anforderungen!$G:$G,$R23))</f>
        <v>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v>
      </c>
      <c r="G23" s="45" t="str">
        <f aca="false">IF($R23="","",INDEX(Anforderungen!$I:$I,$R23))</f>
        <v>eRound</v>
      </c>
      <c r="H23" s="45" t="str">
        <f aca="false">IF($R23="","",INDEX(Anforderungen!$J:$J,$R23))</f>
        <v>OCPI Buchungskalender</v>
      </c>
      <c r="I23" s="45" t="str">
        <f aca="false">IF($R23="","",INDEX(Anforderungen!$K:$K,$R23))</f>
        <v>erfasst</v>
      </c>
      <c r="J23" s="46" t="n">
        <f aca="false">IF($R23="","",INDEX(Anforderungen!$L:$L,$R23))</f>
        <v>0</v>
      </c>
      <c r="K23" s="45" t="n">
        <f aca="false">IF($R23="","",INDEX(Anforderungen!$M:$M,$R23))</f>
        <v>0</v>
      </c>
      <c r="R23" s="0" t="n">
        <f aca="false">IFERROR(MATCH(ROWS($A$14:$A23),$T$7:$T$2000,0)+6,"")</f>
        <v>16</v>
      </c>
      <c r="T23" s="0" t="n">
        <f aca="false">IF(Anforderungen!$B23="","",IF(AND(OR($B5="(alle)",Anforderungen!$K23=$B5),OR($E5="(alle)",Anforderungen!$C23=$E5),OR($H5="(alle)",Anforderungen!$E23=$H5),OR($B7="(alle)",ISNUMBER(SEARCH($B7,Anforderungen!$J23))),OR($E7="(alle)",ISNUMBER(SEARCH($E7,Anforderungen!$I23))),OR($H7="",ISNUMBER(SEARCH($H7,Anforderungen!$F23&amp;" "&amp;Anforderungen!$G23)))),COUNT($T$6:$T22)+1,""))</f>
        <v>17</v>
      </c>
    </row>
    <row r="24" customFormat="false" ht="30" hidden="false" customHeight="true" outlineLevel="0" collapsed="false">
      <c r="A24" s="45" t="str">
        <f aca="false">IF($R24="","",INDEX(Anforderungen!$B:$B,$R24))</f>
        <v>ANF-011</v>
      </c>
      <c r="B24" s="45" t="str">
        <f aca="false">IF($R24="","",INDEX(Anforderungen!$C:$C,$R24))</f>
        <v>Betreibervertrag</v>
      </c>
      <c r="C24" s="45" t="str">
        <f aca="false">IF($R24="","",INDEX(Anforderungen!$D:$D,$R24))</f>
        <v>§ 31 (1)</v>
      </c>
      <c r="D24" s="45" t="str">
        <f aca="false">IF($R24="","",INDEX(Anforderungen!$E:$E,$R24))</f>
        <v>Authentifizierung &amp; Zugang</v>
      </c>
      <c r="E24" s="45" t="str">
        <f aca="false">IF($R24="","",INDEX(Anforderungen!$F:$F,$R24))</f>
        <v>Es muss Adhoc geladen werden können</v>
      </c>
      <c r="F24" s="45" t="str">
        <f aca="false">IF($R24="","",INDEX(Anforderungen!$G:$G,$R24))</f>
        <v>Der Auftragnehmer ist verpflichtet, potenziellen Endnutzern diskriminierungsfrei zu angemessenen Bedingungen ein Ad-hoc-Laden (punktuelles Aufladen i. S. d. AFIR) zu ermöglichen, soweit 
es ihm zumutbar ist (z. B. mit Blick auf die Bonität des Endnutzers).</v>
      </c>
      <c r="G24" s="45" t="str">
        <f aca="false">IF($R24="","",INDEX(Anforderungen!$I:$I,$R24))</f>
        <v>eRound / SCS</v>
      </c>
      <c r="H24" s="45" t="str">
        <f aca="false">IF($R24="","",INDEX(Anforderungen!$J:$J,$R24))</f>
        <v>Authentifizierungskomponente / Schrankensteuerung</v>
      </c>
      <c r="I24" s="45" t="str">
        <f aca="false">IF($R24="","",INDEX(Anforderungen!$K:$K,$R24))</f>
        <v>erfasst</v>
      </c>
      <c r="J24" s="46" t="n">
        <f aca="false">IF($R24="","",INDEX(Anforderungen!$L:$L,$R24))</f>
        <v>0</v>
      </c>
      <c r="K24" s="45" t="n">
        <f aca="false">IF($R24="","",INDEX(Anforderungen!$M:$M,$R24))</f>
        <v>0</v>
      </c>
      <c r="R24" s="0" t="n">
        <f aca="false">IFERROR(MATCH(ROWS($A$14:$A24),$T$7:$T$2000,0)+6,"")</f>
        <v>17</v>
      </c>
      <c r="T24" s="0" t="n">
        <f aca="false">IF(Anforderungen!$B24="","",IF(AND(OR($B5="(alle)",Anforderungen!$K24=$B5),OR($E5="(alle)",Anforderungen!$C24=$E5),OR($H5="(alle)",Anforderungen!$E24=$H5),OR($B7="(alle)",ISNUMBER(SEARCH($B7,Anforderungen!$J24))),OR($E7="(alle)",ISNUMBER(SEARCH($E7,Anforderungen!$I24))),OR($H7="",ISNUMBER(SEARCH($H7,Anforderungen!$F24&amp;" "&amp;Anforderungen!$G24)))),COUNT($T$6:$T23)+1,""))</f>
        <v>18</v>
      </c>
    </row>
    <row r="25" customFormat="false" ht="30" hidden="false" customHeight="true" outlineLevel="0" collapsed="false">
      <c r="A25" s="45" t="str">
        <f aca="false">IF($R25="","",INDEX(Anforderungen!$B:$B,$R25))</f>
        <v>ANF-012</v>
      </c>
      <c r="B25" s="45" t="str">
        <f aca="false">IF($R25="","",INDEX(Anforderungen!$C:$C,$R25))</f>
        <v>Betreibervertrag</v>
      </c>
      <c r="C25" s="45" t="str">
        <f aca="false">IF($R25="","",INDEX(Anforderungen!$D:$D,$R25))</f>
        <v>§ 38 (1)</v>
      </c>
      <c r="D25" s="45" t="str">
        <f aca="false">IF($R25="","",INDEX(Anforderungen!$E:$E,$R25))</f>
        <v>Nutzungszeit &amp; Entgelte</v>
      </c>
      <c r="E25" s="45" t="str">
        <f aca="false">IF($R25="","",INDEX(Anforderungen!$F:$F,$R25))</f>
        <v>Blockadeentgelte und maximale Nutzungsdauer</v>
      </c>
      <c r="F25" s="45" t="str">
        <f aca="false">IF($R25="","",INDEX(Anforderungen!$G:$G,$R25))</f>
        <v>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v>
      </c>
      <c r="G25" s="45" t="str">
        <f aca="false">IF($R25="","",INDEX(Anforderungen!$I:$I,$R25))</f>
        <v>eRound</v>
      </c>
      <c r="H25" s="45" t="str">
        <f aca="false">IF($R25="","",INDEX(Anforderungen!$J:$J,$R25))</f>
        <v>OCPI Buchungskalender</v>
      </c>
      <c r="I25" s="45" t="str">
        <f aca="false">IF($R25="","",INDEX(Anforderungen!$K:$K,$R25))</f>
        <v>trifft nicht zu</v>
      </c>
      <c r="J25" s="46" t="n">
        <f aca="false">IF($R25="","",INDEX(Anforderungen!$L:$L,$R25))</f>
        <v>0</v>
      </c>
      <c r="K25" s="45" t="str">
        <f aca="false">IF($R25="","",INDEX(Anforderungen!$M:$M,$R25))</f>
        <v>Automatisch ausgewertet: Außerhalb des betrachteten Leistungsumfangs (Schranken, Kennzeichenerfassung, dynamische Anzeige).</v>
      </c>
      <c r="R25" s="0" t="n">
        <f aca="false">IFERROR(MATCH(ROWS($A$14:$A25),$T$7:$T$2000,0)+6,"")</f>
        <v>18</v>
      </c>
      <c r="T25" s="0" t="n">
        <f aca="false">IF(Anforderungen!$B25="","",IF(AND(OR($B5="(alle)",Anforderungen!$K25=$B5),OR($E5="(alle)",Anforderungen!$C25=$E5),OR($H5="(alle)",Anforderungen!$E25=$H5),OR($B7="(alle)",ISNUMBER(SEARCH($B7,Anforderungen!$J25))),OR($E7="(alle)",ISNUMBER(SEARCH($E7,Anforderungen!$I25))),OR($H7="",ISNUMBER(SEARCH($H7,Anforderungen!$F25&amp;" "&amp;Anforderungen!$G25)))),COUNT($T$6:$T24)+1,""))</f>
        <v>19</v>
      </c>
    </row>
    <row r="26" customFormat="false" ht="30" hidden="false" customHeight="true" outlineLevel="0" collapsed="false">
      <c r="A26" s="45" t="str">
        <f aca="false">IF($R26="","",INDEX(Anforderungen!$B:$B,$R26))</f>
        <v>ANF-013</v>
      </c>
      <c r="B26" s="45" t="str">
        <f aca="false">IF($R26="","",INDEX(Anforderungen!$C:$C,$R26))</f>
        <v>Betreibervertrag</v>
      </c>
      <c r="C26" s="45" t="str">
        <f aca="false">IF($R26="","",INDEX(Anforderungen!$D:$D,$R26))</f>
        <v>§ 38 (1) a</v>
      </c>
      <c r="D26" s="45" t="str">
        <f aca="false">IF($R26="","",INDEX(Anforderungen!$E:$E,$R26))</f>
        <v>Nutzungszeit &amp; Entgelte</v>
      </c>
      <c r="E26" s="45" t="str">
        <f aca="false">IF($R26="","",INDEX(Anforderungen!$F:$F,$R26))</f>
        <v>Maximale Nutzungsdauer Zwischenladen ist 1h.</v>
      </c>
      <c r="F26" s="45" t="str">
        <f aca="false">IF($R26="","",INDEX(Anforderungen!$G:$G,$R26))</f>
        <v>bei MCS-Ladepunkten und CCS-Ladepunkten zum Zwischenladen 1 Stunde.</v>
      </c>
      <c r="G26" s="45" t="str">
        <f aca="false">IF($R26="","",INDEX(Anforderungen!$I:$I,$R26))</f>
        <v>eRound</v>
      </c>
      <c r="H26" s="45" t="str">
        <f aca="false">IF($R26="","",INDEX(Anforderungen!$J:$J,$R26))</f>
        <v>OCPI Buchungskalender</v>
      </c>
      <c r="I26" s="45" t="str">
        <f aca="false">IF($R26="","",INDEX(Anforderungen!$K:$K,$R26))</f>
        <v>trifft nicht zu</v>
      </c>
      <c r="J26" s="46" t="n">
        <f aca="false">IF($R26="","",INDEX(Anforderungen!$L:$L,$R26))</f>
        <v>0</v>
      </c>
      <c r="K26" s="45" t="str">
        <f aca="false">IF($R26="","",INDEX(Anforderungen!$M:$M,$R26))</f>
        <v>Automatisch ausgewertet: Außerhalb des betrachteten Leistungsumfangs (Schranken, Kennzeichenerfassung, dynamische Anzeige).</v>
      </c>
      <c r="R26" s="0" t="n">
        <f aca="false">IFERROR(MATCH(ROWS($A$14:$A26),$T$7:$T$2000,0)+6,"")</f>
        <v>19</v>
      </c>
      <c r="T26" s="0" t="n">
        <f aca="false">IF(Anforderungen!$B26="","",IF(AND(OR($B5="(alle)",Anforderungen!$K26=$B5),OR($E5="(alle)",Anforderungen!$C26=$E5),OR($H5="(alle)",Anforderungen!$E26=$H5),OR($B7="(alle)",ISNUMBER(SEARCH($B7,Anforderungen!$J26))),OR($E7="(alle)",ISNUMBER(SEARCH($E7,Anforderungen!$I26))),OR($H7="",ISNUMBER(SEARCH($H7,Anforderungen!$F26&amp;" "&amp;Anforderungen!$G26)))),COUNT($T$6:$T25)+1,""))</f>
        <v>20</v>
      </c>
    </row>
    <row r="27" customFormat="false" ht="30" hidden="false" customHeight="true" outlineLevel="0" collapsed="false">
      <c r="A27" s="45" t="str">
        <f aca="false">IF($R27="","",INDEX(Anforderungen!$B:$B,$R27))</f>
        <v>ANF-014</v>
      </c>
      <c r="B27" s="45" t="str">
        <f aca="false">IF($R27="","",INDEX(Anforderungen!$C:$C,$R27))</f>
        <v>Betreibervertrag</v>
      </c>
      <c r="C27" s="45" t="str">
        <f aca="false">IF($R27="","",INDEX(Anforderungen!$D:$D,$R27))</f>
        <v>§ 38 (1) b</v>
      </c>
      <c r="D27" s="45" t="str">
        <f aca="false">IF($R27="","",INDEX(Anforderungen!$E:$E,$R27))</f>
        <v>Nutzungszeit &amp; Entgelte</v>
      </c>
      <c r="E27" s="45" t="str">
        <f aca="false">IF($R27="","",INDEX(Anforderungen!$F:$F,$R27))</f>
        <v>Maximale Nutzungsdauer Übernachtladen ist 12h.</v>
      </c>
      <c r="F27" s="45" t="str">
        <f aca="false">IF($R27="","",INDEX(Anforderungen!$G:$G,$R27))</f>
        <v>bei CCS-Ladepunkten zum Übernachtladen und MCS- oder CCS-Ladepunkte zum Zwischenladen, die zum Übernachtladen freigegeben wurden, 12 Stunden.</v>
      </c>
      <c r="G27" s="45" t="str">
        <f aca="false">IF($R27="","",INDEX(Anforderungen!$I:$I,$R27))</f>
        <v>eRound</v>
      </c>
      <c r="H27" s="45" t="str">
        <f aca="false">IF($R27="","",INDEX(Anforderungen!$J:$J,$R27))</f>
        <v>OCPI Buchungskalender</v>
      </c>
      <c r="I27" s="45" t="str">
        <f aca="false">IF($R27="","",INDEX(Anforderungen!$K:$K,$R27))</f>
        <v>trifft nicht zu</v>
      </c>
      <c r="J27" s="46" t="n">
        <f aca="false">IF($R27="","",INDEX(Anforderungen!$L:$L,$R27))</f>
        <v>0</v>
      </c>
      <c r="K27" s="45" t="str">
        <f aca="false">IF($R27="","",INDEX(Anforderungen!$M:$M,$R27))</f>
        <v>Automatisch ausgewertet: Außerhalb des betrachteten Leistungsumfangs (Schranken, Kennzeichenerfassung, dynamische Anzeige).</v>
      </c>
      <c r="R27" s="0" t="n">
        <f aca="false">IFERROR(MATCH(ROWS($A$14:$A27),$T$7:$T$2000,0)+6,"")</f>
        <v>20</v>
      </c>
      <c r="T27" s="0" t="n">
        <f aca="false">IF(Anforderungen!$B27="","",IF(AND(OR($B5="(alle)",Anforderungen!$K27=$B5),OR($E5="(alle)",Anforderungen!$C27=$E5),OR($H5="(alle)",Anforderungen!$E27=$H5),OR($B7="(alle)",ISNUMBER(SEARCH($B7,Anforderungen!$J27))),OR($E7="(alle)",ISNUMBER(SEARCH($E7,Anforderungen!$I27))),OR($H7="",ISNUMBER(SEARCH($H7,Anforderungen!$F27&amp;" "&amp;Anforderungen!$G27)))),COUNT($T$6:$T26)+1,""))</f>
        <v>21</v>
      </c>
    </row>
    <row r="28" customFormat="false" ht="30" hidden="false" customHeight="true" outlineLevel="0" collapsed="false">
      <c r="A28" s="45" t="str">
        <f aca="false">IF($R28="","",INDEX(Anforderungen!$B:$B,$R28))</f>
        <v>ANF-015</v>
      </c>
      <c r="B28" s="45" t="str">
        <f aca="false">IF($R28="","",INDEX(Anforderungen!$C:$C,$R28))</f>
        <v>Betreibervertrag</v>
      </c>
      <c r="C28" s="45" t="str">
        <f aca="false">IF($R28="","",INDEX(Anforderungen!$D:$D,$R28))</f>
        <v>§ 38 (2)</v>
      </c>
      <c r="D28" s="45" t="str">
        <f aca="false">IF($R28="","",INDEX(Anforderungen!$E:$E,$R28))</f>
        <v>Nutzungszeit &amp; Entgelte</v>
      </c>
      <c r="E28" s="45" t="str">
        <f aca="false">IF($R28="","",INDEX(Anforderungen!$F:$F,$R28))</f>
        <v>Bei nidriger Auslastung kann die maximale Nutzungszeit vom AN verlängert werden.
Bei nachfolgender Reservierung kann die maximale Nutzungszeit verkürzt werden.
Bei Verkürzung zusätzliche Karenzzeit vor Blockadeentgeld von 5min.</v>
      </c>
      <c r="F28" s="45" t="str">
        <f aca="false">IF($R28="","",INDEX(Anforderungen!$G:$G,$R28))</f>
        <v>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v>
      </c>
      <c r="G28" s="45" t="str">
        <f aca="false">IF($R28="","",INDEX(Anforderungen!$I:$I,$R28))</f>
        <v>eRound</v>
      </c>
      <c r="H28" s="45" t="str">
        <f aca="false">IF($R28="","",INDEX(Anforderungen!$J:$J,$R28))</f>
        <v>OCPI Buchungskalender</v>
      </c>
      <c r="I28" s="45" t="str">
        <f aca="false">IF($R28="","",INDEX(Anforderungen!$K:$K,$R28))</f>
        <v>trifft nicht zu</v>
      </c>
      <c r="J28" s="46" t="n">
        <f aca="false">IF($R28="","",INDEX(Anforderungen!$L:$L,$R28))</f>
        <v>0</v>
      </c>
      <c r="K28" s="45" t="str">
        <f aca="false">IF($R28="","",INDEX(Anforderungen!$M:$M,$R28))</f>
        <v>Automatisch ausgewertet: Außerhalb des betrachteten Leistungsumfangs (Schranken, Kennzeichenerfassung, dynamische Anzeige).</v>
      </c>
      <c r="R28" s="0" t="n">
        <f aca="false">IFERROR(MATCH(ROWS($A$14:$A28),$T$7:$T$2000,0)+6,"")</f>
        <v>21</v>
      </c>
      <c r="T28" s="0" t="n">
        <f aca="false">IF(Anforderungen!$B28="","",IF(AND(OR($B5="(alle)",Anforderungen!$K28=$B5),OR($E5="(alle)",Anforderungen!$C28=$E5),OR($H5="(alle)",Anforderungen!$E28=$H5),OR($B7="(alle)",ISNUMBER(SEARCH($B7,Anforderungen!$J28))),OR($E7="(alle)",ISNUMBER(SEARCH($E7,Anforderungen!$I28))),OR($H7="",ISNUMBER(SEARCH($H7,Anforderungen!$F28&amp;" "&amp;Anforderungen!$G28)))),COUNT($T$6:$T27)+1,""))</f>
        <v>22</v>
      </c>
    </row>
    <row r="29" customFormat="false" ht="30" hidden="false" customHeight="true" outlineLevel="0" collapsed="false">
      <c r="A29" s="45" t="str">
        <f aca="false">IF($R29="","",INDEX(Anforderungen!$B:$B,$R29))</f>
        <v>ANF-016</v>
      </c>
      <c r="B29" s="45" t="str">
        <f aca="false">IF($R29="","",INDEX(Anforderungen!$C:$C,$R29))</f>
        <v>Betreibervertrag</v>
      </c>
      <c r="C29" s="45" t="str">
        <f aca="false">IF($R29="","",INDEX(Anforderungen!$D:$D,$R29))</f>
        <v>§ 38 (3)</v>
      </c>
      <c r="D29" s="45" t="str">
        <f aca="false">IF($R29="","",INDEX(Anforderungen!$E:$E,$R29))</f>
        <v>Nutzungszeit &amp; Entgelte</v>
      </c>
      <c r="E29" s="45" t="str">
        <f aca="false">IF($R29="","",INDEX(Anforderungen!$F:$F,$R29))</f>
        <v>Maximale Nutzungszeit endet mit Ablauf Reservierung.
Maximale Nutzungsdauer kann vom AN verlängert werden.</v>
      </c>
      <c r="F29" s="45" t="str">
        <f aca="false">IF($R29="","",INDEX(Anforderungen!$G:$G,$R29))</f>
        <v>Hat ein Mobilitätsdienstleister einen Ladepunkt reserviert, so endet die maximale Nutzungszeit mit dem Ablauf des reservierten Zeitraums, auch wenn der Ladeplatz erst später belegt wurde, es sei denn, der Betreiber räumt ihm eine längere maximale Nutzungszeit ein.</v>
      </c>
      <c r="G29" s="45" t="str">
        <f aca="false">IF($R29="","",INDEX(Anforderungen!$I:$I,$R29))</f>
        <v>eRound</v>
      </c>
      <c r="H29" s="45" t="str">
        <f aca="false">IF($R29="","",INDEX(Anforderungen!$J:$J,$R29))</f>
        <v>OCPI Buchungskalender</v>
      </c>
      <c r="I29" s="45" t="str">
        <f aca="false">IF($R29="","",INDEX(Anforderungen!$K:$K,$R29))</f>
        <v>trifft nicht zu</v>
      </c>
      <c r="J29" s="46" t="n">
        <f aca="false">IF($R29="","",INDEX(Anforderungen!$L:$L,$R29))</f>
        <v>0</v>
      </c>
      <c r="K29" s="45" t="str">
        <f aca="false">IF($R29="","",INDEX(Anforderungen!$M:$M,$R29))</f>
        <v>Automatisch ausgewertet: Außerhalb des betrachteten Leistungsumfangs (Schranken, Kennzeichenerfassung, dynamische Anzeige).</v>
      </c>
      <c r="R29" s="0" t="n">
        <f aca="false">IFERROR(MATCH(ROWS($A$14:$A29),$T$7:$T$2000,0)+6,"")</f>
        <v>22</v>
      </c>
      <c r="T29" s="0" t="n">
        <f aca="false">IF(Anforderungen!$B29="","",IF(AND(OR($B5="(alle)",Anforderungen!$K29=$B5),OR($E5="(alle)",Anforderungen!$C29=$E5),OR($H5="(alle)",Anforderungen!$E29=$H5),OR($B7="(alle)",ISNUMBER(SEARCH($B7,Anforderungen!$J29))),OR($E7="(alle)",ISNUMBER(SEARCH($E7,Anforderungen!$I29))),OR($H7="",ISNUMBER(SEARCH($H7,Anforderungen!$F29&amp;" "&amp;Anforderungen!$G29)))),COUNT($T$6:$T28)+1,""))</f>
        <v>23</v>
      </c>
    </row>
    <row r="30" customFormat="false" ht="30" hidden="false" customHeight="true" outlineLevel="0" collapsed="false">
      <c r="A30" s="45" t="str">
        <f aca="false">IF($R30="","",INDEX(Anforderungen!$B:$B,$R30))</f>
        <v>ANF-017</v>
      </c>
      <c r="B30" s="45" t="str">
        <f aca="false">IF($R30="","",INDEX(Anforderungen!$C:$C,$R30))</f>
        <v>Betreibervertrag</v>
      </c>
      <c r="C30" s="45" t="str">
        <f aca="false">IF($R30="","",INDEX(Anforderungen!$D:$D,$R30))</f>
        <v>§ 38 (4)</v>
      </c>
      <c r="D30" s="45" t="str">
        <f aca="false">IF($R30="","",INDEX(Anforderungen!$E:$E,$R30))</f>
        <v>Nutzungszeit &amp; Entgelte</v>
      </c>
      <c r="E30" s="45" t="str">
        <f aca="false">IF($R30="","",INDEX(Anforderungen!$F:$F,$R30))</f>
        <v>Ladestart 15min Wartezeit
Blockadeentgeld
ggf. Pönalisierung
Entfall maximale Nutzungsdauer</v>
      </c>
      <c r="F30" s="45" t="str">
        <f aca="false">IF($R30="","",INDEX(Anforderungen!$G:$G,$R30))</f>
        <v>Wird ein Ladevorgang nicht innerhalb von 15 Minuten nach Besetzung des Stellplatzes gestartet, entfällt die maximale Nutzungszeit und es kann ein Blockadeentgelt erhoben werden.</v>
      </c>
      <c r="G30" s="45" t="str">
        <f aca="false">IF($R30="","",INDEX(Anforderungen!$I:$I,$R30))</f>
        <v>eRound / SCS</v>
      </c>
      <c r="H30" s="45" t="str">
        <f aca="false">IF($R30="","",INDEX(Anforderungen!$J:$J,$R30))</f>
        <v>OCPI Buchungskalender / Abrechnungskomponente / Belegungsdetektion / Pönalisierungssystem</v>
      </c>
      <c r="I30" s="45" t="str">
        <f aca="false">IF($R30="","",INDEX(Anforderungen!$K:$K,$R30))</f>
        <v>trifft nicht zu</v>
      </c>
      <c r="J30" s="46" t="n">
        <f aca="false">IF($R30="","",INDEX(Anforderungen!$L:$L,$R30))</f>
        <v>0</v>
      </c>
      <c r="K30" s="45" t="str">
        <f aca="false">IF($R30="","",INDEX(Anforderungen!$M:$M,$R30))</f>
        <v>Automatisch ausgewertet: Außerhalb des betrachteten Leistungsumfangs (Schranken, Kennzeichenerfassung, dynamische Anzeige).</v>
      </c>
      <c r="R30" s="0" t="n">
        <f aca="false">IFERROR(MATCH(ROWS($A$14:$A30),$T$7:$T$2000,0)+6,"")</f>
        <v>23</v>
      </c>
      <c r="T30" s="0" t="n">
        <f aca="false">IF(Anforderungen!$B30="","",IF(AND(OR($B5="(alle)",Anforderungen!$K30=$B5),OR($E5="(alle)",Anforderungen!$C30=$E5),OR($H5="(alle)",Anforderungen!$E30=$H5),OR($B7="(alle)",ISNUMBER(SEARCH($B7,Anforderungen!$J30))),OR($E7="(alle)",ISNUMBER(SEARCH($E7,Anforderungen!$I30))),OR($H7="",ISNUMBER(SEARCH($H7,Anforderungen!$F30&amp;" "&amp;Anforderungen!$G30)))),COUNT($T$6:$T29)+1,""))</f>
        <v>24</v>
      </c>
    </row>
    <row r="31" customFormat="false" ht="30" hidden="false" customHeight="true" outlineLevel="0" collapsed="false">
      <c r="A31" s="45" t="str">
        <f aca="false">IF($R31="","",INDEX(Anforderungen!$B:$B,$R31))</f>
        <v>ANF-018</v>
      </c>
      <c r="B31" s="45" t="str">
        <f aca="false">IF($R31="","",INDEX(Anforderungen!$C:$C,$R31))</f>
        <v>Betreibervertrag</v>
      </c>
      <c r="C31" s="45" t="str">
        <f aca="false">IF($R31="","",INDEX(Anforderungen!$D:$D,$R31))</f>
        <v>§ 38 (5)</v>
      </c>
      <c r="D31" s="45" t="str">
        <f aca="false">IF($R31="","",INDEX(Anforderungen!$E:$E,$R31))</f>
        <v>Nutzungszeit &amp; Entgelte</v>
      </c>
      <c r="E31" s="45" t="str">
        <f aca="false">IF($R31="","",INDEX(Anforderungen!$F:$F,$R31))</f>
        <v>Kein Blockadeentgeld während Nachtruhezeiten, Sonn- und Feiertage der Bundesländer.</v>
      </c>
      <c r="F31" s="45" t="str">
        <f aca="false">IF($R31="","",INDEX(Anforderungen!$G:$G,$R31))</f>
        <v>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v>
      </c>
      <c r="G31" s="45" t="str">
        <f aca="false">IF($R31="","",INDEX(Anforderungen!$I:$I,$R31))</f>
        <v>eRound</v>
      </c>
      <c r="H31" s="45" t="str">
        <f aca="false">IF($R31="","",INDEX(Anforderungen!$J:$J,$R31))</f>
        <v>OCPI Buchungskalender</v>
      </c>
      <c r="I31" s="45" t="str">
        <f aca="false">IF($R31="","",INDEX(Anforderungen!$K:$K,$R31))</f>
        <v>trifft nicht zu</v>
      </c>
      <c r="J31" s="46" t="n">
        <f aca="false">IF($R31="","",INDEX(Anforderungen!$L:$L,$R31))</f>
        <v>0</v>
      </c>
      <c r="K31" s="45" t="str">
        <f aca="false">IF($R31="","",INDEX(Anforderungen!$M:$M,$R31))</f>
        <v>Automatisch ausgewertet: Außerhalb des betrachteten Leistungsumfangs (Schranken, Kennzeichenerfassung, dynamische Anzeige).</v>
      </c>
      <c r="R31" s="0" t="n">
        <f aca="false">IFERROR(MATCH(ROWS($A$14:$A31),$T$7:$T$2000,0)+6,"")</f>
        <v>24</v>
      </c>
      <c r="T31" s="0" t="n">
        <f aca="false">IF(Anforderungen!$B31="","",IF(AND(OR($B5="(alle)",Anforderungen!$K31=$B5),OR($E5="(alle)",Anforderungen!$C31=$E5),OR($H5="(alle)",Anforderungen!$E31=$H5),OR($B7="(alle)",ISNUMBER(SEARCH($B7,Anforderungen!$J31))),OR($E7="(alle)",ISNUMBER(SEARCH($E7,Anforderungen!$I31))),OR($H7="",ISNUMBER(SEARCH($H7,Anforderungen!$F31&amp;" "&amp;Anforderungen!$G31)))),COUNT($T$6:$T30)+1,""))</f>
        <v>25</v>
      </c>
    </row>
    <row r="32" customFormat="false" ht="30" hidden="false" customHeight="true" outlineLevel="0" collapsed="false">
      <c r="A32" s="45" t="str">
        <f aca="false">IF($R32="","",INDEX(Anforderungen!$B:$B,$R32))</f>
        <v>ANF-019</v>
      </c>
      <c r="B32" s="45" t="str">
        <f aca="false">IF($R32="","",INDEX(Anforderungen!$C:$C,$R32))</f>
        <v>Betreibervertrag</v>
      </c>
      <c r="C32" s="45" t="str">
        <f aca="false">IF($R32="","",INDEX(Anforderungen!$D:$D,$R32))</f>
        <v>§ 38 (6)</v>
      </c>
      <c r="D32" s="45" t="str">
        <f aca="false">IF($R32="","",INDEX(Anforderungen!$E:$E,$R32))</f>
        <v>Nutzungszeit &amp; Entgelte</v>
      </c>
      <c r="E32" s="45" t="str">
        <f aca="false">IF($R32="","",INDEX(Anforderungen!$F:$F,$R32))</f>
        <v>Blockadeentgeld Höhe 0,50€ / 0,15€ pro Min.</v>
      </c>
      <c r="F32" s="45" t="str">
        <f aca="false">IF($R32="","",INDEX(Anforderungen!$G:$G,$R32))</f>
        <v>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v>
      </c>
      <c r="G32" s="45" t="str">
        <f aca="false">IF($R32="","",INDEX(Anforderungen!$I:$I,$R32))</f>
        <v>eRound</v>
      </c>
      <c r="H32" s="45" t="str">
        <f aca="false">IF($R32="","",INDEX(Anforderungen!$J:$J,$R32))</f>
        <v>Abrechnungskomponente</v>
      </c>
      <c r="I32" s="45" t="str">
        <f aca="false">IF($R32="","",INDEX(Anforderungen!$K:$K,$R32))</f>
        <v>trifft nicht zu</v>
      </c>
      <c r="J32" s="46" t="n">
        <f aca="false">IF($R32="","",INDEX(Anforderungen!$L:$L,$R32))</f>
        <v>0</v>
      </c>
      <c r="K32" s="45" t="str">
        <f aca="false">IF($R32="","",INDEX(Anforderungen!$M:$M,$R32))</f>
        <v>Automatisch ausgewertet: Außerhalb des betrachteten Leistungsumfangs (Schranken, Kennzeichenerfassung, dynamische Anzeige).</v>
      </c>
      <c r="R32" s="0" t="n">
        <f aca="false">IFERROR(MATCH(ROWS($A$14:$A32),$T$7:$T$2000,0)+6,"")</f>
        <v>25</v>
      </c>
      <c r="T32" s="0" t="n">
        <f aca="false">IF(Anforderungen!$B32="","",IF(AND(OR($B5="(alle)",Anforderungen!$K32=$B5),OR($E5="(alle)",Anforderungen!$C32=$E5),OR($H5="(alle)",Anforderungen!$E32=$H5),OR($B7="(alle)",ISNUMBER(SEARCH($B7,Anforderungen!$J32))),OR($E7="(alle)",ISNUMBER(SEARCH($E7,Anforderungen!$I32))),OR($H7="",ISNUMBER(SEARCH($H7,Anforderungen!$F32&amp;" "&amp;Anforderungen!$G32)))),COUNT($T$6:$T31)+1,""))</f>
        <v>26</v>
      </c>
    </row>
    <row r="33" customFormat="false" ht="30" hidden="false" customHeight="true" outlineLevel="0" collapsed="false">
      <c r="A33" s="45" t="str">
        <f aca="false">IF($R33="","",INDEX(Anforderungen!$B:$B,$R33))</f>
        <v>ANF-020</v>
      </c>
      <c r="B33" s="45" t="str">
        <f aca="false">IF($R33="","",INDEX(Anforderungen!$C:$C,$R33))</f>
        <v>Betreibervertrag</v>
      </c>
      <c r="C33" s="45" t="str">
        <f aca="false">IF($R33="","",INDEX(Anforderungen!$D:$D,$R33))</f>
        <v>§ 38 (7)</v>
      </c>
      <c r="D33" s="45" t="str">
        <f aca="false">IF($R33="","",INDEX(Anforderungen!$E:$E,$R33))</f>
        <v>Nutzungszeit &amp; Entgelte</v>
      </c>
      <c r="E33" s="45" t="str">
        <f aca="false">IF($R33="","",INDEX(Anforderungen!$F:$F,$R33))</f>
        <v>Änderungen an maximaler Nutzungsdauer, Blockadeentgelt und Sperrzeiten mit Vorlauf möglich.</v>
      </c>
      <c r="F33" s="45" t="str">
        <f aca="false">IF($R33="","",INDEX(Anforderungen!$G:$G,$R33))</f>
        <v>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v>
      </c>
      <c r="G33" s="45" t="str">
        <f aca="false">IF($R33="","",INDEX(Anforderungen!$I:$I,$R33))</f>
        <v>eRound</v>
      </c>
      <c r="H33" s="45" t="str">
        <f aca="false">IF($R33="","",INDEX(Anforderungen!$J:$J,$R33))</f>
        <v>Abrechnungskomponente</v>
      </c>
      <c r="I33" s="45" t="str">
        <f aca="false">IF($R33="","",INDEX(Anforderungen!$K:$K,$R33))</f>
        <v>trifft nicht zu</v>
      </c>
      <c r="J33" s="46" t="n">
        <f aca="false">IF($R33="","",INDEX(Anforderungen!$L:$L,$R33))</f>
        <v>0</v>
      </c>
      <c r="K33" s="45" t="str">
        <f aca="false">IF($R33="","",INDEX(Anforderungen!$M:$M,$R33))</f>
        <v>Automatisch ausgewertet: Außerhalb des betrachteten Leistungsumfangs (Schranken, Kennzeichenerfassung, dynamische Anzeige).</v>
      </c>
      <c r="R33" s="0" t="n">
        <f aca="false">IFERROR(MATCH(ROWS($A$14:$A33),$T$7:$T$2000,0)+6,"")</f>
        <v>26</v>
      </c>
      <c r="T33" s="0" t="n">
        <f aca="false">IF(Anforderungen!$B33="","",IF(AND(OR($B5="(alle)",Anforderungen!$K33=$B5),OR($E5="(alle)",Anforderungen!$C33=$E5),OR($H5="(alle)",Anforderungen!$E33=$H5),OR($B7="(alle)",ISNUMBER(SEARCH($B7,Anforderungen!$J33))),OR($E7="(alle)",ISNUMBER(SEARCH($E7,Anforderungen!$I33))),OR($H7="",ISNUMBER(SEARCH($H7,Anforderungen!$F33&amp;" "&amp;Anforderungen!$G33)))),COUNT($T$6:$T32)+1,""))</f>
        <v>27</v>
      </c>
    </row>
    <row r="34" customFormat="false" ht="30" hidden="false" customHeight="true" outlineLevel="0" collapsed="false">
      <c r="A34" s="45" t="str">
        <f aca="false">IF($R34="","",INDEX(Anforderungen!$B:$B,$R34))</f>
        <v>ANF-021</v>
      </c>
      <c r="B34" s="45" t="str">
        <f aca="false">IF($R34="","",INDEX(Anforderungen!$C:$C,$R34))</f>
        <v>Betreibervertrag</v>
      </c>
      <c r="C34" s="45" t="str">
        <f aca="false">IF($R34="","",INDEX(Anforderungen!$D:$D,$R34))</f>
        <v>§ 38 (8)</v>
      </c>
      <c r="D34" s="45" t="str">
        <f aca="false">IF($R34="","",INDEX(Anforderungen!$E:$E,$R34))</f>
        <v>Nutzungszeit &amp; Entgelte</v>
      </c>
      <c r="E34" s="45" t="str">
        <f aca="false">IF($R34="","",INDEX(Anforderungen!$F:$F,$R34))</f>
        <v>Mindestabnahmemenge und Vergütung bei Unterschreitung.</v>
      </c>
      <c r="F34" s="45" t="str">
        <f aca="false">IF($R34="","",INDEX(Anforderungen!$G:$G,$R34))</f>
        <v>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v>
      </c>
      <c r="G34" s="45" t="str">
        <f aca="false">IF($R34="","",INDEX(Anforderungen!$I:$I,$R34))</f>
        <v>eRound</v>
      </c>
      <c r="H34" s="45" t="str">
        <f aca="false">IF($R34="","",INDEX(Anforderungen!$J:$J,$R34))</f>
        <v>Abrechnungskomponente</v>
      </c>
      <c r="I34" s="45" t="str">
        <f aca="false">IF($R34="","",INDEX(Anforderungen!$K:$K,$R34))</f>
        <v>trifft nicht zu</v>
      </c>
      <c r="J34" s="46" t="n">
        <f aca="false">IF($R34="","",INDEX(Anforderungen!$L:$L,$R34))</f>
        <v>0</v>
      </c>
      <c r="K34" s="45" t="str">
        <f aca="false">IF($R34="","",INDEX(Anforderungen!$M:$M,$R34))</f>
        <v>Automatisch ausgewertet: Außerhalb des betrachteten Leistungsumfangs (Schranken, Kennzeichenerfassung, dynamische Anzeige).</v>
      </c>
      <c r="R34" s="0" t="n">
        <f aca="false">IFERROR(MATCH(ROWS($A$14:$A34),$T$7:$T$2000,0)+6,"")</f>
        <v>27</v>
      </c>
      <c r="T34" s="0" t="n">
        <f aca="false">IF(Anforderungen!$B34="","",IF(AND(OR($B5="(alle)",Anforderungen!$K34=$B5),OR($E5="(alle)",Anforderungen!$C34=$E5),OR($H5="(alle)",Anforderungen!$E34=$H5),OR($B7="(alle)",ISNUMBER(SEARCH($B7,Anforderungen!$J34))),OR($E7="(alle)",ISNUMBER(SEARCH($E7,Anforderungen!$I34))),OR($H7="",ISNUMBER(SEARCH($H7,Anforderungen!$F34&amp;" "&amp;Anforderungen!$G34)))),COUNT($T$6:$T33)+1,""))</f>
        <v>28</v>
      </c>
    </row>
    <row r="35" customFormat="false" ht="30" hidden="false" customHeight="true" outlineLevel="0" collapsed="false">
      <c r="A35" s="45" t="str">
        <f aca="false">IF($R35="","",INDEX(Anforderungen!$B:$B,$R35))</f>
        <v>ANF-022</v>
      </c>
      <c r="B35" s="45" t="str">
        <f aca="false">IF($R35="","",INDEX(Anforderungen!$C:$C,$R35))</f>
        <v>Betreibervertrag</v>
      </c>
      <c r="C35" s="45" t="str">
        <f aca="false">IF($R35="","",INDEX(Anforderungen!$D:$D,$R35))</f>
        <v>§ 38 (9)</v>
      </c>
      <c r="D35" s="45" t="str">
        <f aca="false">IF($R35="","",INDEX(Anforderungen!$E:$E,$R35))</f>
        <v>Nutzungszeit &amp; Entgelte</v>
      </c>
      <c r="E35" s="45" t="str">
        <f aca="false">IF($R35="","",INDEX(Anforderungen!$F:$F,$R35))</f>
        <v>Warnung NutzerIn vor Blockadeentgeld</v>
      </c>
      <c r="F35" s="45" t="str">
        <f aca="false">IF($R35="","",INDEX(Anforderungen!$G:$G,$R35))</f>
        <v>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v>
      </c>
      <c r="G35" s="45" t="str">
        <f aca="false">IF($R35="","",INDEX(Anforderungen!$I:$I,$R35))</f>
        <v>eRound</v>
      </c>
      <c r="H35" s="45" t="str">
        <f aca="false">IF($R35="","",INDEX(Anforderungen!$J:$J,$R35))</f>
        <v>Abrechnungskomponente / Beschilderung</v>
      </c>
      <c r="I35" s="45" t="str">
        <f aca="false">IF($R35="","",INDEX(Anforderungen!$K:$K,$R35))</f>
        <v>trifft nicht zu</v>
      </c>
      <c r="J35" s="46" t="n">
        <f aca="false">IF($R35="","",INDEX(Anforderungen!$L:$L,$R35))</f>
        <v>46259</v>
      </c>
      <c r="K35" s="45" t="str">
        <f aca="false">IF($R35="","",INDEX(Anforderungen!$M:$M,$R35))</f>
        <v>ggf. Thema für eRound ansonsten Beschilderung -&gt; Bau GU</v>
      </c>
      <c r="R35" s="0" t="n">
        <f aca="false">IFERROR(MATCH(ROWS($A$14:$A35),$T$7:$T$2000,0)+6,"")</f>
        <v>28</v>
      </c>
      <c r="T35" s="0" t="n">
        <f aca="false">IF(Anforderungen!$B35="","",IF(AND(OR($B5="(alle)",Anforderungen!$K35=$B5),OR($E5="(alle)",Anforderungen!$C35=$E5),OR($H5="(alle)",Anforderungen!$E35=$H5),OR($B7="(alle)",ISNUMBER(SEARCH($B7,Anforderungen!$J35))),OR($E7="(alle)",ISNUMBER(SEARCH($E7,Anforderungen!$I35))),OR($H7="",ISNUMBER(SEARCH($H7,Anforderungen!$F35&amp;" "&amp;Anforderungen!$G35)))),COUNT($T$6:$T34)+1,""))</f>
        <v>29</v>
      </c>
    </row>
    <row r="36" customFormat="false" ht="30" hidden="false" customHeight="true" outlineLevel="0" collapsed="false">
      <c r="A36" s="45" t="str">
        <f aca="false">IF($R36="","",INDEX(Anforderungen!$B:$B,$R36))</f>
        <v>ANF-023</v>
      </c>
      <c r="B36" s="45" t="str">
        <f aca="false">IF($R36="","",INDEX(Anforderungen!$C:$C,$R36))</f>
        <v>Betreibervertrag</v>
      </c>
      <c r="C36" s="45" t="str">
        <f aca="false">IF($R36="","",INDEX(Anforderungen!$D:$D,$R36))</f>
        <v>§ 42 (5)</v>
      </c>
      <c r="D36" s="45" t="str">
        <f aca="false">IF($R36="","",INDEX(Anforderungen!$E:$E,$R36))</f>
        <v>Betrieb &amp; Auslastung</v>
      </c>
      <c r="E36" s="45" t="str">
        <f aca="false">IF($R36="","",INDEX(Anforderungen!$F:$F,$R36))</f>
        <v>Updates verpflichtend.</v>
      </c>
      <c r="F36" s="45" t="str">
        <f aca="false">IF($R36="","",INDEX(Anforderungen!$G:$G,$R36))</f>
        <v>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v>
      </c>
      <c r="G36" s="45" t="str">
        <f aca="false">IF($R36="","",INDEX(Anforderungen!$I:$I,$R36))</f>
        <v>Alpitronic</v>
      </c>
      <c r="H36" s="45" t="str">
        <f aca="false">IF($R36="","",INDEX(Anforderungen!$J:$J,$R36))</f>
        <v>Ladeeinrichtung</v>
      </c>
      <c r="I36" s="45" t="str">
        <f aca="false">IF($R36="","",INDEX(Anforderungen!$K:$K,$R36))</f>
        <v>trifft nicht zu</v>
      </c>
      <c r="J36" s="46" t="n">
        <f aca="false">IF($R36="","",INDEX(Anforderungen!$L:$L,$R36))</f>
        <v>46260</v>
      </c>
      <c r="K36" s="45" t="str">
        <f aca="false">IF($R36="","",INDEX(Anforderungen!$M:$M,$R36))</f>
        <v>Betrifft LIS</v>
      </c>
      <c r="R36" s="0" t="n">
        <f aca="false">IFERROR(MATCH(ROWS($A$14:$A36),$T$7:$T$2000,0)+6,"")</f>
        <v>29</v>
      </c>
      <c r="T36" s="0" t="n">
        <f aca="false">IF(Anforderungen!$B36="","",IF(AND(OR($B5="(alle)",Anforderungen!$K36=$B5),OR($E5="(alle)",Anforderungen!$C36=$E5),OR($H5="(alle)",Anforderungen!$E36=$H5),OR($B7="(alle)",ISNUMBER(SEARCH($B7,Anforderungen!$J36))),OR($E7="(alle)",ISNUMBER(SEARCH($E7,Anforderungen!$I36))),OR($H7="",ISNUMBER(SEARCH($H7,Anforderungen!$F36&amp;" "&amp;Anforderungen!$G36)))),COUNT($T$6:$T35)+1,""))</f>
        <v>30</v>
      </c>
    </row>
    <row r="37" customFormat="false" ht="30" hidden="false" customHeight="true" outlineLevel="0" collapsed="false">
      <c r="A37" s="45" t="str">
        <f aca="false">IF($R37="","",INDEX(Anforderungen!$B:$B,$R37))</f>
        <v>ANF-024</v>
      </c>
      <c r="B37" s="45" t="str">
        <f aca="false">IF($R37="","",INDEX(Anforderungen!$C:$C,$R37))</f>
        <v>Betreibervertrag</v>
      </c>
      <c r="C37" s="45" t="str">
        <f aca="false">IF($R37="","",INDEX(Anforderungen!$D:$D,$R37))</f>
        <v>§ 22 (3)</v>
      </c>
      <c r="D37" s="45" t="str">
        <f aca="false">IF($R37="","",INDEX(Anforderungen!$E:$E,$R37))</f>
        <v>Betrieb &amp; Auslastung</v>
      </c>
      <c r="E37" s="45" t="str">
        <f aca="false">IF($R37="","",INDEX(Anforderungen!$F:$F,$R37))</f>
        <v>Bei nidriger Auslastung:
Zwischenladepunkte können zwischen 17 und 6 Uhr für Übernachtladen freigegeben werden.
Aber mind. 40% Zwischenladepunkte, aber mind. 2 MCS und 1 CCS.</v>
      </c>
      <c r="F37" s="45" t="str">
        <f aca="false">IF($R37="","",INDEX(Anforderungen!$G:$G,$R37))</f>
        <v>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v>
      </c>
      <c r="G37" s="45" t="str">
        <f aca="false">IF($R37="","",INDEX(Anforderungen!$I:$I,$R37))</f>
        <v>eRound / SCS</v>
      </c>
      <c r="H37" s="45" t="str">
        <f aca="false">IF($R37="","",INDEX(Anforderungen!$J:$J,$R37))</f>
        <v>OCPI Buchungskalender / Dynamische Anzeige</v>
      </c>
      <c r="I37" s="45" t="str">
        <f aca="false">IF($R37="","",INDEX(Anforderungen!$K:$K,$R37))</f>
        <v>erfüllt</v>
      </c>
      <c r="J37" s="46" t="n">
        <f aca="false">IF($R37="","",INDEX(Anforderungen!$L:$L,$R37))</f>
        <v>46259</v>
      </c>
      <c r="K37" s="45" t="str">
        <f aca="false">IF($R37="","",INDEX(Anforderungen!$M:$M,$R37))</f>
        <v>eRound regelt - SCS zeigt an</v>
      </c>
      <c r="R37" s="0" t="n">
        <f aca="false">IFERROR(MATCH(ROWS($A$14:$A37),$T$7:$T$2000,0)+6,"")</f>
        <v>30</v>
      </c>
      <c r="T37" s="0" t="n">
        <f aca="false">IF(Anforderungen!$B37="","",IF(AND(OR($B5="(alle)",Anforderungen!$K37=$B5),OR($E5="(alle)",Anforderungen!$C37=$E5),OR($H5="(alle)",Anforderungen!$E37=$H5),OR($B7="(alle)",ISNUMBER(SEARCH($B7,Anforderungen!$J37))),OR($E7="(alle)",ISNUMBER(SEARCH($E7,Anforderungen!$I37))),OR($H7="",ISNUMBER(SEARCH($H7,Anforderungen!$F37&amp;" "&amp;Anforderungen!$G37)))),COUNT($T$6:$T36)+1,""))</f>
        <v>31</v>
      </c>
    </row>
    <row r="38" customFormat="false" ht="30" hidden="false" customHeight="true" outlineLevel="0" collapsed="false">
      <c r="A38" s="45" t="str">
        <f aca="false">IF($R38="","",INDEX(Anforderungen!$B:$B,$R38))</f>
        <v>ANF-025</v>
      </c>
      <c r="B38" s="45" t="str">
        <f aca="false">IF($R38="","",INDEX(Anforderungen!$C:$C,$R38))</f>
        <v>Betreibervertrag</v>
      </c>
      <c r="C38" s="45" t="str">
        <f aca="false">IF($R38="","",INDEX(Anforderungen!$D:$D,$R38))</f>
        <v>§ 4 (52)</v>
      </c>
      <c r="D38" s="45" t="str">
        <f aca="false">IF($R38="","",INDEX(Anforderungen!$E:$E,$R38))</f>
        <v>Reservierung</v>
      </c>
      <c r="E38" s="45" t="str">
        <f aca="false">IF($R38="","",INDEX(Anforderungen!$F:$F,$R38))</f>
        <v>Mindestens AN plus ein weiterer.</v>
      </c>
      <c r="F38" s="45" t="str">
        <f aca="false">IF($R38="","",INDEX(Anforderungen!$G:$G,$R38))</f>
        <v>"Reservierungssystem“: Ein System zur Reservierung von Ladepunkten, das Mobilitätsdienstleistern ermöglicht, Ladepunkte bei dem Auftragnehmer und mindestens einem weiteren Ladepunktbetreiber zu reservieren.</v>
      </c>
      <c r="G38" s="45" t="str">
        <f aca="false">IF($R38="","",INDEX(Anforderungen!$I:$I,$R38))</f>
        <v>Autostrom+</v>
      </c>
      <c r="H38" s="45" t="str">
        <f aca="false">IF($R38="","",INDEX(Anforderungen!$J:$J,$R38))</f>
        <v>Anbindung</v>
      </c>
      <c r="I38" s="45" t="str">
        <f aca="false">IF($R38="","",INDEX(Anforderungen!$K:$K,$R38))</f>
        <v>bewertet</v>
      </c>
      <c r="J38" s="46" t="n">
        <f aca="false">IF($R38="","",INDEX(Anforderungen!$L:$L,$R38))</f>
        <v>0</v>
      </c>
      <c r="K38" s="45" t="n">
        <f aca="false">IF($R38="","",INDEX(Anforderungen!$M:$M,$R38))</f>
        <v>0</v>
      </c>
      <c r="R38" s="0" t="n">
        <f aca="false">IFERROR(MATCH(ROWS($A$14:$A38),$T$7:$T$2000,0)+6,"")</f>
        <v>31</v>
      </c>
      <c r="T38" s="0" t="n">
        <f aca="false">IF(Anforderungen!$B38="","",IF(AND(OR($B5="(alle)",Anforderungen!$K38=$B5),OR($E5="(alle)",Anforderungen!$C38=$E5),OR($H5="(alle)",Anforderungen!$E38=$H5),OR($B7="(alle)",ISNUMBER(SEARCH($B7,Anforderungen!$J38))),OR($E7="(alle)",ISNUMBER(SEARCH($E7,Anforderungen!$I38))),OR($H7="",ISNUMBER(SEARCH($H7,Anforderungen!$F38&amp;" "&amp;Anforderungen!$G38)))),COUNT($T$6:$T37)+1,""))</f>
        <v>32</v>
      </c>
    </row>
    <row r="39" customFormat="false" ht="30" hidden="false" customHeight="true" outlineLevel="0" collapsed="false">
      <c r="A39" s="45" t="str">
        <f aca="false">IF($R39="","",INDEX(Anforderungen!$B:$B,$R39))</f>
        <v>ANF-026</v>
      </c>
      <c r="B39" s="45" t="str">
        <f aca="false">IF($R39="","",INDEX(Anforderungen!$C:$C,$R39))</f>
        <v>Vertragsanlage 4</v>
      </c>
      <c r="C39" s="45" t="str">
        <f aca="false">IF($R39="","",INDEX(Anforderungen!$D:$D,$R39))</f>
        <v>§ 3.13.2</v>
      </c>
      <c r="D39" s="45" t="str">
        <f aca="false">IF($R39="","",INDEX(Anforderungen!$E:$E,$R39))</f>
        <v>Zufahrt &amp; Schranke</v>
      </c>
      <c r="E39" s="45" t="str">
        <f aca="false">IF($R39="","",INDEX(Anforderungen!$F:$F,$R39))</f>
        <v>Schrankenanlage auf Schrankeninsel</v>
      </c>
      <c r="F39" s="45" t="str">
        <f aca="false">IF($R39="","",INDEX(Anforderungen!$G:$G,$R39))</f>
        <v>Anforderungen an Lade-, Schrankeninseln und physische Zufahrtbeschränkungen</v>
      </c>
      <c r="G39" s="45" t="str">
        <f aca="false">IF($R39="","",INDEX(Anforderungen!$I:$I,$R39))</f>
        <v>Schrankenhersteller</v>
      </c>
      <c r="H39" s="45" t="str">
        <f aca="false">IF($R39="","",INDEX(Anforderungen!$J:$J,$R39))</f>
        <v>Schrankenanlage</v>
      </c>
      <c r="I39" s="45" t="str">
        <f aca="false">IF($R39="","",INDEX(Anforderungen!$K:$K,$R39))</f>
        <v>erfasst</v>
      </c>
      <c r="J39" s="46" t="n">
        <f aca="false">IF($R39="","",INDEX(Anforderungen!$L:$L,$R39))</f>
        <v>46259</v>
      </c>
      <c r="K39" s="45" t="str">
        <f aca="false">IF($R39="","",INDEX(Anforderungen!$M:$M,$R39))</f>
        <v>Schranke auf Schrankeninsel geplant</v>
      </c>
      <c r="R39" s="0" t="n">
        <f aca="false">IFERROR(MATCH(ROWS($A$14:$A39),$T$7:$T$2000,0)+6,"")</f>
        <v>32</v>
      </c>
      <c r="T39" s="0" t="n">
        <f aca="false">IF(Anforderungen!$B39="","",IF(AND(OR($B5="(alle)",Anforderungen!$K39=$B5),OR($E5="(alle)",Anforderungen!$C39=$E5),OR($H5="(alle)",Anforderungen!$E39=$H5),OR($B7="(alle)",ISNUMBER(SEARCH($B7,Anforderungen!$J39))),OR($E7="(alle)",ISNUMBER(SEARCH($E7,Anforderungen!$I39))),OR($H7="",ISNUMBER(SEARCH($H7,Anforderungen!$F39&amp;" "&amp;Anforderungen!$G39)))),COUNT($T$6:$T38)+1,""))</f>
        <v>33</v>
      </c>
    </row>
    <row r="40" customFormat="false" ht="30" hidden="false" customHeight="true" outlineLevel="0" collapsed="false">
      <c r="A40" s="45" t="str">
        <f aca="false">IF($R40="","",INDEX(Anforderungen!$B:$B,$R40))</f>
        <v>ANF-027</v>
      </c>
      <c r="B40" s="45" t="str">
        <f aca="false">IF($R40="","",INDEX(Anforderungen!$C:$C,$R40))</f>
        <v>Vertragsanlage 4</v>
      </c>
      <c r="C40" s="45" t="str">
        <f aca="false">IF($R40="","",INDEX(Anforderungen!$D:$D,$R40))</f>
        <v>§ 3.13.2 (1)</v>
      </c>
      <c r="D40" s="45" t="str">
        <f aca="false">IF($R40="","",INDEX(Anforderungen!$E:$E,$R40))</f>
        <v>Zufahrt &amp; Schranke</v>
      </c>
      <c r="E40" s="45" t="str">
        <f aca="false">IF($R40="","",INDEX(Anforderungen!$F:$F,$R40))</f>
        <v>Schranke an Einfahrt Ladepunkt und Ausfahrt Ladepunkt.
Bei Schrägparken Poller?</v>
      </c>
      <c r="F40" s="45" t="str">
        <f aca="false">IF($R40="","",INDEX(Anforderungen!$G:$G,$R40))</f>
        <v>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v>
      </c>
      <c r="G40" s="45" t="str">
        <f aca="false">IF($R40="","",INDEX(Anforderungen!$I:$I,$R40))</f>
        <v>Schrankenhersteller</v>
      </c>
      <c r="H40" s="45" t="str">
        <f aca="false">IF($R40="","",INDEX(Anforderungen!$J:$J,$R40))</f>
        <v>Schrankenanlage</v>
      </c>
      <c r="I40" s="45" t="str">
        <f aca="false">IF($R40="","",INDEX(Anforderungen!$K:$K,$R40))</f>
        <v>erfüllt</v>
      </c>
      <c r="J40" s="46" t="n">
        <f aca="false">IF($R40="","",INDEX(Anforderungen!$L:$L,$R40))</f>
        <v>46259</v>
      </c>
      <c r="K40" s="45" t="str">
        <f aca="false">IF($R40="","",INDEX(Anforderungen!$M:$M,$R40))</f>
        <v>Schranken auf beiden Seiten gepplant</v>
      </c>
      <c r="R40" s="0" t="n">
        <f aca="false">IFERROR(MATCH(ROWS($A$14:$A40),$T$7:$T$2000,0)+6,"")</f>
        <v>33</v>
      </c>
      <c r="T40" s="0" t="n">
        <f aca="false">IF(Anforderungen!$B40="","",IF(AND(OR($B5="(alle)",Anforderungen!$K40=$B5),OR($E5="(alle)",Anforderungen!$C40=$E5),OR($H5="(alle)",Anforderungen!$E40=$H5),OR($B7="(alle)",ISNUMBER(SEARCH($B7,Anforderungen!$J40))),OR($E7="(alle)",ISNUMBER(SEARCH($E7,Anforderungen!$I40))),OR($H7="",ISNUMBER(SEARCH($H7,Anforderungen!$F40&amp;" "&amp;Anforderungen!$G40)))),COUNT($T$6:$T39)+1,""))</f>
        <v>34</v>
      </c>
    </row>
    <row r="41" customFormat="false" ht="30" hidden="false" customHeight="true" outlineLevel="0" collapsed="false">
      <c r="A41" s="45" t="str">
        <f aca="false">IF($R41="","",INDEX(Anforderungen!$B:$B,$R41))</f>
        <v>ANF-028</v>
      </c>
      <c r="B41" s="45" t="str">
        <f aca="false">IF($R41="","",INDEX(Anforderungen!$C:$C,$R41))</f>
        <v>Vertragsanlage 4</v>
      </c>
      <c r="C41" s="45" t="str">
        <f aca="false">IF($R41="","",INDEX(Anforderungen!$D:$D,$R41))</f>
        <v>§ 3.13.4</v>
      </c>
      <c r="D41" s="45" t="str">
        <f aca="false">IF($R41="","",INDEX(Anforderungen!$E:$E,$R41))</f>
        <v>Anzeige &amp; Beschilderung</v>
      </c>
      <c r="E41" s="45" t="str">
        <f aca="false">IF($R41="","",INDEX(Anforderungen!$F:$F,$R41))</f>
        <v>Darstellung statischer und dynamischer Infos.</v>
      </c>
      <c r="F41" s="45" t="str">
        <f aca="false">IF($R41="","",INDEX(Anforderungen!$G:$G,$R41))</f>
        <v>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v>
      </c>
      <c r="G41" s="45" t="str">
        <f aca="false">IF($R41="","",INDEX(Anforderungen!$I:$I,$R41))</f>
        <v>eRound / SCS</v>
      </c>
      <c r="H41" s="45" t="str">
        <f aca="false">IF($R41="","",INDEX(Anforderungen!$J:$J,$R41))</f>
        <v>Dynamische Anzeige</v>
      </c>
      <c r="I41" s="45" t="str">
        <f aca="false">IF($R41="","",INDEX(Anforderungen!$K:$K,$R41))</f>
        <v>erfüllt</v>
      </c>
      <c r="J41" s="46" t="n">
        <f aca="false">IF($R41="","",INDEX(Anforderungen!$L:$L,$R41))</f>
        <v>46259</v>
      </c>
      <c r="K41" s="45" t="str">
        <f aca="false">IF($R41="","",INDEX(Anforderungen!$M:$M,$R41))</f>
        <v>LIS zeigt Zustand an, Rest auf Anzeige</v>
      </c>
      <c r="R41" s="0" t="n">
        <f aca="false">IFERROR(MATCH(ROWS($A$14:$A41),$T$7:$T$2000,0)+6,"")</f>
        <v>34</v>
      </c>
      <c r="T41" s="0" t="n">
        <f aca="false">IF(Anforderungen!$B41="","",IF(AND(OR($B5="(alle)",Anforderungen!$K41=$B5),OR($E5="(alle)",Anforderungen!$C41=$E5),OR($H5="(alle)",Anforderungen!$E41=$H5),OR($B7="(alle)",ISNUMBER(SEARCH($B7,Anforderungen!$J41))),OR($E7="(alle)",ISNUMBER(SEARCH($E7,Anforderungen!$I41))),OR($H7="",ISNUMBER(SEARCH($H7,Anforderungen!$F41&amp;" "&amp;Anforderungen!$G41)))),COUNT($T$6:$T40)+1,""))</f>
        <v>35</v>
      </c>
    </row>
    <row r="42" customFormat="false" ht="30" hidden="false" customHeight="true" outlineLevel="0" collapsed="false">
      <c r="A42" s="45" t="str">
        <f aca="false">IF($R42="","",INDEX(Anforderungen!$B:$B,$R42))</f>
        <v>ANF-029</v>
      </c>
      <c r="B42" s="45" t="str">
        <f aca="false">IF($R42="","",INDEX(Anforderungen!$C:$C,$R42))</f>
        <v>Vertragsanlage 4</v>
      </c>
      <c r="C42" s="45" t="str">
        <f aca="false">IF($R42="","",INDEX(Anforderungen!$D:$D,$R42))</f>
        <v>§ 3.13.5</v>
      </c>
      <c r="D42" s="45" t="str">
        <f aca="false">IF($R42="","",INDEX(Anforderungen!$E:$E,$R42))</f>
        <v>Zufahrt &amp; Schranke</v>
      </c>
      <c r="E42" s="45" t="n">
        <f aca="false">IF($R42="","",INDEX(Anforderungen!$F:$F,$R42))</f>
        <v>0</v>
      </c>
      <c r="F42" s="45" t="str">
        <f aca="false">IF($R42="","",INDEX(Anforderungen!$G:$G,$R42))</f>
        <v>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v>
      </c>
      <c r="G42" s="45" t="str">
        <f aca="false">IF($R42="","",INDEX(Anforderungen!$I:$I,$R42))</f>
        <v>Schrankenhersteller / SCS / eRound</v>
      </c>
      <c r="H42" s="45" t="str">
        <f aca="false">IF($R42="","",INDEX(Anforderungen!$J:$J,$R42))</f>
        <v>Schrankenanlage</v>
      </c>
      <c r="I42" s="45" t="str">
        <f aca="false">IF($R42="","",INDEX(Anforderungen!$K:$K,$R42))</f>
        <v>erfüllt</v>
      </c>
      <c r="J42" s="46" t="n">
        <f aca="false">IF($R42="","",INDEX(Anforderungen!$L:$L,$R42))</f>
        <v>46260</v>
      </c>
      <c r="K42" s="45" t="str">
        <f aca="false">IF($R42="","",INDEX(Anforderungen!$M:$M,$R42))</f>
        <v>Sicherheitseinrichtung geplant
LED in Schrankenbaum geplant
Integration des Schrankenstatus in eRound</v>
      </c>
      <c r="R42" s="0" t="n">
        <f aca="false">IFERROR(MATCH(ROWS($A$14:$A42),$T$7:$T$2000,0)+6,"")</f>
        <v>35</v>
      </c>
      <c r="T42" s="0" t="n">
        <f aca="false">IF(Anforderungen!$B42="","",IF(AND(OR($B5="(alle)",Anforderungen!$K42=$B5),OR($E5="(alle)",Anforderungen!$C42=$E5),OR($H5="(alle)",Anforderungen!$E42=$H5),OR($B7="(alle)",ISNUMBER(SEARCH($B7,Anforderungen!$J42))),OR($E7="(alle)",ISNUMBER(SEARCH($E7,Anforderungen!$I42))),OR($H7="",ISNUMBER(SEARCH($H7,Anforderungen!$F42&amp;" "&amp;Anforderungen!$G42)))),COUNT($T$6:$T41)+1,""))</f>
        <v>36</v>
      </c>
    </row>
    <row r="43" customFormat="false" ht="30" hidden="false" customHeight="true" outlineLevel="0" collapsed="false">
      <c r="A43" s="45" t="str">
        <f aca="false">IF($R43="","",INDEX(Anforderungen!$B:$B,$R43))</f>
        <v>ANF-030</v>
      </c>
      <c r="B43" s="45" t="str">
        <f aca="false">IF($R43="","",INDEX(Anforderungen!$C:$C,$R43))</f>
        <v>Vertragsanlage 4</v>
      </c>
      <c r="C43" s="45" t="str">
        <f aca="false">IF($R43="","",INDEX(Anforderungen!$D:$D,$R43))</f>
        <v>§ 3.13.2.2</v>
      </c>
      <c r="D43" s="45" t="str">
        <f aca="false">IF($R43="","",INDEX(Anforderungen!$E:$E,$R43))</f>
        <v>Zufahrt &amp; Schranke</v>
      </c>
      <c r="E43" s="45" t="n">
        <f aca="false">IF($R43="","",INDEX(Anforderungen!$F:$F,$R43))</f>
        <v>0</v>
      </c>
      <c r="F43" s="45" t="str">
        <f aca="false">IF($R43="","",INDEX(Anforderungen!$G:$G,$R43))</f>
        <v>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v>
      </c>
      <c r="G43" s="45" t="str">
        <f aca="false">IF($R43="","",INDEX(Anforderungen!$I:$I,$R43))</f>
        <v>Autostrom+</v>
      </c>
      <c r="H43" s="45" t="str">
        <f aca="false">IF($R43="","",INDEX(Anforderungen!$J:$J,$R43))</f>
        <v>–</v>
      </c>
      <c r="I43" s="45" t="str">
        <f aca="false">IF($R43="","",INDEX(Anforderungen!$K:$K,$R43))</f>
        <v>trifft nicht zu</v>
      </c>
      <c r="J43" s="46" t="n">
        <f aca="false">IF($R43="","",INDEX(Anforderungen!$L:$L,$R43))</f>
        <v>45894</v>
      </c>
      <c r="K43" s="45" t="str">
        <f aca="false">IF($R43="","",INDEX(Anforderungen!$M:$M,$R43))</f>
        <v>Los 2 hat keine Poller - betrifft nur längsparkplätze</v>
      </c>
      <c r="R43" s="0" t="n">
        <f aca="false">IFERROR(MATCH(ROWS($A$14:$A43),$T$7:$T$2000,0)+6,"")</f>
        <v>36</v>
      </c>
      <c r="T43" s="0" t="n">
        <f aca="false">IF(Anforderungen!$B43="","",IF(AND(OR($B5="(alle)",Anforderungen!$K43=$B5),OR($E5="(alle)",Anforderungen!$C43=$E5),OR($H5="(alle)",Anforderungen!$E43=$H5),OR($B7="(alle)",ISNUMBER(SEARCH($B7,Anforderungen!$J43))),OR($E7="(alle)",ISNUMBER(SEARCH($E7,Anforderungen!$I43))),OR($H7="",ISNUMBER(SEARCH($H7,Anforderungen!$F43&amp;" "&amp;Anforderungen!$G43)))),COUNT($T$6:$T42)+1,""))</f>
        <v>37</v>
      </c>
    </row>
    <row r="44" customFormat="false" ht="30" hidden="false" customHeight="true" outlineLevel="0" collapsed="false">
      <c r="A44" s="45" t="str">
        <f aca="false">IF($R44="","",INDEX(Anforderungen!$B:$B,$R44))</f>
        <v>ANF-031</v>
      </c>
      <c r="B44" s="45" t="str">
        <f aca="false">IF($R44="","",INDEX(Anforderungen!$C:$C,$R44))</f>
        <v>Vertragsanlage 4</v>
      </c>
      <c r="C44" s="45" t="str">
        <f aca="false">IF($R44="","",INDEX(Anforderungen!$D:$D,$R44))</f>
        <v>§ 3.6</v>
      </c>
      <c r="D44" s="45" t="str">
        <f aca="false">IF($R44="","",INDEX(Anforderungen!$E:$E,$R44))</f>
        <v>Bau &amp; Dokumentation</v>
      </c>
      <c r="E44" s="45" t="n">
        <f aca="false">IF($R44="","",INDEX(Anforderungen!$F:$F,$R44))</f>
        <v>0</v>
      </c>
      <c r="F44" s="45" t="str">
        <f aca="false">IF($R44="","",INDEX(Anforderungen!$G:$G,$R44))</f>
        <v>Antrag auf Baufreigabe und Ausführungs-, Werk- und Montageplanung</v>
      </c>
      <c r="G44" s="45" t="str">
        <f aca="false">IF($R44="","",INDEX(Anforderungen!$I:$I,$R44))</f>
        <v>Autostrom+</v>
      </c>
      <c r="H44" s="45" t="str">
        <f aca="false">IF($R44="","",INDEX(Anforderungen!$J:$J,$R44))</f>
        <v>–</v>
      </c>
      <c r="I44" s="45" t="str">
        <f aca="false">IF($R44="","",INDEX(Anforderungen!$K:$K,$R44))</f>
        <v>bewertet</v>
      </c>
      <c r="J44" s="46" t="n">
        <f aca="false">IF($R44="","",INDEX(Anforderungen!$L:$L,$R44))</f>
        <v>0</v>
      </c>
      <c r="K44" s="45" t="n">
        <f aca="false">IF($R44="","",INDEX(Anforderungen!$M:$M,$R44))</f>
        <v>0</v>
      </c>
      <c r="R44" s="0" t="n">
        <f aca="false">IFERROR(MATCH(ROWS($A$14:$A44),$T$7:$T$2000,0)+6,"")</f>
        <v>37</v>
      </c>
      <c r="T44" s="0" t="n">
        <f aca="false">IF(Anforderungen!$B44="","",IF(AND(OR($B5="(alle)",Anforderungen!$K44=$B5),OR($E5="(alle)",Anforderungen!$C44=$E5),OR($H5="(alle)",Anforderungen!$E44=$H5),OR($B7="(alle)",ISNUMBER(SEARCH($B7,Anforderungen!$J44))),OR($E7="(alle)",ISNUMBER(SEARCH($E7,Anforderungen!$I44))),OR($H7="",ISNUMBER(SEARCH($H7,Anforderungen!$F44&amp;" "&amp;Anforderungen!$G44)))),COUNT($T$6:$T43)+1,""))</f>
        <v>38</v>
      </c>
    </row>
    <row r="45" customFormat="false" ht="30" hidden="false" customHeight="true" outlineLevel="0" collapsed="false">
      <c r="A45" s="45" t="str">
        <f aca="false">IF($R45="","",INDEX(Anforderungen!$B:$B,$R45))</f>
        <v>ANF-032</v>
      </c>
      <c r="B45" s="45" t="str">
        <f aca="false">IF($R45="","",INDEX(Anforderungen!$C:$C,$R45))</f>
        <v>Vertragsanlage 4</v>
      </c>
      <c r="C45" s="45" t="str">
        <f aca="false">IF($R45="","",INDEX(Anforderungen!$D:$D,$R45))</f>
        <v>§ 3.7</v>
      </c>
      <c r="D45" s="45" t="str">
        <f aca="false">IF($R45="","",INDEX(Anforderungen!$E:$E,$R45))</f>
        <v>Bau &amp; Dokumentation</v>
      </c>
      <c r="E45" s="45" t="n">
        <f aca="false">IF($R45="","",INDEX(Anforderungen!$F:$F,$R45))</f>
        <v>0</v>
      </c>
      <c r="F45" s="45" t="str">
        <f aca="false">IF($R45="","",INDEX(Anforderungen!$G:$G,$R45))</f>
        <v>Bestandsunterlagen (As-Built)</v>
      </c>
      <c r="G45" s="45" t="str">
        <f aca="false">IF($R45="","",INDEX(Anforderungen!$I:$I,$R45))</f>
        <v>Autostrom+</v>
      </c>
      <c r="H45" s="45" t="str">
        <f aca="false">IF($R45="","",INDEX(Anforderungen!$J:$J,$R45))</f>
        <v>–</v>
      </c>
      <c r="I45" s="45" t="str">
        <f aca="false">IF($R45="","",INDEX(Anforderungen!$K:$K,$R45))</f>
        <v>bewertet</v>
      </c>
      <c r="J45" s="46" t="n">
        <f aca="false">IF($R45="","",INDEX(Anforderungen!$L:$L,$R45))</f>
        <v>0</v>
      </c>
      <c r="K45" s="45" t="n">
        <f aca="false">IF($R45="","",INDEX(Anforderungen!$M:$M,$R45))</f>
        <v>0</v>
      </c>
      <c r="R45" s="0" t="n">
        <f aca="false">IFERROR(MATCH(ROWS($A$14:$A45),$T$7:$T$2000,0)+6,"")</f>
        <v>38</v>
      </c>
      <c r="T45" s="0" t="n">
        <f aca="false">IF(Anforderungen!$B45="","",IF(AND(OR($B5="(alle)",Anforderungen!$K45=$B5),OR($E5="(alle)",Anforderungen!$C45=$E5),OR($H5="(alle)",Anforderungen!$E45=$H5),OR($B7="(alle)",ISNUMBER(SEARCH($B7,Anforderungen!$J45))),OR($E7="(alle)",ISNUMBER(SEARCH($E7,Anforderungen!$I45))),OR($H7="",ISNUMBER(SEARCH($H7,Anforderungen!$F45&amp;" "&amp;Anforderungen!$G45)))),COUNT($T$6:$T44)+1,""))</f>
        <v>39</v>
      </c>
    </row>
    <row r="46" customFormat="false" ht="30" hidden="false" customHeight="true" outlineLevel="0" collapsed="false">
      <c r="A46" s="45" t="str">
        <f aca="false">IF($R46="","",INDEX(Anforderungen!$B:$B,$R46))</f>
        <v>ANF-033</v>
      </c>
      <c r="B46" s="45" t="str">
        <f aca="false">IF($R46="","",INDEX(Anforderungen!$C:$C,$R46))</f>
        <v>Vertragsanlage 6</v>
      </c>
      <c r="C46" s="45" t="str">
        <f aca="false">IF($R46="","",INDEX(Anforderungen!$D:$D,$R46))</f>
        <v>§ 8</v>
      </c>
      <c r="D46" s="45" t="str">
        <f aca="false">IF($R46="","",INDEX(Anforderungen!$E:$E,$R46))</f>
        <v>Authentifizierung &amp; Zugang</v>
      </c>
      <c r="E46" s="45" t="str">
        <f aca="false">IF($R46="","",INDEX(Anforderungen!$F:$F,$R46))</f>
        <v>Öffnung innerhalb von 45 Sekunden.</v>
      </c>
      <c r="F46" s="45" t="str">
        <f aca="false">IF($R46="","",INDEX(Anforderungen!$G:$G,$R46))</f>
        <v>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v>
      </c>
      <c r="G46" s="45" t="str">
        <f aca="false">IF($R46="","",INDEX(Anforderungen!$I:$I,$R46))</f>
        <v>eRound / SCS</v>
      </c>
      <c r="H46" s="45" t="str">
        <f aca="false">IF($R46="","",INDEX(Anforderungen!$J:$J,$R46))</f>
        <v>Authentifizierungskomponente / Schrankensteuerung</v>
      </c>
      <c r="I46" s="45" t="str">
        <f aca="false">IF($R46="","",INDEX(Anforderungen!$K:$K,$R46))</f>
        <v>erfasst</v>
      </c>
      <c r="J46" s="46" t="n">
        <f aca="false">IF($R46="","",INDEX(Anforderungen!$L:$L,$R46))</f>
        <v>0</v>
      </c>
      <c r="K46" s="45" t="n">
        <f aca="false">IF($R46="","",INDEX(Anforderungen!$M:$M,$R46))</f>
        <v>0</v>
      </c>
      <c r="R46" s="0" t="n">
        <f aca="false">IFERROR(MATCH(ROWS($A$14:$A46),$T$7:$T$2000,0)+6,"")</f>
        <v>39</v>
      </c>
      <c r="T46" s="0" t="n">
        <f aca="false">IF(Anforderungen!$B46="","",IF(AND(OR($B5="(alle)",Anforderungen!$K46=$B5),OR($E5="(alle)",Anforderungen!$C46=$E5),OR($H5="(alle)",Anforderungen!$E46=$H5),OR($B7="(alle)",ISNUMBER(SEARCH($B7,Anforderungen!$J46))),OR($E7="(alle)",ISNUMBER(SEARCH($E7,Anforderungen!$I46))),OR($H7="",ISNUMBER(SEARCH($H7,Anforderungen!$F46&amp;" "&amp;Anforderungen!$G46)))),COUNT($T$6:$T45)+1,""))</f>
        <v>40</v>
      </c>
    </row>
    <row r="47" customFormat="false" ht="30" hidden="false" customHeight="true" outlineLevel="0" collapsed="false">
      <c r="A47" s="45" t="str">
        <f aca="false">IF($R47="","",INDEX(Anforderungen!$B:$B,$R47))</f>
        <v>ANF-034</v>
      </c>
      <c r="B47" s="45" t="str">
        <f aca="false">IF($R47="","",INDEX(Anforderungen!$C:$C,$R47))</f>
        <v>Vertragsanlage 6</v>
      </c>
      <c r="C47" s="45" t="str">
        <f aca="false">IF($R47="","",INDEX(Anforderungen!$D:$D,$R47))</f>
        <v>§ 9 (1)</v>
      </c>
      <c r="D47" s="45" t="str">
        <f aca="false">IF($R47="","",INDEX(Anforderungen!$E:$E,$R47))</f>
        <v>Belegungsdetektion</v>
      </c>
      <c r="E47" s="45" t="str">
        <f aca="false">IF($R47="","",INDEX(Anforderungen!$F:$F,$R47))</f>
        <v>Belegungsdetektion ist gefordert.</v>
      </c>
      <c r="F47" s="45" t="str">
        <f aca="false">IF($R47="","",INDEX(Anforderungen!$G:$G,$R47))</f>
        <v>Jeder MCS- / CCS-Ladepunkt muss über eine Detektion verfügen. Die MCS- / CCSLadeplatzdetektion ist so auszustatten, dass Objekte auf dem zum MCS- / CCSLadepunkt gehörigen MCS- / CCS-Ladeplatz detektiert werden können.</v>
      </c>
      <c r="G47" s="45" t="str">
        <f aca="false">IF($R47="","",INDEX(Anforderungen!$I:$I,$R47))</f>
        <v>Schrankenhersteller / SCS</v>
      </c>
      <c r="H47" s="45" t="str">
        <f aca="false">IF($R47="","",INDEX(Anforderungen!$J:$J,$R47))</f>
        <v>Belegungsdetektion</v>
      </c>
      <c r="I47" s="45" t="str">
        <f aca="false">IF($R47="","",INDEX(Anforderungen!$K:$K,$R47))</f>
        <v>erfüllt</v>
      </c>
      <c r="J47" s="46" t="n">
        <f aca="false">IF($R47="","",INDEX(Anforderungen!$L:$L,$R47))</f>
        <v>46259</v>
      </c>
      <c r="K47" s="45" t="str">
        <f aca="false">IF($R47="","",INDEX(Anforderungen!$M:$M,$R47))</f>
        <v>Radarsensor stellt Belegung der Ladesäule bereit</v>
      </c>
      <c r="R47" s="0" t="n">
        <f aca="false">IFERROR(MATCH(ROWS($A$14:$A47),$T$7:$T$2000,0)+6,"")</f>
        <v>40</v>
      </c>
      <c r="T47" s="0" t="n">
        <f aca="false">IF(Anforderungen!$B47="","",IF(AND(OR($B5="(alle)",Anforderungen!$K47=$B5),OR($E5="(alle)",Anforderungen!$C47=$E5),OR($H5="(alle)",Anforderungen!$E47=$H5),OR($B7="(alle)",ISNUMBER(SEARCH($B7,Anforderungen!$J47))),OR($E7="(alle)",ISNUMBER(SEARCH($E7,Anforderungen!$I47))),OR($H7="",ISNUMBER(SEARCH($H7,Anforderungen!$F47&amp;" "&amp;Anforderungen!$G47)))),COUNT($T$6:$T46)+1,""))</f>
        <v>41</v>
      </c>
    </row>
    <row r="48" customFormat="false" ht="30" hidden="false" customHeight="true" outlineLevel="0" collapsed="false">
      <c r="A48" s="45" t="str">
        <f aca="false">IF($R48="","",INDEX(Anforderungen!$B:$B,$R48))</f>
        <v>ANF-035</v>
      </c>
      <c r="B48" s="45" t="str">
        <f aca="false">IF($R48="","",INDEX(Anforderungen!$C:$C,$R48))</f>
        <v>Vertragsanlage 6</v>
      </c>
      <c r="C48" s="45" t="str">
        <f aca="false">IF($R48="","",INDEX(Anforderungen!$D:$D,$R48))</f>
        <v>§ 9 (2)</v>
      </c>
      <c r="D48" s="45" t="str">
        <f aca="false">IF($R48="","",INDEX(Anforderungen!$E:$E,$R48))</f>
        <v>Belegungsdetektion</v>
      </c>
      <c r="E48" s="45" t="str">
        <f aca="false">IF($R48="","",INDEX(Anforderungen!$F:$F,$R48))</f>
        <v>Roaming-Infos müssen veröffentlicht werden
Pönalisierung gefordert.
Entfernung Falschparker gefordert.</v>
      </c>
      <c r="F48" s="45" t="str">
        <f aca="false">IF($R48="","",INDEX(Anforderungen!$G:$G,$R48))</f>
        <v>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v>
      </c>
      <c r="G48" s="45" t="str">
        <f aca="false">IF($R48="","",INDEX(Anforderungen!$I:$I,$R48))</f>
        <v>eRound / SCS</v>
      </c>
      <c r="H48" s="45" t="str">
        <f aca="false">IF($R48="","",INDEX(Anforderungen!$J:$J,$R48))</f>
        <v>OCPI Buchungskalender / Kennzeichenerfassung / Pönalisierungssystem</v>
      </c>
      <c r="I48" s="45" t="str">
        <f aca="false">IF($R48="","",INDEX(Anforderungen!$K:$K,$R48))</f>
        <v>erfasst</v>
      </c>
      <c r="J48" s="46" t="n">
        <f aca="false">IF($R48="","",INDEX(Anforderungen!$L:$L,$R48))</f>
        <v>0</v>
      </c>
      <c r="K48" s="45" t="n">
        <f aca="false">IF($R48="","",INDEX(Anforderungen!$M:$M,$R48))</f>
        <v>0</v>
      </c>
      <c r="R48" s="0" t="n">
        <f aca="false">IFERROR(MATCH(ROWS($A$14:$A48),$T$7:$T$2000,0)+6,"")</f>
        <v>41</v>
      </c>
      <c r="T48" s="0" t="n">
        <f aca="false">IF(Anforderungen!$B48="","",IF(AND(OR($B5="(alle)",Anforderungen!$K48=$B5),OR($E5="(alle)",Anforderungen!$C48=$E5),OR($H5="(alle)",Anforderungen!$E48=$H5),OR($B7="(alle)",ISNUMBER(SEARCH($B7,Anforderungen!$J48))),OR($E7="(alle)",ISNUMBER(SEARCH($E7,Anforderungen!$I48))),OR($H7="",ISNUMBER(SEARCH($H7,Anforderungen!$F48&amp;" "&amp;Anforderungen!$G48)))),COUNT($T$6:$T47)+1,""))</f>
        <v>42</v>
      </c>
    </row>
    <row r="49" customFormat="false" ht="30" hidden="false" customHeight="true" outlineLevel="0" collapsed="false">
      <c r="A49" s="45" t="str">
        <f aca="false">IF($R49="","",INDEX(Anforderungen!$B:$B,$R49))</f>
        <v>ANF-036</v>
      </c>
      <c r="B49" s="45" t="str">
        <f aca="false">IF($R49="","",INDEX(Anforderungen!$C:$C,$R49))</f>
        <v>Vertragsanlage 6</v>
      </c>
      <c r="C49" s="45" t="str">
        <f aca="false">IF($R49="","",INDEX(Anforderungen!$D:$D,$R49))</f>
        <v>§ 10 (1)</v>
      </c>
      <c r="D49" s="45" t="str">
        <f aca="false">IF($R49="","",INDEX(Anforderungen!$E:$E,$R49))</f>
        <v>Zufahrt &amp; Schranke</v>
      </c>
      <c r="E49" s="45" t="str">
        <f aca="false">IF($R49="","",INDEX(Anforderungen!$F:$F,$R49))</f>
        <v>Einfahrtsschranke
Ausfahrtsschranke
Bei Nichtbelegung beide Schranken geschlossen.</v>
      </c>
      <c r="F49" s="45" t="str">
        <f aca="false">IF($R49="","",INDEX(Anforderungen!$G:$G,$R49))</f>
        <v>Jeder Ladeplatz ist mit einer Einfahrts- und einer Ausfahrtsschranke auszustatten. Die Schranken sind wie folgt zu betreiben:
1) Grundstellung: Beide Schranken sind bei Nichtbelegung des Ladeplatzes geschlossen.</v>
      </c>
      <c r="G49" s="45" t="str">
        <f aca="false">IF($R49="","",INDEX(Anforderungen!$I:$I,$R49))</f>
        <v>Schrankenhersteller</v>
      </c>
      <c r="H49" s="45" t="str">
        <f aca="false">IF($R49="","",INDEX(Anforderungen!$J:$J,$R49))</f>
        <v>Schrankensteuerung</v>
      </c>
      <c r="I49" s="45" t="str">
        <f aca="false">IF($R49="","",INDEX(Anforderungen!$K:$K,$R49))</f>
        <v>erfüllt</v>
      </c>
      <c r="J49" s="46" t="n">
        <f aca="false">IF($R49="","",INDEX(Anforderungen!$L:$L,$R49))</f>
        <v>46259</v>
      </c>
      <c r="K49" s="45" t="str">
        <f aca="false">IF($R49="","",INDEX(Anforderungen!$M:$M,$R49))</f>
        <v>Schranke wird konfiguriert, sodass diese zu ist</v>
      </c>
      <c r="R49" s="0" t="n">
        <f aca="false">IFERROR(MATCH(ROWS($A$14:$A49),$T$7:$T$2000,0)+6,"")</f>
        <v>42</v>
      </c>
      <c r="T49" s="0" t="n">
        <f aca="false">IF(Anforderungen!$B49="","",IF(AND(OR($B5="(alle)",Anforderungen!$K49=$B5),OR($E5="(alle)",Anforderungen!$C49=$E5),OR($H5="(alle)",Anforderungen!$E49=$H5),OR($B7="(alle)",ISNUMBER(SEARCH($B7,Anforderungen!$J49))),OR($E7="(alle)",ISNUMBER(SEARCH($E7,Anforderungen!$I49))),OR($H7="",ISNUMBER(SEARCH($H7,Anforderungen!$F49&amp;" "&amp;Anforderungen!$G49)))),COUNT($T$6:$T48)+1,""))</f>
        <v>43</v>
      </c>
    </row>
    <row r="50" customFormat="false" ht="30" hidden="false" customHeight="true" outlineLevel="0" collapsed="false">
      <c r="A50" s="45" t="str">
        <f aca="false">IF($R50="","",INDEX(Anforderungen!$B:$B,$R50))</f>
        <v>ANF-037</v>
      </c>
      <c r="B50" s="45" t="str">
        <f aca="false">IF($R50="","",INDEX(Anforderungen!$C:$C,$R50))</f>
        <v>Vertragsanlage 6</v>
      </c>
      <c r="C50" s="45" t="str">
        <f aca="false">IF($R50="","",INDEX(Anforderungen!$D:$D,$R50))</f>
        <v>§ 10 (2)</v>
      </c>
      <c r="D50" s="45" t="str">
        <f aca="false">IF($R50="","",INDEX(Anforderungen!$E:$E,$R50))</f>
        <v>Zufahrt &amp; Schranke</v>
      </c>
      <c r="E50" s="45" t="str">
        <f aca="false">IF($R50="","",INDEX(Anforderungen!$F:$F,$R50))</f>
        <v>Einfahrtsschranke öffnet nach Authentifizierung.</v>
      </c>
      <c r="F50" s="45" t="str">
        <f aca="false">IF($R50="","",INDEX(Anforderungen!$G:$G,$R50))</f>
        <v>2) Einfahrt: Die Einfahrtschranke öffnet sich nach erfolgreicher Authentifizierung und gewährt Zugang zum Ladeplatz. Sie bleibt während des gesamten Ladevorgangs geöffnet.</v>
      </c>
      <c r="G50" s="45" t="str">
        <f aca="false">IF($R50="","",INDEX(Anforderungen!$I:$I,$R50))</f>
        <v>eRound / SCS</v>
      </c>
      <c r="H50" s="45" t="str">
        <f aca="false">IF($R50="","",INDEX(Anforderungen!$J:$J,$R50))</f>
        <v>Authentifizierungskomponente / Schrankensteuerung</v>
      </c>
      <c r="I50" s="45" t="str">
        <f aca="false">IF($R50="","",INDEX(Anforderungen!$K:$K,$R50))</f>
        <v>erfüllt</v>
      </c>
      <c r="J50" s="46" t="n">
        <f aca="false">IF($R50="","",INDEX(Anforderungen!$L:$L,$R50))</f>
        <v>46259</v>
      </c>
      <c r="K50" s="45" t="str">
        <f aca="false">IF($R50="","",INDEX(Anforderungen!$M:$M,$R50))</f>
        <v>Radarsensor erkennt Einfahrt bleibt geöffnet bis die Zone wieder frei ist.</v>
      </c>
      <c r="R50" s="0" t="n">
        <f aca="false">IFERROR(MATCH(ROWS($A$14:$A50),$T$7:$T$2000,0)+6,"")</f>
        <v>43</v>
      </c>
      <c r="T50" s="0" t="n">
        <f aca="false">IF(Anforderungen!$B50="","",IF(AND(OR($B5="(alle)",Anforderungen!$K50=$B5),OR($E5="(alle)",Anforderungen!$C50=$E5),OR($H5="(alle)",Anforderungen!$E50=$H5),OR($B7="(alle)",ISNUMBER(SEARCH($B7,Anforderungen!$J50))),OR($E7="(alle)",ISNUMBER(SEARCH($E7,Anforderungen!$I50))),OR($H7="",ISNUMBER(SEARCH($H7,Anforderungen!$F50&amp;" "&amp;Anforderungen!$G50)))),COUNT($T$6:$T49)+1,""))</f>
        <v>44</v>
      </c>
    </row>
    <row r="51" customFormat="false" ht="30" hidden="false" customHeight="true" outlineLevel="0" collapsed="false">
      <c r="A51" s="45" t="str">
        <f aca="false">IF($R51="","",INDEX(Anforderungen!$B:$B,$R51))</f>
        <v>ANF-038</v>
      </c>
      <c r="B51" s="45" t="str">
        <f aca="false">IF($R51="","",INDEX(Anforderungen!$C:$C,$R51))</f>
        <v>Vertragsanlage 6</v>
      </c>
      <c r="C51" s="45" t="str">
        <f aca="false">IF($R51="","",INDEX(Anforderungen!$D:$D,$R51))</f>
        <v>§ 10 (3)</v>
      </c>
      <c r="D51" s="45" t="str">
        <f aca="false">IF($R51="","",INDEX(Anforderungen!$E:$E,$R51))</f>
        <v>Zufahrt &amp; Schranke</v>
      </c>
      <c r="E51" s="45" t="str">
        <f aca="false">IF($R51="","",INDEX(Anforderungen!$F:$F,$R51))</f>
        <v>Ausfahrtsschranke öffnet bei Ankunft LKW.</v>
      </c>
      <c r="F51" s="45" t="str">
        <f aca="false">IF($R51="","",INDEX(Anforderungen!$G:$G,$R51))</f>
        <v>3) Ausfahrtsschaltung: Sobald der Lkw seine Parkposition auf dem Ladeplatz erreicht hat, öffnet sich die Ausfahrtsschranke.</v>
      </c>
      <c r="G51" s="45" t="str">
        <f aca="false">IF($R51="","",INDEX(Anforderungen!$I:$I,$R51))</f>
        <v>Schrankenhersteller / SCS</v>
      </c>
      <c r="H51" s="45" t="str">
        <f aca="false">IF($R51="","",INDEX(Anforderungen!$J:$J,$R51))</f>
        <v>Schrankensteuerung</v>
      </c>
      <c r="I51" s="45" t="str">
        <f aca="false">IF($R51="","",INDEX(Anforderungen!$K:$K,$R51))</f>
        <v>erfüllt</v>
      </c>
      <c r="J51" s="46" t="n">
        <f aca="false">IF($R51="","",INDEX(Anforderungen!$L:$L,$R51))</f>
        <v>46259</v>
      </c>
      <c r="K51" s="45" t="str">
        <f aca="false">IF($R51="","",INDEX(Anforderungen!$M:$M,$R51))</f>
        <v>Die Schranke kann selbstständig öffnen und schließen</v>
      </c>
      <c r="R51" s="0" t="n">
        <f aca="false">IFERROR(MATCH(ROWS($A$14:$A51),$T$7:$T$2000,0)+6,"")</f>
        <v>44</v>
      </c>
      <c r="T51" s="0" t="n">
        <f aca="false">IF(Anforderungen!$B51="","",IF(AND(OR($B5="(alle)",Anforderungen!$K51=$B5),OR($E5="(alle)",Anforderungen!$C51=$E5),OR($H5="(alle)",Anforderungen!$E51=$H5),OR($B7="(alle)",ISNUMBER(SEARCH($B7,Anforderungen!$J51))),OR($E7="(alle)",ISNUMBER(SEARCH($E7,Anforderungen!$I51))),OR($H7="",ISNUMBER(SEARCH($H7,Anforderungen!$F51&amp;" "&amp;Anforderungen!$G51)))),COUNT($T$6:$T50)+1,""))</f>
        <v>45</v>
      </c>
    </row>
    <row r="52" customFormat="false" ht="30" hidden="false" customHeight="true" outlineLevel="0" collapsed="false">
      <c r="A52" s="45" t="str">
        <f aca="false">IF($R52="","",INDEX(Anforderungen!$B:$B,$R52))</f>
        <v>ANF-039</v>
      </c>
      <c r="B52" s="45" t="str">
        <f aca="false">IF($R52="","",INDEX(Anforderungen!$C:$C,$R52))</f>
        <v>Vertragsanlage 6</v>
      </c>
      <c r="C52" s="45" t="str">
        <f aca="false">IF($R52="","",INDEX(Anforderungen!$D:$D,$R52))</f>
        <v>§ 10 (4)</v>
      </c>
      <c r="D52" s="45" t="str">
        <f aca="false">IF($R52="","",INDEX(Anforderungen!$E:$E,$R52))</f>
        <v>Zufahrt &amp; Schranke</v>
      </c>
      <c r="E52" s="45" t="str">
        <f aca="false">IF($R52="","",INDEX(Anforderungen!$F:$F,$R52))</f>
        <v>Ausfahrtsschranke schließt nach Verlassen des LKW.
Fernsteuerung der Schranken.</v>
      </c>
      <c r="F52" s="45" t="str">
        <f aca="false">IF($R52="","",INDEX(Anforderungen!$G:$G,$R52))</f>
        <v>4) Verlassen des Ladeplatzes: Nach Abschluss des Ladevorgangs und dem Verlassen des Ladeplatzes schließt sich die Ausfahrtsschranke wieder. Zudem ist dafür zu sorgen, dass die Einfahrts- und Ausfahrtsschranken im Notfall geöffnet werden können</v>
      </c>
      <c r="G52" s="45" t="str">
        <f aca="false">IF($R52="","",INDEX(Anforderungen!$I:$I,$R52))</f>
        <v>Schrankenhersteller</v>
      </c>
      <c r="H52" s="45" t="str">
        <f aca="false">IF($R52="","",INDEX(Anforderungen!$J:$J,$R52))</f>
        <v>Schrankensteuerung</v>
      </c>
      <c r="I52" s="45" t="str">
        <f aca="false">IF($R52="","",INDEX(Anforderungen!$K:$K,$R52))</f>
        <v>erfüllt</v>
      </c>
      <c r="J52" s="46" t="n">
        <f aca="false">IF($R52="","",INDEX(Anforderungen!$L:$L,$R52))</f>
        <v>46259</v>
      </c>
      <c r="K52" s="45" t="str">
        <f aca="false">IF($R52="","",INDEX(Anforderungen!$M:$M,$R52))</f>
        <v>Schranke schließt von alleine</v>
      </c>
      <c r="R52" s="0" t="n">
        <f aca="false">IFERROR(MATCH(ROWS($A$14:$A52),$T$7:$T$2000,0)+6,"")</f>
        <v>45</v>
      </c>
      <c r="T52" s="0" t="n">
        <f aca="false">IF(Anforderungen!$B52="","",IF(AND(OR($B5="(alle)",Anforderungen!$K52=$B5),OR($E5="(alle)",Anforderungen!$C52=$E5),OR($H5="(alle)",Anforderungen!$E52=$H5),OR($B7="(alle)",ISNUMBER(SEARCH($B7,Anforderungen!$J52))),OR($E7="(alle)",ISNUMBER(SEARCH($E7,Anforderungen!$I52))),OR($H7="",ISNUMBER(SEARCH($H7,Anforderungen!$F52&amp;" "&amp;Anforderungen!$G52)))),COUNT($T$6:$T51)+1,""))</f>
        <v>46</v>
      </c>
    </row>
    <row r="53" customFormat="false" ht="30" hidden="false" customHeight="true" outlineLevel="0" collapsed="false">
      <c r="A53" s="45" t="str">
        <f aca="false">IF($R53="","",INDEX(Anforderungen!$B:$B,$R53))</f>
        <v>ANF-040</v>
      </c>
      <c r="B53" s="45" t="str">
        <f aca="false">IF($R53="","",INDEX(Anforderungen!$C:$C,$R53))</f>
        <v>Vertragsanlage 6</v>
      </c>
      <c r="C53" s="45" t="str">
        <f aca="false">IF($R53="","",INDEX(Anforderungen!$D:$D,$R53))</f>
        <v>§ 4</v>
      </c>
      <c r="D53" s="45" t="str">
        <f aca="false">IF($R53="","",INDEX(Anforderungen!$E:$E,$R53))</f>
        <v>Anzeige &amp; Beschilderung</v>
      </c>
      <c r="E53" s="45" t="str">
        <f aca="false">IF($R53="","",INDEX(Anforderungen!$F:$F,$R53))</f>
        <v>Bezahlterminal für mehrere MCS/CCS Ladepunkte möglich.</v>
      </c>
      <c r="F53" s="45" t="str">
        <f aca="false">IF($R53="","",INDEX(Anforderungen!$G:$G,$R53))</f>
        <v>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v>
      </c>
      <c r="G53" s="45" t="str">
        <f aca="false">IF($R53="","",INDEX(Anforderungen!$I:$I,$R53))</f>
        <v>eRound</v>
      </c>
      <c r="H53" s="45" t="str">
        <f aca="false">IF($R53="","",INDEX(Anforderungen!$J:$J,$R53))</f>
        <v>Authentifizierungskomponente</v>
      </c>
      <c r="I53" s="45" t="str">
        <f aca="false">IF($R53="","",INDEX(Anforderungen!$K:$K,$R53))</f>
        <v>erfüllt</v>
      </c>
      <c r="J53" s="46" t="n">
        <f aca="false">IF($R53="","",INDEX(Anforderungen!$L:$L,$R53))</f>
        <v>46259</v>
      </c>
      <c r="K53" s="45" t="str">
        <f aca="false">IF($R53="","",INDEX(Anforderungen!$M:$M,$R53))</f>
        <v>Jede LIS hat ein Display, rest in KANN-Anforderung</v>
      </c>
      <c r="R53" s="0" t="n">
        <f aca="false">IFERROR(MATCH(ROWS($A$14:$A53),$T$7:$T$2000,0)+6,"")</f>
        <v>46</v>
      </c>
      <c r="T53" s="0" t="n">
        <f aca="false">IF(Anforderungen!$B53="","",IF(AND(OR($B5="(alle)",Anforderungen!$K53=$B5),OR($E5="(alle)",Anforderungen!$C53=$E5),OR($H5="(alle)",Anforderungen!$E53=$H5),OR($B7="(alle)",ISNUMBER(SEARCH($B7,Anforderungen!$J53))),OR($E7="(alle)",ISNUMBER(SEARCH($E7,Anforderungen!$I53))),OR($H7="",ISNUMBER(SEARCH($H7,Anforderungen!$F53&amp;" "&amp;Anforderungen!$G53)))),COUNT($T$6:$T52)+1,""))</f>
        <v>47</v>
      </c>
    </row>
    <row r="54" customFormat="false" ht="30" hidden="false" customHeight="true" outlineLevel="0" collapsed="false">
      <c r="A54" s="45" t="str">
        <f aca="false">IF($R54="","",INDEX(Anforderungen!$B:$B,$R54))</f>
        <v>ANF-041</v>
      </c>
      <c r="B54" s="45" t="str">
        <f aca="false">IF($R54="","",INDEX(Anforderungen!$C:$C,$R54))</f>
        <v>Vertragsanlage 10</v>
      </c>
      <c r="C54" s="45" t="str">
        <f aca="false">IF($R54="","",INDEX(Anforderungen!$D:$D,$R54))</f>
        <v>§ 3.1</v>
      </c>
      <c r="D54" s="45" t="str">
        <f aca="false">IF($R54="","",INDEX(Anforderungen!$E:$E,$R54))</f>
        <v>Monitoring &amp; Reporting</v>
      </c>
      <c r="E54" s="45" t="str">
        <f aca="false">IF($R54="","",INDEX(Anforderungen!$F:$F,$R54))</f>
        <v>Benennung Datenpunkte zu Reservierungen im Monatsbericht.</v>
      </c>
      <c r="F54" s="45" t="str">
        <f aca="false">IF($R54="","",INDEX(Anforderungen!$G:$G,$R54))</f>
        <v>ab_total_reservations Anzahl Reservierungen je Ladepunkt ab_total_reservations_cancelled Anzahl stornierter Reservierungen je Ladepunkt ab_reservations_no-show Anzahl nicht eingehaltener Reservierungen je Ladepunkt</v>
      </c>
      <c r="G54" s="45" t="str">
        <f aca="false">IF($R54="","",INDEX(Anforderungen!$I:$I,$R54))</f>
        <v>eRound</v>
      </c>
      <c r="H54" s="45" t="str">
        <f aca="false">IF($R54="","",INDEX(Anforderungen!$J:$J,$R54))</f>
        <v>Monitoring</v>
      </c>
      <c r="I54" s="45" t="str">
        <f aca="false">IF($R54="","",INDEX(Anforderungen!$K:$K,$R54))</f>
        <v>trifft nicht zu</v>
      </c>
      <c r="J54" s="46" t="n">
        <f aca="false">IF($R54="","",INDEX(Anforderungen!$L:$L,$R54))</f>
        <v>0</v>
      </c>
      <c r="K54" s="45" t="str">
        <f aca="false">IF($R54="","",INDEX(Anforderungen!$M:$M,$R54))</f>
        <v>Automatisch ausgewertet: Außerhalb des betrachteten Leistungsumfangs (Schranken, Kennzeichenerfassung, dynamische Anzeige).</v>
      </c>
      <c r="R54" s="0" t="n">
        <f aca="false">IFERROR(MATCH(ROWS($A$14:$A54),$T$7:$T$2000,0)+6,"")</f>
        <v>47</v>
      </c>
      <c r="T54" s="0" t="n">
        <f aca="false">IF(Anforderungen!$B54="","",IF(AND(OR($B5="(alle)",Anforderungen!$K54=$B5),OR($E5="(alle)",Anforderungen!$C54=$E5),OR($H5="(alle)",Anforderungen!$E54=$H5),OR($B7="(alle)",ISNUMBER(SEARCH($B7,Anforderungen!$J54))),OR($E7="(alle)",ISNUMBER(SEARCH($E7,Anforderungen!$I54))),OR($H7="",ISNUMBER(SEARCH($H7,Anforderungen!$F54&amp;" "&amp;Anforderungen!$G54)))),COUNT($T$6:$T53)+1,""))</f>
        <v>48</v>
      </c>
    </row>
    <row r="55" customFormat="false" ht="30" hidden="false" customHeight="true" outlineLevel="0" collapsed="false">
      <c r="A55" s="45" t="str">
        <f aca="false">IF($R55="","",INDEX(Anforderungen!$B:$B,$R55))</f>
        <v>ANF-042</v>
      </c>
      <c r="B55" s="45" t="str">
        <f aca="false">IF($R55="","",INDEX(Anforderungen!$C:$C,$R55))</f>
        <v>Vertragsanlage 10</v>
      </c>
      <c r="C55" s="45" t="str">
        <f aca="false">IF($R55="","",INDEX(Anforderungen!$D:$D,$R55))</f>
        <v>§ 5 (d)</v>
      </c>
      <c r="D55" s="45" t="str">
        <f aca="false">IF($R55="","",INDEX(Anforderungen!$E:$E,$R55))</f>
        <v>Monitoring &amp; Reporting</v>
      </c>
      <c r="E55" s="45" t="str">
        <f aca="false">IF($R55="","",INDEX(Anforderungen!$F:$F,$R55))</f>
        <v>Benennung Datenpunkte zu Reservierungen im Monatsbericht.</v>
      </c>
      <c r="F55" s="45" t="str">
        <f aca="false">IF($R55="","",INDEX(Anforderungen!$G:$G,$R55))</f>
        <v>total_reservation_cost Gesamtsumme aller Kosten im Zusammenhang mit der Reservierung eines Ladepunkts, einschließlich Festpreisbestandteilen (€)</v>
      </c>
      <c r="G55" s="45" t="str">
        <f aca="false">IF($R55="","",INDEX(Anforderungen!$I:$I,$R55))</f>
        <v>eRound</v>
      </c>
      <c r="H55" s="45" t="str">
        <f aca="false">IF($R55="","",INDEX(Anforderungen!$J:$J,$R55))</f>
        <v>Monitoring</v>
      </c>
      <c r="I55" s="45" t="str">
        <f aca="false">IF($R55="","",INDEX(Anforderungen!$K:$K,$R55))</f>
        <v>trifft nicht zu</v>
      </c>
      <c r="J55" s="46" t="n">
        <f aca="false">IF($R55="","",INDEX(Anforderungen!$L:$L,$R55))</f>
        <v>0</v>
      </c>
      <c r="K55" s="45" t="str">
        <f aca="false">IF($R55="","",INDEX(Anforderungen!$M:$M,$R55))</f>
        <v>Automatisch ausgewertet: Außerhalb des betrachteten Leistungsumfangs (Schranken, Kennzeichenerfassung, dynamische Anzeige).</v>
      </c>
      <c r="R55" s="0" t="n">
        <f aca="false">IFERROR(MATCH(ROWS($A$14:$A55),$T$7:$T$2000,0)+6,"")</f>
        <v>48</v>
      </c>
      <c r="T55" s="0" t="n">
        <f aca="false">IF(Anforderungen!$B55="","",IF(AND(OR($B5="(alle)",Anforderungen!$K55=$B5),OR($E5="(alle)",Anforderungen!$C55=$E5),OR($H5="(alle)",Anforderungen!$E55=$H5),OR($B7="(alle)",ISNUMBER(SEARCH($B7,Anforderungen!$J55))),OR($E7="(alle)",ISNUMBER(SEARCH($E7,Anforderungen!$I55))),OR($H7="",ISNUMBER(SEARCH($H7,Anforderungen!$F55&amp;" "&amp;Anforderungen!$G55)))),COUNT($T$6:$T54)+1,""))</f>
        <v>49</v>
      </c>
    </row>
    <row r="56" customFormat="false" ht="30" hidden="false" customHeight="true" outlineLevel="0" collapsed="false">
      <c r="A56" s="45" t="str">
        <f aca="false">IF($R56="","",INDEX(Anforderungen!$B:$B,$R56))</f>
        <v>ANF-043</v>
      </c>
      <c r="B56" s="45" t="str">
        <f aca="false">IF($R56="","",INDEX(Anforderungen!$C:$C,$R56))</f>
        <v>Vertragsanlage 13</v>
      </c>
      <c r="C56" s="45" t="str">
        <f aca="false">IF($R56="","",INDEX(Anforderungen!$D:$D,$R56))</f>
        <v>§ 8 (1)</v>
      </c>
      <c r="D56" s="45" t="str">
        <f aca="false">IF($R56="","",INDEX(Anforderungen!$E:$E,$R56))</f>
        <v>Reservierung</v>
      </c>
      <c r="E56" s="45" t="str">
        <f aca="false">IF($R56="","",INDEX(Anforderungen!$F:$F,$R56))</f>
        <v>Mehrfachbuchungen unterbinden</v>
      </c>
      <c r="F56" s="45" t="str">
        <f aca="false">IF($R56="","",INDEX(Anforderungen!$G:$G,$R56))</f>
        <v>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v>
      </c>
      <c r="G56" s="45" t="str">
        <f aca="false">IF($R56="","",INDEX(Anforderungen!$I:$I,$R56))</f>
        <v>eRound</v>
      </c>
      <c r="H56" s="45" t="str">
        <f aca="false">IF($R56="","",INDEX(Anforderungen!$J:$J,$R56))</f>
        <v>OCPI Buchungskalender</v>
      </c>
      <c r="I56" s="45" t="str">
        <f aca="false">IF($R56="","",INDEX(Anforderungen!$K:$K,$R56))</f>
        <v>trifft nicht zu</v>
      </c>
      <c r="J56" s="46" t="n">
        <f aca="false">IF($R56="","",INDEX(Anforderungen!$L:$L,$R56))</f>
        <v>0</v>
      </c>
      <c r="K56" s="45" t="str">
        <f aca="false">IF($R56="","",INDEX(Anforderungen!$M:$M,$R56))</f>
        <v>Automatisch ausgewertet: Außerhalb des betrachteten Leistungsumfangs (Schranken, Kennzeichenerfassung, dynamische Anzeige).</v>
      </c>
      <c r="R56" s="0" t="n">
        <f aca="false">IFERROR(MATCH(ROWS($A$14:$A56),$T$7:$T$2000,0)+6,"")</f>
        <v>49</v>
      </c>
      <c r="T56" s="0" t="n">
        <f aca="false">IF(Anforderungen!$B56="","",IF(AND(OR($B5="(alle)",Anforderungen!$K56=$B5),OR($E5="(alle)",Anforderungen!$C56=$E5),OR($H5="(alle)",Anforderungen!$E56=$H5),OR($B7="(alle)",ISNUMBER(SEARCH($B7,Anforderungen!$J56))),OR($E7="(alle)",ISNUMBER(SEARCH($E7,Anforderungen!$I56))),OR($H7="",ISNUMBER(SEARCH($H7,Anforderungen!$F56&amp;" "&amp;Anforderungen!$G56)))),COUNT($T$6:$T55)+1,""))</f>
        <v>50</v>
      </c>
    </row>
    <row r="57" customFormat="false" ht="30" hidden="false" customHeight="true" outlineLevel="0" collapsed="false">
      <c r="A57" s="45" t="str">
        <f aca="false">IF($R57="","",INDEX(Anforderungen!$B:$B,$R57))</f>
        <v>ANF-044</v>
      </c>
      <c r="B57" s="45" t="str">
        <f aca="false">IF($R57="","",INDEX(Anforderungen!$C:$C,$R57))</f>
        <v>Bieterfragenkatalog</v>
      </c>
      <c r="C57" s="45" t="str">
        <f aca="false">IF($R57="","",INDEX(Anforderungen!$D:$D,$R57))</f>
        <v>§ 351</v>
      </c>
      <c r="D57" s="45" t="str">
        <f aca="false">IF($R57="","",INDEX(Anforderungen!$E:$E,$R57))</f>
        <v>Belegungsdetektion</v>
      </c>
      <c r="E57" s="45" t="str">
        <f aca="false">IF($R57="","",INDEX(Anforderungen!$F:$F,$R57))</f>
        <v>Belegungsdetektion ist gefordert.</v>
      </c>
      <c r="F57" s="45" t="str">
        <f aca="false">IF($R57="","",INDEX(Anforderungen!$G:$G,$R57))</f>
        <v>Nein, auch bei installierten Zufahrtsbeschränkungen sind Sensoren als Redundanz zum Zweck der Detektion des Belegungsstatus des Ladeplatzes vorzusehen.</v>
      </c>
      <c r="G57" s="45" t="str">
        <f aca="false">IF($R57="","",INDEX(Anforderungen!$I:$I,$R57))</f>
        <v>SCS</v>
      </c>
      <c r="H57" s="45" t="str">
        <f aca="false">IF($R57="","",INDEX(Anforderungen!$J:$J,$R57))</f>
        <v>Belegungsdetektion</v>
      </c>
      <c r="I57" s="45" t="str">
        <f aca="false">IF($R57="","",INDEX(Anforderungen!$K:$K,$R57))</f>
        <v>erfasst</v>
      </c>
      <c r="J57" s="46" t="n">
        <f aca="false">IF($R57="","",INDEX(Anforderungen!$L:$L,$R57))</f>
        <v>0</v>
      </c>
      <c r="K57" s="45" t="n">
        <f aca="false">IF($R57="","",INDEX(Anforderungen!$M:$M,$R57))</f>
        <v>0</v>
      </c>
      <c r="R57" s="0" t="n">
        <f aca="false">IFERROR(MATCH(ROWS($A$14:$A57),$T$7:$T$2000,0)+6,"")</f>
        <v>50</v>
      </c>
      <c r="T57" s="0" t="n">
        <f aca="false">IF(Anforderungen!$B57="","",IF(AND(OR($B5="(alle)",Anforderungen!$K57=$B5),OR($E5="(alle)",Anforderungen!$C57=$E5),OR($H5="(alle)",Anforderungen!$E57=$H5),OR($B7="(alle)",ISNUMBER(SEARCH($B7,Anforderungen!$J57))),OR($E7="(alle)",ISNUMBER(SEARCH($E7,Anforderungen!$I57))),OR($H7="",ISNUMBER(SEARCH($H7,Anforderungen!$F57&amp;" "&amp;Anforderungen!$G57)))),COUNT($T$6:$T56)+1,""))</f>
        <v>51</v>
      </c>
    </row>
    <row r="58" customFormat="false" ht="30" hidden="false" customHeight="true" outlineLevel="0" collapsed="false">
      <c r="A58" s="45" t="str">
        <f aca="false">IF($R58="","",INDEX(Anforderungen!$B:$B,$R58))</f>
        <v>ANF-045</v>
      </c>
      <c r="B58" s="45" t="str">
        <f aca="false">IF($R58="","",INDEX(Anforderungen!$C:$C,$R58))</f>
        <v>Bieterfragenkatalog</v>
      </c>
      <c r="C58" s="45" t="str">
        <f aca="false">IF($R58="","",INDEX(Anforderungen!$D:$D,$R58))</f>
        <v>§ 373</v>
      </c>
      <c r="D58" s="45" t="str">
        <f aca="false">IF($R58="","",INDEX(Anforderungen!$E:$E,$R58))</f>
        <v>Reservierung</v>
      </c>
      <c r="E58" s="45" t="str">
        <f aca="false">IF($R58="","",INDEX(Anforderungen!$F:$F,$R58))</f>
        <v>OCPI Schnittstelle für Reservierungen ist gefordert.</v>
      </c>
      <c r="F58" s="45" t="str">
        <f aca="false">IF($R58="","",INDEX(Anforderungen!$G:$G,$R58))</f>
        <v>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v>
      </c>
      <c r="G58" s="45" t="str">
        <f aca="false">IF($R58="","",INDEX(Anforderungen!$I:$I,$R58))</f>
        <v>eRound</v>
      </c>
      <c r="H58" s="45" t="str">
        <f aca="false">IF($R58="","",INDEX(Anforderungen!$J:$J,$R58))</f>
        <v>OCPI Buchungskalender</v>
      </c>
      <c r="I58" s="45" t="str">
        <f aca="false">IF($R58="","",INDEX(Anforderungen!$K:$K,$R58))</f>
        <v>trifft nicht zu</v>
      </c>
      <c r="J58" s="46" t="n">
        <f aca="false">IF($R58="","",INDEX(Anforderungen!$L:$L,$R58))</f>
        <v>0</v>
      </c>
      <c r="K58" s="45" t="str">
        <f aca="false">IF($R58="","",INDEX(Anforderungen!$M:$M,$R58))</f>
        <v>Automatisch ausgewertet: Außerhalb des betrachteten Leistungsumfangs (Schranken, Kennzeichenerfassung, dynamische Anzeige).</v>
      </c>
      <c r="R58" s="0" t="n">
        <f aca="false">IFERROR(MATCH(ROWS($A$14:$A58),$T$7:$T$2000,0)+6,"")</f>
        <v>51</v>
      </c>
      <c r="T58" s="0" t="n">
        <f aca="false">IF(Anforderungen!$B58="","",IF(AND(OR($B5="(alle)",Anforderungen!$K58=$B5),OR($E5="(alle)",Anforderungen!$C58=$E5),OR($H5="(alle)",Anforderungen!$E58=$H5),OR($B7="(alle)",ISNUMBER(SEARCH($B7,Anforderungen!$J58))),OR($E7="(alle)",ISNUMBER(SEARCH($E7,Anforderungen!$I58))),OR($H7="",ISNUMBER(SEARCH($H7,Anforderungen!$F58&amp;" "&amp;Anforderungen!$G58)))),COUNT($T$6:$T57)+1,""))</f>
        <v>52</v>
      </c>
    </row>
    <row r="59" customFormat="false" ht="30" hidden="false" customHeight="true" outlineLevel="0" collapsed="false">
      <c r="A59" s="45" t="str">
        <f aca="false">IF($R59="","",INDEX(Anforderungen!$B:$B,$R59))</f>
        <v>ANF-046</v>
      </c>
      <c r="B59" s="45" t="str">
        <f aca="false">IF($R59="","",INDEX(Anforderungen!$C:$C,$R59))</f>
        <v>Bieterfragenkatalog</v>
      </c>
      <c r="C59" s="45" t="str">
        <f aca="false">IF($R59="","",INDEX(Anforderungen!$D:$D,$R59))</f>
        <v>§ 374</v>
      </c>
      <c r="D59" s="45" t="str">
        <f aca="false">IF($R59="","",INDEX(Anforderungen!$E:$E,$R59))</f>
        <v>Reservierung</v>
      </c>
      <c r="E59" s="45" t="str">
        <f aca="false">IF($R59="","",INDEX(Anforderungen!$F:$F,$R59))</f>
        <v>Anbindung muss deutschlandweit sichergestellt sein.</v>
      </c>
      <c r="F59" s="45" t="str">
        <f aca="false">IF($R59="","",INDEX(Anforderungen!$G:$G,$R59))</f>
        <v>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v>
      </c>
      <c r="G59" s="45" t="str">
        <f aca="false">IF($R59="","",INDEX(Anforderungen!$I:$I,$R59))</f>
        <v>Reservierungsplattform</v>
      </c>
      <c r="H59" s="45" t="str">
        <f aca="false">IF($R59="","",INDEX(Anforderungen!$J:$J,$R59))</f>
        <v>Anbindung</v>
      </c>
      <c r="I59" s="45" t="str">
        <f aca="false">IF($R59="","",INDEX(Anforderungen!$K:$K,$R59))</f>
        <v>trifft nicht zu</v>
      </c>
      <c r="J59" s="46" t="n">
        <f aca="false">IF($R59="","",INDEX(Anforderungen!$L:$L,$R59))</f>
        <v>0</v>
      </c>
      <c r="K59" s="45" t="str">
        <f aca="false">IF($R59="","",INDEX(Anforderungen!$M:$M,$R59))</f>
        <v>Automatisch ausgewertet: Außerhalb des betrachteten Leistungsumfangs (Schranken, Kennzeichenerfassung, dynamische Anzeige).</v>
      </c>
      <c r="R59" s="0" t="n">
        <f aca="false">IFERROR(MATCH(ROWS($A$14:$A59),$T$7:$T$2000,0)+6,"")</f>
        <v>52</v>
      </c>
      <c r="T59" s="0" t="n">
        <f aca="false">IF(Anforderungen!$B59="","",IF(AND(OR($B5="(alle)",Anforderungen!$K59=$B5),OR($E5="(alle)",Anforderungen!$C59=$E5),OR($H5="(alle)",Anforderungen!$E59=$H5),OR($B7="(alle)",ISNUMBER(SEARCH($B7,Anforderungen!$J59))),OR($E7="(alle)",ISNUMBER(SEARCH($E7,Anforderungen!$I59))),OR($H7="",ISNUMBER(SEARCH($H7,Anforderungen!$F59&amp;" "&amp;Anforderungen!$G59)))),COUNT($T$6:$T58)+1,""))</f>
        <v>53</v>
      </c>
    </row>
    <row r="60" customFormat="false" ht="30" hidden="false" customHeight="true" outlineLevel="0" collapsed="false">
      <c r="A60" s="45" t="str">
        <f aca="false">IF($R60="","",INDEX(Anforderungen!$B:$B,$R60))</f>
        <v>ANF-047</v>
      </c>
      <c r="B60" s="45" t="str">
        <f aca="false">IF($R60="","",INDEX(Anforderungen!$C:$C,$R60))</f>
        <v>Bieterfragenkatalog</v>
      </c>
      <c r="C60" s="45" t="str">
        <f aca="false">IF($R60="","",INDEX(Anforderungen!$D:$D,$R60))</f>
        <v>§ 375</v>
      </c>
      <c r="D60" s="45" t="str">
        <f aca="false">IF($R60="","",INDEX(Anforderungen!$E:$E,$R60))</f>
        <v>Nutzungszeit &amp; Entgelte</v>
      </c>
      <c r="E60" s="45" t="n">
        <f aca="false">IF($R60="","",INDEX(Anforderungen!$F:$F,$R60))</f>
        <v>0</v>
      </c>
      <c r="F60" s="45" t="str">
        <f aca="false">IF($R60="","",INDEX(Anforderungen!$G:$G,$R60))</f>
        <v>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v>
      </c>
      <c r="G60" s="45" t="str">
        <f aca="false">IF($R60="","",INDEX(Anforderungen!$I:$I,$R60))</f>
        <v>offen</v>
      </c>
      <c r="H60" s="45" t="str">
        <f aca="false">IF($R60="","",INDEX(Anforderungen!$J:$J,$R60))</f>
        <v>–</v>
      </c>
      <c r="I60" s="45" t="str">
        <f aca="false">IF($R60="","",INDEX(Anforderungen!$K:$K,$R60))</f>
        <v>trifft nicht zu</v>
      </c>
      <c r="J60" s="46" t="n">
        <f aca="false">IF($R60="","",INDEX(Anforderungen!$L:$L,$R60))</f>
        <v>0</v>
      </c>
      <c r="K60" s="45" t="str">
        <f aca="false">IF($R60="","",INDEX(Anforderungen!$M:$M,$R60))</f>
        <v>Automatisch ausgewertet: Außerhalb des betrachteten Leistungsumfangs (Schranken, Kennzeichenerfassung, dynamische Anzeige).</v>
      </c>
      <c r="R60" s="0" t="n">
        <f aca="false">IFERROR(MATCH(ROWS($A$14:$A60),$T$7:$T$2000,0)+6,"")</f>
        <v>53</v>
      </c>
      <c r="T60" s="0" t="n">
        <f aca="false">IF(Anforderungen!$B60="","",IF(AND(OR($B5="(alle)",Anforderungen!$K60=$B5),OR($E5="(alle)",Anforderungen!$C60=$E5),OR($H5="(alle)",Anforderungen!$E60=$H5),OR($B7="(alle)",ISNUMBER(SEARCH($B7,Anforderungen!$J60))),OR($E7="(alle)",ISNUMBER(SEARCH($E7,Anforderungen!$I60))),OR($H7="",ISNUMBER(SEARCH($H7,Anforderungen!$F60&amp;" "&amp;Anforderungen!$G60)))),COUNT($T$6:$T59)+1,""))</f>
        <v>54</v>
      </c>
    </row>
    <row r="61" customFormat="false" ht="30" hidden="false" customHeight="true" outlineLevel="0" collapsed="false">
      <c r="A61" s="45" t="str">
        <f aca="false">IF($R61="","",INDEX(Anforderungen!$B:$B,$R61))</f>
        <v>ANF-048</v>
      </c>
      <c r="B61" s="45" t="str">
        <f aca="false">IF($R61="","",INDEX(Anforderungen!$C:$C,$R61))</f>
        <v>Bieterfragenkatalog</v>
      </c>
      <c r="C61" s="45" t="str">
        <f aca="false">IF($R61="","",INDEX(Anforderungen!$D:$D,$R61))</f>
        <v>§ 376</v>
      </c>
      <c r="D61" s="45" t="str">
        <f aca="false">IF($R61="","",INDEX(Anforderungen!$E:$E,$R61))</f>
        <v>Nutzungszeit &amp; Entgelte</v>
      </c>
      <c r="E61" s="45" t="n">
        <f aca="false">IF($R61="","",INDEX(Anforderungen!$F:$F,$R61))</f>
        <v>0</v>
      </c>
      <c r="F61" s="45" t="str">
        <f aca="false">IF($R61="","",INDEX(Anforderungen!$G:$G,$R61))</f>
        <v>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v>
      </c>
      <c r="G61" s="45" t="str">
        <f aca="false">IF($R61="","",INDEX(Anforderungen!$I:$I,$R61))</f>
        <v>offen</v>
      </c>
      <c r="H61" s="45" t="str">
        <f aca="false">IF($R61="","",INDEX(Anforderungen!$J:$J,$R61))</f>
        <v>–</v>
      </c>
      <c r="I61" s="45" t="str">
        <f aca="false">IF($R61="","",INDEX(Anforderungen!$K:$K,$R61))</f>
        <v>trifft nicht zu</v>
      </c>
      <c r="J61" s="46" t="n">
        <f aca="false">IF($R61="","",INDEX(Anforderungen!$L:$L,$R61))</f>
        <v>0</v>
      </c>
      <c r="K61" s="45" t="str">
        <f aca="false">IF($R61="","",INDEX(Anforderungen!$M:$M,$R61))</f>
        <v>Automatisch ausgewertet: Außerhalb des betrachteten Leistungsumfangs (Schranken, Kennzeichenerfassung, dynamische Anzeige).</v>
      </c>
      <c r="R61" s="0" t="n">
        <f aca="false">IFERROR(MATCH(ROWS($A$14:$A61),$T$7:$T$2000,0)+6,"")</f>
        <v>54</v>
      </c>
      <c r="T61" s="0" t="n">
        <f aca="false">IF(Anforderungen!$B61="","",IF(AND(OR($B5="(alle)",Anforderungen!$K61=$B5),OR($E5="(alle)",Anforderungen!$C61=$E5),OR($H5="(alle)",Anforderungen!$E61=$H5),OR($B7="(alle)",ISNUMBER(SEARCH($B7,Anforderungen!$J61))),OR($E7="(alle)",ISNUMBER(SEARCH($E7,Anforderungen!$I61))),OR($H7="",ISNUMBER(SEARCH($H7,Anforderungen!$F61&amp;" "&amp;Anforderungen!$G61)))),COUNT($T$6:$T60)+1,""))</f>
        <v>55</v>
      </c>
    </row>
    <row r="62" customFormat="false" ht="30" hidden="false" customHeight="true" outlineLevel="0" collapsed="false">
      <c r="A62" s="45" t="str">
        <f aca="false">IF($R62="","",INDEX(Anforderungen!$B:$B,$R62))</f>
        <v>ANF-049</v>
      </c>
      <c r="B62" s="45" t="str">
        <f aca="false">IF($R62="","",INDEX(Anforderungen!$C:$C,$R62))</f>
        <v>Bieterfragenkatalog</v>
      </c>
      <c r="C62" s="45" t="str">
        <f aca="false">IF($R62="","",INDEX(Anforderungen!$D:$D,$R62))</f>
        <v>§ 377</v>
      </c>
      <c r="D62" s="45" t="str">
        <f aca="false">IF($R62="","",INDEX(Anforderungen!$E:$E,$R62))</f>
        <v>Reservierung</v>
      </c>
      <c r="E62" s="45" t="n">
        <f aca="false">IF($R62="","",INDEX(Anforderungen!$F:$F,$R62))</f>
        <v>0</v>
      </c>
      <c r="F62" s="45" t="str">
        <f aca="false">IF($R62="","",INDEX(Anforderungen!$G:$G,$R62))</f>
        <v>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v>
      </c>
      <c r="G62" s="45" t="str">
        <f aca="false">IF($R62="","",INDEX(Anforderungen!$I:$I,$R62))</f>
        <v>offen</v>
      </c>
      <c r="H62" s="45" t="str">
        <f aca="false">IF($R62="","",INDEX(Anforderungen!$J:$J,$R62))</f>
        <v>–</v>
      </c>
      <c r="I62" s="45" t="str">
        <f aca="false">IF($R62="","",INDEX(Anforderungen!$K:$K,$R62))</f>
        <v>trifft nicht zu</v>
      </c>
      <c r="J62" s="46" t="n">
        <f aca="false">IF($R62="","",INDEX(Anforderungen!$L:$L,$R62))</f>
        <v>0</v>
      </c>
      <c r="K62" s="45" t="str">
        <f aca="false">IF($R62="","",INDEX(Anforderungen!$M:$M,$R62))</f>
        <v>Automatisch ausgewertet: Außerhalb des betrachteten Leistungsumfangs (Schranken, Kennzeichenerfassung, dynamische Anzeige).</v>
      </c>
      <c r="R62" s="0" t="n">
        <f aca="false">IFERROR(MATCH(ROWS($A$14:$A62),$T$7:$T$2000,0)+6,"")</f>
        <v>55</v>
      </c>
      <c r="T62" s="0" t="n">
        <f aca="false">IF(Anforderungen!$B62="","",IF(AND(OR($B5="(alle)",Anforderungen!$K62=$B5),OR($E5="(alle)",Anforderungen!$C62=$E5),OR($H5="(alle)",Anforderungen!$E62=$H5),OR($B7="(alle)",ISNUMBER(SEARCH($B7,Anforderungen!$J62))),OR($E7="(alle)",ISNUMBER(SEARCH($E7,Anforderungen!$I62))),OR($H7="",ISNUMBER(SEARCH($H7,Anforderungen!$F62&amp;" "&amp;Anforderungen!$G62)))),COUNT($T$6:$T61)+1,""))</f>
        <v>56</v>
      </c>
    </row>
    <row r="63" customFormat="false" ht="30" hidden="false" customHeight="true" outlineLevel="0" collapsed="false">
      <c r="A63" s="45" t="str">
        <f aca="false">IF($R63="","",INDEX(Anforderungen!$B:$B,$R63))</f>
        <v>ANF-050</v>
      </c>
      <c r="B63" s="45" t="str">
        <f aca="false">IF($R63="","",INDEX(Anforderungen!$C:$C,$R63))</f>
        <v>Bieterfragenkatalog</v>
      </c>
      <c r="C63" s="45" t="str">
        <f aca="false">IF($R63="","",INDEX(Anforderungen!$D:$D,$R63))</f>
        <v>§ 378</v>
      </c>
      <c r="D63" s="45" t="str">
        <f aca="false">IF($R63="","",INDEX(Anforderungen!$E:$E,$R63))</f>
        <v>Reservierung</v>
      </c>
      <c r="E63" s="45" t="str">
        <f aca="false">IF($R63="","",INDEX(Anforderungen!$F:$F,$R63))</f>
        <v>Anpassung möglich, bei ungewolltem Nutzerverhalten.</v>
      </c>
      <c r="F63" s="45" t="str">
        <f aca="false">IF($R63="","",INDEX(Anforderungen!$G:$G,$R63))</f>
        <v>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v>
      </c>
      <c r="G63" s="45" t="str">
        <f aca="false">IF($R63="","",INDEX(Anforderungen!$I:$I,$R63))</f>
        <v>eRound</v>
      </c>
      <c r="H63" s="45" t="str">
        <f aca="false">IF($R63="","",INDEX(Anforderungen!$J:$J,$R63))</f>
        <v>OCPI Buchungskalender</v>
      </c>
      <c r="I63" s="45" t="str">
        <f aca="false">IF($R63="","",INDEX(Anforderungen!$K:$K,$R63))</f>
        <v>trifft nicht zu</v>
      </c>
      <c r="J63" s="46" t="n">
        <f aca="false">IF($R63="","",INDEX(Anforderungen!$L:$L,$R63))</f>
        <v>0</v>
      </c>
      <c r="K63" s="45" t="str">
        <f aca="false">IF($R63="","",INDEX(Anforderungen!$M:$M,$R63))</f>
        <v>Automatisch ausgewertet: Außerhalb des betrachteten Leistungsumfangs (Schranken, Kennzeichenerfassung, dynamische Anzeige).</v>
      </c>
      <c r="R63" s="0" t="n">
        <f aca="false">IFERROR(MATCH(ROWS($A$14:$A63),$T$7:$T$2000,0)+6,"")</f>
        <v>56</v>
      </c>
      <c r="T63" s="0" t="n">
        <f aca="false">IF(Anforderungen!$B63="","",IF(AND(OR($B5="(alle)",Anforderungen!$K63=$B5),OR($E5="(alle)",Anforderungen!$C63=$E5),OR($H5="(alle)",Anforderungen!$E63=$H5),OR($B7="(alle)",ISNUMBER(SEARCH($B7,Anforderungen!$J63))),OR($E7="(alle)",ISNUMBER(SEARCH($E7,Anforderungen!$I63))),OR($H7="",ISNUMBER(SEARCH($H7,Anforderungen!$F63&amp;" "&amp;Anforderungen!$G63)))),COUNT($T$6:$T62)+1,""))</f>
        <v>57</v>
      </c>
    </row>
    <row r="64" customFormat="false" ht="30" hidden="false" customHeight="true" outlineLevel="0" collapsed="false">
      <c r="A64" s="45" t="str">
        <f aca="false">IF($R64="","",INDEX(Anforderungen!$B:$B,$R64))</f>
        <v>ANF-051</v>
      </c>
      <c r="B64" s="45" t="str">
        <f aca="false">IF($R64="","",INDEX(Anforderungen!$C:$C,$R64))</f>
        <v>Bieterfragenkatalog</v>
      </c>
      <c r="C64" s="45" t="str">
        <f aca="false">IF($R64="","",INDEX(Anforderungen!$D:$D,$R64))</f>
        <v>§ 455</v>
      </c>
      <c r="D64" s="45" t="str">
        <f aca="false">IF($R64="","",INDEX(Anforderungen!$E:$E,$R64))</f>
        <v>Reservierung</v>
      </c>
      <c r="E64" s="45" t="str">
        <f aca="false">IF($R64="","",INDEX(Anforderungen!$F:$F,$R64))</f>
        <v>Reservierungsplattform ist nicht Teil der Ausschreibung.</v>
      </c>
      <c r="F64" s="45" t="str">
        <f aca="false">IF($R64="","",INDEX(Anforderungen!$G:$G,$R64))</f>
        <v>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v>
      </c>
      <c r="G64" s="45" t="str">
        <f aca="false">IF($R64="","",INDEX(Anforderungen!$I:$I,$R64))</f>
        <v>Reservierungsplattform</v>
      </c>
      <c r="H64" s="45" t="str">
        <f aca="false">IF($R64="","",INDEX(Anforderungen!$J:$J,$R64))</f>
        <v>Reservierungsplattform</v>
      </c>
      <c r="I64" s="45" t="str">
        <f aca="false">IF($R64="","",INDEX(Anforderungen!$K:$K,$R64))</f>
        <v>trifft nicht zu</v>
      </c>
      <c r="J64" s="46" t="n">
        <f aca="false">IF($R64="","",INDEX(Anforderungen!$L:$L,$R64))</f>
        <v>0</v>
      </c>
      <c r="K64" s="45" t="str">
        <f aca="false">IF($R64="","",INDEX(Anforderungen!$M:$M,$R64))</f>
        <v>Automatisch ausgewertet: Außerhalb des betrachteten Leistungsumfangs (Schranken, Kennzeichenerfassung, dynamische Anzeige).</v>
      </c>
      <c r="R64" s="0" t="n">
        <f aca="false">IFERROR(MATCH(ROWS($A$14:$A64),$T$7:$T$2000,0)+6,"")</f>
        <v>57</v>
      </c>
      <c r="T64" s="0" t="n">
        <f aca="false">IF(Anforderungen!$B64="","",IF(AND(OR($B5="(alle)",Anforderungen!$K64=$B5),OR($E5="(alle)",Anforderungen!$C64=$E5),OR($H5="(alle)",Anforderungen!$E64=$H5),OR($B7="(alle)",ISNUMBER(SEARCH($B7,Anforderungen!$J64))),OR($E7="(alle)",ISNUMBER(SEARCH($E7,Anforderungen!$I64))),OR($H7="",ISNUMBER(SEARCH($H7,Anforderungen!$F64&amp;" "&amp;Anforderungen!$G64)))),COUNT($T$6:$T63)+1,""))</f>
        <v>58</v>
      </c>
    </row>
    <row r="65" customFormat="false" ht="30" hidden="false" customHeight="true" outlineLevel="0" collapsed="false">
      <c r="A65" s="45" t="str">
        <f aca="false">IF($R65="","",INDEX(Anforderungen!$B:$B,$R65))</f>
        <v>ANF-052</v>
      </c>
      <c r="B65" s="45" t="str">
        <f aca="false">IF($R65="","",INDEX(Anforderungen!$C:$C,$R65))</f>
        <v>Bieterfragenkatalog</v>
      </c>
      <c r="C65" s="45" t="str">
        <f aca="false">IF($R65="","",INDEX(Anforderungen!$D:$D,$R65))</f>
        <v>§ 370</v>
      </c>
      <c r="D65" s="45" t="str">
        <f aca="false">IF($R65="","",INDEX(Anforderungen!$E:$E,$R65))</f>
        <v>Reservierung</v>
      </c>
      <c r="E65" s="45" t="str">
        <f aca="false">IF($R65="","",INDEX(Anforderungen!$F:$F,$R65))</f>
        <v>Sämtliche Infos via gängigen Roamingprotokoll / Marktstandard zur verfügung stellen.</v>
      </c>
      <c r="F65" s="45" t="str">
        <f aca="false">IF($R65="","",INDEX(Anforderungen!$G:$G,$R65))</f>
        <v>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v>
      </c>
      <c r="G65" s="45" t="str">
        <f aca="false">IF($R65="","",INDEX(Anforderungen!$I:$I,$R65))</f>
        <v>eRound</v>
      </c>
      <c r="H65" s="45" t="str">
        <f aca="false">IF($R65="","",INDEX(Anforderungen!$J:$J,$R65))</f>
        <v>OCPI Buchungskalender</v>
      </c>
      <c r="I65" s="45" t="str">
        <f aca="false">IF($R65="","",INDEX(Anforderungen!$K:$K,$R65))</f>
        <v>trifft nicht zu</v>
      </c>
      <c r="J65" s="46" t="n">
        <f aca="false">IF($R65="","",INDEX(Anforderungen!$L:$L,$R65))</f>
        <v>0</v>
      </c>
      <c r="K65" s="45" t="str">
        <f aca="false">IF($R65="","",INDEX(Anforderungen!$M:$M,$R65))</f>
        <v>Automatisch ausgewertet: Außerhalb des betrachteten Leistungsumfangs (Schranken, Kennzeichenerfassung, dynamische Anzeige).</v>
      </c>
      <c r="R65" s="0" t="n">
        <f aca="false">IFERROR(MATCH(ROWS($A$14:$A65),$T$7:$T$2000,0)+6,"")</f>
        <v>58</v>
      </c>
      <c r="T65" s="0" t="n">
        <f aca="false">IF(Anforderungen!$B65="","",IF(AND(OR($B5="(alle)",Anforderungen!$K65=$B5),OR($E5="(alle)",Anforderungen!$C65=$E5),OR($H5="(alle)",Anforderungen!$E65=$H5),OR($B7="(alle)",ISNUMBER(SEARCH($B7,Anforderungen!$J65))),OR($E7="(alle)",ISNUMBER(SEARCH($E7,Anforderungen!$I65))),OR($H7="",ISNUMBER(SEARCH($H7,Anforderungen!$F65&amp;" "&amp;Anforderungen!$G65)))),COUNT($T$6:$T64)+1,""))</f>
        <v>59</v>
      </c>
    </row>
    <row r="66" customFormat="false" ht="30" hidden="false" customHeight="true" outlineLevel="0" collapsed="false">
      <c r="A66" s="45" t="str">
        <f aca="false">IF($R66="","",INDEX(Anforderungen!$B:$B,$R66))</f>
        <v>ANF-053</v>
      </c>
      <c r="B66" s="45" t="str">
        <f aca="false">IF($R66="","",INDEX(Anforderungen!$C:$C,$R66))</f>
        <v>Bieterfragenkatalog</v>
      </c>
      <c r="C66" s="45" t="str">
        <f aca="false">IF($R66="","",INDEX(Anforderungen!$D:$D,$R66))</f>
        <v>Nr. 1 / S. 1</v>
      </c>
      <c r="D66" s="45" t="str">
        <f aca="false">IF($R66="","",INDEX(Anforderungen!$E:$E,$R66))</f>
        <v>Vergabeverfahren &amp; Angebot</v>
      </c>
      <c r="E66" s="45" t="str">
        <f aca="false">IF($R66="","",INDEX(Anforderungen!$F:$F,$R66))</f>
        <v>Klarstellung: Der Zuschlag wird nicht bereits auf die Erstangebote erteilt. Eine auf die Erstangebote bezogene Bindefrist ist daher gegenstandslos.</v>
      </c>
      <c r="F66" s="45" t="str">
        <f aca="false">IF($R66="","",INDEX(Anforderungen!$G:$G,$R66))</f>
        <v>Erster Verfahrensbrief, Formblatt A1, Fragenkatalog Nr. 61: In der Antwort auf Bieterfrage 61 ist ausgeführt, dass die Erstangebote indikativ sein werden und erst die Folgeangebote verbindlich. Unter Ziffer 3.1 des Ersten Verfahrensbriefs zum Verhandlungsverfahren heißt es entsprechend, dass der Auftraggeber den Zuschlag nicht auf das jeweils wirtschaftlichste Erstangebot erteilen wird. Unter Ziffer 4.6 des Ersten Verfahrensbriefs zum Verhandlungsverfahren heißt es allerdings, dass das Erstangebot zuschlagsfähig sein muss. Zudem soll der Bieter im Formblatt A1 – Angebotsschreiben erklären, sich bis zum Ablauf der Bindefrist an sein Erstangebot gebunden zu halten. Vor diesem Hintergrund bitten wir um Klarstellung: Ist unser Verständnis richtig, dass die Erstangebote rein indikativer Natur sind, also vom Auftraggeber unter keinen Umständen bezuschlagt werden können? Wie ist die Bindefrist zu verstehen?</v>
      </c>
      <c r="G66" s="45" t="str">
        <f aca="false">IF($R66="","",INDEX(Anforderungen!$I:$I,$R66))</f>
        <v>Autostrom+</v>
      </c>
      <c r="H66" s="45" t="str">
        <f aca="false">IF($R66="","",INDEX(Anforderungen!$J:$J,$R66))</f>
        <v>–</v>
      </c>
      <c r="I66" s="45" t="str">
        <f aca="false">IF($R66="","",INDEX(Anforderungen!$K:$K,$R66))</f>
        <v>trifft nicht zu</v>
      </c>
      <c r="J66" s="46" t="n">
        <f aca="false">IF($R66="","",INDEX(Anforderungen!$L:$L,$R66))</f>
        <v>0</v>
      </c>
      <c r="K66" s="45" t="n">
        <f aca="false">IF($R66="","",INDEX(Anforderungen!$M:$M,$R66))</f>
        <v>0</v>
      </c>
      <c r="R66" s="0" t="n">
        <f aca="false">IFERROR(MATCH(ROWS($A$14:$A66),$T$7:$T$2000,0)+6,"")</f>
        <v>59</v>
      </c>
      <c r="T66" s="0" t="n">
        <f aca="false">IF(Anforderungen!$B66="","",IF(AND(OR($B5="(alle)",Anforderungen!$K66=$B5),OR($E5="(alle)",Anforderungen!$C66=$E5),OR($H5="(alle)",Anforderungen!$E66=$H5),OR($B7="(alle)",ISNUMBER(SEARCH($B7,Anforderungen!$J66))),OR($E7="(alle)",ISNUMBER(SEARCH($E7,Anforderungen!$I66))),OR($H7="",ISNUMBER(SEARCH($H7,Anforderungen!$F66&amp;" "&amp;Anforderungen!$G66)))),COUNT($T$6:$T65)+1,""))</f>
        <v>60</v>
      </c>
    </row>
    <row r="67" customFormat="false" ht="30" hidden="false" customHeight="true" outlineLevel="0" collapsed="false">
      <c r="A67" s="45" t="str">
        <f aca="false">IF($R67="","",INDEX(Anforderungen!$B:$B,$R67))</f>
        <v>ANF-054</v>
      </c>
      <c r="B67" s="45" t="str">
        <f aca="false">IF($R67="","",INDEX(Anforderungen!$C:$C,$R67))</f>
        <v>Bieterfragenkatalog</v>
      </c>
      <c r="C67" s="45" t="str">
        <f aca="false">IF($R67="","",INDEX(Anforderungen!$D:$D,$R67))</f>
        <v>Nr. 2 / S. 1</v>
      </c>
      <c r="D67" s="45" t="str">
        <f aca="false">IF($R67="","",INDEX(Anforderungen!$E:$E,$R67))</f>
        <v>Anzeige &amp; Beschilderung</v>
      </c>
      <c r="E67" s="45" t="str">
        <f aca="false">IF($R67="","",INDEX(Anforderungen!$F:$F,$R67))</f>
        <v>Zusage / Ankündigung: Der AG beabsichtigt, die Unterlagen im weiteren Vergabeverfahren zur Verfügung zu stellen.</v>
      </c>
      <c r="F67" s="45" t="str">
        <f aca="false">IF($R67="","",INDEX(Anforderungen!$G:$G,$R67))</f>
        <v>Wann werden Anlage 04 Anhang 2 (Regelschnitt und Details für die Gestaltung der LKW- Ladeinfrastruktur) und Anlage 04 Anhang 3 (Markierungs- und Beschilderungsplan) zur Verfügung gestellt?</v>
      </c>
      <c r="G67" s="45" t="str">
        <f aca="false">IF($R67="","",INDEX(Anforderungen!$I:$I,$R67))</f>
        <v>tbd</v>
      </c>
      <c r="H67" s="45" t="str">
        <f aca="false">IF($R67="","",INDEX(Anforderungen!$J:$J,$R67))</f>
        <v>Beschilderung</v>
      </c>
      <c r="I67" s="45" t="str">
        <f aca="false">IF($R67="","",INDEX(Anforderungen!$K:$K,$R67))</f>
        <v>trifft nicht zu</v>
      </c>
      <c r="J67" s="46" t="n">
        <f aca="false">IF($R67="","",INDEX(Anforderungen!$L:$L,$R67))</f>
        <v>0</v>
      </c>
      <c r="K67" s="45" t="str">
        <f aca="false">IF($R67="","",INDEX(Anforderungen!$M:$M,$R67))</f>
        <v>Automatisch ausgewertet: Außerhalb des betrachteten Leistungsumfangs (Schranken, Kennzeichenerfassung, dynamische Anzeige).</v>
      </c>
      <c r="R67" s="0" t="n">
        <f aca="false">IFERROR(MATCH(ROWS($A$14:$A67),$T$7:$T$2000,0)+6,"")</f>
        <v>60</v>
      </c>
      <c r="T67" s="0" t="n">
        <f aca="false">IF(Anforderungen!$B67="","",IF(AND(OR($B5="(alle)",Anforderungen!$K67=$B5),OR($E5="(alle)",Anforderungen!$C67=$E5),OR($H5="(alle)",Anforderungen!$E67=$H5),OR($B7="(alle)",ISNUMBER(SEARCH($B7,Anforderungen!$J67))),OR($E7="(alle)",ISNUMBER(SEARCH($E7,Anforderungen!$I67))),OR($H7="",ISNUMBER(SEARCH($H7,Anforderungen!$F67&amp;" "&amp;Anforderungen!$G67)))),COUNT($T$6:$T66)+1,""))</f>
        <v>61</v>
      </c>
    </row>
    <row r="68" customFormat="false" ht="30" hidden="false" customHeight="true" outlineLevel="0" collapsed="false">
      <c r="A68" s="45" t="str">
        <f aca="false">IF($R68="","",INDEX(Anforderungen!$B:$B,$R68))</f>
        <v>ANF-055</v>
      </c>
      <c r="B68" s="45" t="str">
        <f aca="false">IF($R68="","",INDEX(Anforderungen!$C:$C,$R68))</f>
        <v>Bieterfragenkatalog</v>
      </c>
      <c r="C68" s="45" t="str">
        <f aca="false">IF($R68="","",INDEX(Anforderungen!$D:$D,$R68))</f>
        <v>Nr. 3 / S. 1</v>
      </c>
      <c r="D68" s="45" t="str">
        <f aca="false">IF($R68="","",INDEX(Anforderungen!$E:$E,$R68))</f>
        <v>Vertrag &amp; Recht</v>
      </c>
      <c r="E68" s="45" t="str">
        <f aca="false">IF($R68="","",INDEX(Anforderungen!$F:$F,$R68))</f>
        <v>Klarstellung: Eine entsprechende Vertragsfassung wird allen für das Verhandlungsverfahren ausgewählten Bewerbern und Bewerbergemeinschaften mit Beantwortung zur Verfügung gestellt.</v>
      </c>
      <c r="F68" s="45" t="str">
        <f aca="false">IF($R68="","",INDEX(Anforderungen!$G:$G,$R68))</f>
        <v>Wir bitte zur besseren Nachverfolgung der Unterlagenfortschreibung um Zusendung einer ChangeVersion, um nachzuvollziehen in welchen Punkte das Vertragswerk angepasst wurde.</v>
      </c>
      <c r="G68" s="45" t="str">
        <f aca="false">IF($R68="","",INDEX(Anforderungen!$I:$I,$R68))</f>
        <v>offen</v>
      </c>
      <c r="H68" s="45" t="str">
        <f aca="false">IF($R68="","",INDEX(Anforderungen!$J:$J,$R68))</f>
        <v>–</v>
      </c>
      <c r="I68" s="45" t="str">
        <f aca="false">IF($R68="","",INDEX(Anforderungen!$K:$K,$R68))</f>
        <v>trifft nicht zu</v>
      </c>
      <c r="J68" s="46" t="n">
        <f aca="false">IF($R68="","",INDEX(Anforderungen!$L:$L,$R68))</f>
        <v>0</v>
      </c>
      <c r="K68" s="45" t="str">
        <f aca="false">IF($R68="","",INDEX(Anforderungen!$M:$M,$R68))</f>
        <v>Automatisch ausgewertet: Außerhalb des betrachteten Leistungsumfangs (Schranken, Kennzeichenerfassung, dynamische Anzeige).</v>
      </c>
      <c r="R68" s="0" t="n">
        <f aca="false">IFERROR(MATCH(ROWS($A$14:$A68),$T$7:$T$2000,0)+6,"")</f>
        <v>61</v>
      </c>
      <c r="T68" s="0" t="n">
        <f aca="false">IF(Anforderungen!$B68="","",IF(AND(OR($B5="(alle)",Anforderungen!$K68=$B5),OR($E5="(alle)",Anforderungen!$C68=$E5),OR($H5="(alle)",Anforderungen!$E68=$H5),OR($B7="(alle)",ISNUMBER(SEARCH($B7,Anforderungen!$J68))),OR($E7="(alle)",ISNUMBER(SEARCH($E7,Anforderungen!$I68))),OR($H7="",ISNUMBER(SEARCH($H7,Anforderungen!$F68&amp;" "&amp;Anforderungen!$G68)))),COUNT($T$6:$T67)+1,""))</f>
        <v>62</v>
      </c>
    </row>
    <row r="69" customFormat="false" ht="30" hidden="false" customHeight="true" outlineLevel="0" collapsed="false">
      <c r="A69" s="45" t="str">
        <f aca="false">IF($R69="","",INDEX(Anforderungen!$B:$B,$R69))</f>
        <v>ANF-056</v>
      </c>
      <c r="B69" s="45" t="str">
        <f aca="false">IF($R69="","",INDEX(Anforderungen!$C:$C,$R69))</f>
        <v>Bieterfragenkatalog</v>
      </c>
      <c r="C69" s="45" t="str">
        <f aca="false">IF($R69="","",INDEX(Anforderungen!$D:$D,$R69))</f>
        <v>Nr. 4 / S. 1</v>
      </c>
      <c r="D69" s="45" t="str">
        <f aca="false">IF($R69="","",INDEX(Anforderungen!$E:$E,$R69))</f>
        <v>Vertrag &amp; Recht</v>
      </c>
      <c r="E69" s="45" t="str">
        <f aca="false">IF($R69="","",INDEX(Anforderungen!$F:$F,$R69))</f>
        <v>Zusage / Ankündigung: Anlage 9 zum Vertrag wird dem AN nach Vertragsschluss zu Verfügung gestellt (vgl. Vertragsanlage 4 LB Errichtung, S.13).</v>
      </c>
      <c r="F69" s="45" t="str">
        <f aca="false">IF($R69="","",INDEX(Anforderungen!$G:$G,$R69))</f>
        <v>Die für die zweite Phase der Ausschreibung geteilten Unterlagen enthalten NICHT die Vertragsanlagen 7 ("Logos") und 9 ("Ansprechpartner (losspezifisch)"). Wenn diese bewusst nicht geteilt werden - wann kann mit diesen gerechnet werden?</v>
      </c>
      <c r="G69" s="45" t="str">
        <f aca="false">IF($R69="","",INDEX(Anforderungen!$I:$I,$R69))</f>
        <v>offen</v>
      </c>
      <c r="H69" s="45" t="str">
        <f aca="false">IF($R69="","",INDEX(Anforderungen!$J:$J,$R69))</f>
        <v>–</v>
      </c>
      <c r="I69" s="45" t="str">
        <f aca="false">IF($R69="","",INDEX(Anforderungen!$K:$K,$R69))</f>
        <v>trifft nicht zu</v>
      </c>
      <c r="J69" s="46" t="n">
        <f aca="false">IF($R69="","",INDEX(Anforderungen!$L:$L,$R69))</f>
        <v>0</v>
      </c>
      <c r="K69" s="45" t="str">
        <f aca="false">IF($R69="","",INDEX(Anforderungen!$M:$M,$R69))</f>
        <v>Automatisch ausgewertet: Außerhalb des betrachteten Leistungsumfangs (Schranken, Kennzeichenerfassung, dynamische Anzeige).</v>
      </c>
      <c r="R69" s="0" t="n">
        <f aca="false">IFERROR(MATCH(ROWS($A$14:$A69),$T$7:$T$2000,0)+6,"")</f>
        <v>62</v>
      </c>
      <c r="T69" s="0" t="n">
        <f aca="false">IF(Anforderungen!$B69="","",IF(AND(OR($B5="(alle)",Anforderungen!$K69=$B5),OR($E5="(alle)",Anforderungen!$C69=$E5),OR($H5="(alle)",Anforderungen!$E69=$H5),OR($B7="(alle)",ISNUMBER(SEARCH($B7,Anforderungen!$J69))),OR($E7="(alle)",ISNUMBER(SEARCH($E7,Anforderungen!$I69))),OR($H7="",ISNUMBER(SEARCH($H7,Anforderungen!$F69&amp;" "&amp;Anforderungen!$G69)))),COUNT($T$6:$T68)+1,""))</f>
        <v>63</v>
      </c>
    </row>
    <row r="70" customFormat="false" ht="30" hidden="false" customHeight="true" outlineLevel="0" collapsed="false">
      <c r="A70" s="45" t="str">
        <f aca="false">IF($R70="","",INDEX(Anforderungen!$B:$B,$R70))</f>
        <v>ANF-057</v>
      </c>
      <c r="B70" s="45" t="str">
        <f aca="false">IF($R70="","",INDEX(Anforderungen!$C:$C,$R70))</f>
        <v>Bieterfragenkatalog</v>
      </c>
      <c r="C70" s="45" t="str">
        <f aca="false">IF($R70="","",INDEX(Anforderungen!$D:$D,$R70))</f>
        <v>Nr. 5 / S. 1</v>
      </c>
      <c r="D70" s="45" t="str">
        <f aca="false">IF($R70="","",INDEX(Anforderungen!$E:$E,$R70))</f>
        <v>Flächen &amp; Genehmigungen</v>
      </c>
      <c r="E70" s="45" t="str">
        <f aca="false">IF($R70="","",INDEX(Anforderungen!$F:$F,$R70))</f>
        <v>Klarstellung: Die Unterlagen Vertragsanlage 2 ("Standortübersicht (losspezifisch)") und Anlage 2 zum Verfahrensbrief ("Gesamtübersicht über die Lose") wurden entsprechend aktualisiert und stehen Ihnen in der überarbeiteten Version zur …</v>
      </c>
      <c r="F70" s="45" t="str">
        <f aca="false">IF($R70="","",INDEX(Anforderungen!$G:$G,$R70))</f>
        <v>wir bitten um Klärung der folgenden Frage betreffend Anlage 2 zum Verfahrensbrief, Vertragsanlage 2_Standortübersicht und Vertragsanlage 3. In diesen Dokumenten ergeben sich teilweise Inkonsistenzen hinsichtlich der Anzahl der Ladepunkte je Standort. Könnten Sie diese bitte erläutern? Beispiel: Los 1, Standort Schwalenberg Ost: - laut Vertragsanlage 2_Standortübersicht, Los 1 und laut Anlage 2 zum Ersten Verfahrensbrief sollen an dem Standort 1 MCS-Ladepunkt, 1 CCS (Zwischenladepunkt) aufgebaut werden - laut Anlage 3 Los 1 (Vorplanungsdokument) sollen an dem Standort 6 MCS-Ladepunkte und 30 CCS Ladepunkt aufgebaut werden (keine Unterscheidung von Zwischenladen und Übernachtladen)</v>
      </c>
      <c r="G70" s="45" t="str">
        <f aca="false">IF($R70="","",INDEX(Anforderungen!$I:$I,$R70))</f>
        <v>offen</v>
      </c>
      <c r="H70" s="45" t="str">
        <f aca="false">IF($R70="","",INDEX(Anforderungen!$J:$J,$R70))</f>
        <v>–</v>
      </c>
      <c r="I70" s="45" t="str">
        <f aca="false">IF($R70="","",INDEX(Anforderungen!$K:$K,$R70))</f>
        <v>trifft nicht zu</v>
      </c>
      <c r="J70" s="46" t="n">
        <f aca="false">IF($R70="","",INDEX(Anforderungen!$L:$L,$R70))</f>
        <v>0</v>
      </c>
      <c r="K70" s="45" t="str">
        <f aca="false">IF($R70="","",INDEX(Anforderungen!$M:$M,$R70))</f>
        <v>Automatisch ausgewertet: Außerhalb des betrachteten Leistungsumfangs (Schranken, Kennzeichenerfassung, dynamische Anzeige).</v>
      </c>
      <c r="R70" s="0" t="n">
        <f aca="false">IFERROR(MATCH(ROWS($A$14:$A70),$T$7:$T$2000,0)+6,"")</f>
        <v>63</v>
      </c>
      <c r="T70" s="0" t="n">
        <f aca="false">IF(Anforderungen!$B70="","",IF(AND(OR($B5="(alle)",Anforderungen!$K70=$B5),OR($E5="(alle)",Anforderungen!$C70=$E5),OR($H5="(alle)",Anforderungen!$E70=$H5),OR($B7="(alle)",ISNUMBER(SEARCH($B7,Anforderungen!$J70))),OR($E7="(alle)",ISNUMBER(SEARCH($E7,Anforderungen!$I70))),OR($H7="",ISNUMBER(SEARCH($H7,Anforderungen!$F70&amp;" "&amp;Anforderungen!$G70)))),COUNT($T$6:$T69)+1,""))</f>
        <v>64</v>
      </c>
    </row>
    <row r="71" customFormat="false" ht="30" hidden="false" customHeight="true" outlineLevel="0" collapsed="false">
      <c r="A71" s="45" t="str">
        <f aca="false">IF($R71="","",INDEX(Anforderungen!$B:$B,$R71))</f>
        <v>ANF-058</v>
      </c>
      <c r="B71" s="45" t="str">
        <f aca="false">IF($R71="","",INDEX(Anforderungen!$C:$C,$R71))</f>
        <v>Bieterfragenkatalog</v>
      </c>
      <c r="C71" s="45" t="str">
        <f aca="false">IF($R71="","",INDEX(Anforderungen!$D:$D,$R71))</f>
        <v>Nr. 6 / S. 1</v>
      </c>
      <c r="D71" s="45" t="str">
        <f aca="false">IF($R71="","",INDEX(Anforderungen!$E:$E,$R71))</f>
        <v>Netzanschluss &amp; Energie</v>
      </c>
      <c r="E71" s="45" t="str">
        <f aca="false">IF($R71="","",INDEX(Anforderungen!$F:$F,$R71))</f>
        <v>Klarstellung: Die Unterlagen Vertragsanlage 2 ("Standortübersicht (losspezifish)") und Anlage 2 zum Verfahrensbrief ("Gesamtübersicht über die Lose") wurden entsprechend aktualisiert und stehen Ihnen in der überarbeiteten Version zur Verfügung.</v>
      </c>
      <c r="F71" s="45" t="str">
        <f aca="false">IF($R71="","",INDEX(Anforderungen!$G:$G,$R71))</f>
        <v>Es ist aufgefallen, dass in den Standortübersichten sowie in der Gesamtübersicht über die Lose (Anlagen 02) die Angaben in den Spalten "Nr. BAB" sowie "Geogr. Länge" und "Geogr. Breite" in weiten Teilen nicht mit der jeweiligen Kennung und Bezeichnung der Rastanlage (PWC-Anlage) zusammenpassen. Wir bitten um Überprüfung. Darüber hinaus unterscheiden sich die Angaben zur jeweiligen Anzahl der Ladepunkte in den Dokumenten der Vertragsanlagen 02 und der Vertragsanlage 05. Wir bitten um Überprüfung dieses Widerspruchs. Des Weiteren bitten wir um Überprüfung der Unterlagen in "Vertragsanlage 3 - Angaben und Informationen zu den einzelnen Standorten (losspezifisch)", da die dort enthaltenen Angaben teilweise nicht mit den vorgenannten Dokumenten aus "Anlage 2" übereinstimmen. Außerdem scheint in "Anlage 3" bei der "lfd. Nr." 74 die Angabe der "Nr. BAB" fehlerhaft zu sein.</v>
      </c>
      <c r="G71" s="45" t="str">
        <f aca="false">IF($R71="","",INDEX(Anforderungen!$I:$I,$R71))</f>
        <v>offen</v>
      </c>
      <c r="H71" s="45" t="str">
        <f aca="false">IF($R71="","",INDEX(Anforderungen!$J:$J,$R71))</f>
        <v>–</v>
      </c>
      <c r="I71" s="45" t="str">
        <f aca="false">IF($R71="","",INDEX(Anforderungen!$K:$K,$R71))</f>
        <v>trifft nicht zu</v>
      </c>
      <c r="J71" s="46" t="n">
        <f aca="false">IF($R71="","",INDEX(Anforderungen!$L:$L,$R71))</f>
        <v>0</v>
      </c>
      <c r="K71" s="45" t="str">
        <f aca="false">IF($R71="","",INDEX(Anforderungen!$M:$M,$R71))</f>
        <v>Automatisch ausgewertet: Außerhalb des betrachteten Leistungsumfangs (Schranken, Kennzeichenerfassung, dynamische Anzeige).</v>
      </c>
      <c r="R71" s="0" t="n">
        <f aca="false">IFERROR(MATCH(ROWS($A$14:$A71),$T$7:$T$2000,0)+6,"")</f>
        <v>64</v>
      </c>
      <c r="T71" s="0" t="n">
        <f aca="false">IF(Anforderungen!$B71="","",IF(AND(OR($B5="(alle)",Anforderungen!$K71=$B5),OR($E5="(alle)",Anforderungen!$C71=$E5),OR($H5="(alle)",Anforderungen!$E71=$H5),OR($B7="(alle)",ISNUMBER(SEARCH($B7,Anforderungen!$J71))),OR($E7="(alle)",ISNUMBER(SEARCH($E7,Anforderungen!$I71))),OR($H7="",ISNUMBER(SEARCH($H7,Anforderungen!$F71&amp;" "&amp;Anforderungen!$G71)))),COUNT($T$6:$T70)+1,""))</f>
        <v>65</v>
      </c>
    </row>
    <row r="72" customFormat="false" ht="30" hidden="false" customHeight="true" outlineLevel="0" collapsed="false">
      <c r="A72" s="45" t="str">
        <f aca="false">IF($R72="","",INDEX(Anforderungen!$B:$B,$R72))</f>
        <v>ANF-059</v>
      </c>
      <c r="B72" s="45" t="str">
        <f aca="false">IF($R72="","",INDEX(Anforderungen!$C:$C,$R72))</f>
        <v>Bieterfragenkatalog</v>
      </c>
      <c r="C72" s="45" t="str">
        <f aca="false">IF($R72="","",INDEX(Anforderungen!$D:$D,$R72))</f>
        <v>Nr. 7 / S. 2</v>
      </c>
      <c r="D72" s="45" t="str">
        <f aca="false">IF($R72="","",INDEX(Anforderungen!$E:$E,$R72))</f>
        <v>Vergabeverfahren &amp; Angebot</v>
      </c>
      <c r="E72" s="45" t="str">
        <f aca="false">IF($R72="","",INDEX(Anforderungen!$F:$F,$R72))</f>
        <v>Klarstellung: Die Unterlagen Anlage 5 zum Verfahrensbrief wurden entsprechend aktualisiert und stehen Ihnen in der überarbeiteten Version zur Verfügung.</v>
      </c>
      <c r="F72" s="45" t="str">
        <f aca="false">IF($R72="","",INDEX(Anforderungen!$G:$G,$R72))</f>
        <v>Es ist aufgefallen, dass die Karte der Standorte fälschlicherweise als "Anlage 4 zum Verfahrensbrief" betitelt ist, während die Dateibezeichnung "Anlage 05..." ist. Wir bitten um Überprüfung. Des Weiteren bitten wir um Überprüfung der dargestellten Standorte, da mindestens 3 Standorte aus Los 4 nicht dargestellt sind.</v>
      </c>
      <c r="G72" s="45" t="str">
        <f aca="false">IF($R72="","",INDEX(Anforderungen!$I:$I,$R72))</f>
        <v>offen</v>
      </c>
      <c r="H72" s="45" t="str">
        <f aca="false">IF($R72="","",INDEX(Anforderungen!$J:$J,$R72))</f>
        <v>–</v>
      </c>
      <c r="I72" s="45" t="str">
        <f aca="false">IF($R72="","",INDEX(Anforderungen!$K:$K,$R72))</f>
        <v>trifft nicht zu</v>
      </c>
      <c r="J72" s="46" t="n">
        <f aca="false">IF($R72="","",INDEX(Anforderungen!$L:$L,$R72))</f>
        <v>0</v>
      </c>
      <c r="K72" s="45" t="str">
        <f aca="false">IF($R72="","",INDEX(Anforderungen!$M:$M,$R72))</f>
        <v>Automatisch ausgewertet: Betrifft das Vergabeverfahren (Angebot, Wertung, Unterlagen), nicht die zu erbringende Leistung. Keiner Komponente zugeordnet.</v>
      </c>
      <c r="R72" s="0" t="n">
        <f aca="false">IFERROR(MATCH(ROWS($A$14:$A72),$T$7:$T$2000,0)+6,"")</f>
        <v>65</v>
      </c>
      <c r="T72" s="0" t="n">
        <f aca="false">IF(Anforderungen!$B72="","",IF(AND(OR($B5="(alle)",Anforderungen!$K72=$B5),OR($E5="(alle)",Anforderungen!$C72=$E5),OR($H5="(alle)",Anforderungen!$E72=$H5),OR($B7="(alle)",ISNUMBER(SEARCH($B7,Anforderungen!$J72))),OR($E7="(alle)",ISNUMBER(SEARCH($E7,Anforderungen!$I72))),OR($H7="",ISNUMBER(SEARCH($H7,Anforderungen!$F72&amp;" "&amp;Anforderungen!$G72)))),COUNT($T$6:$T71)+1,""))</f>
        <v>66</v>
      </c>
    </row>
    <row r="73" customFormat="false" ht="30" hidden="false" customHeight="true" outlineLevel="0" collapsed="false">
      <c r="A73" s="45" t="str">
        <f aca="false">IF($R73="","",INDEX(Anforderungen!$B:$B,$R73))</f>
        <v>ANF-060</v>
      </c>
      <c r="B73" s="45" t="str">
        <f aca="false">IF($R73="","",INDEX(Anforderungen!$C:$C,$R73))</f>
        <v>Bieterfragenkatalog</v>
      </c>
      <c r="C73" s="45" t="str">
        <f aca="false">IF($R73="","",INDEX(Anforderungen!$D:$D,$R73))</f>
        <v>Nr. 8 / S. 2</v>
      </c>
      <c r="D73" s="45" t="str">
        <f aca="false">IF($R73="","",INDEX(Anforderungen!$E:$E,$R73))</f>
        <v>Vergabeverfahren &amp; Angebot</v>
      </c>
      <c r="E73" s="45" t="str">
        <f aca="false">IF($R73="","",INDEX(Anforderungen!$F:$F,$R73))</f>
        <v>Zusage / Ankündigung: Siehe die Antwort auf Frage 1. Die Bieter sind dennoch aufgefordert ein zuschlagsfähiges Erstangebot abzugeben.</v>
      </c>
      <c r="F73" s="45" t="str">
        <f aca="false">IF($R73="","",INDEX(Anforderungen!$G:$G,$R73))</f>
        <v>Bindung an Erstangebot: Im ersten Verfahrensbrief ist in 4.6 von der Abgabe eines "zuschlagsfähigen" Erstangebots die Rede. Wird somit in der Verhandlungsphase nur das verhandelt, was als "Verhandlungsbedarf" im Formblatt A6 explizit angemeldet wird und der Rest ist bereits bindend im Falle eines Zuschlags?</v>
      </c>
      <c r="G73" s="45" t="str">
        <f aca="false">IF($R73="","",INDEX(Anforderungen!$I:$I,$R73))</f>
        <v>offen</v>
      </c>
      <c r="H73" s="45" t="str">
        <f aca="false">IF($R73="","",INDEX(Anforderungen!$J:$J,$R73))</f>
        <v>–</v>
      </c>
      <c r="I73" s="45" t="str">
        <f aca="false">IF($R73="","",INDEX(Anforderungen!$K:$K,$R73))</f>
        <v>trifft nicht zu</v>
      </c>
      <c r="J73" s="46" t="n">
        <f aca="false">IF($R73="","",INDEX(Anforderungen!$L:$L,$R73))</f>
        <v>0</v>
      </c>
      <c r="K73" s="45" t="str">
        <f aca="false">IF($R73="","",INDEX(Anforderungen!$M:$M,$R73))</f>
        <v>Automatisch ausgewertet: Betrifft das Vergabeverfahren (Angebot, Wertung, Unterlagen), nicht die zu erbringende Leistung. Keiner Komponente zugeordnet.</v>
      </c>
      <c r="R73" s="0" t="n">
        <f aca="false">IFERROR(MATCH(ROWS($A$14:$A73),$T$7:$T$2000,0)+6,"")</f>
        <v>66</v>
      </c>
      <c r="T73" s="0" t="n">
        <f aca="false">IF(Anforderungen!$B73="","",IF(AND(OR($B5="(alle)",Anforderungen!$K73=$B5),OR($E5="(alle)",Anforderungen!$C73=$E5),OR($H5="(alle)",Anforderungen!$E73=$H5),OR($B7="(alle)",ISNUMBER(SEARCH($B7,Anforderungen!$J73))),OR($E7="(alle)",ISNUMBER(SEARCH($E7,Anforderungen!$I73))),OR($H7="",ISNUMBER(SEARCH($H7,Anforderungen!$F73&amp;" "&amp;Anforderungen!$G73)))),COUNT($T$6:$T72)+1,""))</f>
        <v>67</v>
      </c>
    </row>
    <row r="74" customFormat="false" ht="30" hidden="false" customHeight="true" outlineLevel="0" collapsed="false">
      <c r="A74" s="45" t="str">
        <f aca="false">IF($R74="","",INDEX(Anforderungen!$B:$B,$R74))</f>
        <v>ANF-061</v>
      </c>
      <c r="B74" s="45" t="str">
        <f aca="false">IF($R74="","",INDEX(Anforderungen!$C:$C,$R74))</f>
        <v>Bieterfragenkatalog</v>
      </c>
      <c r="C74" s="45" t="str">
        <f aca="false">IF($R74="","",INDEX(Anforderungen!$D:$D,$R74))</f>
        <v>Nr. 9 / S. 2</v>
      </c>
      <c r="D74" s="45" t="str">
        <f aca="false">IF($R74="","",INDEX(Anforderungen!$E:$E,$R74))</f>
        <v>Netzanschluss &amp; Energie</v>
      </c>
      <c r="E74" s="45" t="str">
        <f aca="false">IF($R74="","",INDEX(Anforderungen!$F:$F,$R74))</f>
        <v>Klarstellung: Die Pflicht, mit allen Mobilitätsdienstleistern diskriminierungsfrei Verträge zu schließen ist in §27(1) des Hauptvertrags geregelt.</v>
      </c>
      <c r="F74" s="45" t="str">
        <f aca="false">IF($R74="","",INDEX(Anforderungen!$G:$G,$R74))</f>
        <v>Müssen die Teilnehmer einen Vertrag mit jedem möglichen Mobilitätsdienstleister für das Durchleitungsmodell abschließen oder kann dies von einem einzelnen Akteur aggregiert werden? Vergleichbar mit einer Roaming-Plattform im MSP-Geschäft.</v>
      </c>
      <c r="G74" s="45" t="str">
        <f aca="false">IF($R74="","",INDEX(Anforderungen!$I:$I,$R74))</f>
        <v>eRound</v>
      </c>
      <c r="H74" s="45" t="str">
        <f aca="false">IF($R74="","",INDEX(Anforderungen!$J:$J,$R74))</f>
        <v>OCPI Buchungskalender</v>
      </c>
      <c r="I74" s="45" t="str">
        <f aca="false">IF($R74="","",INDEX(Anforderungen!$K:$K,$R74))</f>
        <v>trifft nicht zu</v>
      </c>
      <c r="J74" s="46" t="n">
        <f aca="false">IF($R74="","",INDEX(Anforderungen!$L:$L,$R74))</f>
        <v>0</v>
      </c>
      <c r="K74" s="45" t="str">
        <f aca="false">IF($R74="","",INDEX(Anforderungen!$M:$M,$R74))</f>
        <v>Automatisch ausgewertet: Außerhalb des betrachteten Leistungsumfangs (Schranken, Kennzeichenerfassung, dynamische Anzeige).</v>
      </c>
      <c r="R74" s="0" t="n">
        <f aca="false">IFERROR(MATCH(ROWS($A$14:$A74),$T$7:$T$2000,0)+6,"")</f>
        <v>67</v>
      </c>
      <c r="T74" s="0" t="n">
        <f aca="false">IF(Anforderungen!$B74="","",IF(AND(OR($B5="(alle)",Anforderungen!$K74=$B5),OR($E5="(alle)",Anforderungen!$C74=$E5),OR($H5="(alle)",Anforderungen!$E74=$H5),OR($B7="(alle)",ISNUMBER(SEARCH($B7,Anforderungen!$J74))),OR($E7="(alle)",ISNUMBER(SEARCH($E7,Anforderungen!$I74))),OR($H7="",ISNUMBER(SEARCH($H7,Anforderungen!$F74&amp;" "&amp;Anforderungen!$G74)))),COUNT($T$6:$T73)+1,""))</f>
        <v>68</v>
      </c>
    </row>
    <row r="75" customFormat="false" ht="30" hidden="false" customHeight="true" outlineLevel="0" collapsed="false">
      <c r="A75" s="45" t="str">
        <f aca="false">IF($R75="","",INDEX(Anforderungen!$B:$B,$R75))</f>
        <v>ANF-062</v>
      </c>
      <c r="B75" s="45" t="str">
        <f aca="false">IF($R75="","",INDEX(Anforderungen!$C:$C,$R75))</f>
        <v>Bieterfragenkatalog</v>
      </c>
      <c r="C75" s="45" t="str">
        <f aca="false">IF($R75="","",INDEX(Anforderungen!$D:$D,$R75))</f>
        <v>Nr. 10 / S. 2</v>
      </c>
      <c r="D75" s="45" t="str">
        <f aca="false">IF($R75="","",INDEX(Anforderungen!$E:$E,$R75))</f>
        <v>Vergabeverfahren &amp; Angebot</v>
      </c>
      <c r="E75" s="45" t="str">
        <f aca="false">IF($R75="","",INDEX(Anforderungen!$F:$F,$R75))</f>
        <v>Bestätigt: der Rastplatz mit der Kennung DE-ST-001249 ist "Brockenblick Ost".</v>
      </c>
      <c r="F75" s="45" t="str">
        <f aca="false">IF($R75="","",INDEX(Anforderungen!$G:$G,$R75))</f>
        <v>Bezieht sich "Parkplatz Brockenblick Ost" (DE-ST-001249) tatsächlich auf "Parkplatz Brocken Nord"?</v>
      </c>
      <c r="G75" s="45" t="str">
        <f aca="false">IF($R75="","",INDEX(Anforderungen!$I:$I,$R75))</f>
        <v>offen</v>
      </c>
      <c r="H75" s="45" t="str">
        <f aca="false">IF($R75="","",INDEX(Anforderungen!$J:$J,$R75))</f>
        <v>–</v>
      </c>
      <c r="I75" s="45" t="str">
        <f aca="false">IF($R75="","",INDEX(Anforderungen!$K:$K,$R75))</f>
        <v>trifft nicht zu</v>
      </c>
      <c r="J75" s="46" t="n">
        <f aca="false">IF($R75="","",INDEX(Anforderungen!$L:$L,$R75))</f>
        <v>0</v>
      </c>
      <c r="K75" s="45" t="str">
        <f aca="false">IF($R75="","",INDEX(Anforderungen!$M:$M,$R75))</f>
        <v>Automatisch ausgewertet: Betrifft das Vergabeverfahren (Angebot, Wertung, Unterlagen), nicht die zu erbringende Leistung. Keiner Komponente zugeordnet.</v>
      </c>
      <c r="R75" s="0" t="n">
        <f aca="false">IFERROR(MATCH(ROWS($A$14:$A75),$T$7:$T$2000,0)+6,"")</f>
        <v>68</v>
      </c>
      <c r="T75" s="0" t="n">
        <f aca="false">IF(Anforderungen!$B75="","",IF(AND(OR($B5="(alle)",Anforderungen!$K75=$B5),OR($E5="(alle)",Anforderungen!$C75=$E5),OR($H5="(alle)",Anforderungen!$E75=$H5),OR($B7="(alle)",ISNUMBER(SEARCH($B7,Anforderungen!$J75))),OR($E7="(alle)",ISNUMBER(SEARCH($E7,Anforderungen!$I75))),OR($H7="",ISNUMBER(SEARCH($H7,Anforderungen!$F75&amp;" "&amp;Anforderungen!$G75)))),COUNT($T$6:$T74)+1,""))</f>
        <v>69</v>
      </c>
    </row>
    <row r="76" customFormat="false" ht="30" hidden="false" customHeight="true" outlineLevel="0" collapsed="false">
      <c r="A76" s="45" t="str">
        <f aca="false">IF($R76="","",INDEX(Anforderungen!$B:$B,$R76))</f>
        <v>ANF-063</v>
      </c>
      <c r="B76" s="45" t="str">
        <f aca="false">IF($R76="","",INDEX(Anforderungen!$C:$C,$R76))</f>
        <v>Bieterfragenkatalog</v>
      </c>
      <c r="C76" s="45" t="str">
        <f aca="false">IF($R76="","",INDEX(Anforderungen!$D:$D,$R76))</f>
        <v>Nr. 11 / S. 2</v>
      </c>
      <c r="D76" s="45" t="str">
        <f aca="false">IF($R76="","",INDEX(Anforderungen!$E:$E,$R76))</f>
        <v>Netzanschluss &amp; Energie</v>
      </c>
      <c r="E76" s="45" t="str">
        <f aca="false">IF($R76="","",INDEX(Anforderungen!$F:$F,$R76))</f>
        <v>Verweis des Auftraggebers auf die Antwort zu Bieterfrage 6.</v>
      </c>
      <c r="F76" s="45" t="str">
        <f aca="false">IF($R76="","",INDEX(Anforderungen!$G:$G,$R76))</f>
        <v>Die zur Verfügung gestellten standortspezifischen Dokumente bieten keine kongruenten Informationen. Die Anzahl der CCS/MCS-Ladepunkte pro Standort ist in den Unterlagen nicht konsistent: - 20250106_Vertragsanlage 02_Standortübersicht (losspezifisch) - 20250106_Vertragsanlage 05_Details zum Netzanschluss Bitte bestätigen Sie, welche Version korrekt ist und passen Sie die Dokumente entsprechend an.</v>
      </c>
      <c r="G76" s="45" t="str">
        <f aca="false">IF($R76="","",INDEX(Anforderungen!$I:$I,$R76))</f>
        <v>offen</v>
      </c>
      <c r="H76" s="45" t="str">
        <f aca="false">IF($R76="","",INDEX(Anforderungen!$J:$J,$R76))</f>
        <v>–</v>
      </c>
      <c r="I76" s="45" t="str">
        <f aca="false">IF($R76="","",INDEX(Anforderungen!$K:$K,$R76))</f>
        <v>trifft nicht zu</v>
      </c>
      <c r="J76" s="46" t="n">
        <f aca="false">IF($R76="","",INDEX(Anforderungen!$L:$L,$R76))</f>
        <v>0</v>
      </c>
      <c r="K76" s="45" t="str">
        <f aca="false">IF($R76="","",INDEX(Anforderungen!$M:$M,$R76))</f>
        <v>Automatisch ausgewertet: Die Antwort des Auftraggebers verweist ausschließlich auf Bieterfrage 6. Keine eigenständige Anforderung – der Inhalt ist unter der dort erfassten Zeile nachzuhalten.</v>
      </c>
      <c r="R76" s="0" t="n">
        <f aca="false">IFERROR(MATCH(ROWS($A$14:$A76),$T$7:$T$2000,0)+6,"")</f>
        <v>69</v>
      </c>
      <c r="T76" s="0" t="n">
        <f aca="false">IF(Anforderungen!$B76="","",IF(AND(OR($B5="(alle)",Anforderungen!$K76=$B5),OR($E5="(alle)",Anforderungen!$C76=$E5),OR($H5="(alle)",Anforderungen!$E76=$H5),OR($B7="(alle)",ISNUMBER(SEARCH($B7,Anforderungen!$J76))),OR($E7="(alle)",ISNUMBER(SEARCH($E7,Anforderungen!$I76))),OR($H7="",ISNUMBER(SEARCH($H7,Anforderungen!$F76&amp;" "&amp;Anforderungen!$G76)))),COUNT($T$6:$T75)+1,""))</f>
        <v>70</v>
      </c>
    </row>
    <row r="77" customFormat="false" ht="30" hidden="false" customHeight="true" outlineLevel="0" collapsed="false">
      <c r="A77" s="45" t="str">
        <f aca="false">IF($R77="","",INDEX(Anforderungen!$B:$B,$R77))</f>
        <v>ANF-064</v>
      </c>
      <c r="B77" s="45" t="str">
        <f aca="false">IF($R77="","",INDEX(Anforderungen!$C:$C,$R77))</f>
        <v>Bieterfragenkatalog</v>
      </c>
      <c r="C77" s="45" t="str">
        <f aca="false">IF($R77="","",INDEX(Anforderungen!$D:$D,$R77))</f>
        <v>Nr. 12 / S. 2</v>
      </c>
      <c r="D77" s="45" t="str">
        <f aca="false">IF($R77="","",INDEX(Anforderungen!$E:$E,$R77))</f>
        <v>Bau &amp; Dokumentation</v>
      </c>
      <c r="E77" s="45" t="str">
        <f aca="false">IF($R77="","",INDEX(Anforderungen!$F:$F,$R77))</f>
        <v>Klarstellung: Siehe Anlage 1 zum Verfahrensbrief - Betreibervertrag, §39 Abs. 3: "Das Errichtungsentgelt für den betreffenden Standort wird, sofern die jeweils nachfolgenden Zahlungsvoraussetzungen vorliegen, [...] gezahlt, […]."</v>
      </c>
      <c r="F77" s="45" t="str">
        <f aca="false">IF($R77="","",INDEX(Anforderungen!$G:$G,$R77))</f>
        <v>Sie schreiben: "Der Abschluss der Errichtungsphase wird mit der Verkehrsfreigabe des letzten Standortes im Los erreicht." Werden erst im Anschluss daran die ersten 50% der Errichtungskosten aller Standorte überwiesen, oder kann man nach jeder einzelnen Errichtung bereits 50% der Errichtungskosten anfordern?</v>
      </c>
      <c r="G77" s="45" t="str">
        <f aca="false">IF($R77="","",INDEX(Anforderungen!$I:$I,$R77))</f>
        <v>offen</v>
      </c>
      <c r="H77" s="45" t="str">
        <f aca="false">IF($R77="","",INDEX(Anforderungen!$J:$J,$R77))</f>
        <v>–</v>
      </c>
      <c r="I77" s="45" t="str">
        <f aca="false">IF($R77="","",INDEX(Anforderungen!$K:$K,$R77))</f>
        <v>trifft nicht zu</v>
      </c>
      <c r="J77" s="46" t="n">
        <f aca="false">IF($R77="","",INDEX(Anforderungen!$L:$L,$R77))</f>
        <v>0</v>
      </c>
      <c r="K77" s="45" t="str">
        <f aca="false">IF($R77="","",INDEX(Anforderungen!$M:$M,$R77))</f>
        <v>Automatisch ausgewertet: Außerhalb des betrachteten Leistungsumfangs (Schranken, Kennzeichenerfassung, dynamische Anzeige).</v>
      </c>
      <c r="R77" s="0" t="n">
        <f aca="false">IFERROR(MATCH(ROWS($A$14:$A77),$T$7:$T$2000,0)+6,"")</f>
        <v>70</v>
      </c>
      <c r="T77" s="0" t="n">
        <f aca="false">IF(Anforderungen!$B77="","",IF(AND(OR($B5="(alle)",Anforderungen!$K77=$B5),OR($E5="(alle)",Anforderungen!$C77=$E5),OR($H5="(alle)",Anforderungen!$E77=$H5),OR($B7="(alle)",ISNUMBER(SEARCH($B7,Anforderungen!$J77))),OR($E7="(alle)",ISNUMBER(SEARCH($E7,Anforderungen!$I77))),OR($H7="",ISNUMBER(SEARCH($H7,Anforderungen!$F77&amp;" "&amp;Anforderungen!$G77)))),COUNT($T$6:$T76)+1,""))</f>
        <v>71</v>
      </c>
    </row>
    <row r="78" customFormat="false" ht="30" hidden="false" customHeight="true" outlineLevel="0" collapsed="false">
      <c r="A78" s="45" t="str">
        <f aca="false">IF($R78="","",INDEX(Anforderungen!$B:$B,$R78))</f>
        <v>ANF-065</v>
      </c>
      <c r="B78" s="45" t="str">
        <f aca="false">IF($R78="","",INDEX(Anforderungen!$C:$C,$R78))</f>
        <v>Bieterfragenkatalog</v>
      </c>
      <c r="C78" s="45" t="str">
        <f aca="false">IF($R78="","",INDEX(Anforderungen!$D:$D,$R78))</f>
        <v>Nr. 13 / S. 2</v>
      </c>
      <c r="D78" s="45" t="str">
        <f aca="false">IF($R78="","",INDEX(Anforderungen!$E:$E,$R78))</f>
        <v>Vergabeverfahren &amp; Angebot</v>
      </c>
      <c r="E78" s="45" t="str">
        <f aca="false">IF($R78="","",INDEX(Anforderungen!$F:$F,$R78))</f>
        <v>Verweis des Auftraggebers auf die Antwort zu Bieterfrage 1.</v>
      </c>
      <c r="F78" s="45" t="str">
        <f aca="false">IF($R78="","",INDEX(Anforderungen!$G:$G,$R78))</f>
        <v>Nach Ablauf der Angebotsfrist bleibt der Bieter bis zum Ablauf der vom öffentlichen Auftraggeber festgelegten Bindefrist an sein Angebot gebunden." Inwiefern ist damit das Erstangebot bindend?</v>
      </c>
      <c r="G78" s="45" t="str">
        <f aca="false">IF($R78="","",INDEX(Anforderungen!$I:$I,$R78))</f>
        <v>offen</v>
      </c>
      <c r="H78" s="45" t="str">
        <f aca="false">IF($R78="","",INDEX(Anforderungen!$J:$J,$R78))</f>
        <v>–</v>
      </c>
      <c r="I78" s="45" t="str">
        <f aca="false">IF($R78="","",INDEX(Anforderungen!$K:$K,$R78))</f>
        <v>trifft nicht zu</v>
      </c>
      <c r="J78" s="46" t="n">
        <f aca="false">IF($R78="","",INDEX(Anforderungen!$L:$L,$R78))</f>
        <v>0</v>
      </c>
      <c r="K78" s="45" t="str">
        <f aca="false">IF($R78="","",INDEX(Anforderungen!$M:$M,$R78))</f>
        <v>Automatisch ausgewertet: Die Antwort des Auftraggebers verweist ausschließlich auf Bieterfrage 1. Keine eigenständige Anforderung – der Inhalt ist unter der dort erfassten Zeile nachzuhalten.</v>
      </c>
      <c r="R78" s="0" t="n">
        <f aca="false">IFERROR(MATCH(ROWS($A$14:$A78),$T$7:$T$2000,0)+6,"")</f>
        <v>71</v>
      </c>
      <c r="T78" s="0" t="n">
        <f aca="false">IF(Anforderungen!$B78="","",IF(AND(OR($B5="(alle)",Anforderungen!$K78=$B5),OR($E5="(alle)",Anforderungen!$C78=$E5),OR($H5="(alle)",Anforderungen!$E78=$H5),OR($B7="(alle)",ISNUMBER(SEARCH($B7,Anforderungen!$J78))),OR($E7="(alle)",ISNUMBER(SEARCH($E7,Anforderungen!$I78))),OR($H7="",ISNUMBER(SEARCH($H7,Anforderungen!$F78&amp;" "&amp;Anforderungen!$G78)))),COUNT($T$6:$T77)+1,""))</f>
        <v>72</v>
      </c>
    </row>
    <row r="79" customFormat="false" ht="30" hidden="false" customHeight="true" outlineLevel="0" collapsed="false">
      <c r="A79" s="45" t="str">
        <f aca="false">IF($R79="","",INDEX(Anforderungen!$B:$B,$R79))</f>
        <v>ANF-066</v>
      </c>
      <c r="B79" s="45" t="str">
        <f aca="false">IF($R79="","",INDEX(Anforderungen!$C:$C,$R79))</f>
        <v>Bieterfragenkatalog</v>
      </c>
      <c r="C79" s="45" t="str">
        <f aca="false">IF($R79="","",INDEX(Anforderungen!$D:$D,$R79))</f>
        <v>Nr. 14 / S. 2</v>
      </c>
      <c r="D79" s="45" t="str">
        <f aca="false">IF($R79="","",INDEX(Anforderungen!$E:$E,$R79))</f>
        <v>Reservierung</v>
      </c>
      <c r="E79" s="45" t="str">
        <f aca="false">IF($R79="","",INDEX(Anforderungen!$F:$F,$R79))</f>
        <v>Klarstellung: Etwaige IT Entwicklungskosten sind im Betreiberentgelt kalkulieren. Soweit das Vorgehen als unzweckmäßig erachtet wird, kann dies im Rahmen des Verhanldungsbedarfs (Formblatt A6) an den AG addressiert werden.</v>
      </c>
      <c r="F79" s="45" t="str">
        <f aca="false">IF($R79="","",INDEX(Anforderungen!$G:$G,$R79))</f>
        <v>In welcher Kostenposition Ihrer Vorlage werden IT Entwicklungskosten für die Entwicklung von bspw. Reservierungstool und Durchleitungsmodell hinterlegt?</v>
      </c>
      <c r="G79" s="45" t="str">
        <f aca="false">IF($R79="","",INDEX(Anforderungen!$I:$I,$R79))</f>
        <v>eRound</v>
      </c>
      <c r="H79" s="45" t="str">
        <f aca="false">IF($R79="","",INDEX(Anforderungen!$J:$J,$R79))</f>
        <v>OCPI Buchungskalender</v>
      </c>
      <c r="I79" s="45" t="str">
        <f aca="false">IF($R79="","",INDEX(Anforderungen!$K:$K,$R79))</f>
        <v>trifft nicht zu</v>
      </c>
      <c r="J79" s="46" t="n">
        <f aca="false">IF($R79="","",INDEX(Anforderungen!$L:$L,$R79))</f>
        <v>0</v>
      </c>
      <c r="K79" s="45" t="str">
        <f aca="false">IF($R79="","",INDEX(Anforderungen!$M:$M,$R79))</f>
        <v>Automatisch ausgewertet: Außerhalb des betrachteten Leistungsumfangs (Schranken, Kennzeichenerfassung, dynamische Anzeige).</v>
      </c>
      <c r="R79" s="0" t="n">
        <f aca="false">IFERROR(MATCH(ROWS($A$14:$A79),$T$7:$T$2000,0)+6,"")</f>
        <v>72</v>
      </c>
      <c r="T79" s="0" t="n">
        <f aca="false">IF(Anforderungen!$B79="","",IF(AND(OR($B5="(alle)",Anforderungen!$K79=$B5),OR($E5="(alle)",Anforderungen!$C79=$E5),OR($H5="(alle)",Anforderungen!$E79=$H5),OR($B7="(alle)",ISNUMBER(SEARCH($B7,Anforderungen!$J79))),OR($E7="(alle)",ISNUMBER(SEARCH($E7,Anforderungen!$I79))),OR($H7="",ISNUMBER(SEARCH($H7,Anforderungen!$F79&amp;" "&amp;Anforderungen!$G79)))),COUNT($T$6:$T78)+1,""))</f>
        <v>73</v>
      </c>
    </row>
    <row r="80" customFormat="false" ht="30" hidden="false" customHeight="true" outlineLevel="0" collapsed="false">
      <c r="A80" s="45" t="str">
        <f aca="false">IF($R80="","",INDEX(Anforderungen!$B:$B,$R80))</f>
        <v>ANF-067</v>
      </c>
      <c r="B80" s="45" t="str">
        <f aca="false">IF($R80="","",INDEX(Anforderungen!$C:$C,$R80))</f>
        <v>Bieterfragenkatalog</v>
      </c>
      <c r="C80" s="45" t="str">
        <f aca="false">IF($R80="","",INDEX(Anforderungen!$D:$D,$R80))</f>
        <v>Nr. 15 / S. 2</v>
      </c>
      <c r="D80" s="45" t="str">
        <f aca="false">IF($R80="","",INDEX(Anforderungen!$E:$E,$R80))</f>
        <v>Netzanschluss &amp; Energie</v>
      </c>
      <c r="E80" s="45" t="str">
        <f aca="false">IF($R80="","",INDEX(Anforderungen!$F:$F,$R80))</f>
        <v>Klarstellung: Die Verlustenergie wäre nach den aktuellen vertraglichen Regelungen im Angebot in das Betreiberentgelt einzupreisen.</v>
      </c>
      <c r="F80" s="45" t="str">
        <f aca="false">IF($R80="","",INDEX(Anforderungen!$G:$G,$R80))</f>
        <v>In welchem Kostenposten wird die im Durchleitungsmodell auftretende Verlustenergie hinterlegt? Derzeit schätzen wir die Kosten dafür auf 2-stellige Millionenbeträge pro Jahr.</v>
      </c>
      <c r="G80" s="45" t="str">
        <f aca="false">IF($R80="","",INDEX(Anforderungen!$I:$I,$R80))</f>
        <v>offen</v>
      </c>
      <c r="H80" s="45" t="str">
        <f aca="false">IF($R80="","",INDEX(Anforderungen!$J:$J,$R80))</f>
        <v>–</v>
      </c>
      <c r="I80" s="45" t="str">
        <f aca="false">IF($R80="","",INDEX(Anforderungen!$K:$K,$R80))</f>
        <v>trifft nicht zu</v>
      </c>
      <c r="J80" s="46" t="n">
        <f aca="false">IF($R80="","",INDEX(Anforderungen!$L:$L,$R80))</f>
        <v>0</v>
      </c>
      <c r="K80" s="45" t="str">
        <f aca="false">IF($R80="","",INDEX(Anforderungen!$M:$M,$R80))</f>
        <v>Automatisch ausgewertet: Außerhalb des betrachteten Leistungsumfangs (Schranken, Kennzeichenerfassung, dynamische Anzeige).</v>
      </c>
      <c r="R80" s="0" t="n">
        <f aca="false">IFERROR(MATCH(ROWS($A$14:$A80),$T$7:$T$2000,0)+6,"")</f>
        <v>73</v>
      </c>
      <c r="T80" s="0" t="n">
        <f aca="false">IF(Anforderungen!$B80="","",IF(AND(OR($B5="(alle)",Anforderungen!$K80=$B5),OR($E5="(alle)",Anforderungen!$C80=$E5),OR($H5="(alle)",Anforderungen!$E80=$H5),OR($B7="(alle)",ISNUMBER(SEARCH($B7,Anforderungen!$J80))),OR($E7="(alle)",ISNUMBER(SEARCH($E7,Anforderungen!$I80))),OR($H7="",ISNUMBER(SEARCH($H7,Anforderungen!$F80&amp;" "&amp;Anforderungen!$G80)))),COUNT($T$6:$T79)+1,""))</f>
        <v>74</v>
      </c>
    </row>
    <row r="81" customFormat="false" ht="30" hidden="false" customHeight="true" outlineLevel="0" collapsed="false">
      <c r="A81" s="45" t="str">
        <f aca="false">IF($R81="","",INDEX(Anforderungen!$B:$B,$R81))</f>
        <v>ANF-068</v>
      </c>
      <c r="B81" s="45" t="str">
        <f aca="false">IF($R81="","",INDEX(Anforderungen!$C:$C,$R81))</f>
        <v>Bieterfragenkatalog</v>
      </c>
      <c r="C81" s="45" t="str">
        <f aca="false">IF($R81="","",INDEX(Anforderungen!$D:$D,$R81))</f>
        <v>Nr. 16 / S. 2</v>
      </c>
      <c r="D81" s="45" t="str">
        <f aca="false">IF($R81="","",INDEX(Anforderungen!$E:$E,$R81))</f>
        <v>Netzanschluss &amp; Energie</v>
      </c>
      <c r="E81" s="45" t="str">
        <f aca="false">IF($R81="","",INDEX(Anforderungen!$F:$F,$R81))</f>
        <v>Klarstellung: Die bilanzielle Zuordnung der Energie im Durchleitungsmodell erfolgt über eine Zuordnungsermächtigung des EMP/MSP zu einem Bilanzkreis.</v>
      </c>
      <c r="F81" s="45" t="str">
        <f aca="false">IF($R81="","",INDEX(Anforderungen!$G:$G,$R81))</f>
        <v>In welchem Kostenposten werden Risikopositionen zu Lieferantenausfällen beim Durchleitungsmodell hinterlegt? Diese sind auslastungsabhängig und somit nicht prognostizierbar.</v>
      </c>
      <c r="G81" s="45" t="str">
        <f aca="false">IF($R81="","",INDEX(Anforderungen!$I:$I,$R81))</f>
        <v>offen</v>
      </c>
      <c r="H81" s="45" t="str">
        <f aca="false">IF($R81="","",INDEX(Anforderungen!$J:$J,$R81))</f>
        <v>–</v>
      </c>
      <c r="I81" s="45" t="str">
        <f aca="false">IF($R81="","",INDEX(Anforderungen!$K:$K,$R81))</f>
        <v>trifft nicht zu</v>
      </c>
      <c r="J81" s="46" t="n">
        <f aca="false">IF($R81="","",INDEX(Anforderungen!$L:$L,$R81))</f>
        <v>0</v>
      </c>
      <c r="K81" s="45" t="str">
        <f aca="false">IF($R81="","",INDEX(Anforderungen!$M:$M,$R81))</f>
        <v>Automatisch ausgewertet: Außerhalb des betrachteten Leistungsumfangs (Schranken, Kennzeichenerfassung, dynamische Anzeige).</v>
      </c>
      <c r="R81" s="0" t="n">
        <f aca="false">IFERROR(MATCH(ROWS($A$14:$A81),$T$7:$T$2000,0)+6,"")</f>
        <v>74</v>
      </c>
      <c r="T81" s="0" t="n">
        <f aca="false">IF(Anforderungen!$B81="","",IF(AND(OR($B5="(alle)",Anforderungen!$K81=$B5),OR($E5="(alle)",Anforderungen!$C81=$E5),OR($H5="(alle)",Anforderungen!$E81=$H5),OR($B7="(alle)",ISNUMBER(SEARCH($B7,Anforderungen!$J81))),OR($E7="(alle)",ISNUMBER(SEARCH($E7,Anforderungen!$I81))),OR($H7="",ISNUMBER(SEARCH($H7,Anforderungen!$F81&amp;" "&amp;Anforderungen!$G81)))),COUNT($T$6:$T80)+1,""))</f>
        <v>75</v>
      </c>
    </row>
    <row r="82" customFormat="false" ht="30" hidden="false" customHeight="true" outlineLevel="0" collapsed="false">
      <c r="A82" s="45" t="str">
        <f aca="false">IF($R82="","",INDEX(Anforderungen!$B:$B,$R82))</f>
        <v>ANF-069</v>
      </c>
      <c r="B82" s="45" t="str">
        <f aca="false">IF($R82="","",INDEX(Anforderungen!$C:$C,$R82))</f>
        <v>Bieterfragenkatalog</v>
      </c>
      <c r="C82" s="45" t="str">
        <f aca="false">IF($R82="","",INDEX(Anforderungen!$D:$D,$R82))</f>
        <v>Nr. 17 / S. 2</v>
      </c>
      <c r="D82" s="45" t="str">
        <f aca="false">IF($R82="","",INDEX(Anforderungen!$E:$E,$R82))</f>
        <v>Netzanschluss &amp; Energie</v>
      </c>
      <c r="E82" s="45" t="str">
        <f aca="false">IF($R82="","",INDEX(Anforderungen!$F:$F,$R82))</f>
        <v>Klarstellung: Alle Standorte sind mit der ausgeschriebenen Anzahl an Ladepunkten zu errichten. Soweit die Netzanschlusskapazität an einzelnen Standorten nicht (rechtzeitig) vorliegt, kann der AG an diesen Standorten einen die …</v>
      </c>
      <c r="F82" s="45" t="str">
        <f aca="false">IF($R82="","",INDEX(Anforderungen!$G:$G,$R82))</f>
        <v>Sollen die Standorte mit dem Komplettsetup errichtet werden, ohne dass der endgültige Netzanschluss vorliegt? In diesem Fall können die Leistungsvorgaben der Ausschreibung nicht erfüllt werden.</v>
      </c>
      <c r="G82" s="45" t="str">
        <f aca="false">IF($R82="","",INDEX(Anforderungen!$I:$I,$R82))</f>
        <v>offen</v>
      </c>
      <c r="H82" s="45" t="str">
        <f aca="false">IF($R82="","",INDEX(Anforderungen!$J:$J,$R82))</f>
        <v>–</v>
      </c>
      <c r="I82" s="45" t="str">
        <f aca="false">IF($R82="","",INDEX(Anforderungen!$K:$K,$R82))</f>
        <v>trifft nicht zu</v>
      </c>
      <c r="J82" s="46" t="n">
        <f aca="false">IF($R82="","",INDEX(Anforderungen!$L:$L,$R82))</f>
        <v>0</v>
      </c>
      <c r="K82" s="45" t="n">
        <f aca="false">IF($R82="","",INDEX(Anforderungen!$M:$M,$R82))</f>
        <v>0</v>
      </c>
      <c r="R82" s="0" t="n">
        <f aca="false">IFERROR(MATCH(ROWS($A$14:$A82),$T$7:$T$2000,0)+6,"")</f>
        <v>75</v>
      </c>
      <c r="T82" s="0" t="n">
        <f aca="false">IF(Anforderungen!$B82="","",IF(AND(OR($B5="(alle)",Anforderungen!$K82=$B5),OR($E5="(alle)",Anforderungen!$C82=$E5),OR($H5="(alle)",Anforderungen!$E82=$H5),OR($B7="(alle)",ISNUMBER(SEARCH($B7,Anforderungen!$J82))),OR($E7="(alle)",ISNUMBER(SEARCH($E7,Anforderungen!$I82))),OR($H7="",ISNUMBER(SEARCH($H7,Anforderungen!$F82&amp;" "&amp;Anforderungen!$G82)))),COUNT($T$6:$T81)+1,""))</f>
        <v>76</v>
      </c>
    </row>
    <row r="83" customFormat="false" ht="30" hidden="false" customHeight="true" outlineLevel="0" collapsed="false">
      <c r="A83" s="45" t="str">
        <f aca="false">IF($R83="","",INDEX(Anforderungen!$B:$B,$R83))</f>
        <v>ANF-070</v>
      </c>
      <c r="B83" s="45" t="str">
        <f aca="false">IF($R83="","",INDEX(Anforderungen!$C:$C,$R83))</f>
        <v>Bieterfragenkatalog</v>
      </c>
      <c r="C83" s="45" t="str">
        <f aca="false">IF($R83="","",INDEX(Anforderungen!$D:$D,$R83))</f>
        <v>Nr. 18 / S. 2</v>
      </c>
      <c r="D83" s="45" t="str">
        <f aca="false">IF($R83="","",INDEX(Anforderungen!$E:$E,$R83))</f>
        <v>Nutzungszeit &amp; Entgelte</v>
      </c>
      <c r="E83" s="45" t="str">
        <f aca="false">IF($R83="","",INDEX(Anforderungen!$F:$F,$R83))</f>
        <v>Klarstellung: Der Betreiber kann diese Kosten bei der Kalkulation seines EMP-Entgelts bzw. seines Ad hoc - Ladetarifs berücksichtigten.</v>
      </c>
      <c r="F83" s="45" t="str">
        <f aca="false">IF($R83="","",INDEX(Anforderungen!$G:$G,$R83))</f>
        <v>Wie wird im Zusammenhang mit Verlustenergien mit nicht absehbaren Veränderungen und damit einhergehenden regulatorischen Änderungen umgegangen (z.B. dynamische Netzentgelte oder neue Strompreiszonen)? Sollen diese Risiken im Angebot berücksichtigt werden oder können hier steigende Kosten auch im Laufe des Betriebes an den Bund weitergereicht werden?</v>
      </c>
      <c r="G83" s="45" t="str">
        <f aca="false">IF($R83="","",INDEX(Anforderungen!$I:$I,$R83))</f>
        <v>eRound</v>
      </c>
      <c r="H83" s="45" t="str">
        <f aca="false">IF($R83="","",INDEX(Anforderungen!$J:$J,$R83))</f>
        <v>Abrechnungskomponente</v>
      </c>
      <c r="I83" s="45" t="str">
        <f aca="false">IF($R83="","",INDEX(Anforderungen!$K:$K,$R83))</f>
        <v>trifft nicht zu</v>
      </c>
      <c r="J83" s="46" t="n">
        <f aca="false">IF($R83="","",INDEX(Anforderungen!$L:$L,$R83))</f>
        <v>0</v>
      </c>
      <c r="K83" s="45" t="str">
        <f aca="false">IF($R83="","",INDEX(Anforderungen!$M:$M,$R83))</f>
        <v>Automatisch ausgewertet: Außerhalb des betrachteten Leistungsumfangs (Schranken, Kennzeichenerfassung, dynamische Anzeige).</v>
      </c>
      <c r="R83" s="0" t="n">
        <f aca="false">IFERROR(MATCH(ROWS($A$14:$A83),$T$7:$T$2000,0)+6,"")</f>
        <v>76</v>
      </c>
      <c r="T83" s="0" t="n">
        <f aca="false">IF(Anforderungen!$B83="","",IF(AND(OR($B5="(alle)",Anforderungen!$K83=$B5),OR($E5="(alle)",Anforderungen!$C83=$E5),OR($H5="(alle)",Anforderungen!$E83=$H5),OR($B7="(alle)",ISNUMBER(SEARCH($B7,Anforderungen!$J83))),OR($E7="(alle)",ISNUMBER(SEARCH($E7,Anforderungen!$I83))),OR($H7="",ISNUMBER(SEARCH($H7,Anforderungen!$F83&amp;" "&amp;Anforderungen!$G83)))),COUNT($T$6:$T82)+1,""))</f>
        <v>77</v>
      </c>
    </row>
    <row r="84" customFormat="false" ht="30" hidden="false" customHeight="true" outlineLevel="0" collapsed="false">
      <c r="A84" s="45" t="str">
        <f aca="false">IF($R84="","",INDEX(Anforderungen!$B:$B,$R84))</f>
        <v>ANF-071</v>
      </c>
      <c r="B84" s="45" t="str">
        <f aca="false">IF($R84="","",INDEX(Anforderungen!$C:$C,$R84))</f>
        <v>Bieterfragenkatalog</v>
      </c>
      <c r="C84" s="45" t="str">
        <f aca="false">IF($R84="","",INDEX(Anforderungen!$D:$D,$R84))</f>
        <v>Nr. 19 / S. 2</v>
      </c>
      <c r="D84" s="45" t="str">
        <f aca="false">IF($R84="","",INDEX(Anforderungen!$E:$E,$R84))</f>
        <v>Vertrag &amp; Recht</v>
      </c>
      <c r="E84" s="45" t="str">
        <f aca="false">IF($R84="","",INDEX(Anforderungen!$F:$F,$R84))</f>
        <v>Klarstellung: Eine Anpassung des Beginns der Vertragslaufzeit auf Zeitpunkt der Inbetriebnahme der Standorte ist nicht vorgesehen.</v>
      </c>
      <c r="F84" s="45" t="str">
        <f aca="false">IF($R84="","",INDEX(Anforderungen!$G:$G,$R84))</f>
        <v>Die Laufzeit beträgt weiterhin 8 Jahre ab Loszuschlag, also voraussichtlich bis 2033? Ein großteil der Standorte muss erst 2029 und 2030 gebaut werden. Die tatsächliche Laufzeit würde für diese Standorte nur 3-4 Jahre betragen. Erwägen Sie die Option, dass die Vertragslaufzeit ab Inbetriebnahme der Standorte startet?</v>
      </c>
      <c r="G84" s="45" t="str">
        <f aca="false">IF($R84="","",INDEX(Anforderungen!$I:$I,$R84))</f>
        <v>offen</v>
      </c>
      <c r="H84" s="45" t="str">
        <f aca="false">IF($R84="","",INDEX(Anforderungen!$J:$J,$R84))</f>
        <v>–</v>
      </c>
      <c r="I84" s="45" t="str">
        <f aca="false">IF($R84="","",INDEX(Anforderungen!$K:$K,$R84))</f>
        <v>trifft nicht zu</v>
      </c>
      <c r="J84" s="46" t="n">
        <f aca="false">IF($R84="","",INDEX(Anforderungen!$L:$L,$R84))</f>
        <v>0</v>
      </c>
      <c r="K84" s="45" t="str">
        <f aca="false">IF($R84="","",INDEX(Anforderungen!$M:$M,$R84))</f>
        <v>Automatisch ausgewertet: Außerhalb des betrachteten Leistungsumfangs (Schranken, Kennzeichenerfassung, dynamische Anzeige).</v>
      </c>
      <c r="R84" s="0" t="n">
        <f aca="false">IFERROR(MATCH(ROWS($A$14:$A84),$T$7:$T$2000,0)+6,"")</f>
        <v>77</v>
      </c>
      <c r="T84" s="0" t="n">
        <f aca="false">IF(Anforderungen!$B84="","",IF(AND(OR($B5="(alle)",Anforderungen!$K84=$B5),OR($E5="(alle)",Anforderungen!$C84=$E5),OR($H5="(alle)",Anforderungen!$E84=$H5),OR($B7="(alle)",ISNUMBER(SEARCH($B7,Anforderungen!$J84))),OR($E7="(alle)",ISNUMBER(SEARCH($E7,Anforderungen!$I84))),OR($H7="",ISNUMBER(SEARCH($H7,Anforderungen!$F84&amp;" "&amp;Anforderungen!$G84)))),COUNT($T$6:$T83)+1,""))</f>
        <v>78</v>
      </c>
    </row>
    <row r="85" customFormat="false" ht="30" hidden="false" customHeight="true" outlineLevel="0" collapsed="false">
      <c r="A85" s="45" t="str">
        <f aca="false">IF($R85="","",INDEX(Anforderungen!$B:$B,$R85))</f>
        <v>ANF-072</v>
      </c>
      <c r="B85" s="45" t="str">
        <f aca="false">IF($R85="","",INDEX(Anforderungen!$C:$C,$R85))</f>
        <v>Bieterfragenkatalog</v>
      </c>
      <c r="C85" s="45" t="str">
        <f aca="false">IF($R85="","",INDEX(Anforderungen!$D:$D,$R85))</f>
        <v>Nr. 20 / S. 2</v>
      </c>
      <c r="D85" s="45" t="str">
        <f aca="false">IF($R85="","",INDEX(Anforderungen!$E:$E,$R85))</f>
        <v>Vertrag &amp; Recht</v>
      </c>
      <c r="E85" s="45" t="str">
        <f aca="false">IF($R85="","",INDEX(Anforderungen!$F:$F,$R85))</f>
        <v>Verweis des Auftraggebers auf die Antwort zu Bieterfrage 5.</v>
      </c>
      <c r="F85" s="45" t="str">
        <f aca="false">IF($R85="","",INDEX(Anforderungen!$G:$G,$R85))</f>
        <v>Viele der Geokoordinaten in Vertragsanlage 2 und Anlage 2 zum Verfahrensbrief stimmen nicht mit den Rastplätzen überein. Wir bitten Sie, zu spezifizieren welche Angabe massgeblich ist und die unzutreffenden Angaben zu korrigieren.</v>
      </c>
      <c r="G85" s="45" t="str">
        <f aca="false">IF($R85="","",INDEX(Anforderungen!$I:$I,$R85))</f>
        <v>offen</v>
      </c>
      <c r="H85" s="45" t="str">
        <f aca="false">IF($R85="","",INDEX(Anforderungen!$J:$J,$R85))</f>
        <v>–</v>
      </c>
      <c r="I85" s="45" t="str">
        <f aca="false">IF($R85="","",INDEX(Anforderungen!$K:$K,$R85))</f>
        <v>trifft nicht zu</v>
      </c>
      <c r="J85" s="46" t="n">
        <f aca="false">IF($R85="","",INDEX(Anforderungen!$L:$L,$R85))</f>
        <v>0</v>
      </c>
      <c r="K85" s="45" t="str">
        <f aca="false">IF($R85="","",INDEX(Anforderungen!$M:$M,$R85))</f>
        <v>Automatisch ausgewertet: Die Antwort des Auftraggebers verweist ausschließlich auf Bieterfrage 5. Keine eigenständige Anforderung – der Inhalt ist unter der dort erfassten Zeile nachzuhalten.</v>
      </c>
      <c r="R85" s="0" t="n">
        <f aca="false">IFERROR(MATCH(ROWS($A$14:$A85),$T$7:$T$2000,0)+6,"")</f>
        <v>78</v>
      </c>
      <c r="T85" s="0" t="n">
        <f aca="false">IF(Anforderungen!$B85="","",IF(AND(OR($B5="(alle)",Anforderungen!$K85=$B5),OR($E5="(alle)",Anforderungen!$C85=$E5),OR($H5="(alle)",Anforderungen!$E85=$H5),OR($B7="(alle)",ISNUMBER(SEARCH($B7,Anforderungen!$J85))),OR($E7="(alle)",ISNUMBER(SEARCH($E7,Anforderungen!$I85))),OR($H7="",ISNUMBER(SEARCH($H7,Anforderungen!$F85&amp;" "&amp;Anforderungen!$G85)))),COUNT($T$6:$T84)+1,""))</f>
        <v>79</v>
      </c>
    </row>
    <row r="86" customFormat="false" ht="30" hidden="false" customHeight="true" outlineLevel="0" collapsed="false">
      <c r="A86" s="45" t="str">
        <f aca="false">IF($R86="","",INDEX(Anforderungen!$B:$B,$R86))</f>
        <v>ANF-073</v>
      </c>
      <c r="B86" s="45" t="str">
        <f aca="false">IF($R86="","",INDEX(Anforderungen!$C:$C,$R86))</f>
        <v>Bieterfragenkatalog</v>
      </c>
      <c r="C86" s="45" t="str">
        <f aca="false">IF($R86="","",INDEX(Anforderungen!$D:$D,$R86))</f>
        <v>Nr. 21 / S. 2</v>
      </c>
      <c r="D86" s="45" t="str">
        <f aca="false">IF($R86="","",INDEX(Anforderungen!$E:$E,$R86))</f>
        <v>Vertrag &amp; Recht</v>
      </c>
      <c r="E86" s="45" t="str">
        <f aca="false">IF($R86="","",INDEX(Anforderungen!$F:$F,$R86))</f>
        <v>Klarstellung: Die Angaben der Vertragsanlage 03 sind im Fall des Rastplatzes DE-BW-006550 Eichhäuser Hof nicht korrekt.</v>
      </c>
      <c r="F86" s="45" t="str">
        <f aca="false">IF($R86="","",INDEX(Anforderungen!$G:$G,$R86))</f>
        <v>In Vertragsanlage 3 steht bei DE-BW-006550 Rastplatz Eichhäuser Hof, dass kein WC vorhanden ist. Jedoch sieht es in einschlägigen Karten-/Bewertungsdiensten danach aus, dass ein WC vorhanden und benutzbar ist. Liegt hier ein Fehler vor? Bitte spezifizieren Sie welche Information richtig ist.</v>
      </c>
      <c r="G86" s="45" t="str">
        <f aca="false">IF($R86="","",INDEX(Anforderungen!$I:$I,$R86))</f>
        <v>offen</v>
      </c>
      <c r="H86" s="45" t="str">
        <f aca="false">IF($R86="","",INDEX(Anforderungen!$J:$J,$R86))</f>
        <v>–</v>
      </c>
      <c r="I86" s="45" t="str">
        <f aca="false">IF($R86="","",INDEX(Anforderungen!$K:$K,$R86))</f>
        <v>trifft nicht zu</v>
      </c>
      <c r="J86" s="46" t="n">
        <f aca="false">IF($R86="","",INDEX(Anforderungen!$L:$L,$R86))</f>
        <v>0</v>
      </c>
      <c r="K86" s="45" t="str">
        <f aca="false">IF($R86="","",INDEX(Anforderungen!$M:$M,$R86))</f>
        <v>Automatisch ausgewertet: Außerhalb des betrachteten Leistungsumfangs (Schranken, Kennzeichenerfassung, dynamische Anzeige).</v>
      </c>
      <c r="R86" s="0" t="n">
        <f aca="false">IFERROR(MATCH(ROWS($A$14:$A86),$T$7:$T$2000,0)+6,"")</f>
        <v>79</v>
      </c>
      <c r="T86" s="0" t="n">
        <f aca="false">IF(Anforderungen!$B86="","",IF(AND(OR($B5="(alle)",Anforderungen!$K86=$B5),OR($E5="(alle)",Anforderungen!$C86=$E5),OR($H5="(alle)",Anforderungen!$E86=$H5),OR($B7="(alle)",ISNUMBER(SEARCH($B7,Anforderungen!$J86))),OR($E7="(alle)",ISNUMBER(SEARCH($E7,Anforderungen!$I86))),OR($H7="",ISNUMBER(SEARCH($H7,Anforderungen!$F86&amp;" "&amp;Anforderungen!$G86)))),COUNT($T$6:$T85)+1,""))</f>
        <v>80</v>
      </c>
    </row>
    <row r="87" customFormat="false" ht="30" hidden="false" customHeight="true" outlineLevel="0" collapsed="false">
      <c r="A87" s="45" t="str">
        <f aca="false">IF($R87="","",INDEX(Anforderungen!$B:$B,$R87))</f>
        <v>ANF-074</v>
      </c>
      <c r="B87" s="45" t="str">
        <f aca="false">IF($R87="","",INDEX(Anforderungen!$C:$C,$R87))</f>
        <v>Bieterfragenkatalog</v>
      </c>
      <c r="C87" s="45" t="str">
        <f aca="false">IF($R87="","",INDEX(Anforderungen!$D:$D,$R87))</f>
        <v>Nr. 22 / S. 3</v>
      </c>
      <c r="D87" s="45" t="str">
        <f aca="false">IF($R87="","",INDEX(Anforderungen!$E:$E,$R87))</f>
        <v>Bau &amp; Dokumentation</v>
      </c>
      <c r="E87" s="45" t="str">
        <f aca="false">IF($R87="","",INDEX(Anforderungen!$F:$F,$R87))</f>
        <v>Klarstellung: Eine Freigabe aller Standorte soll bis zum 31.12.2030 erfolgen. Ein Unterschied zwischen der Inbetriebnahme und der Verkehrsfreigabe besteht nicht.</v>
      </c>
      <c r="F87" s="45" t="str">
        <f aca="false">IF($R87="","",INDEX(Anforderungen!$G:$G,$R87))</f>
        <v>In der aktuellsten Vertragsfassung vom 06.01. ist in §11.4 von einer vorgesehenen spätesten Inbetriebnahme zum 31.12.2028 die Rede. In Vertragsanlage 04 (Leistungsbeschreibung Errichtung) unter Punkt 2.2.1 ist dagegen von einer Verkehrsfreigabe von 100% der Standorte spätestens zum 31.12.2030 die Rede. Könnten Sie spezifizieren, welche Angabe korrekt ist? Könnten Sie darüber hinaus spezifizieren, ob zwischen Betriebs- und Verkehrsfreigabe ein Unterschied besteht?</v>
      </c>
      <c r="G87" s="45" t="str">
        <f aca="false">IF($R87="","",INDEX(Anforderungen!$I:$I,$R87))</f>
        <v>offen</v>
      </c>
      <c r="H87" s="45" t="str">
        <f aca="false">IF($R87="","",INDEX(Anforderungen!$J:$J,$R87))</f>
        <v>–</v>
      </c>
      <c r="I87" s="45" t="str">
        <f aca="false">IF($R87="","",INDEX(Anforderungen!$K:$K,$R87))</f>
        <v>trifft nicht zu</v>
      </c>
      <c r="J87" s="46" t="n">
        <f aca="false">IF($R87="","",INDEX(Anforderungen!$L:$L,$R87))</f>
        <v>0</v>
      </c>
      <c r="K87" s="45" t="str">
        <f aca="false">IF($R87="","",INDEX(Anforderungen!$M:$M,$R87))</f>
        <v>Automatisch ausgewertet: Außerhalb des betrachteten Leistungsumfangs (Schranken, Kennzeichenerfassung, dynamische Anzeige).</v>
      </c>
      <c r="R87" s="0" t="n">
        <f aca="false">IFERROR(MATCH(ROWS($A$14:$A87),$T$7:$T$2000,0)+6,"")</f>
        <v>80</v>
      </c>
      <c r="T87" s="0" t="n">
        <f aca="false">IF(Anforderungen!$B87="","",IF(AND(OR($B5="(alle)",Anforderungen!$K87=$B5),OR($E5="(alle)",Anforderungen!$C87=$E5),OR($H5="(alle)",Anforderungen!$E87=$H5),OR($B7="(alle)",ISNUMBER(SEARCH($B7,Anforderungen!$J87))),OR($E7="(alle)",ISNUMBER(SEARCH($E7,Anforderungen!$I87))),OR($H7="",ISNUMBER(SEARCH($H7,Anforderungen!$F87&amp;" "&amp;Anforderungen!$G87)))),COUNT($T$6:$T86)+1,""))</f>
        <v>81</v>
      </c>
    </row>
    <row r="88" customFormat="false" ht="30" hidden="false" customHeight="true" outlineLevel="0" collapsed="false">
      <c r="A88" s="45" t="str">
        <f aca="false">IF($R88="","",INDEX(Anforderungen!$B:$B,$R88))</f>
        <v>ANF-075</v>
      </c>
      <c r="B88" s="45" t="str">
        <f aca="false">IF($R88="","",INDEX(Anforderungen!$C:$C,$R88))</f>
        <v>Bieterfragenkatalog</v>
      </c>
      <c r="C88" s="45" t="str">
        <f aca="false">IF($R88="","",INDEX(Anforderungen!$D:$D,$R88))</f>
        <v>Nr. 23 / S. 3</v>
      </c>
      <c r="D88" s="45" t="str">
        <f aca="false">IF($R88="","",INDEX(Anforderungen!$E:$E,$R88))</f>
        <v>Flächen &amp; Genehmigungen</v>
      </c>
      <c r="E88" s="45" t="str">
        <f aca="false">IF($R88="","",INDEX(Anforderungen!$F:$F,$R88))</f>
        <v>Klarstellung: Zu etwaigen weiteren Ausschreibungen können keine Angaben gemacht werden.</v>
      </c>
      <c r="F88" s="45" t="str">
        <f aca="false">IF($R88="","",INDEX(Anforderungen!$G:$G,$R88))</f>
        <v>Kann es basierend auf dem Ausgang dieser Ausschreibung Einschränkungen bei der Losvergabe der kommenden Ausschreibung (bemannte Rastanlagen) geben? Z.B. zur Vermeidung lokaler Monopole?</v>
      </c>
      <c r="G88" s="45" t="str">
        <f aca="false">IF($R88="","",INDEX(Anforderungen!$I:$I,$R88))</f>
        <v>offen</v>
      </c>
      <c r="H88" s="45" t="str">
        <f aca="false">IF($R88="","",INDEX(Anforderungen!$J:$J,$R88))</f>
        <v>–</v>
      </c>
      <c r="I88" s="45" t="str">
        <f aca="false">IF($R88="","",INDEX(Anforderungen!$K:$K,$R88))</f>
        <v>trifft nicht zu</v>
      </c>
      <c r="J88" s="46" t="n">
        <f aca="false">IF($R88="","",INDEX(Anforderungen!$L:$L,$R88))</f>
        <v>0</v>
      </c>
      <c r="K88" s="45" t="str">
        <f aca="false">IF($R88="","",INDEX(Anforderungen!$M:$M,$R88))</f>
        <v>Automatisch ausgewertet: Außerhalb des betrachteten Leistungsumfangs (Schranken, Kennzeichenerfassung, dynamische Anzeige).</v>
      </c>
      <c r="R88" s="0" t="n">
        <f aca="false">IFERROR(MATCH(ROWS($A$14:$A88),$T$7:$T$2000,0)+6,"")</f>
        <v>81</v>
      </c>
      <c r="T88" s="0" t="n">
        <f aca="false">IF(Anforderungen!$B88="","",IF(AND(OR($B5="(alle)",Anforderungen!$K88=$B5),OR($E5="(alle)",Anforderungen!$C88=$E5),OR($H5="(alle)",Anforderungen!$E88=$H5),OR($B7="(alle)",ISNUMBER(SEARCH($B7,Anforderungen!$J88))),OR($E7="(alle)",ISNUMBER(SEARCH($E7,Anforderungen!$I88))),OR($H7="",ISNUMBER(SEARCH($H7,Anforderungen!$F88&amp;" "&amp;Anforderungen!$G88)))),COUNT($T$6:$T87)+1,""))</f>
        <v>82</v>
      </c>
    </row>
    <row r="89" customFormat="false" ht="30" hidden="false" customHeight="true" outlineLevel="0" collapsed="false">
      <c r="A89" s="45" t="str">
        <f aca="false">IF($R89="","",INDEX(Anforderungen!$B:$B,$R89))</f>
        <v>ANF-076</v>
      </c>
      <c r="B89" s="45" t="str">
        <f aca="false">IF($R89="","",INDEX(Anforderungen!$C:$C,$R89))</f>
        <v>Bieterfragenkatalog</v>
      </c>
      <c r="C89" s="45" t="str">
        <f aca="false">IF($R89="","",INDEX(Anforderungen!$D:$D,$R89))</f>
        <v>Nr. 24 / S. 3</v>
      </c>
      <c r="D89" s="45" t="str">
        <f aca="false">IF($R89="","",INDEX(Anforderungen!$E:$E,$R89))</f>
        <v>Vertrag &amp; Recht</v>
      </c>
      <c r="E89" s="45" t="str">
        <f aca="false">IF($R89="","",INDEX(Anforderungen!$F:$F,$R89))</f>
        <v>Klarstellung: Das Betreiberentgelt als Vergütungsbestandteil richtet sich nach §40 des Vertrags (Anlage 01 zum Verfahrensbrief).</v>
      </c>
      <c r="F89" s="45" t="str">
        <f aca="false">IF($R89="","",INDEX(Anforderungen!$G:$G,$R89))</f>
        <v>Was ist im Detail unter dem "Betreiberentgelt" zu verstehen und aus welchen Bestandteilen setzt sich diese zusammen?</v>
      </c>
      <c r="G89" s="45" t="str">
        <f aca="false">IF($R89="","",INDEX(Anforderungen!$I:$I,$R89))</f>
        <v>offen</v>
      </c>
      <c r="H89" s="45" t="str">
        <f aca="false">IF($R89="","",INDEX(Anforderungen!$J:$J,$R89))</f>
        <v>–</v>
      </c>
      <c r="I89" s="45" t="str">
        <f aca="false">IF($R89="","",INDEX(Anforderungen!$K:$K,$R89))</f>
        <v>trifft nicht zu</v>
      </c>
      <c r="J89" s="46" t="n">
        <f aca="false">IF($R89="","",INDEX(Anforderungen!$L:$L,$R89))</f>
        <v>0</v>
      </c>
      <c r="K89" s="45" t="str">
        <f aca="false">IF($R89="","",INDEX(Anforderungen!$M:$M,$R89))</f>
        <v>Automatisch ausgewertet: Außerhalb des betrachteten Leistungsumfangs (Schranken, Kennzeichenerfassung, dynamische Anzeige).</v>
      </c>
      <c r="R89" s="0" t="n">
        <f aca="false">IFERROR(MATCH(ROWS($A$14:$A89),$T$7:$T$2000,0)+6,"")</f>
        <v>82</v>
      </c>
      <c r="T89" s="0" t="n">
        <f aca="false">IF(Anforderungen!$B89="","",IF(AND(OR($B5="(alle)",Anforderungen!$K89=$B5),OR($E5="(alle)",Anforderungen!$C89=$E5),OR($H5="(alle)",Anforderungen!$E89=$H5),OR($B7="(alle)",ISNUMBER(SEARCH($B7,Anforderungen!$J89))),OR($E7="(alle)",ISNUMBER(SEARCH($E7,Anforderungen!$I89))),OR($H7="",ISNUMBER(SEARCH($H7,Anforderungen!$F89&amp;" "&amp;Anforderungen!$G89)))),COUNT($T$6:$T88)+1,""))</f>
        <v>83</v>
      </c>
    </row>
    <row r="90" customFormat="false" ht="30" hidden="false" customHeight="true" outlineLevel="0" collapsed="false">
      <c r="A90" s="45" t="str">
        <f aca="false">IF($R90="","",INDEX(Anforderungen!$B:$B,$R90))</f>
        <v>ANF-077</v>
      </c>
      <c r="B90" s="45" t="str">
        <f aca="false">IF($R90="","",INDEX(Anforderungen!$C:$C,$R90))</f>
        <v>Bieterfragenkatalog</v>
      </c>
      <c r="C90" s="45" t="str">
        <f aca="false">IF($R90="","",INDEX(Anforderungen!$D:$D,$R90))</f>
        <v>Nr. 25 / S. 3</v>
      </c>
      <c r="D90" s="45" t="str">
        <f aca="false">IF($R90="","",INDEX(Anforderungen!$E:$E,$R90))</f>
        <v>Reservierung</v>
      </c>
      <c r="E90" s="45" t="str">
        <f aca="false">IF($R90="","",INDEX(Anforderungen!$F:$F,$R90))</f>
        <v>Verneint: das Ad-hoc Entgelt soll nicht gemindert werden. § 19 Abs.</v>
      </c>
      <c r="F90" s="45" t="str">
        <f aca="false">IF($R90="","",INDEX(Anforderungen!$G:$G,$R90))</f>
        <v>§ 19: Ist es gewollt, dass bei Nutzung des Reservierungssystems und Ad-hoc Ladung die Erlöse für den AN gemindert werden?</v>
      </c>
      <c r="G90" s="45" t="str">
        <f aca="false">IF($R90="","",INDEX(Anforderungen!$I:$I,$R90))</f>
        <v>eRound / Reservierungsplattform</v>
      </c>
      <c r="H90" s="45" t="str">
        <f aca="false">IF($R90="","",INDEX(Anforderungen!$J:$J,$R90))</f>
        <v>Authentifizierungskomponente / OCPI Buchungskalender / Reservierungsplattform</v>
      </c>
      <c r="I90" s="45" t="str">
        <f aca="false">IF($R90="","",INDEX(Anforderungen!$K:$K,$R90))</f>
        <v>trifft nicht zu</v>
      </c>
      <c r="J90" s="46" t="n">
        <f aca="false">IF($R90="","",INDEX(Anforderungen!$L:$L,$R90))</f>
        <v>0</v>
      </c>
      <c r="K90" s="45" t="str">
        <f aca="false">IF($R90="","",INDEX(Anforderungen!$M:$M,$R90))</f>
        <v>Automatisch ausgewertet: Außerhalb des betrachteten Leistungsumfangs (Schranken, Kennzeichenerfassung, dynamische Anzeige).</v>
      </c>
      <c r="R90" s="0" t="n">
        <f aca="false">IFERROR(MATCH(ROWS($A$14:$A90),$T$7:$T$2000,0)+6,"")</f>
        <v>83</v>
      </c>
      <c r="T90" s="0" t="n">
        <f aca="false">IF(Anforderungen!$B90="","",IF(AND(OR($B5="(alle)",Anforderungen!$K90=$B5),OR($E5="(alle)",Anforderungen!$C90=$E5),OR($H5="(alle)",Anforderungen!$E90=$H5),OR($B7="(alle)",ISNUMBER(SEARCH($B7,Anforderungen!$J90))),OR($E7="(alle)",ISNUMBER(SEARCH($E7,Anforderungen!$I90))),OR($H7="",ISNUMBER(SEARCH($H7,Anforderungen!$F90&amp;" "&amp;Anforderungen!$G90)))),COUNT($T$6:$T89)+1,""))</f>
        <v>84</v>
      </c>
    </row>
    <row r="91" customFormat="false" ht="30" hidden="false" customHeight="true" outlineLevel="0" collapsed="false">
      <c r="A91" s="45" t="str">
        <f aca="false">IF($R91="","",INDEX(Anforderungen!$B:$B,$R91))</f>
        <v>ANF-078</v>
      </c>
      <c r="B91" s="45" t="str">
        <f aca="false">IF($R91="","",INDEX(Anforderungen!$C:$C,$R91))</f>
        <v>Bieterfragenkatalog</v>
      </c>
      <c r="C91" s="45" t="str">
        <f aca="false">IF($R91="","",INDEX(Anforderungen!$D:$D,$R91))</f>
        <v>Nr. 26 / S. 3</v>
      </c>
      <c r="D91" s="45" t="str">
        <f aca="false">IF($R91="","",INDEX(Anforderungen!$E:$E,$R91))</f>
        <v>Vergabeverfahren &amp; Angebot</v>
      </c>
      <c r="E91" s="45" t="str">
        <f aca="false">IF($R91="","",INDEX(Anforderungen!$F:$F,$R91))</f>
        <v>Klarstellung: Die Angebotsfrist ist angemessen und auskömmlich. Eine Fristverlängerung erfolgt nicht.</v>
      </c>
      <c r="F91" s="45" t="str">
        <f aca="false">IF($R91="","",INDEX(Anforderungen!$G:$G,$R91))</f>
        <v>Es ist eine Abgabefrist des Erstangebots bis zum 27.02.2025, 12 Uhr vorgesehen. Die Klärung der Fragen als Basis für die Angebotskalkulation und Erstellung der Konzepte sowie die danach erforderlichen Prüfungs-, Freigabe und insbesondere hochrangigen Gremienbeteiligungen mit anschließender Finalisierung der Angebote sind bis zum 27.02.2025 ist terminlich nicht möglich. Wir bitten daher um Verlängerung der Abgabefrist für das Erstangebot bis zum 20.03.2025.</v>
      </c>
      <c r="G91" s="45" t="str">
        <f aca="false">IF($R91="","",INDEX(Anforderungen!$I:$I,$R91))</f>
        <v>offen</v>
      </c>
      <c r="H91" s="45" t="str">
        <f aca="false">IF($R91="","",INDEX(Anforderungen!$J:$J,$R91))</f>
        <v>–</v>
      </c>
      <c r="I91" s="45" t="str">
        <f aca="false">IF($R91="","",INDEX(Anforderungen!$K:$K,$R91))</f>
        <v>trifft nicht zu</v>
      </c>
      <c r="J91" s="46" t="n">
        <f aca="false">IF($R91="","",INDEX(Anforderungen!$L:$L,$R91))</f>
        <v>0</v>
      </c>
      <c r="K91" s="45" t="str">
        <f aca="false">IF($R91="","",INDEX(Anforderungen!$M:$M,$R91))</f>
        <v>Automatisch ausgewertet: Betrifft das Vergabeverfahren (Angebot, Wertung, Unterlagen), nicht die zu erbringende Leistung. Keiner Komponente zugeordnet.</v>
      </c>
      <c r="R91" s="0" t="n">
        <f aca="false">IFERROR(MATCH(ROWS($A$14:$A91),$T$7:$T$2000,0)+6,"")</f>
        <v>84</v>
      </c>
      <c r="T91" s="0" t="n">
        <f aca="false">IF(Anforderungen!$B91="","",IF(AND(OR($B5="(alle)",Anforderungen!$K91=$B5),OR($E5="(alle)",Anforderungen!$C91=$E5),OR($H5="(alle)",Anforderungen!$E91=$H5),OR($B7="(alle)",ISNUMBER(SEARCH($B7,Anforderungen!$J91))),OR($E7="(alle)",ISNUMBER(SEARCH($E7,Anforderungen!$I91))),OR($H7="",ISNUMBER(SEARCH($H7,Anforderungen!$F91&amp;" "&amp;Anforderungen!$G91)))),COUNT($T$6:$T90)+1,""))</f>
        <v>85</v>
      </c>
    </row>
    <row r="92" customFormat="false" ht="30" hidden="false" customHeight="true" outlineLevel="0" collapsed="false">
      <c r="A92" s="45" t="str">
        <f aca="false">IF($R92="","",INDEX(Anforderungen!$B:$B,$R92))</f>
        <v>ANF-079</v>
      </c>
      <c r="B92" s="45" t="str">
        <f aca="false">IF($R92="","",INDEX(Anforderungen!$C:$C,$R92))</f>
        <v>Bieterfragenkatalog</v>
      </c>
      <c r="C92" s="45" t="str">
        <f aca="false">IF($R92="","",INDEX(Anforderungen!$D:$D,$R92))</f>
        <v>Nr. 27 / S. 3</v>
      </c>
      <c r="D92" s="45" t="str">
        <f aca="false">IF($R92="","",INDEX(Anforderungen!$E:$E,$R92))</f>
        <v>Flächen &amp; Genehmigungen</v>
      </c>
      <c r="E92" s="45" t="str">
        <f aca="false">IF($R92="","",INDEX(Anforderungen!$F:$F,$R92))</f>
        <v>Klarstellung: Die ladeplatzbezogene Beleuchtung ist an die Niederspannungsanalage der Ladeinfrastruktur anzuschließen.</v>
      </c>
      <c r="F92" s="45" t="str">
        <f aca="false">IF($R92="","",INDEX(Anforderungen!$G:$G,$R92))</f>
        <v>In diesem Kapitel wird beschrieben, dass der Anschluss und die Abrechnung der Mastbeleuchtung über das Energienetz der Rastanlage erfolgt. Gleichzeitig soll die Beleuchtungsanlage an die Niederspannungsanlage der E-Mobilität angeschlossen werden. Wir bitten um Prüfung, welche der beiden Vorgaben tatsächlich zutrifft.</v>
      </c>
      <c r="G92" s="45" t="str">
        <f aca="false">IF($R92="","",INDEX(Anforderungen!$I:$I,$R92))</f>
        <v>Zuordnung prüfen</v>
      </c>
      <c r="H92" s="45" t="str">
        <f aca="false">IF($R92="","",INDEX(Anforderungen!$J:$J,$R92))</f>
        <v>Zuordnung prüfen</v>
      </c>
      <c r="I92" s="45" t="str">
        <f aca="false">IF($R92="","",INDEX(Anforderungen!$K:$K,$R92))</f>
        <v>trifft nicht zu</v>
      </c>
      <c r="J92" s="46" t="n">
        <f aca="false">IF($R92="","",INDEX(Anforderungen!$L:$L,$R92))</f>
        <v>0</v>
      </c>
      <c r="K92" s="45" t="str">
        <f aca="false">IF($R92="","",INDEX(Anforderungen!$M:$M,$R92))</f>
        <v>Automatisch ausgewertet: Außerhalb des betrachteten Leistungsumfangs (Schranken, Kennzeichenerfassung, dynamische Anzeige).</v>
      </c>
      <c r="R92" s="0" t="n">
        <f aca="false">IFERROR(MATCH(ROWS($A$14:$A92),$T$7:$T$2000,0)+6,"")</f>
        <v>85</v>
      </c>
      <c r="T92" s="0" t="n">
        <f aca="false">IF(Anforderungen!$B92="","",IF(AND(OR($B5="(alle)",Anforderungen!$K92=$B5),OR($E5="(alle)",Anforderungen!$C92=$E5),OR($H5="(alle)",Anforderungen!$E92=$H5),OR($B7="(alle)",ISNUMBER(SEARCH($B7,Anforderungen!$J92))),OR($E7="(alle)",ISNUMBER(SEARCH($E7,Anforderungen!$I92))),OR($H7="",ISNUMBER(SEARCH($H7,Anforderungen!$F92&amp;" "&amp;Anforderungen!$G92)))),COUNT($T$6:$T91)+1,""))</f>
        <v>86</v>
      </c>
    </row>
    <row r="93" customFormat="false" ht="30" hidden="false" customHeight="true" outlineLevel="0" collapsed="false">
      <c r="A93" s="45" t="str">
        <f aca="false">IF($R93="","",INDEX(Anforderungen!$B:$B,$R93))</f>
        <v>ANF-080</v>
      </c>
      <c r="B93" s="45" t="str">
        <f aca="false">IF($R93="","",INDEX(Anforderungen!$C:$C,$R93))</f>
        <v>Bieterfragenkatalog</v>
      </c>
      <c r="C93" s="45" t="str">
        <f aca="false">IF($R93="","",INDEX(Anforderungen!$D:$D,$R93))</f>
        <v>Nr. 28 / S. 3</v>
      </c>
      <c r="D93" s="45" t="str">
        <f aca="false">IF($R93="","",INDEX(Anforderungen!$E:$E,$R93))</f>
        <v>Netzanschluss &amp; Energie</v>
      </c>
      <c r="E93" s="45" t="str">
        <f aca="false">IF($R93="","",INDEX(Anforderungen!$F:$F,$R93))</f>
        <v>Klarstellung: Die Endausbauleistung für jeden Standort finden Sie in der Vertragsanlage 5 "Details zum Netzanschluss" in der Spalte "beantragte Leistung 2035".</v>
      </c>
      <c r="F93" s="45" t="str">
        <f aca="false">IF($R93="","",INDEX(Anforderungen!$G:$G,$R93))</f>
        <v>Sämtliche Kabelführungen sind auf die Endausbauleistung im Jahr 2035 zu bemessen.Wir bitten um Angabe der Endausbauleistung für jeden Standort.</v>
      </c>
      <c r="G93" s="45" t="str">
        <f aca="false">IF($R93="","",INDEX(Anforderungen!$I:$I,$R93))</f>
        <v>offen</v>
      </c>
      <c r="H93" s="45" t="str">
        <f aca="false">IF($R93="","",INDEX(Anforderungen!$J:$J,$R93))</f>
        <v>–</v>
      </c>
      <c r="I93" s="45" t="str">
        <f aca="false">IF($R93="","",INDEX(Anforderungen!$K:$K,$R93))</f>
        <v>trifft nicht zu</v>
      </c>
      <c r="J93" s="46" t="n">
        <f aca="false">IF($R93="","",INDEX(Anforderungen!$L:$L,$R93))</f>
        <v>0</v>
      </c>
      <c r="K93" s="45" t="str">
        <f aca="false">IF($R93="","",INDEX(Anforderungen!$M:$M,$R93))</f>
        <v>Automatisch ausgewertet: Außerhalb des betrachteten Leistungsumfangs (Schranken, Kennzeichenerfassung, dynamische Anzeige).</v>
      </c>
      <c r="R93" s="0" t="n">
        <f aca="false">IFERROR(MATCH(ROWS($A$14:$A93),$T$7:$T$2000,0)+6,"")</f>
        <v>86</v>
      </c>
      <c r="T93" s="0" t="n">
        <f aca="false">IF(Anforderungen!$B93="","",IF(AND(OR($B5="(alle)",Anforderungen!$K93=$B5),OR($E5="(alle)",Anforderungen!$C93=$E5),OR($H5="(alle)",Anforderungen!$E93=$H5),OR($B7="(alle)",ISNUMBER(SEARCH($B7,Anforderungen!$J93))),OR($E7="(alle)",ISNUMBER(SEARCH($E7,Anforderungen!$I93))),OR($H7="",ISNUMBER(SEARCH($H7,Anforderungen!$F93&amp;" "&amp;Anforderungen!$G93)))),COUNT($T$6:$T92)+1,""))</f>
        <v>87</v>
      </c>
    </row>
    <row r="94" customFormat="false" ht="30" hidden="false" customHeight="true" outlineLevel="0" collapsed="false">
      <c r="A94" s="45" t="str">
        <f aca="false">IF($R94="","",INDEX(Anforderungen!$B:$B,$R94))</f>
        <v>ANF-081</v>
      </c>
      <c r="B94" s="45" t="str">
        <f aca="false">IF($R94="","",INDEX(Anforderungen!$C:$C,$R94))</f>
        <v>Bieterfragenkatalog</v>
      </c>
      <c r="C94" s="45" t="str">
        <f aca="false">IF($R94="","",INDEX(Anforderungen!$D:$D,$R94))</f>
        <v>Nr. 29 / S. 3</v>
      </c>
      <c r="D94" s="45" t="str">
        <f aca="false">IF($R94="","",INDEX(Anforderungen!$E:$E,$R94))</f>
        <v>Vertrag &amp; Recht</v>
      </c>
      <c r="E94" s="45" t="str">
        <f aca="false">IF($R94="","",INDEX(Anforderungen!$F:$F,$R94))</f>
        <v>Klarstellung: Es ist vorgesehen, dass das Infrastrukturentgelt über alle Standorte berechnet wird.</v>
      </c>
      <c r="F94" s="45" t="str">
        <f aca="false">IF($R94="","",INDEX(Anforderungen!$G:$G,$R94))</f>
        <v>Wird das Infrastrukturentgelt standortbezogen, losbezogen (und damit anbieterbezogen) oder über alle Standorte berechnet?</v>
      </c>
      <c r="G94" s="45" t="str">
        <f aca="false">IF($R94="","",INDEX(Anforderungen!$I:$I,$R94))</f>
        <v>offen</v>
      </c>
      <c r="H94" s="45" t="str">
        <f aca="false">IF($R94="","",INDEX(Anforderungen!$J:$J,$R94))</f>
        <v>–</v>
      </c>
      <c r="I94" s="45" t="str">
        <f aca="false">IF($R94="","",INDEX(Anforderungen!$K:$K,$R94))</f>
        <v>trifft nicht zu</v>
      </c>
      <c r="J94" s="46" t="n">
        <f aca="false">IF($R94="","",INDEX(Anforderungen!$L:$L,$R94))</f>
        <v>0</v>
      </c>
      <c r="K94" s="45" t="str">
        <f aca="false">IF($R94="","",INDEX(Anforderungen!$M:$M,$R94))</f>
        <v>Automatisch ausgewertet: Außerhalb des betrachteten Leistungsumfangs (Schranken, Kennzeichenerfassung, dynamische Anzeige).</v>
      </c>
      <c r="R94" s="0" t="n">
        <f aca="false">IFERROR(MATCH(ROWS($A$14:$A94),$T$7:$T$2000,0)+6,"")</f>
        <v>87</v>
      </c>
      <c r="T94" s="0" t="n">
        <f aca="false">IF(Anforderungen!$B94="","",IF(AND(OR($B5="(alle)",Anforderungen!$K94=$B5),OR($E5="(alle)",Anforderungen!$C94=$E5),OR($H5="(alle)",Anforderungen!$E94=$H5),OR($B7="(alle)",ISNUMBER(SEARCH($B7,Anforderungen!$J94))),OR($E7="(alle)",ISNUMBER(SEARCH($E7,Anforderungen!$I94))),OR($H7="",ISNUMBER(SEARCH($H7,Anforderungen!$F94&amp;" "&amp;Anforderungen!$G94)))),COUNT($T$6:$T93)+1,""))</f>
        <v>88</v>
      </c>
    </row>
    <row r="95" customFormat="false" ht="30" hidden="false" customHeight="true" outlineLevel="0" collapsed="false">
      <c r="A95" s="45" t="str">
        <f aca="false">IF($R95="","",INDEX(Anforderungen!$B:$B,$R95))</f>
        <v>ANF-082</v>
      </c>
      <c r="B95" s="45" t="str">
        <f aca="false">IF($R95="","",INDEX(Anforderungen!$C:$C,$R95))</f>
        <v>Bieterfragenkatalog</v>
      </c>
      <c r="C95" s="45" t="str">
        <f aca="false">IF($R95="","",INDEX(Anforderungen!$D:$D,$R95))</f>
        <v>Nr. 30 / S. 3</v>
      </c>
      <c r="D95" s="45" t="str">
        <f aca="false">IF($R95="","",INDEX(Anforderungen!$E:$E,$R95))</f>
        <v>Netzanschluss &amp; Energie</v>
      </c>
      <c r="E95" s="45" t="str">
        <f aca="false">IF($R95="","",INDEX(Anforderungen!$F:$F,$R95))</f>
        <v>Klarstellung: An der MS-Unterstation können Komponenten wie Ladetechnik, Schaltanlage und Versorgungstransformator angeschlossen sein.</v>
      </c>
      <c r="F95" s="45" t="str">
        <f aca="false">IF($R95="","",INDEX(Anforderungen!$G:$G,$R95))</f>
        <v>In allen Unterlagen im Ordner Vorplanung ist neben der MS-Station, auch eine MS-Unterstation. Welche Funktion hat die MS-Unterstation?</v>
      </c>
      <c r="G95" s="45" t="str">
        <f aca="false">IF($R95="","",INDEX(Anforderungen!$I:$I,$R95))</f>
        <v>offen</v>
      </c>
      <c r="H95" s="45" t="str">
        <f aca="false">IF($R95="","",INDEX(Anforderungen!$J:$J,$R95))</f>
        <v>–</v>
      </c>
      <c r="I95" s="45" t="str">
        <f aca="false">IF($R95="","",INDEX(Anforderungen!$K:$K,$R95))</f>
        <v>trifft nicht zu</v>
      </c>
      <c r="J95" s="46" t="n">
        <f aca="false">IF($R95="","",INDEX(Anforderungen!$L:$L,$R95))</f>
        <v>0</v>
      </c>
      <c r="K95" s="45" t="str">
        <f aca="false">IF($R95="","",INDEX(Anforderungen!$M:$M,$R95))</f>
        <v>Automatisch ausgewertet: Außerhalb des betrachteten Leistungsumfangs (Schranken, Kennzeichenerfassung, dynamische Anzeige).</v>
      </c>
      <c r="R95" s="0" t="n">
        <f aca="false">IFERROR(MATCH(ROWS($A$14:$A95),$T$7:$T$2000,0)+6,"")</f>
        <v>88</v>
      </c>
      <c r="T95" s="0" t="n">
        <f aca="false">IF(Anforderungen!$B95="","",IF(AND(OR($B5="(alle)",Anforderungen!$K95=$B5),OR($E5="(alle)",Anforderungen!$C95=$E5),OR($H5="(alle)",Anforderungen!$E95=$H5),OR($B7="(alle)",ISNUMBER(SEARCH($B7,Anforderungen!$J95))),OR($E7="(alle)",ISNUMBER(SEARCH($E7,Anforderungen!$I95))),OR($H7="",ISNUMBER(SEARCH($H7,Anforderungen!$F95&amp;" "&amp;Anforderungen!$G95)))),COUNT($T$6:$T94)+1,""))</f>
        <v>89</v>
      </c>
    </row>
    <row r="96" customFormat="false" ht="30" hidden="false" customHeight="true" outlineLevel="0" collapsed="false">
      <c r="A96" s="45" t="str">
        <f aca="false">IF($R96="","",INDEX(Anforderungen!$B:$B,$R96))</f>
        <v>ANF-083</v>
      </c>
      <c r="B96" s="45" t="str">
        <f aca="false">IF($R96="","",INDEX(Anforderungen!$C:$C,$R96))</f>
        <v>Bieterfragenkatalog</v>
      </c>
      <c r="C96" s="45" t="str">
        <f aca="false">IF($R96="","",INDEX(Anforderungen!$D:$D,$R96))</f>
        <v>Nr. 31 / S. 3</v>
      </c>
      <c r="D96" s="45" t="str">
        <f aca="false">IF($R96="","",INDEX(Anforderungen!$E:$E,$R96))</f>
        <v>Flächen &amp; Genehmigungen</v>
      </c>
      <c r="E96" s="45" t="str">
        <f aca="false">IF($R96="","",INDEX(Anforderungen!$F:$F,$R96))</f>
        <v>Klarstellung: Die in Vertragsanlage 4, Kapitel 3.10.1 aufgeführten Anforderungen an die Beleuchtung sind zu erfüllen.</v>
      </c>
      <c r="F96" s="45" t="str">
        <f aca="false">IF($R96="","",INDEX(Anforderungen!$G:$G,$R96))</f>
        <v>In den Vorplanungen einzelner Standorte wird Beleuchtung wie folgt benötigt (Beschreibung rauskopiert): e 6 LKW-Stellplätze ist ein 10,00m hoher Lichtmast vorzusehen. Alternativ ist pro 8 LKW-Stellplätze ein 12,00m hoher Lichtmast vorzusehen. Frage: Entfällt die Anforderung, wenn jeder Stellplatz eine eigene Beleuchtung (Lichtmast) erhält? Und sind die Anforderungen dann wie in Anlage 4 "Leistungsbeschreibung Errichtung" zu erfüllen?</v>
      </c>
      <c r="G96" s="45" t="str">
        <f aca="false">IF($R96="","",INDEX(Anforderungen!$I:$I,$R96))</f>
        <v>Zuordnung prüfen</v>
      </c>
      <c r="H96" s="45" t="str">
        <f aca="false">IF($R96="","",INDEX(Anforderungen!$J:$J,$R96))</f>
        <v>Zuordnung prüfen</v>
      </c>
      <c r="I96" s="45" t="str">
        <f aca="false">IF($R96="","",INDEX(Anforderungen!$K:$K,$R96))</f>
        <v>trifft nicht zu</v>
      </c>
      <c r="J96" s="46" t="n">
        <f aca="false">IF($R96="","",INDEX(Anforderungen!$L:$L,$R96))</f>
        <v>0</v>
      </c>
      <c r="K96" s="45" t="str">
        <f aca="false">IF($R96="","",INDEX(Anforderungen!$M:$M,$R96))</f>
        <v>Automatisch ausgewertet: Außerhalb des betrachteten Leistungsumfangs (Schranken, Kennzeichenerfassung, dynamische Anzeige).</v>
      </c>
      <c r="R96" s="0" t="n">
        <f aca="false">IFERROR(MATCH(ROWS($A$14:$A96),$T$7:$T$2000,0)+6,"")</f>
        <v>89</v>
      </c>
      <c r="T96" s="0" t="n">
        <f aca="false">IF(Anforderungen!$B96="","",IF(AND(OR($B5="(alle)",Anforderungen!$K96=$B5),OR($E5="(alle)",Anforderungen!$C96=$E5),OR($H5="(alle)",Anforderungen!$E96=$H5),OR($B7="(alle)",ISNUMBER(SEARCH($B7,Anforderungen!$J96))),OR($E7="(alle)",ISNUMBER(SEARCH($E7,Anforderungen!$I96))),OR($H7="",ISNUMBER(SEARCH($H7,Anforderungen!$F96&amp;" "&amp;Anforderungen!$G96)))),COUNT($T$6:$T95)+1,""))</f>
        <v>90</v>
      </c>
    </row>
    <row r="97" customFormat="false" ht="30" hidden="false" customHeight="true" outlineLevel="0" collapsed="false">
      <c r="A97" s="45" t="str">
        <f aca="false">IF($R97="","",INDEX(Anforderungen!$B:$B,$R97))</f>
        <v>ANF-084</v>
      </c>
      <c r="B97" s="45" t="str">
        <f aca="false">IF($R97="","",INDEX(Anforderungen!$C:$C,$R97))</f>
        <v>Bieterfragenkatalog</v>
      </c>
      <c r="C97" s="45" t="str">
        <f aca="false">IF($R97="","",INDEX(Anforderungen!$D:$D,$R97))</f>
        <v>Nr. 32 / S. 3</v>
      </c>
      <c r="D97" s="45" t="str">
        <f aca="false">IF($R97="","",INDEX(Anforderungen!$E:$E,$R97))</f>
        <v>Netzanschluss &amp; Energie</v>
      </c>
      <c r="E97" s="45" t="str">
        <f aca="false">IF($R97="","",INDEX(Anforderungen!$F:$F,$R97))</f>
        <v>Klarstellung: Die Installationsaktivitäten sind in den jeweiligen Kostengruppen mitzuberücksichtigen.</v>
      </c>
      <c r="F97" s="45" t="str">
        <f aca="false">IF($R97="","",INDEX(Anforderungen!$G:$G,$R97))</f>
        <v>Dokument: "20250106_Anlage 06_zum Verfahrensbrief_Aufschlüssel_Preise Errichtung" --&gt; Sind alle Installationsaktivitäten (Ladehardware, CCTV, Trafo, Unterstation etc.) in Position 3.9 (Zeile 26) und Position 3.10 (Zeile 27) aufzuführen oder wird der gesamte Kostenpunkt "Installation" an anderer Stelle aufgeführt?</v>
      </c>
      <c r="G97" s="45" t="str">
        <f aca="false">IF($R97="","",INDEX(Anforderungen!$I:$I,$R97))</f>
        <v>Alpitronic</v>
      </c>
      <c r="H97" s="45" t="str">
        <f aca="false">IF($R97="","",INDEX(Anforderungen!$J:$J,$R97))</f>
        <v>Ladeeinrichtung</v>
      </c>
      <c r="I97" s="45" t="str">
        <f aca="false">IF($R97="","",INDEX(Anforderungen!$K:$K,$R97))</f>
        <v>trifft nicht zu</v>
      </c>
      <c r="J97" s="46" t="n">
        <f aca="false">IF($R97="","",INDEX(Anforderungen!$L:$L,$R97))</f>
        <v>0</v>
      </c>
      <c r="K97" s="45" t="str">
        <f aca="false">IF($R97="","",INDEX(Anforderungen!$M:$M,$R97))</f>
        <v>Automatisch ausgewertet: Außerhalb des betrachteten Leistungsumfangs (Schranken, Kennzeichenerfassung, dynamische Anzeige).</v>
      </c>
      <c r="R97" s="0" t="n">
        <f aca="false">IFERROR(MATCH(ROWS($A$14:$A97),$T$7:$T$2000,0)+6,"")</f>
        <v>90</v>
      </c>
      <c r="T97" s="0" t="n">
        <f aca="false">IF(Anforderungen!$B97="","",IF(AND(OR($B5="(alle)",Anforderungen!$K97=$B5),OR($E5="(alle)",Anforderungen!$C97=$E5),OR($H5="(alle)",Anforderungen!$E97=$H5),OR($B7="(alle)",ISNUMBER(SEARCH($B7,Anforderungen!$J97))),OR($E7="(alle)",ISNUMBER(SEARCH($E7,Anforderungen!$I97))),OR($H7="",ISNUMBER(SEARCH($H7,Anforderungen!$F97&amp;" "&amp;Anforderungen!$G97)))),COUNT($T$6:$T96)+1,""))</f>
        <v>91</v>
      </c>
    </row>
    <row r="98" customFormat="false" ht="30" hidden="false" customHeight="true" outlineLevel="0" collapsed="false">
      <c r="A98" s="45" t="str">
        <f aca="false">IF($R98="","",INDEX(Anforderungen!$B:$B,$R98))</f>
        <v>ANF-085</v>
      </c>
      <c r="B98" s="45" t="str">
        <f aca="false">IF($R98="","",INDEX(Anforderungen!$C:$C,$R98))</f>
        <v>Bieterfragenkatalog</v>
      </c>
      <c r="C98" s="45" t="str">
        <f aca="false">IF($R98="","",INDEX(Anforderungen!$D:$D,$R98))</f>
        <v>Nr. 33 / S. 3</v>
      </c>
      <c r="D98" s="45" t="str">
        <f aca="false">IF($R98="","",INDEX(Anforderungen!$E:$E,$R98))</f>
        <v>Reservierung</v>
      </c>
      <c r="E98" s="45" t="str">
        <f aca="false">IF($R98="","",INDEX(Anforderungen!$F:$F,$R98))</f>
        <v>Zusage / Ankündigung: Die Möglichkeiten und Rahmenbedingungen der Reservierung werden Teil der Bieterverhandlungen sein, hierbei wird insbesondere auch zu erörtern sein, inwieweit die Reservierung von Energiemengen bzw. die Angabe des benötigten …</v>
      </c>
      <c r="F98" s="45" t="str">
        <f aca="false">IF($R98="","",INDEX(Anforderungen!$G:$G,$R98))</f>
        <v>Im Betriebskonzept ist es erforderlich, dass etwaiges Falschparken durch z.B. Diesel LKW nicht passieren kann. Müssen die Stellplätze eine Schranke aufweisen, also muss das Standortlayout Schranken integriert haben oder kann man in dem Betriebskonzept und Layout auch andere Lösungen aufzeigen?</v>
      </c>
      <c r="G98" s="45" t="str">
        <f aca="false">IF($R98="","",INDEX(Anforderungen!$I:$I,$R98))</f>
        <v>eRound / SCS</v>
      </c>
      <c r="H98" s="45" t="str">
        <f aca="false">IF($R98="","",INDEX(Anforderungen!$J:$J,$R98))</f>
        <v>Schrankensteuerung / OCPI Buchungskalender / Pönalisierungssystem</v>
      </c>
      <c r="I98" s="45" t="str">
        <f aca="false">IF($R98="","",INDEX(Anforderungen!$K:$K,$R98))</f>
        <v>erfasst</v>
      </c>
      <c r="J98" s="46" t="n">
        <f aca="false">IF($R98="","",INDEX(Anforderungen!$L:$L,$R98))</f>
        <v>0</v>
      </c>
      <c r="K98" s="45" t="n">
        <f aca="false">IF($R98="","",INDEX(Anforderungen!$M:$M,$R98))</f>
        <v>0</v>
      </c>
      <c r="R98" s="0" t="n">
        <f aca="false">IFERROR(MATCH(ROWS($A$14:$A98),$T$7:$T$2000,0)+6,"")</f>
        <v>91</v>
      </c>
      <c r="T98" s="0" t="n">
        <f aca="false">IF(Anforderungen!$B98="","",IF(AND(OR($B5="(alle)",Anforderungen!$K98=$B5),OR($E5="(alle)",Anforderungen!$C98=$E5),OR($H5="(alle)",Anforderungen!$E98=$H5),OR($B7="(alle)",ISNUMBER(SEARCH($B7,Anforderungen!$J98))),OR($E7="(alle)",ISNUMBER(SEARCH($E7,Anforderungen!$I98))),OR($H7="",ISNUMBER(SEARCH($H7,Anforderungen!$F98&amp;" "&amp;Anforderungen!$G98)))),COUNT($T$6:$T97)+1,""))</f>
        <v>92</v>
      </c>
    </row>
    <row r="99" customFormat="false" ht="30" hidden="false" customHeight="true" outlineLevel="0" collapsed="false">
      <c r="A99" s="45" t="str">
        <f aca="false">IF($R99="","",INDEX(Anforderungen!$B:$B,$R99))</f>
        <v>ANF-086</v>
      </c>
      <c r="B99" s="45" t="str">
        <f aca="false">IF($R99="","",INDEX(Anforderungen!$C:$C,$R99))</f>
        <v>Bieterfragenkatalog</v>
      </c>
      <c r="C99" s="45" t="str">
        <f aca="false">IF($R99="","",INDEX(Anforderungen!$D:$D,$R99))</f>
        <v>Nr. 34 / S. 3</v>
      </c>
      <c r="D99" s="45" t="str">
        <f aca="false">IF($R99="","",INDEX(Anforderungen!$E:$E,$R99))</f>
        <v>Flächen &amp; Genehmigungen</v>
      </c>
      <c r="E99" s="45" t="str">
        <f aca="false">IF($R99="","",INDEX(Anforderungen!$F:$F,$R99))</f>
        <v>Klarstellung: Sofern sich Ihre Frage auf die Dokumente Anlage 2 zum Verfahrensbrief "Gesamtübersicht über die Lose", Vertragsanlage 2 "Standortübersicht (losspezifisch)" und Anlage 5 zum Verfahrensbrief "Karte zur Losaufteilung" bezieht wurden …</v>
      </c>
      <c r="F99" s="45" t="str">
        <f aca="false">IF($R99="","",INDEX(Anforderungen!$G:$G,$R99))</f>
        <v>Aus der Bereitstellung der neuen Unterlagen am 17.01. geht nicht hervor, welche Änderungen im Vergleich zu den Originalversionen vorgenommen wurden. Kann das bitte kenntlich gemacht werden?</v>
      </c>
      <c r="G99" s="45" t="str">
        <f aca="false">IF($R99="","",INDEX(Anforderungen!$I:$I,$R99))</f>
        <v>offen</v>
      </c>
      <c r="H99" s="45" t="str">
        <f aca="false">IF($R99="","",INDEX(Anforderungen!$J:$J,$R99))</f>
        <v>–</v>
      </c>
      <c r="I99" s="45" t="str">
        <f aca="false">IF($R99="","",INDEX(Anforderungen!$K:$K,$R99))</f>
        <v>trifft nicht zu</v>
      </c>
      <c r="J99" s="46" t="n">
        <f aca="false">IF($R99="","",INDEX(Anforderungen!$L:$L,$R99))</f>
        <v>0</v>
      </c>
      <c r="K99" s="45" t="str">
        <f aca="false">IF($R99="","",INDEX(Anforderungen!$M:$M,$R99))</f>
        <v>Automatisch ausgewertet: Außerhalb des betrachteten Leistungsumfangs (Schranken, Kennzeichenerfassung, dynamische Anzeige).</v>
      </c>
      <c r="R99" s="0" t="n">
        <f aca="false">IFERROR(MATCH(ROWS($A$14:$A99),$T$7:$T$2000,0)+6,"")</f>
        <v>92</v>
      </c>
      <c r="T99" s="0" t="n">
        <f aca="false">IF(Anforderungen!$B99="","",IF(AND(OR($B5="(alle)",Anforderungen!$K99=$B5),OR($E5="(alle)",Anforderungen!$C99=$E5),OR($H5="(alle)",Anforderungen!$E99=$H5),OR($B7="(alle)",ISNUMBER(SEARCH($B7,Anforderungen!$J99))),OR($E7="(alle)",ISNUMBER(SEARCH($E7,Anforderungen!$I99))),OR($H7="",ISNUMBER(SEARCH($H7,Anforderungen!$F99&amp;" "&amp;Anforderungen!$G99)))),COUNT($T$6:$T98)+1,""))</f>
        <v>93</v>
      </c>
    </row>
    <row r="100" customFormat="false" ht="30" hidden="false" customHeight="true" outlineLevel="0" collapsed="false">
      <c r="A100" s="45" t="str">
        <f aca="false">IF($R100="","",INDEX(Anforderungen!$B:$B,$R100))</f>
        <v>ANF-087</v>
      </c>
      <c r="B100" s="45" t="str">
        <f aca="false">IF($R100="","",INDEX(Anforderungen!$C:$C,$R100))</f>
        <v>Bieterfragenkatalog</v>
      </c>
      <c r="C100" s="45" t="str">
        <f aca="false">IF($R100="","",INDEX(Anforderungen!$D:$D,$R100))</f>
        <v>Nr. 35 / S. 3</v>
      </c>
      <c r="D100" s="45" t="str">
        <f aca="false">IF($R100="","",INDEX(Anforderungen!$E:$E,$R100))</f>
        <v>Netzanschluss &amp; Energie</v>
      </c>
      <c r="E100" s="45" t="str">
        <f aca="false">IF($R100="","",INDEX(Anforderungen!$F:$F,$R100))</f>
        <v>Verneint: es wurde - wie sich aus den §§ 27 ff. ergibt - nicht gestrichen.</v>
      </c>
      <c r="F100" s="45" t="str">
        <f aca="false">IF($R100="","",INDEX(Anforderungen!$G:$G,$R100))</f>
        <v>Ist das Durchleitungsmodell nicht mehr Grundvoraussetzung für ein Angebot? In den neuen Vertragsunterlagen wurde es unter §3 gestrichen.</v>
      </c>
      <c r="G100" s="45" t="str">
        <f aca="false">IF($R100="","",INDEX(Anforderungen!$I:$I,$R100))</f>
        <v>offen</v>
      </c>
      <c r="H100" s="45" t="str">
        <f aca="false">IF($R100="","",INDEX(Anforderungen!$J:$J,$R100))</f>
        <v>–</v>
      </c>
      <c r="I100" s="45" t="str">
        <f aca="false">IF($R100="","",INDEX(Anforderungen!$K:$K,$R100))</f>
        <v>trifft nicht zu</v>
      </c>
      <c r="J100" s="46" t="n">
        <f aca="false">IF($R100="","",INDEX(Anforderungen!$L:$L,$R100))</f>
        <v>0</v>
      </c>
      <c r="K100" s="45" t="str">
        <f aca="false">IF($R100="","",INDEX(Anforderungen!$M:$M,$R100))</f>
        <v>Automatisch ausgewertet: Außerhalb des betrachteten Leistungsumfangs (Schranken, Kennzeichenerfassung, dynamische Anzeige).</v>
      </c>
      <c r="R100" s="0" t="n">
        <f aca="false">IFERROR(MATCH(ROWS($A$14:$A100),$T$7:$T$2000,0)+6,"")</f>
        <v>93</v>
      </c>
      <c r="T100" s="0" t="n">
        <f aca="false">IF(Anforderungen!$B100="","",IF(AND(OR($B5="(alle)",Anforderungen!$K100=$B5),OR($E5="(alle)",Anforderungen!$C100=$E5),OR($H5="(alle)",Anforderungen!$E100=$H5),OR($B7="(alle)",ISNUMBER(SEARCH($B7,Anforderungen!$J100))),OR($E7="(alle)",ISNUMBER(SEARCH($E7,Anforderungen!$I100))),OR($H7="",ISNUMBER(SEARCH($H7,Anforderungen!$F100&amp;" "&amp;Anforderungen!$G100)))),COUNT($T$6:$T99)+1,""))</f>
        <v>94</v>
      </c>
    </row>
    <row r="101" customFormat="false" ht="30" hidden="false" customHeight="true" outlineLevel="0" collapsed="false">
      <c r="A101" s="45" t="str">
        <f aca="false">IF($R101="","",INDEX(Anforderungen!$B:$B,$R101))</f>
        <v>ANF-088</v>
      </c>
      <c r="B101" s="45" t="str">
        <f aca="false">IF($R101="","",INDEX(Anforderungen!$C:$C,$R101))</f>
        <v>Bieterfragenkatalog</v>
      </c>
      <c r="C101" s="45" t="str">
        <f aca="false">IF($R101="","",INDEX(Anforderungen!$D:$D,$R101))</f>
        <v>Nr. 36 / S. 3</v>
      </c>
      <c r="D101" s="45" t="str">
        <f aca="false">IF($R101="","",INDEX(Anforderungen!$E:$E,$R101))</f>
        <v>Flächen &amp; Genehmigungen</v>
      </c>
      <c r="E101" s="45" t="str">
        <f aca="false">IF($R101="","",INDEX(Anforderungen!$F:$F,$R101))</f>
        <v>Vorgaben bleiben unverändert: Soweit nicht ausdrücklich etwas anderes geregelt wird, sind die Bieter an die Vorgaben der Vertragsanlage 4 (Leistungsbeschreibung Errichtung) gebunden.</v>
      </c>
      <c r="F101" s="45" t="str">
        <f aca="false">IF($R101="","",INDEX(Anforderungen!$G:$G,$R101))</f>
        <v>Warum sind gemäß Vorplanungen die MCS-Aufstellflächen 4 Meter breit und die CCS Aufstellflächen nur 3 Meter breit? Sind wir daran gebunden so zu bauen?</v>
      </c>
      <c r="G101" s="45" t="str">
        <f aca="false">IF($R101="","",INDEX(Anforderungen!$I:$I,$R101))</f>
        <v>offen</v>
      </c>
      <c r="H101" s="45" t="str">
        <f aca="false">IF($R101="","",INDEX(Anforderungen!$J:$J,$R101))</f>
        <v>–</v>
      </c>
      <c r="I101" s="45" t="str">
        <f aca="false">IF($R101="","",INDEX(Anforderungen!$K:$K,$R101))</f>
        <v>trifft nicht zu</v>
      </c>
      <c r="J101" s="46" t="n">
        <f aca="false">IF($R101="","",INDEX(Anforderungen!$L:$L,$R101))</f>
        <v>0</v>
      </c>
      <c r="K101" s="45" t="str">
        <f aca="false">IF($R101="","",INDEX(Anforderungen!$M:$M,$R101))</f>
        <v>Automatisch ausgewertet: Außerhalb des betrachteten Leistungsumfangs (Schranken, Kennzeichenerfassung, dynamische Anzeige).</v>
      </c>
      <c r="R101" s="0" t="n">
        <f aca="false">IFERROR(MATCH(ROWS($A$14:$A101),$T$7:$T$2000,0)+6,"")</f>
        <v>94</v>
      </c>
      <c r="T101" s="0" t="n">
        <f aca="false">IF(Anforderungen!$B101="","",IF(AND(OR($B5="(alle)",Anforderungen!$K101=$B5),OR($E5="(alle)",Anforderungen!$C101=$E5),OR($H5="(alle)",Anforderungen!$E101=$H5),OR($B7="(alle)",ISNUMBER(SEARCH($B7,Anforderungen!$J101))),OR($E7="(alle)",ISNUMBER(SEARCH($E7,Anforderungen!$I101))),OR($H7="",ISNUMBER(SEARCH($H7,Anforderungen!$F101&amp;" "&amp;Anforderungen!$G101)))),COUNT($T$6:$T100)+1,""))</f>
        <v>95</v>
      </c>
    </row>
    <row r="102" customFormat="false" ht="30" hidden="false" customHeight="true" outlineLevel="0" collapsed="false">
      <c r="A102" s="45" t="str">
        <f aca="false">IF($R102="","",INDEX(Anforderungen!$B:$B,$R102))</f>
        <v>ANF-089</v>
      </c>
      <c r="B102" s="45" t="str">
        <f aca="false">IF($R102="","",INDEX(Anforderungen!$C:$C,$R102))</f>
        <v>Bieterfragenkatalog</v>
      </c>
      <c r="C102" s="45" t="str">
        <f aca="false">IF($R102="","",INDEX(Anforderungen!$D:$D,$R102))</f>
        <v>Nr. 37 / S. 4</v>
      </c>
      <c r="D102" s="45" t="str">
        <f aca="false">IF($R102="","",INDEX(Anforderungen!$E:$E,$R102))</f>
        <v>Vergabeverfahren &amp; Angebot</v>
      </c>
      <c r="E102" s="45" t="str">
        <f aca="false">IF($R102="","",INDEX(Anforderungen!$F:$F,$R102))</f>
        <v>Klarstellung: Ein entsprechendes Vorgehen ist aktuell nicht vorgesehen. Gegenstand dieses Vergabeverfahrens ist ausschließlich LKW Ladeinfrastruktur.</v>
      </c>
      <c r="F102" s="45" t="str">
        <f aca="false">IF($R102="","",INDEX(Anforderungen!$G:$G,$R102))</f>
        <v>Ist es beabsichtigt, im weiteren Verlauf des Verfahrens den Bietern Zusagen darüber zu machen, dass an ausgewählten Standorten mit erfolgtem Zuschlag in der Zukunft per geplanter Erweiterung die Errichtung von zusätzlicher PKW-Ladeinfrastruktur gestattet werden wird, soweit dies technisch umsetzbar ist und bislang noch nicht durch vergangene Ausschreibungen des Bundes abgedeckt wurde bzw. könnte dies Gegenstand der Verhandlungen sein?</v>
      </c>
      <c r="G102" s="45" t="str">
        <f aca="false">IF($R102="","",INDEX(Anforderungen!$I:$I,$R102))</f>
        <v>offen</v>
      </c>
      <c r="H102" s="45" t="str">
        <f aca="false">IF($R102="","",INDEX(Anforderungen!$J:$J,$R102))</f>
        <v>–</v>
      </c>
      <c r="I102" s="45" t="str">
        <f aca="false">IF($R102="","",INDEX(Anforderungen!$K:$K,$R102))</f>
        <v>trifft nicht zu</v>
      </c>
      <c r="J102" s="46" t="n">
        <f aca="false">IF($R102="","",INDEX(Anforderungen!$L:$L,$R102))</f>
        <v>0</v>
      </c>
      <c r="K102" s="45" t="str">
        <f aca="false">IF($R102="","",INDEX(Anforderungen!$M:$M,$R102))</f>
        <v>Automatisch ausgewertet: Betrifft das Vergabeverfahren (Angebot, Wertung, Unterlagen), nicht die zu erbringende Leistung. Keiner Komponente zugeordnet.</v>
      </c>
      <c r="R102" s="0" t="n">
        <f aca="false">IFERROR(MATCH(ROWS($A$14:$A102),$T$7:$T$2000,0)+6,"")</f>
        <v>95</v>
      </c>
      <c r="T102" s="0" t="n">
        <f aca="false">IF(Anforderungen!$B102="","",IF(AND(OR($B5="(alle)",Anforderungen!$K102=$B5),OR($E5="(alle)",Anforderungen!$C102=$E5),OR($H5="(alle)",Anforderungen!$E102=$H5),OR($B7="(alle)",ISNUMBER(SEARCH($B7,Anforderungen!$J102))),OR($E7="(alle)",ISNUMBER(SEARCH($E7,Anforderungen!$I102))),OR($H7="",ISNUMBER(SEARCH($H7,Anforderungen!$F102&amp;" "&amp;Anforderungen!$G102)))),COUNT($T$6:$T101)+1,""))</f>
        <v>96</v>
      </c>
    </row>
    <row r="103" customFormat="false" ht="30" hidden="false" customHeight="true" outlineLevel="0" collapsed="false">
      <c r="A103" s="45" t="str">
        <f aca="false">IF($R103="","",INDEX(Anforderungen!$B:$B,$R103))</f>
        <v>ANF-090</v>
      </c>
      <c r="B103" s="45" t="str">
        <f aca="false">IF($R103="","",INDEX(Anforderungen!$C:$C,$R103))</f>
        <v>Bieterfragenkatalog</v>
      </c>
      <c r="C103" s="45" t="str">
        <f aca="false">IF($R103="","",INDEX(Anforderungen!$D:$D,$R103))</f>
        <v>Nr. 38 / S. 4</v>
      </c>
      <c r="D103" s="45" t="str">
        <f aca="false">IF($R103="","",INDEX(Anforderungen!$E:$E,$R103))</f>
        <v>Vergabeverfahren &amp; Angebot</v>
      </c>
      <c r="E103" s="45" t="str">
        <f aca="false">IF($R103="","",INDEX(Anforderungen!$F:$F,$R103))</f>
        <v>Klarstellung: Da es sich bei der Angabe um Mindestmengen handelt, können die Mengengrudnsätzlich auch in den jeweiligen Jahren vorgezogen werden.</v>
      </c>
      <c r="F103" s="45" t="str">
        <f aca="false">IF($R103="","",INDEX(Anforderungen!$G:$G,$R103))</f>
        <v>Der Bau verteilt sich auf 2026 bis 2030, wobei hier die Mindestmenge angegeben wird. Können die Mengen in den jeweiligen Jahren vorgezogen werden? Wenn ja, bis zu welchem Maße?</v>
      </c>
      <c r="G103" s="45" t="str">
        <f aca="false">IF($R103="","",INDEX(Anforderungen!$I:$I,$R103))</f>
        <v>offen</v>
      </c>
      <c r="H103" s="45" t="str">
        <f aca="false">IF($R103="","",INDEX(Anforderungen!$J:$J,$R103))</f>
        <v>–</v>
      </c>
      <c r="I103" s="45" t="str">
        <f aca="false">IF($R103="","",INDEX(Anforderungen!$K:$K,$R103))</f>
        <v>trifft nicht zu</v>
      </c>
      <c r="J103" s="46" t="n">
        <f aca="false">IF($R103="","",INDEX(Anforderungen!$L:$L,$R103))</f>
        <v>0</v>
      </c>
      <c r="K103" s="45" t="str">
        <f aca="false">IF($R103="","",INDEX(Anforderungen!$M:$M,$R103))</f>
        <v>Automatisch ausgewertet: Betrifft das Vergabeverfahren (Angebot, Wertung, Unterlagen), nicht die zu erbringende Leistung. Keiner Komponente zugeordnet.</v>
      </c>
      <c r="R103" s="0" t="n">
        <f aca="false">IFERROR(MATCH(ROWS($A$14:$A103),$T$7:$T$2000,0)+6,"")</f>
        <v>96</v>
      </c>
      <c r="T103" s="0" t="n">
        <f aca="false">IF(Anforderungen!$B103="","",IF(AND(OR($B5="(alle)",Anforderungen!$K103=$B5),OR($E5="(alle)",Anforderungen!$C103=$E5),OR($H5="(alle)",Anforderungen!$E103=$H5),OR($B7="(alle)",ISNUMBER(SEARCH($B7,Anforderungen!$J103))),OR($E7="(alle)",ISNUMBER(SEARCH($E7,Anforderungen!$I103))),OR($H7="",ISNUMBER(SEARCH($H7,Anforderungen!$F103&amp;" "&amp;Anforderungen!$G103)))),COUNT($T$6:$T102)+1,""))</f>
        <v>97</v>
      </c>
    </row>
    <row r="104" customFormat="false" ht="30" hidden="false" customHeight="true" outlineLevel="0" collapsed="false">
      <c r="A104" s="45" t="str">
        <f aca="false">IF($R104="","",INDEX(Anforderungen!$B:$B,$R104))</f>
        <v>ANF-091</v>
      </c>
      <c r="B104" s="45" t="str">
        <f aca="false">IF($R104="","",INDEX(Anforderungen!$C:$C,$R104))</f>
        <v>Bieterfragenkatalog</v>
      </c>
      <c r="C104" s="45" t="str">
        <f aca="false">IF($R104="","",INDEX(Anforderungen!$D:$D,$R104))</f>
        <v>Nr. 39 / S. 4</v>
      </c>
      <c r="D104" s="45" t="str">
        <f aca="false">IF($R104="","",INDEX(Anforderungen!$E:$E,$R104))</f>
        <v>Netzanschluss &amp; Energie</v>
      </c>
      <c r="E104" s="45" t="str">
        <f aca="false">IF($R104="","",INDEX(Anforderungen!$F:$F,$R104))</f>
        <v>Klarstellung: Die entsprechenden Informationen werden den Bietern im weiteren Vergabeverfahren mitgeteilt, sobald sie dem AG von dem jeweilgien Netzbetreiber vorliegen.</v>
      </c>
      <c r="F104" s="45" t="str">
        <f aca="false">IF($R104="","",INDEX(Anforderungen!$G:$G,$R104))</f>
        <v>Wie und wann erhält man Info zur MSP-Ebene, 10/20 oder 30 kV macht einen großen Preisunterschied und ist für die Kalkulation wesentlich.</v>
      </c>
      <c r="G104" s="45" t="str">
        <f aca="false">IF($R104="","",INDEX(Anforderungen!$I:$I,$R104))</f>
        <v>offen</v>
      </c>
      <c r="H104" s="45" t="str">
        <f aca="false">IF($R104="","",INDEX(Anforderungen!$J:$J,$R104))</f>
        <v>–</v>
      </c>
      <c r="I104" s="45" t="str">
        <f aca="false">IF($R104="","",INDEX(Anforderungen!$K:$K,$R104))</f>
        <v>trifft nicht zu</v>
      </c>
      <c r="J104" s="46" t="n">
        <f aca="false">IF($R104="","",INDEX(Anforderungen!$L:$L,$R104))</f>
        <v>0</v>
      </c>
      <c r="K104" s="45" t="str">
        <f aca="false">IF($R104="","",INDEX(Anforderungen!$M:$M,$R104))</f>
        <v>Automatisch ausgewertet: Außerhalb des betrachteten Leistungsumfangs (Schranken, Kennzeichenerfassung, dynamische Anzeige).</v>
      </c>
      <c r="R104" s="0" t="n">
        <f aca="false">IFERROR(MATCH(ROWS($A$14:$A104),$T$7:$T$2000,0)+6,"")</f>
        <v>97</v>
      </c>
      <c r="T104" s="0" t="n">
        <f aca="false">IF(Anforderungen!$B104="","",IF(AND(OR($B5="(alle)",Anforderungen!$K104=$B5),OR($E5="(alle)",Anforderungen!$C104=$E5),OR($H5="(alle)",Anforderungen!$E104=$H5),OR($B7="(alle)",ISNUMBER(SEARCH($B7,Anforderungen!$J104))),OR($E7="(alle)",ISNUMBER(SEARCH($E7,Anforderungen!$I104))),OR($H7="",ISNUMBER(SEARCH($H7,Anforderungen!$F104&amp;" "&amp;Anforderungen!$G104)))),COUNT($T$6:$T103)+1,""))</f>
        <v>98</v>
      </c>
    </row>
    <row r="105" customFormat="false" ht="30" hidden="false" customHeight="true" outlineLevel="0" collapsed="false">
      <c r="A105" s="45" t="str">
        <f aca="false">IF($R105="","",INDEX(Anforderungen!$B:$B,$R105))</f>
        <v>ANF-092</v>
      </c>
      <c r="B105" s="45" t="str">
        <f aca="false">IF($R105="","",INDEX(Anforderungen!$C:$C,$R105))</f>
        <v>Bieterfragenkatalog</v>
      </c>
      <c r="C105" s="45" t="str">
        <f aca="false">IF($R105="","",INDEX(Anforderungen!$D:$D,$R105))</f>
        <v>Nr. 40 / S. 4</v>
      </c>
      <c r="D105" s="45" t="str">
        <f aca="false">IF($R105="","",INDEX(Anforderungen!$E:$E,$R105))</f>
        <v>Nutzungszeit &amp; Entgelte</v>
      </c>
      <c r="E105" s="45" t="str">
        <f aca="false">IF($R105="","",INDEX(Anforderungen!$F:$F,$R105))</f>
        <v>Klarstellung: Es wird auf §24 Abs. 3 des Vertrages sowie Ziffer 10 der Vertragsanlage 06 "Anforderungen an die Ladeeinrichtung" verwiesen.</v>
      </c>
      <c r="F105" s="45" t="str">
        <f aca="false">IF($R105="","",INDEX(Anforderungen!$G:$G,$R105))</f>
        <v>An jedem Ladepunkt sollen CEE Steckdosen für die Trailer vorhanden sein, muss die Abrechnung eichrechtskonform erfolgen? Zu welchen Konditionen sind die Stromerlöse zwischen AG und AN zu kalkulieren? Sind festgelegte Preise vorgesehen?</v>
      </c>
      <c r="G105" s="45" t="str">
        <f aca="false">IF($R105="","",INDEX(Anforderungen!$I:$I,$R105))</f>
        <v>Alpitronic / eRound</v>
      </c>
      <c r="H105" s="45" t="str">
        <f aca="false">IF($R105="","",INDEX(Anforderungen!$J:$J,$R105))</f>
        <v>Abrechnungskomponente / Ladeeinrichtung</v>
      </c>
      <c r="I105" s="45" t="str">
        <f aca="false">IF($R105="","",INDEX(Anforderungen!$K:$K,$R105))</f>
        <v>trifft nicht zu</v>
      </c>
      <c r="J105" s="46" t="n">
        <f aca="false">IF($R105="","",INDEX(Anforderungen!$L:$L,$R105))</f>
        <v>0</v>
      </c>
      <c r="K105" s="45" t="str">
        <f aca="false">IF($R105="","",INDEX(Anforderungen!$M:$M,$R105))</f>
        <v>Automatisch ausgewertet: Außerhalb des betrachteten Leistungsumfangs (Schranken, Kennzeichenerfassung, dynamische Anzeige).</v>
      </c>
      <c r="R105" s="0" t="n">
        <f aca="false">IFERROR(MATCH(ROWS($A$14:$A105),$T$7:$T$2000,0)+6,"")</f>
        <v>98</v>
      </c>
      <c r="T105" s="0" t="n">
        <f aca="false">IF(Anforderungen!$B105="","",IF(AND(OR($B5="(alle)",Anforderungen!$K105=$B5),OR($E5="(alle)",Anforderungen!$C105=$E5),OR($H5="(alle)",Anforderungen!$E105=$H5),OR($B7="(alle)",ISNUMBER(SEARCH($B7,Anforderungen!$J105))),OR($E7="(alle)",ISNUMBER(SEARCH($E7,Anforderungen!$I105))),OR($H7="",ISNUMBER(SEARCH($H7,Anforderungen!$F105&amp;" "&amp;Anforderungen!$G105)))),COUNT($T$6:$T104)+1,""))</f>
        <v>99</v>
      </c>
    </row>
    <row r="106" customFormat="false" ht="30" hidden="false" customHeight="true" outlineLevel="0" collapsed="false">
      <c r="A106" s="45" t="str">
        <f aca="false">IF($R106="","",INDEX(Anforderungen!$B:$B,$R106))</f>
        <v>ANF-093</v>
      </c>
      <c r="B106" s="45" t="str">
        <f aca="false">IF($R106="","",INDEX(Anforderungen!$C:$C,$R106))</f>
        <v>Bieterfragenkatalog</v>
      </c>
      <c r="C106" s="45" t="str">
        <f aca="false">IF($R106="","",INDEX(Anforderungen!$D:$D,$R106))</f>
        <v>Nr. 41 / S. 4</v>
      </c>
      <c r="D106" s="45" t="str">
        <f aca="false">IF($R106="","",INDEX(Anforderungen!$E:$E,$R106))</f>
        <v>Sonstiges / Zuordnung prüfen</v>
      </c>
      <c r="E106" s="45" t="str">
        <f aca="false">IF($R106="","",INDEX(Anforderungen!$F:$F,$R106))</f>
        <v>Klarstellung: Der AG wird die Unterlagen im weiteren Vergabeverfahren zur Verfügung stellen.</v>
      </c>
      <c r="F106" s="45" t="str">
        <f aca="false">IF($R106="","",INDEX(Anforderungen!$G:$G,$R106))</f>
        <v>Kap. 3.1: Lt. Seite 16 ist die Tabelle von Seite 15 nur beispielhaft. Eine vollständige Liste der zu erstellenden und einzureichenden Unterlagen kann dem Anhang 8 entnommenen werden. Diese fehlt in den Ausschreibungsunterlagen. Bitte um Verteilung des Anhangs 8.</v>
      </c>
      <c r="G106" s="45" t="str">
        <f aca="false">IF($R106="","",INDEX(Anforderungen!$I:$I,$R106))</f>
        <v>Zuordnung prüfen</v>
      </c>
      <c r="H106" s="45" t="str">
        <f aca="false">IF($R106="","",INDEX(Anforderungen!$J:$J,$R106))</f>
        <v>Zuordnung prüfen</v>
      </c>
      <c r="I106" s="45" t="str">
        <f aca="false">IF($R106="","",INDEX(Anforderungen!$K:$K,$R106))</f>
        <v>trifft nicht zu</v>
      </c>
      <c r="J106" s="46" t="n">
        <f aca="false">IF($R106="","",INDEX(Anforderungen!$L:$L,$R106))</f>
        <v>0</v>
      </c>
      <c r="K106" s="45" t="str">
        <f aca="false">IF($R106="","",INDEX(Anforderungen!$M:$M,$R106))</f>
        <v>Automatisch ausgewertet: Außerhalb des betrachteten Leistungsumfangs (Schranken, Kennzeichenerfassung, dynamische Anzeige).</v>
      </c>
      <c r="R106" s="0" t="n">
        <f aca="false">IFERROR(MATCH(ROWS($A$14:$A106),$T$7:$T$2000,0)+6,"")</f>
        <v>99</v>
      </c>
      <c r="T106" s="0" t="n">
        <f aca="false">IF(Anforderungen!$B106="","",IF(AND(OR($B5="(alle)",Anforderungen!$K106=$B5),OR($E5="(alle)",Anforderungen!$C106=$E5),OR($H5="(alle)",Anforderungen!$E106=$H5),OR($B7="(alle)",ISNUMBER(SEARCH($B7,Anforderungen!$J106))),OR($E7="(alle)",ISNUMBER(SEARCH($E7,Anforderungen!$I106))),OR($H7="",ISNUMBER(SEARCH($H7,Anforderungen!$F106&amp;" "&amp;Anforderungen!$G106)))),COUNT($T$6:$T105)+1,""))</f>
        <v>100</v>
      </c>
    </row>
    <row r="107" customFormat="false" ht="30" hidden="false" customHeight="true" outlineLevel="0" collapsed="false">
      <c r="A107" s="45" t="str">
        <f aca="false">IF($R107="","",INDEX(Anforderungen!$B:$B,$R107))</f>
        <v>ANF-094</v>
      </c>
      <c r="B107" s="45" t="str">
        <f aca="false">IF($R107="","",INDEX(Anforderungen!$C:$C,$R107))</f>
        <v>Bieterfragenkatalog</v>
      </c>
      <c r="C107" s="45" t="str">
        <f aca="false">IF($R107="","",INDEX(Anforderungen!$D:$D,$R107))</f>
        <v>Nr. 42 / S. 4</v>
      </c>
      <c r="D107" s="45" t="str">
        <f aca="false">IF($R107="","",INDEX(Anforderungen!$E:$E,$R107))</f>
        <v>Bau &amp; Dokumentation</v>
      </c>
      <c r="E107" s="45" t="str">
        <f aca="false">IF($R107="","",INDEX(Anforderungen!$F:$F,$R107))</f>
        <v>Klarstellung: Es ist nicht klar, was mit Sicherheitsaudits gemeint ist. Sofern Verkehrssicherheitsaudits gemeint sind, haben diese einmalig im Rahmen der Baufreigabefreigabe zu erfolgen.</v>
      </c>
      <c r="F107" s="45" t="str">
        <f aca="false">IF($R107="","",INDEX(Anforderungen!$G:$G,$R107))</f>
        <v>Sind Sicherheitsaudits durchzuführen? Wenn ja, sind die Leistungen vom AN zu erbringen und wie oft durchzuführen?</v>
      </c>
      <c r="G107" s="45" t="str">
        <f aca="false">IF($R107="","",INDEX(Anforderungen!$I:$I,$R107))</f>
        <v>offen</v>
      </c>
      <c r="H107" s="45" t="str">
        <f aca="false">IF($R107="","",INDEX(Anforderungen!$J:$J,$R107))</f>
        <v>–</v>
      </c>
      <c r="I107" s="45" t="str">
        <f aca="false">IF($R107="","",INDEX(Anforderungen!$K:$K,$R107))</f>
        <v>trifft nicht zu</v>
      </c>
      <c r="J107" s="46" t="n">
        <f aca="false">IF($R107="","",INDEX(Anforderungen!$L:$L,$R107))</f>
        <v>0</v>
      </c>
      <c r="K107" s="45" t="str">
        <f aca="false">IF($R107="","",INDEX(Anforderungen!$M:$M,$R107))</f>
        <v>Automatisch ausgewertet: Außerhalb des betrachteten Leistungsumfangs (Schranken, Kennzeichenerfassung, dynamische Anzeige).</v>
      </c>
      <c r="R107" s="0" t="n">
        <f aca="false">IFERROR(MATCH(ROWS($A$14:$A107),$T$7:$T$2000,0)+6,"")</f>
        <v>100</v>
      </c>
      <c r="T107" s="0" t="n">
        <f aca="false">IF(Anforderungen!$B107="","",IF(AND(OR($B5="(alle)",Anforderungen!$K107=$B5),OR($E5="(alle)",Anforderungen!$C107=$E5),OR($H5="(alle)",Anforderungen!$E107=$H5),OR($B7="(alle)",ISNUMBER(SEARCH($B7,Anforderungen!$J107))),OR($E7="(alle)",ISNUMBER(SEARCH($E7,Anforderungen!$I107))),OR($H7="",ISNUMBER(SEARCH($H7,Anforderungen!$F107&amp;" "&amp;Anforderungen!$G107)))),COUNT($T$6:$T106)+1,""))</f>
        <v>101</v>
      </c>
    </row>
    <row r="108" customFormat="false" ht="30" hidden="false" customHeight="true" outlineLevel="0" collapsed="false">
      <c r="A108" s="45" t="str">
        <f aca="false">IF($R108="","",INDEX(Anforderungen!$B:$B,$R108))</f>
        <v>ANF-095</v>
      </c>
      <c r="B108" s="45" t="str">
        <f aca="false">IF($R108="","",INDEX(Anforderungen!$C:$C,$R108))</f>
        <v>Bieterfragenkatalog</v>
      </c>
      <c r="C108" s="45" t="str">
        <f aca="false">IF($R108="","",INDEX(Anforderungen!$D:$D,$R108))</f>
        <v>Nr. 43 / S. 4</v>
      </c>
      <c r="D108" s="45" t="str">
        <f aca="false">IF($R108="","",INDEX(Anforderungen!$E:$E,$R108))</f>
        <v>Flächen &amp; Genehmigungen</v>
      </c>
      <c r="E108" s="45" t="str">
        <f aca="false">IF($R108="","",INDEX(Anforderungen!$F:$F,$R108))</f>
        <v>Klarstellung: Eine Kanalnetzberechnung ist erforderlich, sofern das Regenwassernetz angepasst/ verändert wird.</v>
      </c>
      <c r="F108" s="45" t="str">
        <f aca="false">IF($R108="","",INDEX(Anforderungen!$G:$G,$R108))</f>
        <v>Kap. 3.8.2: Den vorliegenden Unterlagen ist nicht zu entnehmen, ob eine Kanalnetzberechnung der gesamten Rastanlage erforderlich ist. Bitte um Präzisierung der erforderlichen Leistungen.</v>
      </c>
      <c r="G108" s="45" t="str">
        <f aca="false">IF($R108="","",INDEX(Anforderungen!$I:$I,$R108))</f>
        <v>offen</v>
      </c>
      <c r="H108" s="45" t="str">
        <f aca="false">IF($R108="","",INDEX(Anforderungen!$J:$J,$R108))</f>
        <v>–</v>
      </c>
      <c r="I108" s="45" t="str">
        <f aca="false">IF($R108="","",INDEX(Anforderungen!$K:$K,$R108))</f>
        <v>trifft nicht zu</v>
      </c>
      <c r="J108" s="46" t="n">
        <f aca="false">IF($R108="","",INDEX(Anforderungen!$L:$L,$R108))</f>
        <v>0</v>
      </c>
      <c r="K108" s="45" t="str">
        <f aca="false">IF($R108="","",INDEX(Anforderungen!$M:$M,$R108))</f>
        <v>Automatisch ausgewertet: Außerhalb des betrachteten Leistungsumfangs (Schranken, Kennzeichenerfassung, dynamische Anzeige).</v>
      </c>
      <c r="R108" s="0" t="n">
        <f aca="false">IFERROR(MATCH(ROWS($A$14:$A108),$T$7:$T$2000,0)+6,"")</f>
        <v>101</v>
      </c>
      <c r="T108" s="0" t="n">
        <f aca="false">IF(Anforderungen!$B108="","",IF(AND(OR($B5="(alle)",Anforderungen!$K108=$B5),OR($E5="(alle)",Anforderungen!$C108=$E5),OR($H5="(alle)",Anforderungen!$E108=$H5),OR($B7="(alle)",ISNUMBER(SEARCH($B7,Anforderungen!$J108))),OR($E7="(alle)",ISNUMBER(SEARCH($E7,Anforderungen!$I108))),OR($H7="",ISNUMBER(SEARCH($H7,Anforderungen!$F108&amp;" "&amp;Anforderungen!$G108)))),COUNT($T$6:$T107)+1,""))</f>
        <v>102</v>
      </c>
    </row>
    <row r="109" customFormat="false" ht="30" hidden="false" customHeight="true" outlineLevel="0" collapsed="false">
      <c r="A109" s="45" t="str">
        <f aca="false">IF($R109="","",INDEX(Anforderungen!$B:$B,$R109))</f>
        <v>ANF-096</v>
      </c>
      <c r="B109" s="45" t="str">
        <f aca="false">IF($R109="","",INDEX(Anforderungen!$C:$C,$R109))</f>
        <v>Bieterfragenkatalog</v>
      </c>
      <c r="C109" s="45" t="str">
        <f aca="false">IF($R109="","",INDEX(Anforderungen!$D:$D,$R109))</f>
        <v>Nr. 44 / S. 4</v>
      </c>
      <c r="D109" s="45" t="str">
        <f aca="false">IF($R109="","",INDEX(Anforderungen!$E:$E,$R109))</f>
        <v>Vergabeverfahren &amp; Angebot</v>
      </c>
      <c r="E109" s="45" t="str">
        <f aca="false">IF($R109="","",INDEX(Anforderungen!$F:$F,$R109))</f>
        <v>Klarstellung: Ein entsprechendes Vorgehen ist, soweit hinsichtlich der jeweiligen konkreten Unterlage sinnvoll, vorgesehen.</v>
      </c>
      <c r="F109" s="45" t="str">
        <f aca="false">IF($R109="","",INDEX(Anforderungen!$G:$G,$R109))</f>
        <v>Bereitstellung von ChangeVersion für sämtliche Unterlagen: Wir bitte darum, bei zukünftigen Änderung der Ausschreibungsunterlagen eine ChangeVersion des jeweiligen Dokuments bereitzustellen um ein Anpassung der Vergabeunterlagen nachvollziehen zu können.</v>
      </c>
      <c r="G109" s="45" t="str">
        <f aca="false">IF($R109="","",INDEX(Anforderungen!$I:$I,$R109))</f>
        <v>offen</v>
      </c>
      <c r="H109" s="45" t="str">
        <f aca="false">IF($R109="","",INDEX(Anforderungen!$J:$J,$R109))</f>
        <v>–</v>
      </c>
      <c r="I109" s="45" t="str">
        <f aca="false">IF($R109="","",INDEX(Anforderungen!$K:$K,$R109))</f>
        <v>trifft nicht zu</v>
      </c>
      <c r="J109" s="46" t="n">
        <f aca="false">IF($R109="","",INDEX(Anforderungen!$L:$L,$R109))</f>
        <v>0</v>
      </c>
      <c r="K109" s="45" t="str">
        <f aca="false">IF($R109="","",INDEX(Anforderungen!$M:$M,$R109))</f>
        <v>Automatisch ausgewertet: Betrifft das Vergabeverfahren (Angebot, Wertung, Unterlagen), nicht die zu erbringende Leistung. Keiner Komponente zugeordnet.</v>
      </c>
      <c r="R109" s="0" t="n">
        <f aca="false">IFERROR(MATCH(ROWS($A$14:$A109),$T$7:$T$2000,0)+6,"")</f>
        <v>102</v>
      </c>
      <c r="T109" s="0" t="n">
        <f aca="false">IF(Anforderungen!$B109="","",IF(AND(OR($B5="(alle)",Anforderungen!$K109=$B5),OR($E5="(alle)",Anforderungen!$C109=$E5),OR($H5="(alle)",Anforderungen!$E109=$H5),OR($B7="(alle)",ISNUMBER(SEARCH($B7,Anforderungen!$J109))),OR($E7="(alle)",ISNUMBER(SEARCH($E7,Anforderungen!$I109))),OR($H7="",ISNUMBER(SEARCH($H7,Anforderungen!$F109&amp;" "&amp;Anforderungen!$G109)))),COUNT($T$6:$T108)+1,""))</f>
        <v>103</v>
      </c>
    </row>
    <row r="110" customFormat="false" ht="30" hidden="false" customHeight="true" outlineLevel="0" collapsed="false">
      <c r="A110" s="45" t="str">
        <f aca="false">IF($R110="","",INDEX(Anforderungen!$B:$B,$R110))</f>
        <v>ANF-097</v>
      </c>
      <c r="B110" s="45" t="str">
        <f aca="false">IF($R110="","",INDEX(Anforderungen!$C:$C,$R110))</f>
        <v>Bieterfragenkatalog</v>
      </c>
      <c r="C110" s="45" t="str">
        <f aca="false">IF($R110="","",INDEX(Anforderungen!$D:$D,$R110))</f>
        <v>Nr. 45 / S. 4</v>
      </c>
      <c r="D110" s="45" t="str">
        <f aca="false">IF($R110="","",INDEX(Anforderungen!$E:$E,$R110))</f>
        <v>Netzanschluss &amp; Energie</v>
      </c>
      <c r="E110" s="45" t="str">
        <f aca="false">IF($R110="","",INDEX(Anforderungen!$F:$F,$R110))</f>
        <v>Klarstellung: Zu den Systemkosten wird aktuell im Vertrag keine ausdrückliche Aussage getroffen. Allerdings ist der Auftragnehmer nach § 44 Abs.</v>
      </c>
      <c r="F110" s="45" t="str">
        <f aca="false">IF($R110="","",INDEX(Anforderungen!$G:$G,$R110))</f>
        <v>§ 44, Abs. 1.: Der AG kann an Standorten Speicher aufstellen. Wir bitten um Bestätigung, dass der AG auch die Kosten des Systemanschlusses trägt.</v>
      </c>
      <c r="G110" s="45" t="str">
        <f aca="false">IF($R110="","",INDEX(Anforderungen!$I:$I,$R110))</f>
        <v>offen</v>
      </c>
      <c r="H110" s="45" t="str">
        <f aca="false">IF($R110="","",INDEX(Anforderungen!$J:$J,$R110))</f>
        <v>–</v>
      </c>
      <c r="I110" s="45" t="str">
        <f aca="false">IF($R110="","",INDEX(Anforderungen!$K:$K,$R110))</f>
        <v>trifft nicht zu</v>
      </c>
      <c r="J110" s="46" t="n">
        <f aca="false">IF($R110="","",INDEX(Anforderungen!$L:$L,$R110))</f>
        <v>0</v>
      </c>
      <c r="K110" s="45" t="str">
        <f aca="false">IF($R110="","",INDEX(Anforderungen!$M:$M,$R110))</f>
        <v>Automatisch ausgewertet: Außerhalb des betrachteten Leistungsumfangs (Schranken, Kennzeichenerfassung, dynamische Anzeige).</v>
      </c>
      <c r="R110" s="0" t="n">
        <f aca="false">IFERROR(MATCH(ROWS($A$14:$A110),$T$7:$T$2000,0)+6,"")</f>
        <v>103</v>
      </c>
      <c r="T110" s="0" t="n">
        <f aca="false">IF(Anforderungen!$B110="","",IF(AND(OR($B5="(alle)",Anforderungen!$K110=$B5),OR($E5="(alle)",Anforderungen!$C110=$E5),OR($H5="(alle)",Anforderungen!$E110=$H5),OR($B7="(alle)",ISNUMBER(SEARCH($B7,Anforderungen!$J110))),OR($E7="(alle)",ISNUMBER(SEARCH($E7,Anforderungen!$I110))),OR($H7="",ISNUMBER(SEARCH($H7,Anforderungen!$F110&amp;" "&amp;Anforderungen!$G110)))),COUNT($T$6:$T109)+1,""))</f>
        <v>104</v>
      </c>
    </row>
    <row r="111" customFormat="false" ht="30" hidden="false" customHeight="true" outlineLevel="0" collapsed="false">
      <c r="A111" s="45" t="str">
        <f aca="false">IF($R111="","",INDEX(Anforderungen!$B:$B,$R111))</f>
        <v>ANF-098</v>
      </c>
      <c r="B111" s="45" t="str">
        <f aca="false">IF($R111="","",INDEX(Anforderungen!$C:$C,$R111))</f>
        <v>Bieterfragenkatalog</v>
      </c>
      <c r="C111" s="45" t="str">
        <f aca="false">IF($R111="","",INDEX(Anforderungen!$D:$D,$R111))</f>
        <v>Nr. 46 / S. 4</v>
      </c>
      <c r="D111" s="45" t="str">
        <f aca="false">IF($R111="","",INDEX(Anforderungen!$E:$E,$R111))</f>
        <v>Netzanschluss &amp; Energie</v>
      </c>
      <c r="E111" s="45" t="str">
        <f aca="false">IF($R111="","",INDEX(Anforderungen!$F:$F,$R111))</f>
        <v>Klarstellung: Anzahl und Größe der zum Einsatz kommenden Speicher stehen aktuell noch nicht fest, da der Anschlussprozess der Standorte parallel zum Vergabeverfahren läuft.</v>
      </c>
      <c r="F111" s="45" t="str">
        <f aca="false">IF($R111="","",INDEX(Anforderungen!$G:$G,$R111))</f>
        <v>§ 44, Abs. 1. sowie § 18 Abs. 4: Der AG kann an Standorten Speicher aufstellen. Für die Instandhaltung des Speichers soll der AN verpflichtet sein. Zur Kalkulation de Instandhaltungskosten bitten wir um Angabe der Anzahl und jeweiligen Größe der Speicher.</v>
      </c>
      <c r="G111" s="45" t="str">
        <f aca="false">IF($R111="","",INDEX(Anforderungen!$I:$I,$R111))</f>
        <v>offen</v>
      </c>
      <c r="H111" s="45" t="str">
        <f aca="false">IF($R111="","",INDEX(Anforderungen!$J:$J,$R111))</f>
        <v>–</v>
      </c>
      <c r="I111" s="45" t="str">
        <f aca="false">IF($R111="","",INDEX(Anforderungen!$K:$K,$R111))</f>
        <v>trifft nicht zu</v>
      </c>
      <c r="J111" s="46" t="n">
        <f aca="false">IF($R111="","",INDEX(Anforderungen!$L:$L,$R111))</f>
        <v>0</v>
      </c>
      <c r="K111" s="45" t="str">
        <f aca="false">IF($R111="","",INDEX(Anforderungen!$M:$M,$R111))</f>
        <v>Automatisch ausgewertet: Außerhalb des betrachteten Leistungsumfangs (Schranken, Kennzeichenerfassung, dynamische Anzeige).</v>
      </c>
      <c r="R111" s="0" t="n">
        <f aca="false">IFERROR(MATCH(ROWS($A$14:$A111),$T$7:$T$2000,0)+6,"")</f>
        <v>104</v>
      </c>
      <c r="T111" s="0" t="n">
        <f aca="false">IF(Anforderungen!$B111="","",IF(AND(OR($B5="(alle)",Anforderungen!$K111=$B5),OR($E5="(alle)",Anforderungen!$C111=$E5),OR($H5="(alle)",Anforderungen!$E111=$H5),OR($B7="(alle)",ISNUMBER(SEARCH($B7,Anforderungen!$J111))),OR($E7="(alle)",ISNUMBER(SEARCH($E7,Anforderungen!$I111))),OR($H7="",ISNUMBER(SEARCH($H7,Anforderungen!$F111&amp;" "&amp;Anforderungen!$G111)))),COUNT($T$6:$T110)+1,""))</f>
        <v>105</v>
      </c>
    </row>
    <row r="112" customFormat="false" ht="30" hidden="false" customHeight="true" outlineLevel="0" collapsed="false">
      <c r="A112" s="45" t="str">
        <f aca="false">IF($R112="","",INDEX(Anforderungen!$B:$B,$R112))</f>
        <v>ANF-099</v>
      </c>
      <c r="B112" s="45" t="str">
        <f aca="false">IF($R112="","",INDEX(Anforderungen!$C:$C,$R112))</f>
        <v>Bieterfragenkatalog</v>
      </c>
      <c r="C112" s="45" t="str">
        <f aca="false">IF($R112="","",INDEX(Anforderungen!$D:$D,$R112))</f>
        <v>Nr. 47 / S. 4</v>
      </c>
      <c r="D112" s="45" t="str">
        <f aca="false">IF($R112="","",INDEX(Anforderungen!$E:$E,$R112))</f>
        <v>Netzanschluss &amp; Energie</v>
      </c>
      <c r="E112" s="45" t="str">
        <f aca="false">IF($R112="","",INDEX(Anforderungen!$F:$F,$R112))</f>
        <v>Klarstellung: Für die Kalkulation der Erstangebote ist zu unterstellen, dass keine Vermarktung erfolgt. Etwaige Vermarktungstätigkeiten können zum Gegenstand der Bieterverhandlungen gemacht werden.</v>
      </c>
      <c r="F112" s="45" t="str">
        <f aca="false">IF($R112="","",INDEX(Anforderungen!$G:$G,$R112))</f>
        <v>§ 44, Abs. 3.: Der AN kann einen Speicher vermarkten, allerdings nur nach Zustimmung des AG. Zur Kalkulation möglicher Einnahmen bitten wir um Festlegung von Randbedingungen, unter denen eine Zustimmung des AG erfolgt. Andernfalls ist eine Kalkulation von Einnahmen nicht möglich.</v>
      </c>
      <c r="G112" s="45" t="str">
        <f aca="false">IF($R112="","",INDEX(Anforderungen!$I:$I,$R112))</f>
        <v>offen</v>
      </c>
      <c r="H112" s="45" t="str">
        <f aca="false">IF($R112="","",INDEX(Anforderungen!$J:$J,$R112))</f>
        <v>–</v>
      </c>
      <c r="I112" s="45" t="str">
        <f aca="false">IF($R112="","",INDEX(Anforderungen!$K:$K,$R112))</f>
        <v>trifft nicht zu</v>
      </c>
      <c r="J112" s="46" t="n">
        <f aca="false">IF($R112="","",INDEX(Anforderungen!$L:$L,$R112))</f>
        <v>0</v>
      </c>
      <c r="K112" s="45" t="str">
        <f aca="false">IF($R112="","",INDEX(Anforderungen!$M:$M,$R112))</f>
        <v>Automatisch ausgewertet: Außerhalb des betrachteten Leistungsumfangs (Schranken, Kennzeichenerfassung, dynamische Anzeige).</v>
      </c>
      <c r="R112" s="0" t="n">
        <f aca="false">IFERROR(MATCH(ROWS($A$14:$A112),$T$7:$T$2000,0)+6,"")</f>
        <v>105</v>
      </c>
      <c r="T112" s="0" t="n">
        <f aca="false">IF(Anforderungen!$B112="","",IF(AND(OR($B5="(alle)",Anforderungen!$K112=$B5),OR($E5="(alle)",Anforderungen!$C112=$E5),OR($H5="(alle)",Anforderungen!$E112=$H5),OR($B7="(alle)",ISNUMBER(SEARCH($B7,Anforderungen!$J112))),OR($E7="(alle)",ISNUMBER(SEARCH($E7,Anforderungen!$I112))),OR($H7="",ISNUMBER(SEARCH($H7,Anforderungen!$F112&amp;" "&amp;Anforderungen!$G112)))),COUNT($T$6:$T111)+1,""))</f>
        <v>106</v>
      </c>
    </row>
    <row r="113" customFormat="false" ht="30" hidden="false" customHeight="true" outlineLevel="0" collapsed="false">
      <c r="A113" s="45" t="str">
        <f aca="false">IF($R113="","",INDEX(Anforderungen!$B:$B,$R113))</f>
        <v>ANF-100</v>
      </c>
      <c r="B113" s="45" t="str">
        <f aca="false">IF($R113="","",INDEX(Anforderungen!$C:$C,$R113))</f>
        <v>Bieterfragenkatalog</v>
      </c>
      <c r="C113" s="45" t="str">
        <f aca="false">IF($R113="","",INDEX(Anforderungen!$D:$D,$R113))</f>
        <v>Nr. 48 / S. 4</v>
      </c>
      <c r="D113" s="45" t="str">
        <f aca="false">IF($R113="","",INDEX(Anforderungen!$E:$E,$R113))</f>
        <v>Netzanschluss &amp; Energie</v>
      </c>
      <c r="E113" s="45" t="str">
        <f aca="false">IF($R113="","",INDEX(Anforderungen!$F:$F,$R113))</f>
        <v>Verneint: dieses Verständnis ist nicht korrekt. Die Startleistung ist eine Mindestleistung, die dann relevant wird, wenn sowohl die für 2030 geplanten Leistungen für die zu errichtenden Ladepunkte als auch die beantragte …</v>
      </c>
      <c r="F113" s="45" t="str">
        <f aca="false">IF($R113="","",INDEX(Anforderungen!$G:$G,$R113))</f>
        <v>Details zum Netzanschluss: Ist das Verständnis richtig, dass die Startleistung 2026 bereits heute vorliegend ist und somit in 2026 auf jeden Fall zur Verfügung stehen wird?</v>
      </c>
      <c r="G113" s="45" t="str">
        <f aca="false">IF($R113="","",INDEX(Anforderungen!$I:$I,$R113))</f>
        <v>offen</v>
      </c>
      <c r="H113" s="45" t="str">
        <f aca="false">IF($R113="","",INDEX(Anforderungen!$J:$J,$R113))</f>
        <v>–</v>
      </c>
      <c r="I113" s="45" t="str">
        <f aca="false">IF($R113="","",INDEX(Anforderungen!$K:$K,$R113))</f>
        <v>trifft nicht zu</v>
      </c>
      <c r="J113" s="46" t="n">
        <f aca="false">IF($R113="","",INDEX(Anforderungen!$L:$L,$R113))</f>
        <v>0</v>
      </c>
      <c r="K113" s="45" t="str">
        <f aca="false">IF($R113="","",INDEX(Anforderungen!$M:$M,$R113))</f>
        <v>Automatisch ausgewertet: Außerhalb des betrachteten Leistungsumfangs (Schranken, Kennzeichenerfassung, dynamische Anzeige).</v>
      </c>
      <c r="R113" s="0" t="n">
        <f aca="false">IFERROR(MATCH(ROWS($A$14:$A113),$T$7:$T$2000,0)+6,"")</f>
        <v>106</v>
      </c>
      <c r="T113" s="0" t="n">
        <f aca="false">IF(Anforderungen!$B113="","",IF(AND(OR($B5="(alle)",Anforderungen!$K113=$B5),OR($E5="(alle)",Anforderungen!$C113=$E5),OR($H5="(alle)",Anforderungen!$E113=$H5),OR($B7="(alle)",ISNUMBER(SEARCH($B7,Anforderungen!$J113))),OR($E7="(alle)",ISNUMBER(SEARCH($E7,Anforderungen!$I113))),OR($H7="",ISNUMBER(SEARCH($H7,Anforderungen!$F113&amp;" "&amp;Anforderungen!$G113)))),COUNT($T$6:$T112)+1,""))</f>
        <v>107</v>
      </c>
    </row>
    <row r="114" customFormat="false" ht="30" hidden="false" customHeight="true" outlineLevel="0" collapsed="false">
      <c r="A114" s="45" t="str">
        <f aca="false">IF($R114="","",INDEX(Anforderungen!$B:$B,$R114))</f>
        <v>ANF-101</v>
      </c>
      <c r="B114" s="45" t="str">
        <f aca="false">IF($R114="","",INDEX(Anforderungen!$C:$C,$R114))</f>
        <v>Bieterfragenkatalog</v>
      </c>
      <c r="C114" s="45" t="str">
        <f aca="false">IF($R114="","",INDEX(Anforderungen!$D:$D,$R114))</f>
        <v>Nr. 49 / S. 4</v>
      </c>
      <c r="D114" s="45" t="str">
        <f aca="false">IF($R114="","",INDEX(Anforderungen!$E:$E,$R114))</f>
        <v>Vertrag &amp; Recht</v>
      </c>
      <c r="E114" s="45" t="str">
        <f aca="false">IF($R114="","",INDEX(Anforderungen!$F:$F,$R114))</f>
        <v>Bestätigt: dies ist möglich.</v>
      </c>
      <c r="F114" s="45" t="str">
        <f aca="false">IF($R114="","",INDEX(Anforderungen!$G:$G,$R114))</f>
        <v>Ist es möglich, einen bisher nicht angegebenen Nachunternehmer erst im finalen Angebot zu benennen und die einschlägigen Formblätter A.2 bis A.5 vorzulegen, wenn zum Zeitpunkt der Abgabe des ersten, unverbindlichen Angebots noch nicht feststeht, welches Unternehmen als Nachunternehmer eingebunden werden soll?</v>
      </c>
      <c r="G114" s="45" t="str">
        <f aca="false">IF($R114="","",INDEX(Anforderungen!$I:$I,$R114))</f>
        <v>offen</v>
      </c>
      <c r="H114" s="45" t="str">
        <f aca="false">IF($R114="","",INDEX(Anforderungen!$J:$J,$R114))</f>
        <v>–</v>
      </c>
      <c r="I114" s="45" t="str">
        <f aca="false">IF($R114="","",INDEX(Anforderungen!$K:$K,$R114))</f>
        <v>trifft nicht zu</v>
      </c>
      <c r="J114" s="46" t="n">
        <f aca="false">IF($R114="","",INDEX(Anforderungen!$L:$L,$R114))</f>
        <v>0</v>
      </c>
      <c r="K114" s="45" t="str">
        <f aca="false">IF($R114="","",INDEX(Anforderungen!$M:$M,$R114))</f>
        <v>Automatisch ausgewertet: Außerhalb des betrachteten Leistungsumfangs (Schranken, Kennzeichenerfassung, dynamische Anzeige).</v>
      </c>
      <c r="R114" s="0" t="n">
        <f aca="false">IFERROR(MATCH(ROWS($A$14:$A114),$T$7:$T$2000,0)+6,"")</f>
        <v>107</v>
      </c>
      <c r="T114" s="0" t="n">
        <f aca="false">IF(Anforderungen!$B114="","",IF(AND(OR($B5="(alle)",Anforderungen!$K114=$B5),OR($E5="(alle)",Anforderungen!$C114=$E5),OR($H5="(alle)",Anforderungen!$E114=$H5),OR($B7="(alle)",ISNUMBER(SEARCH($B7,Anforderungen!$J114))),OR($E7="(alle)",ISNUMBER(SEARCH($E7,Anforderungen!$I114))),OR($H7="",ISNUMBER(SEARCH($H7,Anforderungen!$F114&amp;" "&amp;Anforderungen!$G114)))),COUNT($T$6:$T113)+1,""))</f>
        <v>108</v>
      </c>
    </row>
    <row r="115" customFormat="false" ht="30" hidden="false" customHeight="true" outlineLevel="0" collapsed="false">
      <c r="A115" s="45" t="str">
        <f aca="false">IF($R115="","",INDEX(Anforderungen!$B:$B,$R115))</f>
        <v>ANF-102</v>
      </c>
      <c r="B115" s="45" t="str">
        <f aca="false">IF($R115="","",INDEX(Anforderungen!$C:$C,$R115))</f>
        <v>Bieterfragenkatalog</v>
      </c>
      <c r="C115" s="45" t="str">
        <f aca="false">IF($R115="","",INDEX(Anforderungen!$D:$D,$R115))</f>
        <v>Nr. 50 / S. 4</v>
      </c>
      <c r="D115" s="45" t="str">
        <f aca="false">IF($R115="","",INDEX(Anforderungen!$E:$E,$R115))</f>
        <v>Vertrag &amp; Recht</v>
      </c>
      <c r="E115" s="45" t="str">
        <f aca="false">IF($R115="","",INDEX(Anforderungen!$F:$F,$R115))</f>
        <v>Klarstellung: Bei der Personalaufstellung im Rahmen des Errichtungskonzepts sind die Personen zu benennen, die im Auftragsfall die Errichtung vornehmen.</v>
      </c>
      <c r="F115" s="45" t="str">
        <f aca="false">IF($R115="","",INDEX(Anforderungen!$G:$G,$R115))</f>
        <v>Gehen wir recht in der Annahme, dass beim Errichtungskonzept (Personalaufstellung) lediglich die beim Bieter angestellten Personale zu nennen sind (und nur diese bewertet werden) und damit Personale von Nachunternehmern nicht zu nennen sind (und damit nicht bewertet werden)?</v>
      </c>
      <c r="G115" s="45" t="str">
        <f aca="false">IF($R115="","",INDEX(Anforderungen!$I:$I,$R115))</f>
        <v>offen</v>
      </c>
      <c r="H115" s="45" t="str">
        <f aca="false">IF($R115="","",INDEX(Anforderungen!$J:$J,$R115))</f>
        <v>–</v>
      </c>
      <c r="I115" s="45" t="str">
        <f aca="false">IF($R115="","",INDEX(Anforderungen!$K:$K,$R115))</f>
        <v>trifft nicht zu</v>
      </c>
      <c r="J115" s="46" t="n">
        <f aca="false">IF($R115="","",INDEX(Anforderungen!$L:$L,$R115))</f>
        <v>0</v>
      </c>
      <c r="K115" s="45" t="str">
        <f aca="false">IF($R115="","",INDEX(Anforderungen!$M:$M,$R115))</f>
        <v>Automatisch ausgewertet: Außerhalb des betrachteten Leistungsumfangs (Schranken, Kennzeichenerfassung, dynamische Anzeige).</v>
      </c>
      <c r="R115" s="0" t="n">
        <f aca="false">IFERROR(MATCH(ROWS($A$14:$A115),$T$7:$T$2000,0)+6,"")</f>
        <v>108</v>
      </c>
      <c r="T115" s="0" t="n">
        <f aca="false">IF(Anforderungen!$B115="","",IF(AND(OR($B5="(alle)",Anforderungen!$K115=$B5),OR($E5="(alle)",Anforderungen!$C115=$E5),OR($H5="(alle)",Anforderungen!$E115=$H5),OR($B7="(alle)",ISNUMBER(SEARCH($B7,Anforderungen!$J115))),OR($E7="(alle)",ISNUMBER(SEARCH($E7,Anforderungen!$I115))),OR($H7="",ISNUMBER(SEARCH($H7,Anforderungen!$F115&amp;" "&amp;Anforderungen!$G115)))),COUNT($T$6:$T114)+1,""))</f>
        <v>109</v>
      </c>
    </row>
    <row r="116" customFormat="false" ht="30" hidden="false" customHeight="true" outlineLevel="0" collapsed="false">
      <c r="A116" s="45" t="str">
        <f aca="false">IF($R116="","",INDEX(Anforderungen!$B:$B,$R116))</f>
        <v>ANF-103</v>
      </c>
      <c r="B116" s="45" t="str">
        <f aca="false">IF($R116="","",INDEX(Anforderungen!$C:$C,$R116))</f>
        <v>Bieterfragenkatalog</v>
      </c>
      <c r="C116" s="45" t="str">
        <f aca="false">IF($R116="","",INDEX(Anforderungen!$D:$D,$R116))</f>
        <v>Nr. 51 / S. 4</v>
      </c>
      <c r="D116" s="45" t="str">
        <f aca="false">IF($R116="","",INDEX(Anforderungen!$E:$E,$R116))</f>
        <v>Authentifizierung &amp; Zugang</v>
      </c>
      <c r="E116" s="45" t="str">
        <f aca="false">IF($R116="","",INDEX(Anforderungen!$F:$F,$R116))</f>
        <v>Verneint: das Durchleitungsmodell steht nicht zur Disposiition des Auftragnehmers, ihr Verstädnis ist unzutreffend.</v>
      </c>
      <c r="F116" s="45" t="str">
        <f aca="false">IF($R116="","",INDEX(Anforderungen!$G:$G,$R116))</f>
        <v>Gehen wir recht in der Annahme, dass das in § 24 der Anlage 01 Betreibervertrag beschriebenen "Vertriebsmodell" Durchleitungsmodell alternativ zu verstehen ist und von der Wahl des Auftragnehmers abhängt? Hierfür sprechen das "oder" sowie das "alternativ" im § 24 sowie die eingehenden Formulierungen von § 25 Abs. 1 ("verpflichtet, (...) ein Ad-Hoc-Laden (...) zu ermöglichen") und § 27 Abs. 1 ("verpflichtet, Mobilitätsdienstleistern für deren Kunden den Zugang (...) zu ermöglichen") gegenüber § 28 Abs. 1 ("Für die Nutzung im Rahmen des Durchleitungsmodells verpflichtet sich ..."). Unser Verständnis ist hier, dass die in diesem Paragrafen oder in § 30 genannten Verpflichtungen nur bei optionaler Wahl des Durchleitungsmodells zum Tragen kommen. Dagegen sprechen die Formulierungen in Vertragsanlage 14, z.B. in der Präambel. Darüber hinaus findet sich in der genannten Anlage 14 noch der Verweis auf Zugang für Endnutzer, welche im Hauptvertrag gestrichen wurde.</v>
      </c>
      <c r="G116" s="45" t="str">
        <f aca="false">IF($R116="","",INDEX(Anforderungen!$I:$I,$R116))</f>
        <v>eRound</v>
      </c>
      <c r="H116" s="45" t="str">
        <f aca="false">IF($R116="","",INDEX(Anforderungen!$J:$J,$R116))</f>
        <v>Authentifizierungskomponente / OCPI Buchungskalender</v>
      </c>
      <c r="I116" s="45" t="str">
        <f aca="false">IF($R116="","",INDEX(Anforderungen!$K:$K,$R116))</f>
        <v>trifft nicht zu</v>
      </c>
      <c r="J116" s="46" t="n">
        <f aca="false">IF($R116="","",INDEX(Anforderungen!$L:$L,$R116))</f>
        <v>0</v>
      </c>
      <c r="K116" s="45" t="str">
        <f aca="false">IF($R116="","",INDEX(Anforderungen!$M:$M,$R116))</f>
        <v>Automatisch ausgewertet: Außerhalb des betrachteten Leistungsumfangs (Schranken, Kennzeichenerfassung, dynamische Anzeige).</v>
      </c>
      <c r="R116" s="0" t="n">
        <f aca="false">IFERROR(MATCH(ROWS($A$14:$A116),$T$7:$T$2000,0)+6,"")</f>
        <v>109</v>
      </c>
      <c r="T116" s="0" t="n">
        <f aca="false">IF(Anforderungen!$B116="","",IF(AND(OR($B5="(alle)",Anforderungen!$K116=$B5),OR($E5="(alle)",Anforderungen!$C116=$E5),OR($H5="(alle)",Anforderungen!$E116=$H5),OR($B7="(alle)",ISNUMBER(SEARCH($B7,Anforderungen!$J116))),OR($E7="(alle)",ISNUMBER(SEARCH($E7,Anforderungen!$I116))),OR($H7="",ISNUMBER(SEARCH($H7,Anforderungen!$F116&amp;" "&amp;Anforderungen!$G116)))),COUNT($T$6:$T115)+1,""))</f>
        <v>110</v>
      </c>
    </row>
    <row r="117" customFormat="false" ht="30" hidden="false" customHeight="true" outlineLevel="0" collapsed="false">
      <c r="A117" s="45" t="str">
        <f aca="false">IF($R117="","",INDEX(Anforderungen!$B:$B,$R117))</f>
        <v>ANF-104</v>
      </c>
      <c r="B117" s="45" t="str">
        <f aca="false">IF($R117="","",INDEX(Anforderungen!$C:$C,$R117))</f>
        <v>Bieterfragenkatalog</v>
      </c>
      <c r="C117" s="45" t="str">
        <f aca="false">IF($R117="","",INDEX(Anforderungen!$D:$D,$R117))</f>
        <v>Nr. 52 / S. 5</v>
      </c>
      <c r="D117" s="45" t="str">
        <f aca="false">IF($R117="","",INDEX(Anforderungen!$E:$E,$R117))</f>
        <v>Technik Ladeinfrastruktur</v>
      </c>
      <c r="E117" s="45" t="str">
        <f aca="false">IF($R117="","",INDEX(Anforderungen!$F:$F,$R117))</f>
        <v>Klarstellung: Die Form der Angabe, KPI (bspw. Stromstärke über Temperatur und Zeit) oder Leistungskurven der Ladeeinrichtung (Anm.: Ladekurven beziehen sich auf Fahrzeuge), bleiben dem Bieter überlassen.</v>
      </c>
      <c r="F117" s="45" t="str">
        <f aca="false">IF($R117="","",INDEX(Anforderungen!$G:$G,$R117))</f>
        <v>Ziff. 2.1., 2.2.1., 2.2.2. Das Derating-Verhalten ist dem AG anzugeben. In welcher Form wird die Angabe erwartet? Ladekurven oder KPIs zu den jeweiligen Temperaturen?</v>
      </c>
      <c r="G117" s="45" t="str">
        <f aca="false">IF($R117="","",INDEX(Anforderungen!$I:$I,$R117))</f>
        <v>Alpitronic</v>
      </c>
      <c r="H117" s="45" t="str">
        <f aca="false">IF($R117="","",INDEX(Anforderungen!$J:$J,$R117))</f>
        <v>Ladeeinrichtung</v>
      </c>
      <c r="I117" s="45" t="str">
        <f aca="false">IF($R117="","",INDEX(Anforderungen!$K:$K,$R117))</f>
        <v>trifft nicht zu</v>
      </c>
      <c r="J117" s="46" t="n">
        <f aca="false">IF($R117="","",INDEX(Anforderungen!$L:$L,$R117))</f>
        <v>0</v>
      </c>
      <c r="K117" s="45" t="str">
        <f aca="false">IF($R117="","",INDEX(Anforderungen!$M:$M,$R117))</f>
        <v>Automatisch ausgewertet: Außerhalb des betrachteten Leistungsumfangs (Schranken, Kennzeichenerfassung, dynamische Anzeige).</v>
      </c>
      <c r="R117" s="0" t="n">
        <f aca="false">IFERROR(MATCH(ROWS($A$14:$A117),$T$7:$T$2000,0)+6,"")</f>
        <v>110</v>
      </c>
      <c r="T117" s="0" t="n">
        <f aca="false">IF(Anforderungen!$B117="","",IF(AND(OR($B5="(alle)",Anforderungen!$K117=$B5),OR($E5="(alle)",Anforderungen!$C117=$E5),OR($H5="(alle)",Anforderungen!$E117=$H5),OR($B7="(alle)",ISNUMBER(SEARCH($B7,Anforderungen!$J117))),OR($E7="(alle)",ISNUMBER(SEARCH($E7,Anforderungen!$I117))),OR($H7="",ISNUMBER(SEARCH($H7,Anforderungen!$F117&amp;" "&amp;Anforderungen!$G117)))),COUNT($T$6:$T116)+1,""))</f>
        <v>111</v>
      </c>
    </row>
    <row r="118" customFormat="false" ht="30" hidden="false" customHeight="true" outlineLevel="0" collapsed="false">
      <c r="A118" s="45" t="str">
        <f aca="false">IF($R118="","",INDEX(Anforderungen!$B:$B,$R118))</f>
        <v>ANF-105</v>
      </c>
      <c r="B118" s="45" t="str">
        <f aca="false">IF($R118="","",INDEX(Anforderungen!$C:$C,$R118))</f>
        <v>Bieterfragenkatalog</v>
      </c>
      <c r="C118" s="45" t="str">
        <f aca="false">IF($R118="","",INDEX(Anforderungen!$D:$D,$R118))</f>
        <v>Nr. 53 / S. 5</v>
      </c>
      <c r="D118" s="45" t="str">
        <f aca="false">IF($R118="","",INDEX(Anforderungen!$E:$E,$R118))</f>
        <v>Netzanschluss &amp; Energie</v>
      </c>
      <c r="E118" s="45" t="str">
        <f aca="false">IF($R118="","",INDEX(Anforderungen!$F:$F,$R118))</f>
        <v>Verneint: es gibt keine konkrete Vorgabe, welche Ladeplätze mit den CCS-Übernacht- und welche mit den CCS-Zwischenladepunkte ausgestattet werden sollen.</v>
      </c>
      <c r="F118" s="45" t="str">
        <f aca="false">IF($R118="","",INDEX(Anforderungen!$G:$G,$R118))</f>
        <v>Gibt es innerhalb der für CCS vorgesehenen Ladeplätze konkretere Vorgaben, welche Ladeplätze mit den CCS-Übernacht- und welche mit den CCS-Zwischenladepunkte ausgestattet werden sollen? (z.B CCS- Zwischenladen immer direkt neben MCS?)</v>
      </c>
      <c r="G118" s="45" t="str">
        <f aca="false">IF($R118="","",INDEX(Anforderungen!$I:$I,$R118))</f>
        <v>offen</v>
      </c>
      <c r="H118" s="45" t="str">
        <f aca="false">IF($R118="","",INDEX(Anforderungen!$J:$J,$R118))</f>
        <v>–</v>
      </c>
      <c r="I118" s="45" t="str">
        <f aca="false">IF($R118="","",INDEX(Anforderungen!$K:$K,$R118))</f>
        <v>trifft nicht zu</v>
      </c>
      <c r="J118" s="46" t="n">
        <f aca="false">IF($R118="","",INDEX(Anforderungen!$L:$L,$R118))</f>
        <v>0</v>
      </c>
      <c r="K118" s="45" t="str">
        <f aca="false">IF($R118="","",INDEX(Anforderungen!$M:$M,$R118))</f>
        <v>Automatisch ausgewertet: Außerhalb des betrachteten Leistungsumfangs (Schranken, Kennzeichenerfassung, dynamische Anzeige).</v>
      </c>
      <c r="R118" s="0" t="n">
        <f aca="false">IFERROR(MATCH(ROWS($A$14:$A118),$T$7:$T$2000,0)+6,"")</f>
        <v>111</v>
      </c>
      <c r="T118" s="0" t="n">
        <f aca="false">IF(Anforderungen!$B118="","",IF(AND(OR($B5="(alle)",Anforderungen!$K118=$B5),OR($E5="(alle)",Anforderungen!$C118=$E5),OR($H5="(alle)",Anforderungen!$E118=$H5),OR($B7="(alle)",ISNUMBER(SEARCH($B7,Anforderungen!$J118))),OR($E7="(alle)",ISNUMBER(SEARCH($E7,Anforderungen!$I118))),OR($H7="",ISNUMBER(SEARCH($H7,Anforderungen!$F118&amp;" "&amp;Anforderungen!$G118)))),COUNT($T$6:$T117)+1,""))</f>
        <v>112</v>
      </c>
    </row>
    <row r="119" customFormat="false" ht="30" hidden="false" customHeight="true" outlineLevel="0" collapsed="false">
      <c r="A119" s="45" t="str">
        <f aca="false">IF($R119="","",INDEX(Anforderungen!$B:$B,$R119))</f>
        <v>ANF-106</v>
      </c>
      <c r="B119" s="45" t="str">
        <f aca="false">IF($R119="","",INDEX(Anforderungen!$C:$C,$R119))</f>
        <v>Bieterfragenkatalog</v>
      </c>
      <c r="C119" s="45" t="str">
        <f aca="false">IF($R119="","",INDEX(Anforderungen!$D:$D,$R119))</f>
        <v>Nr. 54 / S. 5</v>
      </c>
      <c r="D119" s="45" t="str">
        <f aca="false">IF($R119="","",INDEX(Anforderungen!$E:$E,$R119))</f>
        <v>Netzanschluss &amp; Energie</v>
      </c>
      <c r="E119" s="45" t="str">
        <f aca="false">IF($R119="","",INDEX(Anforderungen!$F:$F,$R119))</f>
        <v>Klarstellung: Die Entscheidung erfolgt im Einvernehmen zwischen dem AG und dem AN. Soweit ein Einvernehmen nicht hergestellt werden kann, trifft der AG die Entscheidung.</v>
      </c>
      <c r="F119" s="45" t="str">
        <f aca="false">IF($R119="","",INDEX(Anforderungen!$G:$G,$R119))</f>
        <v>Wer entscheidet, wann, welche Ladepunkte wie gedrosselt werden, wenn zu Projektbeginn nicht ausreichend Netzanschlussleistung bereitsteht?</v>
      </c>
      <c r="G119" s="45" t="str">
        <f aca="false">IF($R119="","",INDEX(Anforderungen!$I:$I,$R119))</f>
        <v>offen</v>
      </c>
      <c r="H119" s="45" t="str">
        <f aca="false">IF($R119="","",INDEX(Anforderungen!$J:$J,$R119))</f>
        <v>–</v>
      </c>
      <c r="I119" s="45" t="str">
        <f aca="false">IF($R119="","",INDEX(Anforderungen!$K:$K,$R119))</f>
        <v>trifft nicht zu</v>
      </c>
      <c r="J119" s="46" t="n">
        <f aca="false">IF($R119="","",INDEX(Anforderungen!$L:$L,$R119))</f>
        <v>0</v>
      </c>
      <c r="K119" s="45" t="str">
        <f aca="false">IF($R119="","",INDEX(Anforderungen!$M:$M,$R119))</f>
        <v>Automatisch ausgewertet: Außerhalb des betrachteten Leistungsumfangs (Schranken, Kennzeichenerfassung, dynamische Anzeige).</v>
      </c>
      <c r="R119" s="0" t="n">
        <f aca="false">IFERROR(MATCH(ROWS($A$14:$A119),$T$7:$T$2000,0)+6,"")</f>
        <v>112</v>
      </c>
      <c r="T119" s="0" t="n">
        <f aca="false">IF(Anforderungen!$B119="","",IF(AND(OR($B5="(alle)",Anforderungen!$K119=$B5),OR($E5="(alle)",Anforderungen!$C119=$E5),OR($H5="(alle)",Anforderungen!$E119=$H5),OR($B7="(alle)",ISNUMBER(SEARCH($B7,Anforderungen!$J119))),OR($E7="(alle)",ISNUMBER(SEARCH($E7,Anforderungen!$I119))),OR($H7="",ISNUMBER(SEARCH($H7,Anforderungen!$F119&amp;" "&amp;Anforderungen!$G119)))),COUNT($T$6:$T118)+1,""))</f>
        <v>113</v>
      </c>
    </row>
    <row r="120" customFormat="false" ht="30" hidden="false" customHeight="true" outlineLevel="0" collapsed="false">
      <c r="A120" s="45" t="str">
        <f aca="false">IF($R120="","",INDEX(Anforderungen!$B:$B,$R120))</f>
        <v>ANF-107</v>
      </c>
      <c r="B120" s="45" t="str">
        <f aca="false">IF($R120="","",INDEX(Anforderungen!$C:$C,$R120))</f>
        <v>Bieterfragenkatalog</v>
      </c>
      <c r="C120" s="45" t="str">
        <f aca="false">IF($R120="","",INDEX(Anforderungen!$D:$D,$R120))</f>
        <v>Nr. 55 / S. 5</v>
      </c>
      <c r="D120" s="45" t="str">
        <f aca="false">IF($R120="","",INDEX(Anforderungen!$E:$E,$R120))</f>
        <v>Bau &amp; Dokumentation</v>
      </c>
      <c r="E120" s="45" t="str">
        <f aca="false">IF($R120="","",INDEX(Anforderungen!$F:$F,$R120))</f>
        <v>Verweis des Auftraggebers auf die Antwort zu Bieterfrage 41.</v>
      </c>
      <c r="F120" s="45" t="str">
        <f aca="false">IF($R120="","",INDEX(Anforderungen!$G:$G,$R120))</f>
        <v>Vertragsanlage 4, Anhang 8 (Unterlagenliste Baufreigabe) ist nicht Teil der Ausschreibungsunterlagen. (Fehlt)</v>
      </c>
      <c r="G120" s="45" t="str">
        <f aca="false">IF($R120="","",INDEX(Anforderungen!$I:$I,$R120))</f>
        <v>offen</v>
      </c>
      <c r="H120" s="45" t="str">
        <f aca="false">IF($R120="","",INDEX(Anforderungen!$J:$J,$R120))</f>
        <v>–</v>
      </c>
      <c r="I120" s="45" t="str">
        <f aca="false">IF($R120="","",INDEX(Anforderungen!$K:$K,$R120))</f>
        <v>trifft nicht zu</v>
      </c>
      <c r="J120" s="46" t="n">
        <f aca="false">IF($R120="","",INDEX(Anforderungen!$L:$L,$R120))</f>
        <v>0</v>
      </c>
      <c r="K120" s="45" t="str">
        <f aca="false">IF($R120="","",INDEX(Anforderungen!$M:$M,$R120))</f>
        <v>Automatisch ausgewertet: Die Antwort des Auftraggebers verweist ausschließlich auf Bieterfrage 41. Keine eigenständige Anforderung – der Inhalt ist unter der dort erfassten Zeile nachzuhalten.</v>
      </c>
      <c r="R120" s="0" t="n">
        <f aca="false">IFERROR(MATCH(ROWS($A$14:$A120),$T$7:$T$2000,0)+6,"")</f>
        <v>113</v>
      </c>
      <c r="T120" s="0" t="n">
        <f aca="false">IF(Anforderungen!$B120="","",IF(AND(OR($B5="(alle)",Anforderungen!$K120=$B5),OR($E5="(alle)",Anforderungen!$C120=$E5),OR($H5="(alle)",Anforderungen!$E120=$H5),OR($B7="(alle)",ISNUMBER(SEARCH($B7,Anforderungen!$J120))),OR($E7="(alle)",ISNUMBER(SEARCH($E7,Anforderungen!$I120))),OR($H7="",ISNUMBER(SEARCH($H7,Anforderungen!$F120&amp;" "&amp;Anforderungen!$G120)))),COUNT($T$6:$T119)+1,""))</f>
        <v>114</v>
      </c>
    </row>
    <row r="121" customFormat="false" ht="30" hidden="false" customHeight="true" outlineLevel="0" collapsed="false">
      <c r="A121" s="45" t="str">
        <f aca="false">IF($R121="","",INDEX(Anforderungen!$B:$B,$R121))</f>
        <v>ANF-108</v>
      </c>
      <c r="B121" s="45" t="str">
        <f aca="false">IF($R121="","",INDEX(Anforderungen!$C:$C,$R121))</f>
        <v>Bieterfragenkatalog</v>
      </c>
      <c r="C121" s="45" t="str">
        <f aca="false">IF($R121="","",INDEX(Anforderungen!$D:$D,$R121))</f>
        <v>Nr. 56 / S. 5</v>
      </c>
      <c r="D121" s="45" t="str">
        <f aca="false">IF($R121="","",INDEX(Anforderungen!$E:$E,$R121))</f>
        <v>Vergabeverfahren &amp; Angebot</v>
      </c>
      <c r="E121" s="45" t="str">
        <f aca="false">IF($R121="","",INDEX(Anforderungen!$F:$F,$R121))</f>
        <v>Anpassung der Unterlagen: Das Formblatt A1 wurde entsprechend korrigiert.</v>
      </c>
      <c r="F121" s="45" t="str">
        <f aca="false">IF($R121="","",INDEX(Anforderungen!$G:$G,$R121))</f>
        <v>Im Dokument ist die gesperrt eingetragene Angabe "2024" beim Datum der Angebotsanforderung nicht veränderbar - tatsächlich kam die Aufforderung zur Angebotsabgabe aber erst im Jahr 2025.</v>
      </c>
      <c r="G121" s="45" t="str">
        <f aca="false">IF($R121="","",INDEX(Anforderungen!$I:$I,$R121))</f>
        <v>offen</v>
      </c>
      <c r="H121" s="45" t="str">
        <f aca="false">IF($R121="","",INDEX(Anforderungen!$J:$J,$R121))</f>
        <v>–</v>
      </c>
      <c r="I121" s="45" t="str">
        <f aca="false">IF($R121="","",INDEX(Anforderungen!$K:$K,$R121))</f>
        <v>trifft nicht zu</v>
      </c>
      <c r="J121" s="46" t="n">
        <f aca="false">IF($R121="","",INDEX(Anforderungen!$L:$L,$R121))</f>
        <v>0</v>
      </c>
      <c r="K121" s="45" t="str">
        <f aca="false">IF($R121="","",INDEX(Anforderungen!$M:$M,$R121))</f>
        <v>Automatisch ausgewertet: Die Antwort kündigt lediglich eine Anpassung der Vergabeunterlagen an. Die Anforderung selbst steht im geänderten Dokument und ist dort nachzuhalten.</v>
      </c>
      <c r="R121" s="0" t="n">
        <f aca="false">IFERROR(MATCH(ROWS($A$14:$A121),$T$7:$T$2000,0)+6,"")</f>
        <v>114</v>
      </c>
      <c r="T121" s="0" t="n">
        <f aca="false">IF(Anforderungen!$B121="","",IF(AND(OR($B5="(alle)",Anforderungen!$K121=$B5),OR($E5="(alle)",Anforderungen!$C121=$E5),OR($H5="(alle)",Anforderungen!$E121=$H5),OR($B7="(alle)",ISNUMBER(SEARCH($B7,Anforderungen!$J121))),OR($E7="(alle)",ISNUMBER(SEARCH($E7,Anforderungen!$I121))),OR($H7="",ISNUMBER(SEARCH($H7,Anforderungen!$F121&amp;" "&amp;Anforderungen!$G121)))),COUNT($T$6:$T120)+1,""))</f>
        <v>115</v>
      </c>
    </row>
    <row r="122" customFormat="false" ht="30" hidden="false" customHeight="true" outlineLevel="0" collapsed="false">
      <c r="A122" s="45" t="str">
        <f aca="false">IF($R122="","",INDEX(Anforderungen!$B:$B,$R122))</f>
        <v>ANF-109</v>
      </c>
      <c r="B122" s="45" t="str">
        <f aca="false">IF($R122="","",INDEX(Anforderungen!$C:$C,$R122))</f>
        <v>Bieterfragenkatalog</v>
      </c>
      <c r="C122" s="45" t="str">
        <f aca="false">IF($R122="","",INDEX(Anforderungen!$D:$D,$R122))</f>
        <v>Nr. 57 / S. 5</v>
      </c>
      <c r="D122" s="45" t="str">
        <f aca="false">IF($R122="","",INDEX(Anforderungen!$E:$E,$R122))</f>
        <v>Flächen &amp; Genehmigungen</v>
      </c>
      <c r="E122" s="45" t="str">
        <f aca="false">IF($R122="","",INDEX(Anforderungen!$F:$F,$R122))</f>
        <v>Klarstellung: Die Angabe von 4,44m linksseitig der Referenzplanung ist bedeutungungslos. Es handelt sich um einen Fehler in der Bemaßung, 1,50m ist korrekt.</v>
      </c>
      <c r="F122" s="45" t="str">
        <f aca="false">IF($R122="","",INDEX(Anforderungen!$G:$G,$R122))</f>
        <v>Welche Bedeutung hat die Angabe von 4,44m linksseitig in der Referenzplanung für die Ladepunkte entlang des linksseitigen Parkstreifens und warum ist diese nicht auch 1,5m?</v>
      </c>
      <c r="G122" s="45" t="str">
        <f aca="false">IF($R122="","",INDEX(Anforderungen!$I:$I,$R122))</f>
        <v>offen</v>
      </c>
      <c r="H122" s="45" t="str">
        <f aca="false">IF($R122="","",INDEX(Anforderungen!$J:$J,$R122))</f>
        <v>–</v>
      </c>
      <c r="I122" s="45" t="str">
        <f aca="false">IF($R122="","",INDEX(Anforderungen!$K:$K,$R122))</f>
        <v>trifft nicht zu</v>
      </c>
      <c r="J122" s="46" t="n">
        <f aca="false">IF($R122="","",INDEX(Anforderungen!$L:$L,$R122))</f>
        <v>0</v>
      </c>
      <c r="K122" s="45" t="str">
        <f aca="false">IF($R122="","",INDEX(Anforderungen!$M:$M,$R122))</f>
        <v>Automatisch ausgewertet: Außerhalb des betrachteten Leistungsumfangs (Schranken, Kennzeichenerfassung, dynamische Anzeige).</v>
      </c>
      <c r="R122" s="0" t="n">
        <f aca="false">IFERROR(MATCH(ROWS($A$14:$A122),$T$7:$T$2000,0)+6,"")</f>
        <v>115</v>
      </c>
      <c r="T122" s="0" t="n">
        <f aca="false">IF(Anforderungen!$B122="","",IF(AND(OR($B5="(alle)",Anforderungen!$K122=$B5),OR($E5="(alle)",Anforderungen!$C122=$E5),OR($H5="(alle)",Anforderungen!$E122=$H5),OR($B7="(alle)",ISNUMBER(SEARCH($B7,Anforderungen!$J122))),OR($E7="(alle)",ISNUMBER(SEARCH($E7,Anforderungen!$I122))),OR($H7="",ISNUMBER(SEARCH($H7,Anforderungen!$F122&amp;" "&amp;Anforderungen!$G122)))),COUNT($T$6:$T121)+1,""))</f>
        <v>116</v>
      </c>
    </row>
    <row r="123" customFormat="false" ht="30" hidden="false" customHeight="true" outlineLevel="0" collapsed="false">
      <c r="A123" s="45" t="str">
        <f aca="false">IF($R123="","",INDEX(Anforderungen!$B:$B,$R123))</f>
        <v>ANF-110</v>
      </c>
      <c r="B123" s="45" t="str">
        <f aca="false">IF($R123="","",INDEX(Anforderungen!$C:$C,$R123))</f>
        <v>Bieterfragenkatalog</v>
      </c>
      <c r="C123" s="45" t="str">
        <f aca="false">IF($R123="","",INDEX(Anforderungen!$D:$D,$R123))</f>
        <v>Nr. 58 / S. 5</v>
      </c>
      <c r="D123" s="45" t="str">
        <f aca="false">IF($R123="","",INDEX(Anforderungen!$E:$E,$R123))</f>
        <v>Nutzungszeit &amp; Entgelte</v>
      </c>
      <c r="E123" s="45" t="str">
        <f aca="false">IF($R123="","",INDEX(Anforderungen!$F:$F,$R123))</f>
        <v>Klarstellung: Kostenerhöhungen sind grds. der Risikosphäre des Bieters zugeordnet. Eine wichtige Ausnahme enthält allerdings § 36 des Vertrags, der einen Erstattungsanspruch bei nachträglichen Änderungen der technischen und rechtlichen Normen …</v>
      </c>
      <c r="F123" s="45" t="str">
        <f aca="false">IF($R123="","",INDEX(Anforderungen!$G:$G,$R123))</f>
        <v>Im Falle einer Gesetzesänderung (Bsp. Steuer, Lizensen, Genehmigungen) und damit verbundenen Kostenerhöhungen - können diese an die Autobahn weitergegeben werden? Neben einem Vorab- Risikoaufschlag auf die Preiskalkulation können nach Antwort auf Frage #18 solche Risiken nur bei der Kalkulation der Ladetarife an den Endkunden weitergegeben werden. Ist das korrekt?</v>
      </c>
      <c r="G123" s="45" t="str">
        <f aca="false">IF($R123="","",INDEX(Anforderungen!$I:$I,$R123))</f>
        <v>eRound</v>
      </c>
      <c r="H123" s="45" t="str">
        <f aca="false">IF($R123="","",INDEX(Anforderungen!$J:$J,$R123))</f>
        <v>Abrechnungskomponente</v>
      </c>
      <c r="I123" s="45" t="str">
        <f aca="false">IF($R123="","",INDEX(Anforderungen!$K:$K,$R123))</f>
        <v>trifft nicht zu</v>
      </c>
      <c r="J123" s="46" t="n">
        <f aca="false">IF($R123="","",INDEX(Anforderungen!$L:$L,$R123))</f>
        <v>0</v>
      </c>
      <c r="K123" s="45" t="str">
        <f aca="false">IF($R123="","",INDEX(Anforderungen!$M:$M,$R123))</f>
        <v>Automatisch ausgewertet: Außerhalb des betrachteten Leistungsumfangs (Schranken, Kennzeichenerfassung, dynamische Anzeige).</v>
      </c>
      <c r="R123" s="0" t="n">
        <f aca="false">IFERROR(MATCH(ROWS($A$14:$A123),$T$7:$T$2000,0)+6,"")</f>
        <v>116</v>
      </c>
      <c r="T123" s="0" t="n">
        <f aca="false">IF(Anforderungen!$B123="","",IF(AND(OR($B5="(alle)",Anforderungen!$K123=$B5),OR($E5="(alle)",Anforderungen!$C123=$E5),OR($H5="(alle)",Anforderungen!$E123=$H5),OR($B7="(alle)",ISNUMBER(SEARCH($B7,Anforderungen!$J123))),OR($E7="(alle)",ISNUMBER(SEARCH($E7,Anforderungen!$I123))),OR($H7="",ISNUMBER(SEARCH($H7,Anforderungen!$F123&amp;" "&amp;Anforderungen!$G123)))),COUNT($T$6:$T122)+1,""))</f>
        <v>117</v>
      </c>
    </row>
    <row r="124" customFormat="false" ht="30" hidden="false" customHeight="true" outlineLevel="0" collapsed="false">
      <c r="A124" s="45" t="str">
        <f aca="false">IF($R124="","",INDEX(Anforderungen!$B:$B,$R124))</f>
        <v>ANF-111</v>
      </c>
      <c r="B124" s="45" t="str">
        <f aca="false">IF($R124="","",INDEX(Anforderungen!$C:$C,$R124))</f>
        <v>Bieterfragenkatalog</v>
      </c>
      <c r="C124" s="45" t="str">
        <f aca="false">IF($R124="","",INDEX(Anforderungen!$D:$D,$R124))</f>
        <v>Nr. 59 / S. 5</v>
      </c>
      <c r="D124" s="45" t="str">
        <f aca="false">IF($R124="","",INDEX(Anforderungen!$E:$E,$R124))</f>
        <v>Netzanschluss &amp; Energie</v>
      </c>
      <c r="E124" s="45" t="str">
        <f aca="false">IF($R124="","",INDEX(Anforderungen!$F:$F,$R124))</f>
        <v>Klarstellung: Wie in Vertragsanlage 4 "Leistungsbeschreibung Errichtung" in Kapitel 4.11.7. beschrieben sind zunächst die "[...] elektrotechnischen Komponenten zur Energieverteilung und Übertragung [...] so zu bemessen, dass die veranschlagte …</v>
      </c>
      <c r="F124" s="45" t="str">
        <f aca="false">IF($R124="","",INDEX(Anforderungen!$G:$G,$R124))</f>
        <v>"Details zum Netzanschluss" gibt die beantragte Leistung 2035 an. Ist es korrekt, dass die Trafotechnik für diese Leistung initial aufzubauen ist?</v>
      </c>
      <c r="G124" s="45" t="str">
        <f aca="false">IF($R124="","",INDEX(Anforderungen!$I:$I,$R124))</f>
        <v>offen</v>
      </c>
      <c r="H124" s="45" t="str">
        <f aca="false">IF($R124="","",INDEX(Anforderungen!$J:$J,$R124))</f>
        <v>–</v>
      </c>
      <c r="I124" s="45" t="str">
        <f aca="false">IF($R124="","",INDEX(Anforderungen!$K:$K,$R124))</f>
        <v>trifft nicht zu</v>
      </c>
      <c r="J124" s="46" t="n">
        <f aca="false">IF($R124="","",INDEX(Anforderungen!$L:$L,$R124))</f>
        <v>0</v>
      </c>
      <c r="K124" s="45" t="str">
        <f aca="false">IF($R124="","",INDEX(Anforderungen!$M:$M,$R124))</f>
        <v>Automatisch ausgewertet: Außerhalb des betrachteten Leistungsumfangs (Schranken, Kennzeichenerfassung, dynamische Anzeige).</v>
      </c>
      <c r="R124" s="0" t="n">
        <f aca="false">IFERROR(MATCH(ROWS($A$14:$A124),$T$7:$T$2000,0)+6,"")</f>
        <v>117</v>
      </c>
      <c r="T124" s="0" t="n">
        <f aca="false">IF(Anforderungen!$B124="","",IF(AND(OR($B5="(alle)",Anforderungen!$K124=$B5),OR($E5="(alle)",Anforderungen!$C124=$E5),OR($H5="(alle)",Anforderungen!$E124=$H5),OR($B7="(alle)",ISNUMBER(SEARCH($B7,Anforderungen!$J124))),OR($E7="(alle)",ISNUMBER(SEARCH($E7,Anforderungen!$I124))),OR($H7="",ISNUMBER(SEARCH($H7,Anforderungen!$F124&amp;" "&amp;Anforderungen!$G124)))),COUNT($T$6:$T123)+1,""))</f>
        <v>118</v>
      </c>
    </row>
    <row r="125" customFormat="false" ht="30" hidden="false" customHeight="true" outlineLevel="0" collapsed="false">
      <c r="A125" s="45" t="str">
        <f aca="false">IF($R125="","",INDEX(Anforderungen!$B:$B,$R125))</f>
        <v>ANF-112</v>
      </c>
      <c r="B125" s="45" t="str">
        <f aca="false">IF($R125="","",INDEX(Anforderungen!$C:$C,$R125))</f>
        <v>Bieterfragenkatalog</v>
      </c>
      <c r="C125" s="45" t="str">
        <f aca="false">IF($R125="","",INDEX(Anforderungen!$D:$D,$R125))</f>
        <v>Nr. 60 / S. 5</v>
      </c>
      <c r="D125" s="45" t="str">
        <f aca="false">IF($R125="","",INDEX(Anforderungen!$E:$E,$R125))</f>
        <v>Netzanschluss &amp; Energie</v>
      </c>
      <c r="E125" s="45" t="str">
        <f aca="false">IF($R125="","",INDEX(Anforderungen!$F:$F,$R125))</f>
        <v>Klarstellung: Bei der Ermittlung der Netzanschlussleistung wurde jeder MCS Ladepunkt mit 800 kW und jeder CCS Ladepunkt zum Zwischenladen mit 400 kW berücksichtigt.</v>
      </c>
      <c r="F125" s="45" t="str">
        <f aca="false">IF($R125="","",INDEX(Anforderungen!$G:$G,$R125))</f>
        <v>"Details zum Netzanschluss": Wie wurden die Anschlussleistungen kalkuiert? Wurde der Bedarf der CEE- LIS berücksichtig?</v>
      </c>
      <c r="G125" s="45" t="str">
        <f aca="false">IF($R125="","",INDEX(Anforderungen!$I:$I,$R125))</f>
        <v>offen</v>
      </c>
      <c r="H125" s="45" t="str">
        <f aca="false">IF($R125="","",INDEX(Anforderungen!$J:$J,$R125))</f>
        <v>–</v>
      </c>
      <c r="I125" s="45" t="str">
        <f aca="false">IF($R125="","",INDEX(Anforderungen!$K:$K,$R125))</f>
        <v>trifft nicht zu</v>
      </c>
      <c r="J125" s="46" t="n">
        <f aca="false">IF($R125="","",INDEX(Anforderungen!$L:$L,$R125))</f>
        <v>0</v>
      </c>
      <c r="K125" s="45" t="str">
        <f aca="false">IF($R125="","",INDEX(Anforderungen!$M:$M,$R125))</f>
        <v>Automatisch ausgewertet: Außerhalb des betrachteten Leistungsumfangs (Schranken, Kennzeichenerfassung, dynamische Anzeige).</v>
      </c>
      <c r="R125" s="0" t="n">
        <f aca="false">IFERROR(MATCH(ROWS($A$14:$A125),$T$7:$T$2000,0)+6,"")</f>
        <v>118</v>
      </c>
      <c r="T125" s="0" t="n">
        <f aca="false">IF(Anforderungen!$B125="","",IF(AND(OR($B5="(alle)",Anforderungen!$K125=$B5),OR($E5="(alle)",Anforderungen!$C125=$E5),OR($H5="(alle)",Anforderungen!$E125=$H5),OR($B7="(alle)",ISNUMBER(SEARCH($B7,Anforderungen!$J125))),OR($E7="(alle)",ISNUMBER(SEARCH($E7,Anforderungen!$I125))),OR($H7="",ISNUMBER(SEARCH($H7,Anforderungen!$F125&amp;" "&amp;Anforderungen!$G125)))),COUNT($T$6:$T124)+1,""))</f>
        <v>119</v>
      </c>
    </row>
    <row r="126" customFormat="false" ht="30" hidden="false" customHeight="true" outlineLevel="0" collapsed="false">
      <c r="A126" s="45" t="str">
        <f aca="false">IF($R126="","",INDEX(Anforderungen!$B:$B,$R126))</f>
        <v>ANF-113</v>
      </c>
      <c r="B126" s="45" t="str">
        <f aca="false">IF($R126="","",INDEX(Anforderungen!$C:$C,$R126))</f>
        <v>Bieterfragenkatalog</v>
      </c>
      <c r="C126" s="45" t="str">
        <f aca="false">IF($R126="","",INDEX(Anforderungen!$D:$D,$R126))</f>
        <v>Nr. 61 / S. 5</v>
      </c>
      <c r="D126" s="45" t="str">
        <f aca="false">IF($R126="","",INDEX(Anforderungen!$E:$E,$R126))</f>
        <v>Netzanschluss &amp; Energie</v>
      </c>
      <c r="E126" s="45" t="str">
        <f aca="false">IF($R126="","",INDEX(Anforderungen!$F:$F,$R126))</f>
        <v>Klarstellung: Die Frage ist unverständlich.</v>
      </c>
      <c r="F126" s="45" t="str">
        <f aca="false">IF($R126="","",INDEX(Anforderungen!$G:$G,$R126))</f>
        <v>Ein zwingender Aufbau von geteilten Leistungseinheiten ist gemäß Ausschreibungsunterlagen nicht zwingend gefordert. Ohne Aufbau von geteilten Leistungseinheiten sind höhere Ladeleistungen erforderlich. Die angegebenen Netzanschlussleistungen passen hier nicht zusammen. Wie soll damit umgegangen werden?</v>
      </c>
      <c r="G126" s="45" t="str">
        <f aca="false">IF($R126="","",INDEX(Anforderungen!$I:$I,$R126))</f>
        <v>Alpitronic</v>
      </c>
      <c r="H126" s="45" t="str">
        <f aca="false">IF($R126="","",INDEX(Anforderungen!$J:$J,$R126))</f>
        <v>Ladeeinrichtung</v>
      </c>
      <c r="I126" s="45" t="str">
        <f aca="false">IF($R126="","",INDEX(Anforderungen!$K:$K,$R126))</f>
        <v>trifft nicht zu</v>
      </c>
      <c r="J126" s="46" t="n">
        <f aca="false">IF($R126="","",INDEX(Anforderungen!$L:$L,$R126))</f>
        <v>0</v>
      </c>
      <c r="K126" s="45" t="str">
        <f aca="false">IF($R126="","",INDEX(Anforderungen!$M:$M,$R126))</f>
        <v>Automatisch ausgewertet: Außerhalb des betrachteten Leistungsumfangs (Schranken, Kennzeichenerfassung, dynamische Anzeige).</v>
      </c>
      <c r="R126" s="0" t="n">
        <f aca="false">IFERROR(MATCH(ROWS($A$14:$A126),$T$7:$T$2000,0)+6,"")</f>
        <v>119</v>
      </c>
      <c r="T126" s="0" t="n">
        <f aca="false">IF(Anforderungen!$B126="","",IF(AND(OR($B5="(alle)",Anforderungen!$K126=$B5),OR($E5="(alle)",Anforderungen!$C126=$E5),OR($H5="(alle)",Anforderungen!$E126=$H5),OR($B7="(alle)",ISNUMBER(SEARCH($B7,Anforderungen!$J126))),OR($E7="(alle)",ISNUMBER(SEARCH($E7,Anforderungen!$I126))),OR($H7="",ISNUMBER(SEARCH($H7,Anforderungen!$F126&amp;" "&amp;Anforderungen!$G126)))),COUNT($T$6:$T125)+1,""))</f>
        <v>120</v>
      </c>
    </row>
    <row r="127" customFormat="false" ht="30" hidden="false" customHeight="true" outlineLevel="0" collapsed="false">
      <c r="A127" s="45" t="str">
        <f aca="false">IF($R127="","",INDEX(Anforderungen!$B:$B,$R127))</f>
        <v>ANF-114</v>
      </c>
      <c r="B127" s="45" t="str">
        <f aca="false">IF($R127="","",INDEX(Anforderungen!$C:$C,$R127))</f>
        <v>Bieterfragenkatalog</v>
      </c>
      <c r="C127" s="45" t="str">
        <f aca="false">IF($R127="","",INDEX(Anforderungen!$D:$D,$R127))</f>
        <v>Nr. 62 / S. 5</v>
      </c>
      <c r="D127" s="45" t="str">
        <f aca="false">IF($R127="","",INDEX(Anforderungen!$E:$E,$R127))</f>
        <v>Netzanschluss &amp; Energie</v>
      </c>
      <c r="E127" s="45" t="str">
        <f aca="false">IF($R127="","",INDEX(Anforderungen!$F:$F,$R127))</f>
        <v>Klarstellung: Die Netzanschlussbegehren wurden auf Basis der Verortung der Übergabestation in den unverbindlichen Vorplanungen gestellt.</v>
      </c>
      <c r="F127" s="45" t="str">
        <f aca="false">IF($R127="","",INDEX(Anforderungen!$G:$G,$R127))</f>
        <v>Ist davon auszugehen, dass sich der Netzanschlussübergabepunkt an der in den Vorplanungen eingeplante MS-Station befindet?</v>
      </c>
      <c r="G127" s="45" t="str">
        <f aca="false">IF($R127="","",INDEX(Anforderungen!$I:$I,$R127))</f>
        <v>offen</v>
      </c>
      <c r="H127" s="45" t="str">
        <f aca="false">IF($R127="","",INDEX(Anforderungen!$J:$J,$R127))</f>
        <v>–</v>
      </c>
      <c r="I127" s="45" t="str">
        <f aca="false">IF($R127="","",INDEX(Anforderungen!$K:$K,$R127))</f>
        <v>trifft nicht zu</v>
      </c>
      <c r="J127" s="46" t="n">
        <f aca="false">IF($R127="","",INDEX(Anforderungen!$L:$L,$R127))</f>
        <v>0</v>
      </c>
      <c r="K127" s="45" t="str">
        <f aca="false">IF($R127="","",INDEX(Anforderungen!$M:$M,$R127))</f>
        <v>Automatisch ausgewertet: Außerhalb des betrachteten Leistungsumfangs (Schranken, Kennzeichenerfassung, dynamische Anzeige).</v>
      </c>
      <c r="R127" s="0" t="n">
        <f aca="false">IFERROR(MATCH(ROWS($A$14:$A127),$T$7:$T$2000,0)+6,"")</f>
        <v>120</v>
      </c>
      <c r="T127" s="0" t="n">
        <f aca="false">IF(Anforderungen!$B127="","",IF(AND(OR($B5="(alle)",Anforderungen!$K127=$B5),OR($E5="(alle)",Anforderungen!$C127=$E5),OR($H5="(alle)",Anforderungen!$E127=$H5),OR($B7="(alle)",ISNUMBER(SEARCH($B7,Anforderungen!$J127))),OR($E7="(alle)",ISNUMBER(SEARCH($E7,Anforderungen!$I127))),OR($H7="",ISNUMBER(SEARCH($H7,Anforderungen!$F127&amp;" "&amp;Anforderungen!$G127)))),COUNT($T$6:$T126)+1,""))</f>
        <v>121</v>
      </c>
    </row>
    <row r="128" customFormat="false" ht="30" hidden="false" customHeight="true" outlineLevel="0" collapsed="false">
      <c r="A128" s="45" t="str">
        <f aca="false">IF($R128="","",INDEX(Anforderungen!$B:$B,$R128))</f>
        <v>ANF-115</v>
      </c>
      <c r="B128" s="45" t="str">
        <f aca="false">IF($R128="","",INDEX(Anforderungen!$C:$C,$R128))</f>
        <v>Bieterfragenkatalog</v>
      </c>
      <c r="C128" s="45" t="str">
        <f aca="false">IF($R128="","",INDEX(Anforderungen!$D:$D,$R128))</f>
        <v>Nr. 63 / S. 5</v>
      </c>
      <c r="D128" s="45" t="str">
        <f aca="false">IF($R128="","",INDEX(Anforderungen!$E:$E,$R128))</f>
        <v>Netzanschluss &amp; Energie</v>
      </c>
      <c r="E128" s="45" t="str">
        <f aca="false">IF($R128="","",INDEX(Anforderungen!$F:$F,$R128))</f>
        <v>Klarstellung: Ob die Übergabe- und Transformatorstation zusammen oder getrennt errichtet werden, können Sie durch ihr standortspezifisches Konzept bestimmen bzw. kann sich in Einzelfällen durch die spezifische Anforderung des zuständigen …</v>
      </c>
      <c r="F128" s="45" t="str">
        <f aca="false">IF($R128="","",INDEX(Anforderungen!$G:$G,$R128))</f>
        <v>Besteht das Umspannstationskonzept aus einer Übergabestation und Unterstation?</v>
      </c>
      <c r="G128" s="45" t="str">
        <f aca="false">IF($R128="","",INDEX(Anforderungen!$I:$I,$R128))</f>
        <v>offen</v>
      </c>
      <c r="H128" s="45" t="str">
        <f aca="false">IF($R128="","",INDEX(Anforderungen!$J:$J,$R128))</f>
        <v>–</v>
      </c>
      <c r="I128" s="45" t="str">
        <f aca="false">IF($R128="","",INDEX(Anforderungen!$K:$K,$R128))</f>
        <v>trifft nicht zu</v>
      </c>
      <c r="J128" s="46" t="n">
        <f aca="false">IF($R128="","",INDEX(Anforderungen!$L:$L,$R128))</f>
        <v>0</v>
      </c>
      <c r="K128" s="45" t="str">
        <f aca="false">IF($R128="","",INDEX(Anforderungen!$M:$M,$R128))</f>
        <v>Automatisch ausgewertet: Außerhalb des betrachteten Leistungsumfangs (Schranken, Kennzeichenerfassung, dynamische Anzeige).</v>
      </c>
      <c r="R128" s="0" t="n">
        <f aca="false">IFERROR(MATCH(ROWS($A$14:$A128),$T$7:$T$2000,0)+6,"")</f>
        <v>121</v>
      </c>
      <c r="T128" s="0" t="n">
        <f aca="false">IF(Anforderungen!$B128="","",IF(AND(OR($B5="(alle)",Anforderungen!$K128=$B5),OR($E5="(alle)",Anforderungen!$C128=$E5),OR($H5="(alle)",Anforderungen!$E128=$H5),OR($B7="(alle)",ISNUMBER(SEARCH($B7,Anforderungen!$J128))),OR($E7="(alle)",ISNUMBER(SEARCH($E7,Anforderungen!$I128))),OR($H7="",ISNUMBER(SEARCH($H7,Anforderungen!$F128&amp;" "&amp;Anforderungen!$G128)))),COUNT($T$6:$T127)+1,""))</f>
        <v>122</v>
      </c>
    </row>
    <row r="129" customFormat="false" ht="30" hidden="false" customHeight="true" outlineLevel="0" collapsed="false">
      <c r="A129" s="45" t="str">
        <f aca="false">IF($R129="","",INDEX(Anforderungen!$B:$B,$R129))</f>
        <v>ANF-116</v>
      </c>
      <c r="B129" s="45" t="str">
        <f aca="false">IF($R129="","",INDEX(Anforderungen!$C:$C,$R129))</f>
        <v>Bieterfragenkatalog</v>
      </c>
      <c r="C129" s="45" t="str">
        <f aca="false">IF($R129="","",INDEX(Anforderungen!$D:$D,$R129))</f>
        <v>Nr. 64 / S. 5</v>
      </c>
      <c r="D129" s="45" t="str">
        <f aca="false">IF($R129="","",INDEX(Anforderungen!$E:$E,$R129))</f>
        <v>Flächen &amp; Genehmigungen</v>
      </c>
      <c r="E129" s="45" t="str">
        <f aca="false">IF($R129="","",INDEX(Anforderungen!$F:$F,$R129))</f>
        <v>Bestätigt: mehrere Unterstationen sind denkbar. Die finale Ausgestalltung ist im Planungsprozess mit dem AG abzustimmen.</v>
      </c>
      <c r="F129" s="45" t="str">
        <f aca="false">IF($R129="","",INDEX(Anforderungen!$G:$G,$R129))</f>
        <v>Sind mehrere Unterstationen denkbar?</v>
      </c>
      <c r="G129" s="45" t="str">
        <f aca="false">IF($R129="","",INDEX(Anforderungen!$I:$I,$R129))</f>
        <v>offen</v>
      </c>
      <c r="H129" s="45" t="str">
        <f aca="false">IF($R129="","",INDEX(Anforderungen!$J:$J,$R129))</f>
        <v>–</v>
      </c>
      <c r="I129" s="45" t="str">
        <f aca="false">IF($R129="","",INDEX(Anforderungen!$K:$K,$R129))</f>
        <v>trifft nicht zu</v>
      </c>
      <c r="J129" s="46" t="n">
        <f aca="false">IF($R129="","",INDEX(Anforderungen!$L:$L,$R129))</f>
        <v>0</v>
      </c>
      <c r="K129" s="45" t="str">
        <f aca="false">IF($R129="","",INDEX(Anforderungen!$M:$M,$R129))</f>
        <v>Automatisch ausgewertet: Außerhalb des betrachteten Leistungsumfangs (Schranken, Kennzeichenerfassung, dynamische Anzeige).</v>
      </c>
      <c r="R129" s="0" t="n">
        <f aca="false">IFERROR(MATCH(ROWS($A$14:$A129),$T$7:$T$2000,0)+6,"")</f>
        <v>122</v>
      </c>
      <c r="T129" s="0" t="n">
        <f aca="false">IF(Anforderungen!$B129="","",IF(AND(OR($B5="(alle)",Anforderungen!$K129=$B5),OR($E5="(alle)",Anforderungen!$C129=$E5),OR($H5="(alle)",Anforderungen!$E129=$H5),OR($B7="(alle)",ISNUMBER(SEARCH($B7,Anforderungen!$J129))),OR($E7="(alle)",ISNUMBER(SEARCH($E7,Anforderungen!$I129))),OR($H7="",ISNUMBER(SEARCH($H7,Anforderungen!$F129&amp;" "&amp;Anforderungen!$G129)))),COUNT($T$6:$T128)+1,""))</f>
        <v>123</v>
      </c>
    </row>
    <row r="130" customFormat="false" ht="30" hidden="false" customHeight="true" outlineLevel="0" collapsed="false">
      <c r="A130" s="45" t="str">
        <f aca="false">IF($R130="","",INDEX(Anforderungen!$B:$B,$R130))</f>
        <v>ANF-117</v>
      </c>
      <c r="B130" s="45" t="str">
        <f aca="false">IF($R130="","",INDEX(Anforderungen!$C:$C,$R130))</f>
        <v>Bieterfragenkatalog</v>
      </c>
      <c r="C130" s="45" t="str">
        <f aca="false">IF($R130="","",INDEX(Anforderungen!$D:$D,$R130))</f>
        <v>Nr. 65 / S. 5</v>
      </c>
      <c r="D130" s="45" t="str">
        <f aca="false">IF($R130="","",INDEX(Anforderungen!$E:$E,$R130))</f>
        <v>Netzanschluss &amp; Energie</v>
      </c>
      <c r="E130" s="45" t="str">
        <f aca="false">IF($R130="","",INDEX(Anforderungen!$F:$F,$R130))</f>
        <v>Klarstellung: Übergabe- und Trafostationen sollen in Standardfarbe nach RAL ausgeführt werden. Der konkrete Farbton wird im weiteren Verfahren bekannt gegeben.</v>
      </c>
      <c r="F130" s="45" t="str">
        <f aca="false">IF($R130="","",INDEX(Anforderungen!$G:$G,$R130))</f>
        <v>Gibt es konkrete Anforderungen an Material und Design der Umspannstationen?</v>
      </c>
      <c r="G130" s="45" t="str">
        <f aca="false">IF($R130="","",INDEX(Anforderungen!$I:$I,$R130))</f>
        <v>offen</v>
      </c>
      <c r="H130" s="45" t="str">
        <f aca="false">IF($R130="","",INDEX(Anforderungen!$J:$J,$R130))</f>
        <v>–</v>
      </c>
      <c r="I130" s="45" t="str">
        <f aca="false">IF($R130="","",INDEX(Anforderungen!$K:$K,$R130))</f>
        <v>trifft nicht zu</v>
      </c>
      <c r="J130" s="46" t="n">
        <f aca="false">IF($R130="","",INDEX(Anforderungen!$L:$L,$R130))</f>
        <v>0</v>
      </c>
      <c r="K130" s="45" t="str">
        <f aca="false">IF($R130="","",INDEX(Anforderungen!$M:$M,$R130))</f>
        <v>Automatisch ausgewertet: Außerhalb des betrachteten Leistungsumfangs (Schranken, Kennzeichenerfassung, dynamische Anzeige).</v>
      </c>
      <c r="R130" s="0" t="n">
        <f aca="false">IFERROR(MATCH(ROWS($A$14:$A130),$T$7:$T$2000,0)+6,"")</f>
        <v>123</v>
      </c>
      <c r="T130" s="0" t="n">
        <f aca="false">IF(Anforderungen!$B130="","",IF(AND(OR($B5="(alle)",Anforderungen!$K130=$B5),OR($E5="(alle)",Anforderungen!$C130=$E5),OR($H5="(alle)",Anforderungen!$E130=$H5),OR($B7="(alle)",ISNUMBER(SEARCH($B7,Anforderungen!$J130))),OR($E7="(alle)",ISNUMBER(SEARCH($E7,Anforderungen!$I130))),OR($H7="",ISNUMBER(SEARCH($H7,Anforderungen!$F130&amp;" "&amp;Anforderungen!$G130)))),COUNT($T$6:$T129)+1,""))</f>
        <v>124</v>
      </c>
    </row>
    <row r="131" customFormat="false" ht="30" hidden="false" customHeight="true" outlineLevel="0" collapsed="false">
      <c r="A131" s="45" t="str">
        <f aca="false">IF($R131="","",INDEX(Anforderungen!$B:$B,$R131))</f>
        <v>ANF-118</v>
      </c>
      <c r="B131" s="45" t="str">
        <f aca="false">IF($R131="","",INDEX(Anforderungen!$C:$C,$R131))</f>
        <v>Bieterfragenkatalog</v>
      </c>
      <c r="C131" s="45" t="str">
        <f aca="false">IF($R131="","",INDEX(Anforderungen!$D:$D,$R131))</f>
        <v>Nr. 66 / S. 5</v>
      </c>
      <c r="D131" s="45" t="str">
        <f aca="false">IF($R131="","",INDEX(Anforderungen!$E:$E,$R131))</f>
        <v>Netzanschluss &amp; Energie</v>
      </c>
      <c r="E131" s="45" t="str">
        <f aca="false">IF($R131="","",INDEX(Anforderungen!$F:$F,$R131))</f>
        <v>Verweis des Auftraggebers auf die Antwort zu Bieterfrage 59.</v>
      </c>
      <c r="F131" s="45" t="str">
        <f aca="false">IF($R131="","",INDEX(Anforderungen!$G:$G,$R131))</f>
        <v>Soll die Trafoleistung der Umspannstationen exakt der beantragten Netzleistung 2035 entsprechen?</v>
      </c>
      <c r="G131" s="45" t="str">
        <f aca="false">IF($R131="","",INDEX(Anforderungen!$I:$I,$R131))</f>
        <v>offen</v>
      </c>
      <c r="H131" s="45" t="str">
        <f aca="false">IF($R131="","",INDEX(Anforderungen!$J:$J,$R131))</f>
        <v>–</v>
      </c>
      <c r="I131" s="45" t="str">
        <f aca="false">IF($R131="","",INDEX(Anforderungen!$K:$K,$R131))</f>
        <v>trifft nicht zu</v>
      </c>
      <c r="J131" s="46" t="n">
        <f aca="false">IF($R131="","",INDEX(Anforderungen!$L:$L,$R131))</f>
        <v>0</v>
      </c>
      <c r="K131" s="45" t="str">
        <f aca="false">IF($R131="","",INDEX(Anforderungen!$M:$M,$R131))</f>
        <v>Automatisch ausgewertet: Die Antwort des Auftraggebers verweist ausschließlich auf Bieterfrage 59. Keine eigenständige Anforderung – der Inhalt ist unter der dort erfassten Zeile nachzuhalten.</v>
      </c>
      <c r="R131" s="0" t="n">
        <f aca="false">IFERROR(MATCH(ROWS($A$14:$A131),$T$7:$T$2000,0)+6,"")</f>
        <v>124</v>
      </c>
      <c r="T131" s="0" t="n">
        <f aca="false">IF(Anforderungen!$B131="","",IF(AND(OR($B5="(alle)",Anforderungen!$K131=$B5),OR($E5="(alle)",Anforderungen!$C131=$E5),OR($H5="(alle)",Anforderungen!$E131=$H5),OR($B7="(alle)",ISNUMBER(SEARCH($B7,Anforderungen!$J131))),OR($E7="(alle)",ISNUMBER(SEARCH($E7,Anforderungen!$I131))),OR($H7="",ISNUMBER(SEARCH($H7,Anforderungen!$F131&amp;" "&amp;Anforderungen!$G131)))),COUNT($T$6:$T130)+1,""))</f>
        <v>125</v>
      </c>
    </row>
    <row r="132" customFormat="false" ht="30" hidden="false" customHeight="true" outlineLevel="0" collapsed="false">
      <c r="A132" s="45" t="str">
        <f aca="false">IF($R132="","",INDEX(Anforderungen!$B:$B,$R132))</f>
        <v>ANF-119</v>
      </c>
      <c r="B132" s="45" t="str">
        <f aca="false">IF($R132="","",INDEX(Anforderungen!$C:$C,$R132))</f>
        <v>Bieterfragenkatalog</v>
      </c>
      <c r="C132" s="45" t="str">
        <f aca="false">IF($R132="","",INDEX(Anforderungen!$D:$D,$R132))</f>
        <v>Nr. 67 / S. 5</v>
      </c>
      <c r="D132" s="45" t="str">
        <f aca="false">IF($R132="","",INDEX(Anforderungen!$E:$E,$R132))</f>
        <v>Netzanschluss &amp; Energie</v>
      </c>
      <c r="E132" s="45" t="str">
        <f aca="false">IF($R132="","",INDEX(Anforderungen!$F:$F,$R132))</f>
        <v>Verneint: diese basieren für die unverbindliche Vorplanung auf technischen Grundannahmen und können bei konkreter Planung abweichen.</v>
      </c>
      <c r="F132" s="45" t="str">
        <f aca="false">IF($R132="","",INDEX(Anforderungen!$G:$G,$R132))</f>
        <v>Sind die genannten Maße der Umspannstation aus den Plänen von 12x4x3,2m einzuhalten?</v>
      </c>
      <c r="G132" s="45" t="str">
        <f aca="false">IF($R132="","",INDEX(Anforderungen!$I:$I,$R132))</f>
        <v>offen</v>
      </c>
      <c r="H132" s="45" t="str">
        <f aca="false">IF($R132="","",INDEX(Anforderungen!$J:$J,$R132))</f>
        <v>–</v>
      </c>
      <c r="I132" s="45" t="str">
        <f aca="false">IF($R132="","",INDEX(Anforderungen!$K:$K,$R132))</f>
        <v>trifft nicht zu</v>
      </c>
      <c r="J132" s="46" t="n">
        <f aca="false">IF($R132="","",INDEX(Anforderungen!$L:$L,$R132))</f>
        <v>0</v>
      </c>
      <c r="K132" s="45" t="str">
        <f aca="false">IF($R132="","",INDEX(Anforderungen!$M:$M,$R132))</f>
        <v>Automatisch ausgewertet: Außerhalb des betrachteten Leistungsumfangs (Schranken, Kennzeichenerfassung, dynamische Anzeige).</v>
      </c>
      <c r="R132" s="0" t="n">
        <f aca="false">IFERROR(MATCH(ROWS($A$14:$A132),$T$7:$T$2000,0)+6,"")</f>
        <v>125</v>
      </c>
      <c r="T132" s="0" t="n">
        <f aca="false">IF(Anforderungen!$B132="","",IF(AND(OR($B5="(alle)",Anforderungen!$K132=$B5),OR($E5="(alle)",Anforderungen!$C132=$E5),OR($H5="(alle)",Anforderungen!$E132=$H5),OR($B7="(alle)",ISNUMBER(SEARCH($B7,Anforderungen!$J132))),OR($E7="(alle)",ISNUMBER(SEARCH($E7,Anforderungen!$I132))),OR($H7="",ISNUMBER(SEARCH($H7,Anforderungen!$F132&amp;" "&amp;Anforderungen!$G132)))),COUNT($T$6:$T131)+1,""))</f>
        <v>126</v>
      </c>
    </row>
    <row r="133" customFormat="false" ht="30" hidden="false" customHeight="true" outlineLevel="0" collapsed="false">
      <c r="A133" s="45" t="str">
        <f aca="false">IF($R133="","",INDEX(Anforderungen!$B:$B,$R133))</f>
        <v>ANF-120</v>
      </c>
      <c r="B133" s="45" t="str">
        <f aca="false">IF($R133="","",INDEX(Anforderungen!$C:$C,$R133))</f>
        <v>Bieterfragenkatalog</v>
      </c>
      <c r="C133" s="45" t="str">
        <f aca="false">IF($R133="","",INDEX(Anforderungen!$D:$D,$R133))</f>
        <v>Nr. 68 / S. 5</v>
      </c>
      <c r="D133" s="45" t="str">
        <f aca="false">IF($R133="","",INDEX(Anforderungen!$E:$E,$R133))</f>
        <v>Nutzungszeit &amp; Entgelte</v>
      </c>
      <c r="E133" s="45" t="str">
        <f aca="false">IF($R133="","",INDEX(Anforderungen!$F:$F,$R133))</f>
        <v>Klarstellung: Die Thematik Eichrecht wird in § 8 des Vertrags geregelt. Sollten eichrechtskonforme Lösungen am Markt verfügbar sein, so sind diese zu wählen.</v>
      </c>
      <c r="F133" s="45" t="str">
        <f aca="false">IF($R133="","",INDEX(Anforderungen!$G:$G,$R133))</f>
        <v>Wie wird damit umgegangen, wenn zum Errichtungszeitpunkt keine in Deutschland eichrechtskonforme MCS-Lösung vorliegt? Ergänzend: wie wird in diesem Fall damit vorgegangen, sofern der im Errichtungskonzept benannte Hersteller (Lieferant) keine, aber ein alternativer Hersteller (nicht gebundener Lieferant) zum ggf. höheren Marktpreis eine eichrechtskonforme MCS-Lösung anbieten kann? Zum heutigen Tag existiert kein marktfähiges MCS-Produkt.</v>
      </c>
      <c r="G133" s="45" t="str">
        <f aca="false">IF($R133="","",INDEX(Anforderungen!$I:$I,$R133))</f>
        <v>eRound</v>
      </c>
      <c r="H133" s="45" t="str">
        <f aca="false">IF($R133="","",INDEX(Anforderungen!$J:$J,$R133))</f>
        <v>Abrechnungskomponente</v>
      </c>
      <c r="I133" s="45" t="str">
        <f aca="false">IF($R133="","",INDEX(Anforderungen!$K:$K,$R133))</f>
        <v>trifft nicht zu</v>
      </c>
      <c r="J133" s="46" t="n">
        <f aca="false">IF($R133="","",INDEX(Anforderungen!$L:$L,$R133))</f>
        <v>0</v>
      </c>
      <c r="K133" s="45" t="str">
        <f aca="false">IF($R133="","",INDEX(Anforderungen!$M:$M,$R133))</f>
        <v>Automatisch ausgewertet: Außerhalb des betrachteten Leistungsumfangs (Schranken, Kennzeichenerfassung, dynamische Anzeige).</v>
      </c>
      <c r="R133" s="0" t="n">
        <f aca="false">IFERROR(MATCH(ROWS($A$14:$A133),$T$7:$T$2000,0)+6,"")</f>
        <v>126</v>
      </c>
      <c r="T133" s="0" t="n">
        <f aca="false">IF(Anforderungen!$B133="","",IF(AND(OR($B5="(alle)",Anforderungen!$K133=$B5),OR($E5="(alle)",Anforderungen!$C133=$E5),OR($H5="(alle)",Anforderungen!$E133=$H5),OR($B7="(alle)",ISNUMBER(SEARCH($B7,Anforderungen!$J133))),OR($E7="(alle)",ISNUMBER(SEARCH($E7,Anforderungen!$I133))),OR($H7="",ISNUMBER(SEARCH($H7,Anforderungen!$F133&amp;" "&amp;Anforderungen!$G133)))),COUNT($T$6:$T132)+1,""))</f>
        <v>127</v>
      </c>
    </row>
    <row r="134" customFormat="false" ht="30" hidden="false" customHeight="true" outlineLevel="0" collapsed="false">
      <c r="A134" s="45" t="str">
        <f aca="false">IF($R134="","",INDEX(Anforderungen!$B:$B,$R134))</f>
        <v>ANF-121</v>
      </c>
      <c r="B134" s="45" t="str">
        <f aca="false">IF($R134="","",INDEX(Anforderungen!$C:$C,$R134))</f>
        <v>Bieterfragenkatalog</v>
      </c>
      <c r="C134" s="45" t="str">
        <f aca="false">IF($R134="","",INDEX(Anforderungen!$D:$D,$R134))</f>
        <v>Nr. 69 / S. 6</v>
      </c>
      <c r="D134" s="45" t="str">
        <f aca="false">IF($R134="","",INDEX(Anforderungen!$E:$E,$R134))</f>
        <v>Netzanschluss &amp; Energie</v>
      </c>
      <c r="E134" s="45" t="str">
        <f aca="false">IF($R134="","",INDEX(Anforderungen!$F:$F,$R134))</f>
        <v>Klarstellung: Siehe dazu insbesondere Vertragsanlage 4, Ziffer 4.11.7 Abs. 2 - 4: "Eine entsprechende Dimensionierung auf die Endausbauleistung für das Jahr 2035 ist notwendig, um eine im Zuge der zukünftigen Skalierung der Standorte, …</v>
      </c>
      <c r="F134" s="45" t="str">
        <f aca="false">IF($R134="","",INDEX(Anforderungen!$G:$G,$R134))</f>
        <v>Die vom AN errichteten elektrotechnischen Komponenten zur Energieverteilung und Übertragung sind so zu bemessen, dass die Endausbauleistung 2035 ohne Einschränkungen innerhalb des Standortes übertragen und verteilt werden kann. Was heißt ohne Einschränkung? Soll jeder CCS-Ladeplatz in einen MCS-Ladeplatz umgewandelt werden können? Bleibt es bei 1000 KW Maximalleistung?</v>
      </c>
      <c r="G134" s="45" t="str">
        <f aca="false">IF($R134="","",INDEX(Anforderungen!$I:$I,$R134))</f>
        <v>Alpitronic</v>
      </c>
      <c r="H134" s="45" t="str">
        <f aca="false">IF($R134="","",INDEX(Anforderungen!$J:$J,$R134))</f>
        <v>Ladeeinrichtung</v>
      </c>
      <c r="I134" s="45" t="str">
        <f aca="false">IF($R134="","",INDEX(Anforderungen!$K:$K,$R134))</f>
        <v>trifft nicht zu</v>
      </c>
      <c r="J134" s="46" t="n">
        <f aca="false">IF($R134="","",INDEX(Anforderungen!$L:$L,$R134))</f>
        <v>0</v>
      </c>
      <c r="K134" s="45" t="str">
        <f aca="false">IF($R134="","",INDEX(Anforderungen!$M:$M,$R134))</f>
        <v>Automatisch ausgewertet: Außerhalb des betrachteten Leistungsumfangs (Schranken, Kennzeichenerfassung, dynamische Anzeige).</v>
      </c>
      <c r="R134" s="0" t="n">
        <f aca="false">IFERROR(MATCH(ROWS($A$14:$A134),$T$7:$T$2000,0)+6,"")</f>
        <v>127</v>
      </c>
      <c r="T134" s="0" t="n">
        <f aca="false">IF(Anforderungen!$B134="","",IF(AND(OR($B5="(alle)",Anforderungen!$K134=$B5),OR($E5="(alle)",Anforderungen!$C134=$E5),OR($H5="(alle)",Anforderungen!$E134=$H5),OR($B7="(alle)",ISNUMBER(SEARCH($B7,Anforderungen!$J134))),OR($E7="(alle)",ISNUMBER(SEARCH($E7,Anforderungen!$I134))),OR($H7="",ISNUMBER(SEARCH($H7,Anforderungen!$F134&amp;" "&amp;Anforderungen!$G134)))),COUNT($T$6:$T133)+1,""))</f>
        <v>128</v>
      </c>
    </row>
    <row r="135" customFormat="false" ht="30" hidden="false" customHeight="true" outlineLevel="0" collapsed="false">
      <c r="A135" s="45" t="str">
        <f aca="false">IF($R135="","",INDEX(Anforderungen!$B:$B,$R135))</f>
        <v>ANF-122</v>
      </c>
      <c r="B135" s="45" t="str">
        <f aca="false">IF($R135="","",INDEX(Anforderungen!$C:$C,$R135))</f>
        <v>Bieterfragenkatalog</v>
      </c>
      <c r="C135" s="45" t="str">
        <f aca="false">IF($R135="","",INDEX(Anforderungen!$D:$D,$R135))</f>
        <v>Nr. 70 / S. 6</v>
      </c>
      <c r="D135" s="45" t="str">
        <f aca="false">IF($R135="","",INDEX(Anforderungen!$E:$E,$R135))</f>
        <v>Technik Ladeinfrastruktur</v>
      </c>
      <c r="E135" s="45" t="str">
        <f aca="false">IF($R135="","",INDEX(Anforderungen!$F:$F,$R135))</f>
        <v>Klarstellung: Aktuell ist nicht vorgesehen, dass die Skalierung der Standorte auf die Ausbauleistung von 2035 per Umwandlung von CCS- in MCS-Ladepunkten erfolgt.</v>
      </c>
      <c r="F135" s="45" t="str">
        <f aca="false">IF($R135="","",INDEX(Anforderungen!$G:$G,$R135))</f>
        <v>Es gibt Fälle, z.B. Nr. 49 Geiseltal Ost, bei denen die Ausbauleistung 2035 selbst bei Aufrüstung aller CCS- Ladepunkte auf MCS mit den vorgegebenen Maximalleitungen nicht benötigt wird. Wie soll mit der überschüssigen Leistung verfahren werden?</v>
      </c>
      <c r="G135" s="45" t="str">
        <f aca="false">IF($R135="","",INDEX(Anforderungen!$I:$I,$R135))</f>
        <v>Zuordnung prüfen</v>
      </c>
      <c r="H135" s="45" t="str">
        <f aca="false">IF($R135="","",INDEX(Anforderungen!$J:$J,$R135))</f>
        <v>Zuordnung prüfen</v>
      </c>
      <c r="I135" s="45" t="str">
        <f aca="false">IF($R135="","",INDEX(Anforderungen!$K:$K,$R135))</f>
        <v>trifft nicht zu</v>
      </c>
      <c r="J135" s="46" t="n">
        <f aca="false">IF($R135="","",INDEX(Anforderungen!$L:$L,$R135))</f>
        <v>0</v>
      </c>
      <c r="K135" s="45" t="str">
        <f aca="false">IF($R135="","",INDEX(Anforderungen!$M:$M,$R135))</f>
        <v>Automatisch ausgewertet: Außerhalb des betrachteten Leistungsumfangs (Schranken, Kennzeichenerfassung, dynamische Anzeige).</v>
      </c>
      <c r="R135" s="0" t="n">
        <f aca="false">IFERROR(MATCH(ROWS($A$14:$A135),$T$7:$T$2000,0)+6,"")</f>
        <v>128</v>
      </c>
      <c r="T135" s="0" t="n">
        <f aca="false">IF(Anforderungen!$B135="","",IF(AND(OR($B5="(alle)",Anforderungen!$K135=$B5),OR($E5="(alle)",Anforderungen!$C135=$E5),OR($H5="(alle)",Anforderungen!$E135=$H5),OR($B7="(alle)",ISNUMBER(SEARCH($B7,Anforderungen!$J135))),OR($E7="(alle)",ISNUMBER(SEARCH($E7,Anforderungen!$I135))),OR($H7="",ISNUMBER(SEARCH($H7,Anforderungen!$F135&amp;" "&amp;Anforderungen!$G135)))),COUNT($T$6:$T134)+1,""))</f>
        <v>129</v>
      </c>
    </row>
    <row r="136" customFormat="false" ht="30" hidden="false" customHeight="true" outlineLevel="0" collapsed="false">
      <c r="A136" s="45" t="str">
        <f aca="false">IF($R136="","",INDEX(Anforderungen!$B:$B,$R136))</f>
        <v>ANF-123</v>
      </c>
      <c r="B136" s="45" t="str">
        <f aca="false">IF($R136="","",INDEX(Anforderungen!$C:$C,$R136))</f>
        <v>Bieterfragenkatalog</v>
      </c>
      <c r="C136" s="45" t="str">
        <f aca="false">IF($R136="","",INDEX(Anforderungen!$D:$D,$R136))</f>
        <v>Nr. 71 / S. 6</v>
      </c>
      <c r="D136" s="45" t="str">
        <f aca="false">IF($R136="","",INDEX(Anforderungen!$E:$E,$R136))</f>
        <v>Vertrag &amp; Recht</v>
      </c>
      <c r="E136" s="45" t="str">
        <f aca="false">IF($R136="","",INDEX(Anforderungen!$F:$F,$R136))</f>
        <v>Klarstellung: Die angegebenen 2,03m ist das Standardmaß eines Doppelstabmattenzauns.</v>
      </c>
      <c r="F136" s="45" t="str">
        <f aca="false">IF($R136="","",INDEX(Anforderungen!$G:$G,$R136))</f>
        <v>Warum wird die Zaunhöhe für die Einzäunung der Nebenaggregate mit exakt 2,03m angegeben? Was passiert bei kleinen Abweichungen?</v>
      </c>
      <c r="G136" s="45" t="str">
        <f aca="false">IF($R136="","",INDEX(Anforderungen!$I:$I,$R136))</f>
        <v>offen</v>
      </c>
      <c r="H136" s="45" t="str">
        <f aca="false">IF($R136="","",INDEX(Anforderungen!$J:$J,$R136))</f>
        <v>–</v>
      </c>
      <c r="I136" s="45" t="str">
        <f aca="false">IF($R136="","",INDEX(Anforderungen!$K:$K,$R136))</f>
        <v>trifft nicht zu</v>
      </c>
      <c r="J136" s="46" t="n">
        <f aca="false">IF($R136="","",INDEX(Anforderungen!$L:$L,$R136))</f>
        <v>0</v>
      </c>
      <c r="K136" s="45" t="str">
        <f aca="false">IF($R136="","",INDEX(Anforderungen!$M:$M,$R136))</f>
        <v>Automatisch ausgewertet: Außerhalb des betrachteten Leistungsumfangs (Schranken, Kennzeichenerfassung, dynamische Anzeige).</v>
      </c>
      <c r="R136" s="0" t="n">
        <f aca="false">IFERROR(MATCH(ROWS($A$14:$A136),$T$7:$T$2000,0)+6,"")</f>
        <v>129</v>
      </c>
      <c r="T136" s="0" t="n">
        <f aca="false">IF(Anforderungen!$B136="","",IF(AND(OR($B5="(alle)",Anforderungen!$K136=$B5),OR($E5="(alle)",Anforderungen!$C136=$E5),OR($H5="(alle)",Anforderungen!$E136=$H5),OR($B7="(alle)",ISNUMBER(SEARCH($B7,Anforderungen!$J136))),OR($E7="(alle)",ISNUMBER(SEARCH($E7,Anforderungen!$I136))),OR($H7="",ISNUMBER(SEARCH($H7,Anforderungen!$F136&amp;" "&amp;Anforderungen!$G136)))),COUNT($T$6:$T135)+1,""))</f>
        <v>130</v>
      </c>
    </row>
    <row r="137" customFormat="false" ht="30" hidden="false" customHeight="true" outlineLevel="0" collapsed="false">
      <c r="A137" s="45" t="str">
        <f aca="false">IF($R137="","",INDEX(Anforderungen!$B:$B,$R137))</f>
        <v>ANF-124</v>
      </c>
      <c r="B137" s="45" t="str">
        <f aca="false">IF($R137="","",INDEX(Anforderungen!$C:$C,$R137))</f>
        <v>Bieterfragenkatalog</v>
      </c>
      <c r="C137" s="45" t="str">
        <f aca="false">IF($R137="","",INDEX(Anforderungen!$D:$D,$R137))</f>
        <v>Nr. 72 / S. 6</v>
      </c>
      <c r="D137" s="45" t="str">
        <f aca="false">IF($R137="","",INDEX(Anforderungen!$E:$E,$R137))</f>
        <v>Flächen &amp; Genehmigungen</v>
      </c>
      <c r="E137" s="45" t="str">
        <f aca="false">IF($R137="","",INDEX(Anforderungen!$F:$F,$R137))</f>
        <v>Klarstellung: Der AN kann die Anordnung der Ladeinseln den örtlichen Gegebenheiten anpassen, sodass die Schleppkurven zum Ein- und Ausrangieren konfliktfrei eingehalten werden können.</v>
      </c>
      <c r="F137" s="45" t="str">
        <f aca="false">IF($R137="","",INDEX(Anforderungen!$G:$G,$R137))</f>
        <v>Das Referenzlayout kann am Standort Am Sonneborn nicht eingehalten werden. Es sollen linksseitig 5 Ladeeinrichtungen errichtet werden. Die realen Breiten der Durchfahrtstrasse und des Parkstreifens unterschreiten die Breiten des Musterlayouts deutlich. Ist vorgesehen, dass der Auftragnehmer in diesem oder in ähnlichen Fällen auch die Ausführung und Kosten für eine Verbreiterung der relevanten Park- und Fahrspuren im Rahmen der Errichtung übernehmen soll?</v>
      </c>
      <c r="G137" s="45" t="str">
        <f aca="false">IF($R137="","",INDEX(Anforderungen!$I:$I,$R137))</f>
        <v>Alpitronic</v>
      </c>
      <c r="H137" s="45" t="str">
        <f aca="false">IF($R137="","",INDEX(Anforderungen!$J:$J,$R137))</f>
        <v>Ladeeinrichtung</v>
      </c>
      <c r="I137" s="45" t="str">
        <f aca="false">IF($R137="","",INDEX(Anforderungen!$K:$K,$R137))</f>
        <v>trifft nicht zu</v>
      </c>
      <c r="J137" s="46" t="n">
        <f aca="false">IF($R137="","",INDEX(Anforderungen!$L:$L,$R137))</f>
        <v>0</v>
      </c>
      <c r="K137" s="45" t="str">
        <f aca="false">IF($R137="","",INDEX(Anforderungen!$M:$M,$R137))</f>
        <v>Automatisch ausgewertet: Außerhalb des betrachteten Leistungsumfangs (Schranken, Kennzeichenerfassung, dynamische Anzeige).</v>
      </c>
      <c r="R137" s="0" t="n">
        <f aca="false">IFERROR(MATCH(ROWS($A$14:$A137),$T$7:$T$2000,0)+6,"")</f>
        <v>130</v>
      </c>
      <c r="T137" s="0" t="n">
        <f aca="false">IF(Anforderungen!$B137="","",IF(AND(OR($B5="(alle)",Anforderungen!$K137=$B5),OR($E5="(alle)",Anforderungen!$C137=$E5),OR($H5="(alle)",Anforderungen!$E137=$H5),OR($B7="(alle)",ISNUMBER(SEARCH($B7,Anforderungen!$J137))),OR($E7="(alle)",ISNUMBER(SEARCH($E7,Anforderungen!$I137))),OR($H7="",ISNUMBER(SEARCH($H7,Anforderungen!$F137&amp;" "&amp;Anforderungen!$G137)))),COUNT($T$6:$T136)+1,""))</f>
        <v>131</v>
      </c>
    </row>
    <row r="138" customFormat="false" ht="30" hidden="false" customHeight="true" outlineLevel="0" collapsed="false">
      <c r="A138" s="45" t="str">
        <f aca="false">IF($R138="","",INDEX(Anforderungen!$B:$B,$R138))</f>
        <v>ANF-125</v>
      </c>
      <c r="B138" s="45" t="str">
        <f aca="false">IF($R138="","",INDEX(Anforderungen!$C:$C,$R138))</f>
        <v>Bieterfragenkatalog</v>
      </c>
      <c r="C138" s="45" t="str">
        <f aca="false">IF($R138="","",INDEX(Anforderungen!$D:$D,$R138))</f>
        <v>Nr. 73 / S. 6</v>
      </c>
      <c r="D138" s="45" t="str">
        <f aca="false">IF($R138="","",INDEX(Anforderungen!$E:$E,$R138))</f>
        <v>Flächen &amp; Genehmigungen</v>
      </c>
      <c r="E138" s="45" t="str">
        <f aca="false">IF($R138="","",INDEX(Anforderungen!$F:$F,$R138))</f>
        <v>Klarstellung: Die Angaben der Anlage 2 zum Verfahrensbrief "Gesamtübersicht über die Lose" zur BAB-Nr sind korrekt.</v>
      </c>
      <c r="F138" s="45" t="str">
        <f aca="false">IF($R138="","",INDEX(Anforderungen!$G:$G,$R138))</f>
        <v>Wir nehmen Bezug auf die Antworten auf die Bieterfragen 5 und 6 und die zugehörige Nachlieferung (Suffixe v2, Stand 14.01.2025). In den nachgesendeten losspezifischen Standortlisten ist die Spalte „Nr. BAB“ weiterhin nicht korrekt und stimmt nicht mit den restlichen VGU überein. Wir bitten um erneute Korrektur.</v>
      </c>
      <c r="G138" s="45" t="str">
        <f aca="false">IF($R138="","",INDEX(Anforderungen!$I:$I,$R138))</f>
        <v>offen</v>
      </c>
      <c r="H138" s="45" t="str">
        <f aca="false">IF($R138="","",INDEX(Anforderungen!$J:$J,$R138))</f>
        <v>–</v>
      </c>
      <c r="I138" s="45" t="str">
        <f aca="false">IF($R138="","",INDEX(Anforderungen!$K:$K,$R138))</f>
        <v>trifft nicht zu</v>
      </c>
      <c r="J138" s="46" t="n">
        <f aca="false">IF($R138="","",INDEX(Anforderungen!$L:$L,$R138))</f>
        <v>0</v>
      </c>
      <c r="K138" s="45" t="str">
        <f aca="false">IF($R138="","",INDEX(Anforderungen!$M:$M,$R138))</f>
        <v>Automatisch ausgewertet: Außerhalb des betrachteten Leistungsumfangs (Schranken, Kennzeichenerfassung, dynamische Anzeige).</v>
      </c>
      <c r="R138" s="0" t="n">
        <f aca="false">IFERROR(MATCH(ROWS($A$14:$A138),$T$7:$T$2000,0)+6,"")</f>
        <v>131</v>
      </c>
      <c r="T138" s="0" t="n">
        <f aca="false">IF(Anforderungen!$B138="","",IF(AND(OR($B5="(alle)",Anforderungen!$K138=$B5),OR($E5="(alle)",Anforderungen!$C138=$E5),OR($H5="(alle)",Anforderungen!$E138=$H5),OR($B7="(alle)",ISNUMBER(SEARCH($B7,Anforderungen!$J138))),OR($E7="(alle)",ISNUMBER(SEARCH($E7,Anforderungen!$I138))),OR($H7="",ISNUMBER(SEARCH($H7,Anforderungen!$F138&amp;" "&amp;Anforderungen!$G138)))),COUNT($T$6:$T137)+1,""))</f>
        <v>132</v>
      </c>
    </row>
    <row r="139" customFormat="false" ht="30" hidden="false" customHeight="true" outlineLevel="0" collapsed="false">
      <c r="A139" s="45" t="str">
        <f aca="false">IF($R139="","",INDEX(Anforderungen!$B:$B,$R139))</f>
        <v>ANF-126</v>
      </c>
      <c r="B139" s="45" t="str">
        <f aca="false">IF($R139="","",INDEX(Anforderungen!$C:$C,$R139))</f>
        <v>Bieterfragenkatalog</v>
      </c>
      <c r="C139" s="45" t="str">
        <f aca="false">IF($R139="","",INDEX(Anforderungen!$D:$D,$R139))</f>
        <v>Nr. 74 / S. 6</v>
      </c>
      <c r="D139" s="45" t="str">
        <f aca="false">IF($R139="","",INDEX(Anforderungen!$E:$E,$R139))</f>
        <v>Vergabeverfahren &amp; Angebot</v>
      </c>
      <c r="E139" s="45" t="str">
        <f aca="false">IF($R139="","",INDEX(Anforderungen!$F:$F,$R139))</f>
        <v>Verweis des Auftraggebers auf die Antwort zu Bieterfrage 56.</v>
      </c>
      <c r="F139" s="45" t="str">
        <f aca="false">IF($R139="","",INDEX(Anforderungen!$G:$G,$R139))</f>
        <v>Im genannten Dokument ist das Datum der Angebotsaufforderung beschränkt auf das Jahr 2024. Wir bitten um Anpassung des Dokuments, da sich die Jahreszahl nicht verändern lässt.</v>
      </c>
      <c r="G139" s="45" t="str">
        <f aca="false">IF($R139="","",INDEX(Anforderungen!$I:$I,$R139))</f>
        <v>offen</v>
      </c>
      <c r="H139" s="45" t="str">
        <f aca="false">IF($R139="","",INDEX(Anforderungen!$J:$J,$R139))</f>
        <v>–</v>
      </c>
      <c r="I139" s="45" t="str">
        <f aca="false">IF($R139="","",INDEX(Anforderungen!$K:$K,$R139))</f>
        <v>trifft nicht zu</v>
      </c>
      <c r="J139" s="46" t="n">
        <f aca="false">IF($R139="","",INDEX(Anforderungen!$L:$L,$R139))</f>
        <v>0</v>
      </c>
      <c r="K139" s="45" t="str">
        <f aca="false">IF($R139="","",INDEX(Anforderungen!$M:$M,$R139))</f>
        <v>Automatisch ausgewertet: Die Antwort des Auftraggebers verweist ausschließlich auf Bieterfrage 56. Keine eigenständige Anforderung – der Inhalt ist unter der dort erfassten Zeile nachzuhalten.</v>
      </c>
      <c r="R139" s="0" t="n">
        <f aca="false">IFERROR(MATCH(ROWS($A$14:$A139),$T$7:$T$2000,0)+6,"")</f>
        <v>132</v>
      </c>
      <c r="T139" s="0" t="n">
        <f aca="false">IF(Anforderungen!$B139="","",IF(AND(OR($B5="(alle)",Anforderungen!$K139=$B5),OR($E5="(alle)",Anforderungen!$C139=$E5),OR($H5="(alle)",Anforderungen!$E139=$H5),OR($B7="(alle)",ISNUMBER(SEARCH($B7,Anforderungen!$J139))),OR($E7="(alle)",ISNUMBER(SEARCH($E7,Anforderungen!$I139))),OR($H7="",ISNUMBER(SEARCH($H7,Anforderungen!$F139&amp;" "&amp;Anforderungen!$G139)))),COUNT($T$6:$T138)+1,""))</f>
        <v>133</v>
      </c>
    </row>
    <row r="140" customFormat="false" ht="30" hidden="false" customHeight="true" outlineLevel="0" collapsed="false">
      <c r="A140" s="45" t="str">
        <f aca="false">IF($R140="","",INDEX(Anforderungen!$B:$B,$R140))</f>
        <v>ANF-127</v>
      </c>
      <c r="B140" s="45" t="str">
        <f aca="false">IF($R140="","",INDEX(Anforderungen!$C:$C,$R140))</f>
        <v>Bieterfragenkatalog</v>
      </c>
      <c r="C140" s="45" t="str">
        <f aca="false">IF($R140="","",INDEX(Anforderungen!$D:$D,$R140))</f>
        <v>Nr. 75 / S. 6</v>
      </c>
      <c r="D140" s="45" t="str">
        <f aca="false">IF($R140="","",INDEX(Anforderungen!$E:$E,$R140))</f>
        <v>Bau &amp; Dokumentation</v>
      </c>
      <c r="E140" s="45" t="str">
        <f aca="false">IF($R140="","",INDEX(Anforderungen!$F:$F,$R140))</f>
        <v>Verneint: es ist nicht der Ausdruck Bauzeitenplan gemeint. Richtigerweise muss es jedoch Rahmenterminpläne inkl.</v>
      </c>
      <c r="F140" s="45" t="str">
        <f aca="false">IF($R140="","",INDEX(Anforderungen!$G:$G,$R140))</f>
        <v>Bei den Zuschlagskriterien unter „Erforderliche Angaben im Angebot“ wird der Ausdruck „Rahmenterminplan (inkl. Errichtungsterminplanung)“ verwendet. Der Ausdruck “Errichtungsterminplanung” kommt nicht in der LB Errichtung vor. Gehen wir recht in der Annahme, dass der in LB Errichtung; Ziffer 2.2 verwendete Ausdruck „Bauzeitenplan“ gemeint ist? Wir bitten um Aufklärung und ggf. um Anpassung/Homogenisierung der VGU.</v>
      </c>
      <c r="G140" s="45" t="str">
        <f aca="false">IF($R140="","",INDEX(Anforderungen!$I:$I,$R140))</f>
        <v>offen</v>
      </c>
      <c r="H140" s="45" t="str">
        <f aca="false">IF($R140="","",INDEX(Anforderungen!$J:$J,$R140))</f>
        <v>–</v>
      </c>
      <c r="I140" s="45" t="str">
        <f aca="false">IF($R140="","",INDEX(Anforderungen!$K:$K,$R140))</f>
        <v>trifft nicht zu</v>
      </c>
      <c r="J140" s="46" t="n">
        <f aca="false">IF($R140="","",INDEX(Anforderungen!$L:$L,$R140))</f>
        <v>0</v>
      </c>
      <c r="K140" s="45" t="str">
        <f aca="false">IF($R140="","",INDEX(Anforderungen!$M:$M,$R140))</f>
        <v>Automatisch ausgewertet: Außerhalb des betrachteten Leistungsumfangs (Schranken, Kennzeichenerfassung, dynamische Anzeige).</v>
      </c>
      <c r="R140" s="0" t="n">
        <f aca="false">IFERROR(MATCH(ROWS($A$14:$A140),$T$7:$T$2000,0)+6,"")</f>
        <v>133</v>
      </c>
      <c r="T140" s="0" t="n">
        <f aca="false">IF(Anforderungen!$B140="","",IF(AND(OR($B5="(alle)",Anforderungen!$K140=$B5),OR($E5="(alle)",Anforderungen!$C140=$E5),OR($H5="(alle)",Anforderungen!$E140=$H5),OR($B7="(alle)",ISNUMBER(SEARCH($B7,Anforderungen!$J140))),OR($E7="(alle)",ISNUMBER(SEARCH($E7,Anforderungen!$I140))),OR($H7="",ISNUMBER(SEARCH($H7,Anforderungen!$F140&amp;" "&amp;Anforderungen!$G140)))),COUNT($T$6:$T139)+1,""))</f>
        <v>134</v>
      </c>
    </row>
    <row r="141" customFormat="false" ht="30" hidden="false" customHeight="true" outlineLevel="0" collapsed="false">
      <c r="A141" s="45" t="str">
        <f aca="false">IF($R141="","",INDEX(Anforderungen!$B:$B,$R141))</f>
        <v>ANF-128</v>
      </c>
      <c r="B141" s="45" t="str">
        <f aca="false">IF($R141="","",INDEX(Anforderungen!$C:$C,$R141))</f>
        <v>Bieterfragenkatalog</v>
      </c>
      <c r="C141" s="45" t="str">
        <f aca="false">IF($R141="","",INDEX(Anforderungen!$D:$D,$R141))</f>
        <v>Nr. 76 / S. 6</v>
      </c>
      <c r="D141" s="45" t="str">
        <f aca="false">IF($R141="","",INDEX(Anforderungen!$E:$E,$R141))</f>
        <v>Netzanschluss &amp; Energie</v>
      </c>
      <c r="E141" s="45" t="str">
        <f aca="false">IF($R141="","",INDEX(Anforderungen!$F:$F,$R141))</f>
        <v>Klarstellung: Die Übergabestation ist in den Kapiteln 3.8.4 und 4.11.6 der Vertragsanlage 4 "Leistungsbeschreibung Errichtung" beschrieben.</v>
      </c>
      <c r="F141" s="45" t="str">
        <f aca="false">IF($R141="","",INDEX(Anforderungen!$G:$G,$R141))</f>
        <v>Was versteht man unter einer Übergabestation? Ist darin eine Transformatorenstation inbegriffen oder sind Übergabe- und Transformatorenstation verschiedene Komponenten?</v>
      </c>
      <c r="G141" s="45" t="str">
        <f aca="false">IF($R141="","",INDEX(Anforderungen!$I:$I,$R141))</f>
        <v>offen</v>
      </c>
      <c r="H141" s="45" t="str">
        <f aca="false">IF($R141="","",INDEX(Anforderungen!$J:$J,$R141))</f>
        <v>–</v>
      </c>
      <c r="I141" s="45" t="str">
        <f aca="false">IF($R141="","",INDEX(Anforderungen!$K:$K,$R141))</f>
        <v>trifft nicht zu</v>
      </c>
      <c r="J141" s="46" t="n">
        <f aca="false">IF($R141="","",INDEX(Anforderungen!$L:$L,$R141))</f>
        <v>0</v>
      </c>
      <c r="K141" s="45" t="str">
        <f aca="false">IF($R141="","",INDEX(Anforderungen!$M:$M,$R141))</f>
        <v>Automatisch ausgewertet: Außerhalb des betrachteten Leistungsumfangs (Schranken, Kennzeichenerfassung, dynamische Anzeige).</v>
      </c>
      <c r="R141" s="0" t="n">
        <f aca="false">IFERROR(MATCH(ROWS($A$14:$A141),$T$7:$T$2000,0)+6,"")</f>
        <v>134</v>
      </c>
      <c r="T141" s="0" t="n">
        <f aca="false">IF(Anforderungen!$B141="","",IF(AND(OR($B5="(alle)",Anforderungen!$K141=$B5),OR($E5="(alle)",Anforderungen!$C141=$E5),OR($H5="(alle)",Anforderungen!$E141=$H5),OR($B7="(alle)",ISNUMBER(SEARCH($B7,Anforderungen!$J141))),OR($E7="(alle)",ISNUMBER(SEARCH($E7,Anforderungen!$I141))),OR($H7="",ISNUMBER(SEARCH($H7,Anforderungen!$F141&amp;" "&amp;Anforderungen!$G141)))),COUNT($T$6:$T140)+1,""))</f>
        <v>135</v>
      </c>
    </row>
    <row r="142" customFormat="false" ht="30" hidden="false" customHeight="true" outlineLevel="0" collapsed="false">
      <c r="A142" s="45" t="str">
        <f aca="false">IF($R142="","",INDEX(Anforderungen!$B:$B,$R142))</f>
        <v>ANF-129</v>
      </c>
      <c r="B142" s="45" t="str">
        <f aca="false">IF($R142="","",INDEX(Anforderungen!$C:$C,$R142))</f>
        <v>Bieterfragenkatalog</v>
      </c>
      <c r="C142" s="45" t="str">
        <f aca="false">IF($R142="","",INDEX(Anforderungen!$D:$D,$R142))</f>
        <v>Nr. 77 / S. 6</v>
      </c>
      <c r="D142" s="45" t="str">
        <f aca="false">IF($R142="","",INDEX(Anforderungen!$E:$E,$R142))</f>
        <v>Netzanschluss &amp; Energie</v>
      </c>
      <c r="E142" s="45" t="str">
        <f aca="false">IF($R142="","",INDEX(Anforderungen!$F:$F,$R142))</f>
        <v>Klarstellung: Es ist richtig, dass die Übergabestation für die beantragte Leistung des Jahres 2035 auszulegen ist.</v>
      </c>
      <c r="F142" s="45" t="str">
        <f aca="false">IF($R142="","",INDEX(Anforderungen!$G:$G,$R142))</f>
        <v>Gehen wir recht in der Annahme, dass die nötigen Transformatorenstationen für die Netzanschlüsse wie folgt auszulegen sind: Die Übergabestation für die beantragten Leistungen des Jahres 2035, die nachgelagerten Transformatorenstationen für die beantragten Leistungen des Jahres 2026?</v>
      </c>
      <c r="G142" s="45" t="str">
        <f aca="false">IF($R142="","",INDEX(Anforderungen!$I:$I,$R142))</f>
        <v>offen</v>
      </c>
      <c r="H142" s="45" t="str">
        <f aca="false">IF($R142="","",INDEX(Anforderungen!$J:$J,$R142))</f>
        <v>–</v>
      </c>
      <c r="I142" s="45" t="str">
        <f aca="false">IF($R142="","",INDEX(Anforderungen!$K:$K,$R142))</f>
        <v>trifft nicht zu</v>
      </c>
      <c r="J142" s="46" t="n">
        <f aca="false">IF($R142="","",INDEX(Anforderungen!$L:$L,$R142))</f>
        <v>0</v>
      </c>
      <c r="K142" s="45" t="str">
        <f aca="false">IF($R142="","",INDEX(Anforderungen!$M:$M,$R142))</f>
        <v>Automatisch ausgewertet: Außerhalb des betrachteten Leistungsumfangs (Schranken, Kennzeichenerfassung, dynamische Anzeige).</v>
      </c>
      <c r="R142" s="0" t="n">
        <f aca="false">IFERROR(MATCH(ROWS($A$14:$A142),$T$7:$T$2000,0)+6,"")</f>
        <v>135</v>
      </c>
      <c r="T142" s="0" t="n">
        <f aca="false">IF(Anforderungen!$B142="","",IF(AND(OR($B5="(alle)",Anforderungen!$K142=$B5),OR($E5="(alle)",Anforderungen!$C142=$E5),OR($H5="(alle)",Anforderungen!$E142=$H5),OR($B7="(alle)",ISNUMBER(SEARCH($B7,Anforderungen!$J142))),OR($E7="(alle)",ISNUMBER(SEARCH($E7,Anforderungen!$I142))),OR($H7="",ISNUMBER(SEARCH($H7,Anforderungen!$F142&amp;" "&amp;Anforderungen!$G142)))),COUNT($T$6:$T141)+1,""))</f>
        <v>136</v>
      </c>
    </row>
    <row r="143" customFormat="false" ht="30" hidden="false" customHeight="true" outlineLevel="0" collapsed="false">
      <c r="A143" s="45" t="str">
        <f aca="false">IF($R143="","",INDEX(Anforderungen!$B:$B,$R143))</f>
        <v>ANF-130</v>
      </c>
      <c r="B143" s="45" t="str">
        <f aca="false">IF($R143="","",INDEX(Anforderungen!$C:$C,$R143))</f>
        <v>Bieterfragenkatalog</v>
      </c>
      <c r="C143" s="45" t="str">
        <f aca="false">IF($R143="","",INDEX(Anforderungen!$D:$D,$R143))</f>
        <v>Nr. 78 / S. 6</v>
      </c>
      <c r="D143" s="45" t="str">
        <f aca="false">IF($R143="","",INDEX(Anforderungen!$E:$E,$R143))</f>
        <v>Flächen &amp; Genehmigungen</v>
      </c>
      <c r="E143" s="45" t="str">
        <f aca="false">IF($R143="","",INDEX(Anforderungen!$F:$F,$R143))</f>
        <v>Klarstellung: Aktuell sind keine Spülbohrungen zur Verbindung zweier gegenüberliegender Rastanlagen, zur Herstellung von Netzanschlüssen, einzukalkulieren.</v>
      </c>
      <c r="F143" s="45" t="str">
        <f aca="false">IF($R143="","",INDEX(Anforderungen!$G:$G,$R143))</f>
        <v>Sind aus Sicht der Vergabestelle Spülbohrungen für Arbeiten unter bzw. an den Autobahnen einzukalkulieren?</v>
      </c>
      <c r="G143" s="45" t="str">
        <f aca="false">IF($R143="","",INDEX(Anforderungen!$I:$I,$R143))</f>
        <v>offen</v>
      </c>
      <c r="H143" s="45" t="str">
        <f aca="false">IF($R143="","",INDEX(Anforderungen!$J:$J,$R143))</f>
        <v>–</v>
      </c>
      <c r="I143" s="45" t="str">
        <f aca="false">IF($R143="","",INDEX(Anforderungen!$K:$K,$R143))</f>
        <v>trifft nicht zu</v>
      </c>
      <c r="J143" s="46" t="n">
        <f aca="false">IF($R143="","",INDEX(Anforderungen!$L:$L,$R143))</f>
        <v>0</v>
      </c>
      <c r="K143" s="45" t="str">
        <f aca="false">IF($R143="","",INDEX(Anforderungen!$M:$M,$R143))</f>
        <v>Automatisch ausgewertet: Außerhalb des betrachteten Leistungsumfangs (Schranken, Kennzeichenerfassung, dynamische Anzeige).</v>
      </c>
      <c r="R143" s="0" t="n">
        <f aca="false">IFERROR(MATCH(ROWS($A$14:$A143),$T$7:$T$2000,0)+6,"")</f>
        <v>136</v>
      </c>
      <c r="T143" s="0" t="n">
        <f aca="false">IF(Anforderungen!$B143="","",IF(AND(OR($B5="(alle)",Anforderungen!$K143=$B5),OR($E5="(alle)",Anforderungen!$C143=$E5),OR($H5="(alle)",Anforderungen!$E143=$H5),OR($B7="(alle)",ISNUMBER(SEARCH($B7,Anforderungen!$J143))),OR($E7="(alle)",ISNUMBER(SEARCH($E7,Anforderungen!$I143))),OR($H7="",ISNUMBER(SEARCH($H7,Anforderungen!$F143&amp;" "&amp;Anforderungen!$G143)))),COUNT($T$6:$T142)+1,""))</f>
        <v>137</v>
      </c>
    </row>
    <row r="144" customFormat="false" ht="30" hidden="false" customHeight="true" outlineLevel="0" collapsed="false">
      <c r="A144" s="45" t="str">
        <f aca="false">IF($R144="","",INDEX(Anforderungen!$B:$B,$R144))</f>
        <v>ANF-131</v>
      </c>
      <c r="B144" s="45" t="str">
        <f aca="false">IF($R144="","",INDEX(Anforderungen!$C:$C,$R144))</f>
        <v>Bieterfragenkatalog</v>
      </c>
      <c r="C144" s="45" t="str">
        <f aca="false">IF($R144="","",INDEX(Anforderungen!$D:$D,$R144))</f>
        <v>Nr. 79 / S. 6</v>
      </c>
      <c r="D144" s="45" t="str">
        <f aca="false">IF($R144="","",INDEX(Anforderungen!$E:$E,$R144))</f>
        <v>Vertrag &amp; Recht</v>
      </c>
      <c r="E144" s="45" t="str">
        <f aca="false">IF($R144="","",INDEX(Anforderungen!$F:$F,$R144))</f>
        <v>Klarstellung: Ihre Annahme ist zutreffend. Gerne stellen wir wie folgt klar: 1) Maßgeblich für die Wertung des Angebotspreises (Ziffer 1 der Zuschlagskriterien) sind allein die Angaben im Preisblatt (Anlage 04 zum Verfahrensbrief "Preisblatt").</v>
      </c>
      <c r="F144" s="45" t="str">
        <f aca="false">IF($R144="","",INDEX(Anforderungen!$G:$G,$R144))</f>
        <v>In der Aufforderung zur Abgabe eines Erstangebots heißt es: „Für die Wertung des Angebotspreises (Ziffer 1 der Zuschlagskriterien) sind allein die Angaben im Preisblatt (Formblatt 2) relevant.“ Wir bitten um Prüfung und Korrektur, da das Preisblatt Anlage 04 zum Verfahrensbrief ist. Weiter heißt es: „Die Kalkulationsübersicht (Formblatt 3) dient der Vorbereitung der Bieterverhandlungen und wird nicht Vertragsbestandteil.“ Gehen wir recht in der Annahme, dass hier Anlage 06 zum Verfahrensbrief (Aufschlüsselung Preise Errichtung) gemeint ist?</v>
      </c>
      <c r="G144" s="45" t="str">
        <f aca="false">IF($R144="","",INDEX(Anforderungen!$I:$I,$R144))</f>
        <v>offen</v>
      </c>
      <c r="H144" s="45" t="str">
        <f aca="false">IF($R144="","",INDEX(Anforderungen!$J:$J,$R144))</f>
        <v>–</v>
      </c>
      <c r="I144" s="45" t="str">
        <f aca="false">IF($R144="","",INDEX(Anforderungen!$K:$K,$R144))</f>
        <v>trifft nicht zu</v>
      </c>
      <c r="J144" s="46" t="n">
        <f aca="false">IF($R144="","",INDEX(Anforderungen!$L:$L,$R144))</f>
        <v>0</v>
      </c>
      <c r="K144" s="45" t="str">
        <f aca="false">IF($R144="","",INDEX(Anforderungen!$M:$M,$R144))</f>
        <v>Automatisch ausgewertet: Außerhalb des betrachteten Leistungsumfangs (Schranken, Kennzeichenerfassung, dynamische Anzeige).</v>
      </c>
      <c r="R144" s="0" t="n">
        <f aca="false">IFERROR(MATCH(ROWS($A$14:$A144),$T$7:$T$2000,0)+6,"")</f>
        <v>137</v>
      </c>
      <c r="T144" s="0" t="n">
        <f aca="false">IF(Anforderungen!$B144="","",IF(AND(OR($B5="(alle)",Anforderungen!$K144=$B5),OR($E5="(alle)",Anforderungen!$C144=$E5),OR($H5="(alle)",Anforderungen!$E144=$H5),OR($B7="(alle)",ISNUMBER(SEARCH($B7,Anforderungen!$J144))),OR($E7="(alle)",ISNUMBER(SEARCH($E7,Anforderungen!$I144))),OR($H7="",ISNUMBER(SEARCH($H7,Anforderungen!$F144&amp;" "&amp;Anforderungen!$G144)))),COUNT($T$6:$T143)+1,""))</f>
        <v>138</v>
      </c>
    </row>
    <row r="145" customFormat="false" ht="30" hidden="false" customHeight="true" outlineLevel="0" collapsed="false">
      <c r="A145" s="45" t="str">
        <f aca="false">IF($R145="","",INDEX(Anforderungen!$B:$B,$R145))</f>
        <v>ANF-132</v>
      </c>
      <c r="B145" s="45" t="str">
        <f aca="false">IF($R145="","",INDEX(Anforderungen!$C:$C,$R145))</f>
        <v>Bieterfragenkatalog</v>
      </c>
      <c r="C145" s="45" t="str">
        <f aca="false">IF($R145="","",INDEX(Anforderungen!$D:$D,$R145))</f>
        <v>Nr. 80 / S. 6</v>
      </c>
      <c r="D145" s="45" t="str">
        <f aca="false">IF($R145="","",INDEX(Anforderungen!$E:$E,$R145))</f>
        <v>Technik Ladeinfrastruktur</v>
      </c>
      <c r="E145" s="45" t="str">
        <f aca="false">IF($R145="","",INDEX(Anforderungen!$F:$F,$R145))</f>
        <v>Bestätigt: die Annahme ist richtig. Die lokale, zum Ladeplatz gehörige Beleuchtung, wird mittels Bewegungsensorik gesteuert.</v>
      </c>
      <c r="F145" s="45" t="str">
        <f aca="false">IF($R145="","",INDEX(Anforderungen!$G:$G,$R145))</f>
        <v>In der Leistungbeschreibung Errichtung heißt es: „Jeder Ladepunkt ist so auszustatten, dass Objekte auf dem zum Ladepunkt gehörigen Ladeplatz detektiert und diese Informationen der Beleuchtungssteuerung zugeführt werden können.“ Gehen wir recht in der Annahme, dass mit „Beleuchtungssteuerung“ die unter 3.10.1 genannte „Bewegungssensorik“ gemeint ist</v>
      </c>
      <c r="G145" s="45" t="str">
        <f aca="false">IF($R145="","",INDEX(Anforderungen!$I:$I,$R145))</f>
        <v>Zuordnung prüfen</v>
      </c>
      <c r="H145" s="45" t="str">
        <f aca="false">IF($R145="","",INDEX(Anforderungen!$J:$J,$R145))</f>
        <v>Zuordnung prüfen</v>
      </c>
      <c r="I145" s="45" t="str">
        <f aca="false">IF($R145="","",INDEX(Anforderungen!$K:$K,$R145))</f>
        <v>trifft nicht zu</v>
      </c>
      <c r="J145" s="46" t="n">
        <f aca="false">IF($R145="","",INDEX(Anforderungen!$L:$L,$R145))</f>
        <v>0</v>
      </c>
      <c r="K145" s="45" t="str">
        <f aca="false">IF($R145="","",INDEX(Anforderungen!$M:$M,$R145))</f>
        <v>Automatisch ausgewertet: Außerhalb des betrachteten Leistungsumfangs (Schranken, Kennzeichenerfassung, dynamische Anzeige).</v>
      </c>
      <c r="R145" s="0" t="n">
        <f aca="false">IFERROR(MATCH(ROWS($A$14:$A145),$T$7:$T$2000,0)+6,"")</f>
        <v>138</v>
      </c>
      <c r="T145" s="0" t="n">
        <f aca="false">IF(Anforderungen!$B145="","",IF(AND(OR($B5="(alle)",Anforderungen!$K145=$B5),OR($E5="(alle)",Anforderungen!$C145=$E5),OR($H5="(alle)",Anforderungen!$E145=$H5),OR($B7="(alle)",ISNUMBER(SEARCH($B7,Anforderungen!$J145))),OR($E7="(alle)",ISNUMBER(SEARCH($E7,Anforderungen!$I145))),OR($H7="",ISNUMBER(SEARCH($H7,Anforderungen!$F145&amp;" "&amp;Anforderungen!$G145)))),COUNT($T$6:$T144)+1,""))</f>
        <v>139</v>
      </c>
    </row>
    <row r="146" customFormat="false" ht="30" hidden="false" customHeight="true" outlineLevel="0" collapsed="false">
      <c r="A146" s="45" t="str">
        <f aca="false">IF($R146="","",INDEX(Anforderungen!$B:$B,$R146))</f>
        <v>ANF-133</v>
      </c>
      <c r="B146" s="45" t="str">
        <f aca="false">IF($R146="","",INDEX(Anforderungen!$C:$C,$R146))</f>
        <v>Bieterfragenkatalog</v>
      </c>
      <c r="C146" s="45" t="str">
        <f aca="false">IF($R146="","",INDEX(Anforderungen!$D:$D,$R146))</f>
        <v>Nr. 81 / S. 7</v>
      </c>
      <c r="D146" s="45" t="str">
        <f aca="false">IF($R146="","",INDEX(Anforderungen!$E:$E,$R146))</f>
        <v>Betrieb &amp; Auslastung</v>
      </c>
      <c r="E146" s="45" t="str">
        <f aca="false">IF($R146="","",INDEX(Anforderungen!$F:$F,$R146))</f>
        <v>Klarstellung: Der AG zahlt eine Vergütung für die Errichtung und den Betrieb der Ladeinfrastruktur auf Basis der individuellen Angebotspreise der ausgewählten Betreiber.</v>
      </c>
      <c r="F146" s="45" t="str">
        <f aca="false">IF($R146="","",INDEX(Anforderungen!$G:$G,$R146))</f>
        <v>Zur Ermittlung des Betreiberentgelts reichen die zurzeit bekannten Informationen zum Infrastrukturentgelt nicht aus. Dieses ist gem. BV §41.4 Teil der Kalkulation der Zugangsentgelte des Auftragnehmers. Ohne Transparenz bzgl. der Höhe des Infrastrukturentgelts (z.B. fester Betrag oder eine Formel), kann der Bieter nicht die zu erwartende Auslastung prognostizieren, was Grundlage für die Bildung des Betreiberentgelts ist. Wir bitten zudem um Erläuterung, inwiefern die Auftraggeber dem Auftragnehmer mit Blick auf das Infrastrukturentgelt nach BV §41 das Auslastungsrisiko abnimmt (vgl. BV §30.3), zumal gem. BV §41.3 der AG2 die Höhe des Infrastrukturentgelts gegenüber dem AN einseitig anpassen kann.</v>
      </c>
      <c r="G146" s="45" t="str">
        <f aca="false">IF($R146="","",INDEX(Anforderungen!$I:$I,$R146))</f>
        <v>Zuordnung prüfen</v>
      </c>
      <c r="H146" s="45" t="str">
        <f aca="false">IF($R146="","",INDEX(Anforderungen!$J:$J,$R146))</f>
        <v>Zuordnung prüfen</v>
      </c>
      <c r="I146" s="45" t="str">
        <f aca="false">IF($R146="","",INDEX(Anforderungen!$K:$K,$R146))</f>
        <v>trifft nicht zu</v>
      </c>
      <c r="J146" s="46" t="n">
        <f aca="false">IF($R146="","",INDEX(Anforderungen!$L:$L,$R146))</f>
        <v>0</v>
      </c>
      <c r="K146" s="45" t="str">
        <f aca="false">IF($R146="","",INDEX(Anforderungen!$M:$M,$R146))</f>
        <v>Automatisch ausgewertet: Außerhalb des betrachteten Leistungsumfangs (Schranken, Kennzeichenerfassung, dynamische Anzeige).</v>
      </c>
      <c r="R146" s="0" t="n">
        <f aca="false">IFERROR(MATCH(ROWS($A$14:$A146),$T$7:$T$2000,0)+6,"")</f>
        <v>139</v>
      </c>
      <c r="T146" s="0" t="n">
        <f aca="false">IF(Anforderungen!$B146="","",IF(AND(OR($B5="(alle)",Anforderungen!$K146=$B5),OR($E5="(alle)",Anforderungen!$C146=$E5),OR($H5="(alle)",Anforderungen!$E146=$H5),OR($B7="(alle)",ISNUMBER(SEARCH($B7,Anforderungen!$J146))),OR($E7="(alle)",ISNUMBER(SEARCH($E7,Anforderungen!$I146))),OR($H7="",ISNUMBER(SEARCH($H7,Anforderungen!$F146&amp;" "&amp;Anforderungen!$G146)))),COUNT($T$6:$T145)+1,""))</f>
        <v>140</v>
      </c>
    </row>
    <row r="147" customFormat="false" ht="30" hidden="false" customHeight="true" outlineLevel="0" collapsed="false">
      <c r="A147" s="45" t="str">
        <f aca="false">IF($R147="","",INDEX(Anforderungen!$B:$B,$R147))</f>
        <v>ANF-134</v>
      </c>
      <c r="B147" s="45" t="str">
        <f aca="false">IF($R147="","",INDEX(Anforderungen!$C:$C,$R147))</f>
        <v>Bieterfragenkatalog</v>
      </c>
      <c r="C147" s="45" t="str">
        <f aca="false">IF($R147="","",INDEX(Anforderungen!$D:$D,$R147))</f>
        <v>Nr. 82 / S. 7</v>
      </c>
      <c r="D147" s="45" t="str">
        <f aca="false">IF($R147="","",INDEX(Anforderungen!$E:$E,$R147))</f>
        <v>Technik Ladeinfrastruktur</v>
      </c>
      <c r="E147" s="45" t="str">
        <f aca="false">IF($R147="","",INDEX(Anforderungen!$F:$F,$R147))</f>
        <v>Klarstellung: Es erfolgt folgende Klarstellung: Für den Fall, dass nur ein MCS-Ladepunkt vorhanden ist, ist auch nur ein MCS-Ladepunkt für das Zwischenladen nachts freizuhalten.</v>
      </c>
      <c r="F147" s="45" t="str">
        <f aca="false">IF($R147="","",INDEX(Anforderungen!$G:$G,$R147))</f>
        <v>Wir bitten um Überprüfung der Vorgabe in BV §16.4 (min. zwei MCS-Ladepunkte bzw. ein CCS-Ladepunkt sind zum Zwischenladen nachts freizuhalten), da es Standorte gibt, bei denen nur 1 MCS- und 1 CCS- Ladepunkt installiert werden sollen.</v>
      </c>
      <c r="G147" s="45" t="str">
        <f aca="false">IF($R147="","",INDEX(Anforderungen!$I:$I,$R147))</f>
        <v>Zuordnung prüfen</v>
      </c>
      <c r="H147" s="45" t="str">
        <f aca="false">IF($R147="","",INDEX(Anforderungen!$J:$J,$R147))</f>
        <v>Zuordnung prüfen</v>
      </c>
      <c r="I147" s="45" t="str">
        <f aca="false">IF($R147="","",INDEX(Anforderungen!$K:$K,$R147))</f>
        <v>trifft nicht zu</v>
      </c>
      <c r="J147" s="46" t="n">
        <f aca="false">IF($R147="","",INDEX(Anforderungen!$L:$L,$R147))</f>
        <v>0</v>
      </c>
      <c r="K147" s="45" t="str">
        <f aca="false">IF($R147="","",INDEX(Anforderungen!$M:$M,$R147))</f>
        <v>Automatisch ausgewertet: Außerhalb des betrachteten Leistungsumfangs (Schranken, Kennzeichenerfassung, dynamische Anzeige).</v>
      </c>
      <c r="R147" s="0" t="n">
        <f aca="false">IFERROR(MATCH(ROWS($A$14:$A147),$T$7:$T$2000,0)+6,"")</f>
        <v>140</v>
      </c>
      <c r="T147" s="0" t="n">
        <f aca="false">IF(Anforderungen!$B147="","",IF(AND(OR($B5="(alle)",Anforderungen!$K147=$B5),OR($E5="(alle)",Anforderungen!$C147=$E5),OR($H5="(alle)",Anforderungen!$E147=$H5),OR($B7="(alle)",ISNUMBER(SEARCH($B7,Anforderungen!$J147))),OR($E7="(alle)",ISNUMBER(SEARCH($E7,Anforderungen!$I147))),OR($H7="",ISNUMBER(SEARCH($H7,Anforderungen!$F147&amp;" "&amp;Anforderungen!$G147)))),COUNT($T$6:$T146)+1,""))</f>
        <v>141</v>
      </c>
    </row>
    <row r="148" customFormat="false" ht="30" hidden="false" customHeight="true" outlineLevel="0" collapsed="false">
      <c r="A148" s="45" t="str">
        <f aca="false">IF($R148="","",INDEX(Anforderungen!$B:$B,$R148))</f>
        <v>ANF-135</v>
      </c>
      <c r="B148" s="45" t="str">
        <f aca="false">IF($R148="","",INDEX(Anforderungen!$C:$C,$R148))</f>
        <v>Bieterfragenkatalog</v>
      </c>
      <c r="C148" s="45" t="str">
        <f aca="false">IF($R148="","",INDEX(Anforderungen!$D:$D,$R148))</f>
        <v>Nr. 83 / S. 7</v>
      </c>
      <c r="D148" s="45" t="str">
        <f aca="false">IF($R148="","",INDEX(Anforderungen!$E:$E,$R148))</f>
        <v>Reservierung</v>
      </c>
      <c r="E148" s="45" t="str">
        <f aca="false">IF($R148="","",INDEX(Anforderungen!$F:$F,$R148))</f>
        <v>Verneint: die Einnahnmen aus dem Reservierungsentgelt sind nach dem aktuellen Stand des Vertrags nicht in der Angebotskalkulation zu berücksichtigen.</v>
      </c>
      <c r="F148" s="45" t="str">
        <f aca="false">IF($R148="","",INDEX(Anforderungen!$G:$G,$R148))</f>
        <v>Wie soll das Reservierungsentgelt in der Angebotskalkulation des AN berücksichtigt werden. Durch die Anbindung an Reservierungs-Plattform entstehen Kosten für den AN, allerdings wird gem. BV §19.9 das Reservierungsentgelt durch den AG2 unter Berücksichtigung der Kosten für die Nutzung der Reservierungsplattformen festgelegt. Wie ist die Berücksichtigung der Kosten konkret geplant?</v>
      </c>
      <c r="G148" s="45" t="str">
        <f aca="false">IF($R148="","",INDEX(Anforderungen!$I:$I,$R148))</f>
        <v>eRound / Reservierungsplattform</v>
      </c>
      <c r="H148" s="45" t="str">
        <f aca="false">IF($R148="","",INDEX(Anforderungen!$J:$J,$R148))</f>
        <v>OCPI Buchungskalender / Reservierungsplattform</v>
      </c>
      <c r="I148" s="45" t="str">
        <f aca="false">IF($R148="","",INDEX(Anforderungen!$K:$K,$R148))</f>
        <v>trifft nicht zu</v>
      </c>
      <c r="J148" s="46" t="n">
        <f aca="false">IF($R148="","",INDEX(Anforderungen!$L:$L,$R148))</f>
        <v>0</v>
      </c>
      <c r="K148" s="45" t="str">
        <f aca="false">IF($R148="","",INDEX(Anforderungen!$M:$M,$R148))</f>
        <v>Automatisch ausgewertet: Außerhalb des betrachteten Leistungsumfangs (Schranken, Kennzeichenerfassung, dynamische Anzeige).</v>
      </c>
      <c r="R148" s="0" t="n">
        <f aca="false">IFERROR(MATCH(ROWS($A$14:$A148),$T$7:$T$2000,0)+6,"")</f>
        <v>141</v>
      </c>
      <c r="T148" s="0" t="n">
        <f aca="false">IF(Anforderungen!$B148="","",IF(AND(OR($B5="(alle)",Anforderungen!$K148=$B5),OR($E5="(alle)",Anforderungen!$C148=$E5),OR($H5="(alle)",Anforderungen!$E148=$H5),OR($B7="(alle)",ISNUMBER(SEARCH($B7,Anforderungen!$J148))),OR($E7="(alle)",ISNUMBER(SEARCH($E7,Anforderungen!$I148))),OR($H7="",ISNUMBER(SEARCH($H7,Anforderungen!$F148&amp;" "&amp;Anforderungen!$G148)))),COUNT($T$6:$T147)+1,""))</f>
        <v>142</v>
      </c>
    </row>
    <row r="149" customFormat="false" ht="30" hidden="false" customHeight="true" outlineLevel="0" collapsed="false">
      <c r="A149" s="45" t="str">
        <f aca="false">IF($R149="","",INDEX(Anforderungen!$B:$B,$R149))</f>
        <v>ANF-136</v>
      </c>
      <c r="B149" s="45" t="str">
        <f aca="false">IF($R149="","",INDEX(Anforderungen!$C:$C,$R149))</f>
        <v>Bieterfragenkatalog</v>
      </c>
      <c r="C149" s="45" t="str">
        <f aca="false">IF($R149="","",INDEX(Anforderungen!$D:$D,$R149))</f>
        <v>Nr. 84 / S. 7</v>
      </c>
      <c r="D149" s="45" t="str">
        <f aca="false">IF($R149="","",INDEX(Anforderungen!$E:$E,$R149))</f>
        <v>Vertrag &amp; Recht</v>
      </c>
      <c r="E149" s="45" t="str">
        <f aca="false">IF($R149="","",INDEX(Anforderungen!$F:$F,$R149))</f>
        <v>Klarstellung: Es ist bei der Konvertierung in das Pdf ein Formatierungsfehler aufgetreten. Der Text von § 56 ("Schadenersatz bei unzulässiger Wettbewerbsbeschränkung") ist am Ende von § 55 Abs.</v>
      </c>
      <c r="F149" s="45" t="str">
        <f aca="false">IF($R149="","",INDEX(Anforderungen!$G:$G,$R149))</f>
        <v>Wir bitten um Überprüfung, ob der fehlende §56 im Betreibervertrag noch ergänzt wird.</v>
      </c>
      <c r="G149" s="45" t="str">
        <f aca="false">IF($R149="","",INDEX(Anforderungen!$I:$I,$R149))</f>
        <v>offen</v>
      </c>
      <c r="H149" s="45" t="str">
        <f aca="false">IF($R149="","",INDEX(Anforderungen!$J:$J,$R149))</f>
        <v>–</v>
      </c>
      <c r="I149" s="45" t="str">
        <f aca="false">IF($R149="","",INDEX(Anforderungen!$K:$K,$R149))</f>
        <v>trifft nicht zu</v>
      </c>
      <c r="J149" s="46" t="n">
        <f aca="false">IF($R149="","",INDEX(Anforderungen!$L:$L,$R149))</f>
        <v>0</v>
      </c>
      <c r="K149" s="45" t="str">
        <f aca="false">IF($R149="","",INDEX(Anforderungen!$M:$M,$R149))</f>
        <v>Automatisch ausgewertet: Außerhalb des betrachteten Leistungsumfangs (Schranken, Kennzeichenerfassung, dynamische Anzeige).</v>
      </c>
      <c r="R149" s="0" t="n">
        <f aca="false">IFERROR(MATCH(ROWS($A$14:$A149),$T$7:$T$2000,0)+6,"")</f>
        <v>142</v>
      </c>
      <c r="T149" s="0" t="n">
        <f aca="false">IF(Anforderungen!$B149="","",IF(AND(OR($B5="(alle)",Anforderungen!$K149=$B5),OR($E5="(alle)",Anforderungen!$C149=$E5),OR($H5="(alle)",Anforderungen!$E149=$H5),OR($B7="(alle)",ISNUMBER(SEARCH($B7,Anforderungen!$J149))),OR($E7="(alle)",ISNUMBER(SEARCH($E7,Anforderungen!$I149))),OR($H7="",ISNUMBER(SEARCH($H7,Anforderungen!$F149&amp;" "&amp;Anforderungen!$G149)))),COUNT($T$6:$T148)+1,""))</f>
        <v>143</v>
      </c>
    </row>
    <row r="150" customFormat="false" ht="30" hidden="false" customHeight="true" outlineLevel="0" collapsed="false">
      <c r="A150" s="45" t="str">
        <f aca="false">IF($R150="","",INDEX(Anforderungen!$B:$B,$R150))</f>
        <v>ANF-137</v>
      </c>
      <c r="B150" s="45" t="str">
        <f aca="false">IF($R150="","",INDEX(Anforderungen!$C:$C,$R150))</f>
        <v>Bieterfragenkatalog</v>
      </c>
      <c r="C150" s="45" t="str">
        <f aca="false">IF($R150="","",INDEX(Anforderungen!$D:$D,$R150))</f>
        <v>Nr. 85 / S. 7</v>
      </c>
      <c r="D150" s="45" t="str">
        <f aca="false">IF($R150="","",INDEX(Anforderungen!$E:$E,$R150))</f>
        <v>Netzanschluss &amp; Energie</v>
      </c>
      <c r="E150" s="45" t="str">
        <f aca="false">IF($R150="","",INDEX(Anforderungen!$F:$F,$R150))</f>
        <v>Klarstellung: Der AG verweist auf die Antwort zur Bieterfrage 46.</v>
      </c>
      <c r="F150" s="45" t="str">
        <f aca="false">IF($R150="","",INDEX(Anforderungen!$G:$G,$R150))</f>
        <v>Wann wird der Auftraggeber die Information bereitstellen, an welchen Standorten und zu welchem Zeitpunkt Speicher zum Einsatz kommen? Da der Auftragnehmer für die Instandhaltung und Versicherung der Speicher verantwortlich sein soll, benötigen die Bieter diese Informationen.</v>
      </c>
      <c r="G150" s="45" t="str">
        <f aca="false">IF($R150="","",INDEX(Anforderungen!$I:$I,$R150))</f>
        <v>offen</v>
      </c>
      <c r="H150" s="45" t="str">
        <f aca="false">IF($R150="","",INDEX(Anforderungen!$J:$J,$R150))</f>
        <v>–</v>
      </c>
      <c r="I150" s="45" t="str">
        <f aca="false">IF($R150="","",INDEX(Anforderungen!$K:$K,$R150))</f>
        <v>trifft nicht zu</v>
      </c>
      <c r="J150" s="46" t="n">
        <f aca="false">IF($R150="","",INDEX(Anforderungen!$L:$L,$R150))</f>
        <v>0</v>
      </c>
      <c r="K150" s="45" t="str">
        <f aca="false">IF($R150="","",INDEX(Anforderungen!$M:$M,$R150))</f>
        <v>Automatisch ausgewertet: Außerhalb des betrachteten Leistungsumfangs (Schranken, Kennzeichenerfassung, dynamische Anzeige).</v>
      </c>
      <c r="R150" s="0" t="n">
        <f aca="false">IFERROR(MATCH(ROWS($A$14:$A150),$T$7:$T$2000,0)+6,"")</f>
        <v>143</v>
      </c>
      <c r="T150" s="0" t="n">
        <f aca="false">IF(Anforderungen!$B150="","",IF(AND(OR($B5="(alle)",Anforderungen!$K150=$B5),OR($E5="(alle)",Anforderungen!$C150=$E5),OR($H5="(alle)",Anforderungen!$E150=$H5),OR($B7="(alle)",ISNUMBER(SEARCH($B7,Anforderungen!$J150))),OR($E7="(alle)",ISNUMBER(SEARCH($E7,Anforderungen!$I150))),OR($H7="",ISNUMBER(SEARCH($H7,Anforderungen!$F150&amp;" "&amp;Anforderungen!$G150)))),COUNT($T$6:$T149)+1,""))</f>
        <v>144</v>
      </c>
    </row>
    <row r="151" customFormat="false" ht="30" hidden="false" customHeight="true" outlineLevel="0" collapsed="false">
      <c r="A151" s="45" t="str">
        <f aca="false">IF($R151="","",INDEX(Anforderungen!$B:$B,$R151))</f>
        <v>ANF-138</v>
      </c>
      <c r="B151" s="45" t="str">
        <f aca="false">IF($R151="","",INDEX(Anforderungen!$C:$C,$R151))</f>
        <v>Bieterfragenkatalog</v>
      </c>
      <c r="C151" s="45" t="str">
        <f aca="false">IF($R151="","",INDEX(Anforderungen!$D:$D,$R151))</f>
        <v>Nr. 86 / S. 7</v>
      </c>
      <c r="D151" s="45" t="str">
        <f aca="false">IF($R151="","",INDEX(Anforderungen!$E:$E,$R151))</f>
        <v>Vergabeverfahren &amp; Angebot</v>
      </c>
      <c r="E151" s="45" t="str">
        <f aca="false">IF($R151="","",INDEX(Anforderungen!$F:$F,$R151))</f>
        <v>Klarstellung: Die Frist zur Abgabe des Erstangebots wird auf den 20.03.2025, 12 Uhr verlängert.</v>
      </c>
      <c r="F151" s="45" t="str">
        <f aca="false">IF($R151="","",INDEX(Anforderungen!$G:$G,$R151))</f>
        <v>Verlängerung der Frist zur Abgabe eines Erstangebots</v>
      </c>
      <c r="G151" s="45" t="str">
        <f aca="false">IF($R151="","",INDEX(Anforderungen!$I:$I,$R151))</f>
        <v>offen</v>
      </c>
      <c r="H151" s="45" t="str">
        <f aca="false">IF($R151="","",INDEX(Anforderungen!$J:$J,$R151))</f>
        <v>–</v>
      </c>
      <c r="I151" s="45" t="str">
        <f aca="false">IF($R151="","",INDEX(Anforderungen!$K:$K,$R151))</f>
        <v>trifft nicht zu</v>
      </c>
      <c r="J151" s="46" t="n">
        <f aca="false">IF($R151="","",INDEX(Anforderungen!$L:$L,$R151))</f>
        <v>0</v>
      </c>
      <c r="K151" s="45" t="str">
        <f aca="false">IF($R151="","",INDEX(Anforderungen!$M:$M,$R151))</f>
        <v>Automatisch ausgewertet: Betrifft das Vergabeverfahren (Angebot, Wertung, Unterlagen), nicht die zu erbringende Leistung. Keiner Komponente zugeordnet.</v>
      </c>
      <c r="R151" s="0" t="n">
        <f aca="false">IFERROR(MATCH(ROWS($A$14:$A151),$T$7:$T$2000,0)+6,"")</f>
        <v>144</v>
      </c>
      <c r="T151" s="0" t="n">
        <f aca="false">IF(Anforderungen!$B151="","",IF(AND(OR($B5="(alle)",Anforderungen!$K151=$B5),OR($E5="(alle)",Anforderungen!$C151=$E5),OR($H5="(alle)",Anforderungen!$E151=$H5),OR($B7="(alle)",ISNUMBER(SEARCH($B7,Anforderungen!$J151))),OR($E7="(alle)",ISNUMBER(SEARCH($E7,Anforderungen!$I151))),OR($H7="",ISNUMBER(SEARCH($H7,Anforderungen!$F151&amp;" "&amp;Anforderungen!$G151)))),COUNT($T$6:$T150)+1,""))</f>
        <v>145</v>
      </c>
    </row>
    <row r="152" customFormat="false" ht="30" hidden="false" customHeight="true" outlineLevel="0" collapsed="false">
      <c r="A152" s="45" t="str">
        <f aca="false">IF($R152="","",INDEX(Anforderungen!$B:$B,$R152))</f>
        <v>ANF-139</v>
      </c>
      <c r="B152" s="45" t="str">
        <f aca="false">IF($R152="","",INDEX(Anforderungen!$C:$C,$R152))</f>
        <v>Bieterfragenkatalog</v>
      </c>
      <c r="C152" s="45" t="str">
        <f aca="false">IF($R152="","",INDEX(Anforderungen!$D:$D,$R152))</f>
        <v>Nr. 87 / S. 7</v>
      </c>
      <c r="D152" s="45" t="str">
        <f aca="false">IF($R152="","",INDEX(Anforderungen!$E:$E,$R152))</f>
        <v>Bau &amp; Dokumentation</v>
      </c>
      <c r="E152" s="45" t="str">
        <f aca="false">IF($R152="","",INDEX(Anforderungen!$F:$F,$R152))</f>
        <v>Klarstellung: Bezugspunkt der Vertragsstrafe ist das durchschnittliche Errichtungsentgelt, das der Bieter angeboten hat (keine Mengengewichtung).</v>
      </c>
      <c r="F152" s="45" t="str">
        <f aca="false">IF($R152="","",INDEX(Anforderungen!$G:$G,$R152))</f>
        <v>Bezieht sich der Prozentsatz der Vertragsstrafe aus § 14 auf das Entrichtungsgeld des jeweiligen Standorts, oder ggf. auch nur auf einen Teilbereich des Standorts der nicht gemäß Terminplan in Betrieb genommen werden kann?</v>
      </c>
      <c r="G152" s="45" t="str">
        <f aca="false">IF($R152="","",INDEX(Anforderungen!$I:$I,$R152))</f>
        <v>offen</v>
      </c>
      <c r="H152" s="45" t="str">
        <f aca="false">IF($R152="","",INDEX(Anforderungen!$J:$J,$R152))</f>
        <v>–</v>
      </c>
      <c r="I152" s="45" t="str">
        <f aca="false">IF($R152="","",INDEX(Anforderungen!$K:$K,$R152))</f>
        <v>trifft nicht zu</v>
      </c>
      <c r="J152" s="46" t="n">
        <f aca="false">IF($R152="","",INDEX(Anforderungen!$L:$L,$R152))</f>
        <v>0</v>
      </c>
      <c r="K152" s="45" t="str">
        <f aca="false">IF($R152="","",INDEX(Anforderungen!$M:$M,$R152))</f>
        <v>Automatisch ausgewertet: Außerhalb des betrachteten Leistungsumfangs (Schranken, Kennzeichenerfassung, dynamische Anzeige).</v>
      </c>
      <c r="R152" s="0" t="n">
        <f aca="false">IFERROR(MATCH(ROWS($A$14:$A152),$T$7:$T$2000,0)+6,"")</f>
        <v>145</v>
      </c>
      <c r="T152" s="0" t="n">
        <f aca="false">IF(Anforderungen!$B152="","",IF(AND(OR($B5="(alle)",Anforderungen!$K152=$B5),OR($E5="(alle)",Anforderungen!$C152=$E5),OR($H5="(alle)",Anforderungen!$E152=$H5),OR($B7="(alle)",ISNUMBER(SEARCH($B7,Anforderungen!$J152))),OR($E7="(alle)",ISNUMBER(SEARCH($E7,Anforderungen!$I152))),OR($H7="",ISNUMBER(SEARCH($H7,Anforderungen!$F152&amp;" "&amp;Anforderungen!$G152)))),COUNT($T$6:$T151)+1,""))</f>
        <v>146</v>
      </c>
    </row>
    <row r="153" customFormat="false" ht="30" hidden="false" customHeight="true" outlineLevel="0" collapsed="false">
      <c r="A153" s="45" t="str">
        <f aca="false">IF($R153="","",INDEX(Anforderungen!$B:$B,$R153))</f>
        <v>ANF-140</v>
      </c>
      <c r="B153" s="45" t="str">
        <f aca="false">IF($R153="","",INDEX(Anforderungen!$C:$C,$R153))</f>
        <v>Bieterfragenkatalog</v>
      </c>
      <c r="C153" s="45" t="str">
        <f aca="false">IF($R153="","",INDEX(Anforderungen!$D:$D,$R153))</f>
        <v>Nr. 88 / S. 7</v>
      </c>
      <c r="D153" s="45" t="str">
        <f aca="false">IF($R153="","",INDEX(Anforderungen!$E:$E,$R153))</f>
        <v>Vergabeverfahren &amp; Angebot</v>
      </c>
      <c r="E153" s="45" t="str">
        <f aca="false">IF($R153="","",INDEX(Anforderungen!$F:$F,$R153))</f>
        <v>Bestätigt: diese Annahme ist zutreffend. Der AG wird den Zuschlag nicht auf die Erstangebote erteilen.</v>
      </c>
      <c r="F153" s="45" t="str">
        <f aca="false">IF($R153="","",INDEX(Anforderungen!$G:$G,$R153))</f>
        <v>In der Vergabebekanntmachung hieß es: "Der Erwerber behält sich das Recht vor, den Auftrag aufgrund der ursprünglichen Angebote ohne weitere Verhandlungen zu vergeben." Gemäß Aufforderung zum Erstangebot vom 06.01.2025 sollen Verhandlungen aber stattfinden. Gehen wir also recht in der Annahme, dass kein Zuschlag auf ein Erstangebot, sondern erst auf ein weiteres, endgültiges Angebot erfolgen wird?</v>
      </c>
      <c r="G153" s="45" t="str">
        <f aca="false">IF($R153="","",INDEX(Anforderungen!$I:$I,$R153))</f>
        <v>offen</v>
      </c>
      <c r="H153" s="45" t="str">
        <f aca="false">IF($R153="","",INDEX(Anforderungen!$J:$J,$R153))</f>
        <v>–</v>
      </c>
      <c r="I153" s="45" t="str">
        <f aca="false">IF($R153="","",INDEX(Anforderungen!$K:$K,$R153))</f>
        <v>trifft nicht zu</v>
      </c>
      <c r="J153" s="46" t="n">
        <f aca="false">IF($R153="","",INDEX(Anforderungen!$L:$L,$R153))</f>
        <v>0</v>
      </c>
      <c r="K153" s="45" t="str">
        <f aca="false">IF($R153="","",INDEX(Anforderungen!$M:$M,$R153))</f>
        <v>Automatisch ausgewertet: Betrifft das Vergabeverfahren (Angebot, Wertung, Unterlagen), nicht die zu erbringende Leistung. Keiner Komponente zugeordnet.</v>
      </c>
      <c r="R153" s="0" t="n">
        <f aca="false">IFERROR(MATCH(ROWS($A$14:$A153),$T$7:$T$2000,0)+6,"")</f>
        <v>146</v>
      </c>
      <c r="T153" s="0" t="n">
        <f aca="false">IF(Anforderungen!$B153="","",IF(AND(OR($B5="(alle)",Anforderungen!$K153=$B5),OR($E5="(alle)",Anforderungen!$C153=$E5),OR($H5="(alle)",Anforderungen!$E153=$H5),OR($B7="(alle)",ISNUMBER(SEARCH($B7,Anforderungen!$J153))),OR($E7="(alle)",ISNUMBER(SEARCH($E7,Anforderungen!$I153))),OR($H7="",ISNUMBER(SEARCH($H7,Anforderungen!$F153&amp;" "&amp;Anforderungen!$G153)))),COUNT($T$6:$T152)+1,""))</f>
        <v>147</v>
      </c>
    </row>
    <row r="154" customFormat="false" ht="30" hidden="false" customHeight="true" outlineLevel="0" collapsed="false">
      <c r="A154" s="45" t="str">
        <f aca="false">IF($R154="","",INDEX(Anforderungen!$B:$B,$R154))</f>
        <v>ANF-141</v>
      </c>
      <c r="B154" s="45" t="str">
        <f aca="false">IF($R154="","",INDEX(Anforderungen!$C:$C,$R154))</f>
        <v>Bieterfragenkatalog</v>
      </c>
      <c r="C154" s="45" t="str">
        <f aca="false">IF($R154="","",INDEX(Anforderungen!$D:$D,$R154))</f>
        <v>Nr. 89 / S. 7</v>
      </c>
      <c r="D154" s="45" t="str">
        <f aca="false">IF($R154="","",INDEX(Anforderungen!$E:$E,$R154))</f>
        <v>Netzanschluss &amp; Energie</v>
      </c>
      <c r="E154" s="45" t="str">
        <f aca="false">IF($R154="","",INDEX(Anforderungen!$F:$F,$R154))</f>
        <v>Klarstellung: Die Informationen zur Mobilfunkabdeckung ergeben sich aus dem Gigabitgrundbuchs mit Stand 07/2024 (https://gigabitgrundbuch.bund.de/GIGA/DE/Downloads_Suche/start.html).</v>
      </c>
      <c r="F154" s="45" t="str">
        <f aca="false">IF($R154="","",INDEX(Anforderungen!$G:$G,$R154))</f>
        <v>In der Anlage "Details zum Netzanschluss" wird für jeden Standort eine 5G-Verfügbarkeit angegeben. Mit welchen Bandbreiten ist mindestens zu rechnen? Gibt es für die Standorte folgende Angaben: Gemessener Pegel RSRP [dBm], Gemessener Pegel RSRQ [dBm]?</v>
      </c>
      <c r="G154" s="45" t="str">
        <f aca="false">IF($R154="","",INDEX(Anforderungen!$I:$I,$R154))</f>
        <v>offen</v>
      </c>
      <c r="H154" s="45" t="str">
        <f aca="false">IF($R154="","",INDEX(Anforderungen!$J:$J,$R154))</f>
        <v>–</v>
      </c>
      <c r="I154" s="45" t="str">
        <f aca="false">IF($R154="","",INDEX(Anforderungen!$K:$K,$R154))</f>
        <v>trifft nicht zu</v>
      </c>
      <c r="J154" s="46" t="n">
        <f aca="false">IF($R154="","",INDEX(Anforderungen!$L:$L,$R154))</f>
        <v>0</v>
      </c>
      <c r="K154" s="45" t="str">
        <f aca="false">IF($R154="","",INDEX(Anforderungen!$M:$M,$R154))</f>
        <v>Automatisch ausgewertet: Außerhalb des betrachteten Leistungsumfangs (Schranken, Kennzeichenerfassung, dynamische Anzeige).</v>
      </c>
      <c r="R154" s="0" t="n">
        <f aca="false">IFERROR(MATCH(ROWS($A$14:$A154),$T$7:$T$2000,0)+6,"")</f>
        <v>147</v>
      </c>
      <c r="T154" s="0" t="n">
        <f aca="false">IF(Anforderungen!$B154="","",IF(AND(OR($B5="(alle)",Anforderungen!$K154=$B5),OR($E5="(alle)",Anforderungen!$C154=$E5),OR($H5="(alle)",Anforderungen!$E154=$H5),OR($B7="(alle)",ISNUMBER(SEARCH($B7,Anforderungen!$J154))),OR($E7="(alle)",ISNUMBER(SEARCH($E7,Anforderungen!$I154))),OR($H7="",ISNUMBER(SEARCH($H7,Anforderungen!$F154&amp;" "&amp;Anforderungen!$G154)))),COUNT($T$6:$T153)+1,""))</f>
        <v>148</v>
      </c>
    </row>
    <row r="155" customFormat="false" ht="30" hidden="false" customHeight="true" outlineLevel="0" collapsed="false">
      <c r="A155" s="45" t="str">
        <f aca="false">IF($R155="","",INDEX(Anforderungen!$B:$B,$R155))</f>
        <v>ANF-142</v>
      </c>
      <c r="B155" s="45" t="str">
        <f aca="false">IF($R155="","",INDEX(Anforderungen!$C:$C,$R155))</f>
        <v>Bieterfragenkatalog</v>
      </c>
      <c r="C155" s="45" t="str">
        <f aca="false">IF($R155="","",INDEX(Anforderungen!$D:$D,$R155))</f>
        <v>Nr. 90 / S. 7</v>
      </c>
      <c r="D155" s="45" t="str">
        <f aca="false">IF($R155="","",INDEX(Anforderungen!$E:$E,$R155))</f>
        <v>Reservierung</v>
      </c>
      <c r="E155" s="45" t="str">
        <f aca="false">IF($R155="","",INDEX(Anforderungen!$F:$F,$R155))</f>
        <v>Klarstellung: Die genannten sechs Status aus Vertragsanlage 11 sind dem OCPI Standard entnommen. BLOCKED = The EVSE/Connector is not accessible because of a physical barrier, i.e. a car.</v>
      </c>
      <c r="F155" s="45" t="str">
        <f aca="false">IF($R155="","",INDEX(Anforderungen!$G:$G,$R155))</f>
        <v>Was ist mit dem Status BLOCKED OUTOFORDER PLANNED REMOVED UNKNOWN INOPERATIVE exakt gemeint? Wie unterscheiden diese sich?</v>
      </c>
      <c r="G155" s="45" t="str">
        <f aca="false">IF($R155="","",INDEX(Anforderungen!$I:$I,$R155))</f>
        <v>eRound</v>
      </c>
      <c r="H155" s="45" t="str">
        <f aca="false">IF($R155="","",INDEX(Anforderungen!$J:$J,$R155))</f>
        <v>OCPI Buchungskalender</v>
      </c>
      <c r="I155" s="45" t="str">
        <f aca="false">IF($R155="","",INDEX(Anforderungen!$K:$K,$R155))</f>
        <v>trifft nicht zu</v>
      </c>
      <c r="J155" s="46" t="n">
        <f aca="false">IF($R155="","",INDEX(Anforderungen!$L:$L,$R155))</f>
        <v>0</v>
      </c>
      <c r="K155" s="45" t="str">
        <f aca="false">IF($R155="","",INDEX(Anforderungen!$M:$M,$R155))</f>
        <v>Automatisch ausgewertet: Außerhalb des betrachteten Leistungsumfangs (Schranken, Kennzeichenerfassung, dynamische Anzeige).</v>
      </c>
      <c r="R155" s="0" t="n">
        <f aca="false">IFERROR(MATCH(ROWS($A$14:$A155),$T$7:$T$2000,0)+6,"")</f>
        <v>148</v>
      </c>
      <c r="T155" s="0" t="n">
        <f aca="false">IF(Anforderungen!$B155="","",IF(AND(OR($B5="(alle)",Anforderungen!$K155=$B5),OR($E5="(alle)",Anforderungen!$C155=$E5),OR($H5="(alle)",Anforderungen!$E155=$H5),OR($B7="(alle)",ISNUMBER(SEARCH($B7,Anforderungen!$J155))),OR($E7="(alle)",ISNUMBER(SEARCH($E7,Anforderungen!$I155))),OR($H7="",ISNUMBER(SEARCH($H7,Anforderungen!$F155&amp;" "&amp;Anforderungen!$G155)))),COUNT($T$6:$T154)+1,""))</f>
        <v>149</v>
      </c>
    </row>
    <row r="156" customFormat="false" ht="30" hidden="false" customHeight="true" outlineLevel="0" collapsed="false">
      <c r="A156" s="45" t="str">
        <f aca="false">IF($R156="","",INDEX(Anforderungen!$B:$B,$R156))</f>
        <v>ANF-143</v>
      </c>
      <c r="B156" s="45" t="str">
        <f aca="false">IF($R156="","",INDEX(Anforderungen!$C:$C,$R156))</f>
        <v>Bieterfragenkatalog</v>
      </c>
      <c r="C156" s="45" t="str">
        <f aca="false">IF($R156="","",INDEX(Anforderungen!$D:$D,$R156))</f>
        <v>Nr. 91 / S. 7</v>
      </c>
      <c r="D156" s="45" t="str">
        <f aca="false">IF($R156="","",INDEX(Anforderungen!$E:$E,$R156))</f>
        <v>Vergabeverfahren &amp; Angebot</v>
      </c>
      <c r="E156" s="45" t="str">
        <f aca="false">IF($R156="","",INDEX(Anforderungen!$F:$F,$R156))</f>
        <v>Klarstellung: Der AG verweist auf die Antwort auf Bieterfrage 33. Dementsprechend ist für die Erstellung der Erstangebote davon auszugehen, dass blockierende Objekte nicht zu Ausfallzeiten führen werden.</v>
      </c>
      <c r="F156" s="45" t="str">
        <f aca="false">IF($R156="","",INDEX(Anforderungen!$G:$G,$R156))</f>
        <v>Führen blockierende Objekte (z.B. Falschparker, die nicht laden) zu einer pönalisierenden Ausfallzeit?</v>
      </c>
      <c r="G156" s="45" t="str">
        <f aca="false">IF($R156="","",INDEX(Anforderungen!$I:$I,$R156))</f>
        <v>SCS</v>
      </c>
      <c r="H156" s="45" t="str">
        <f aca="false">IF($R156="","",INDEX(Anforderungen!$J:$J,$R156))</f>
        <v>Pönalisierungssystem</v>
      </c>
      <c r="I156" s="45" t="str">
        <f aca="false">IF($R156="","",INDEX(Anforderungen!$K:$K,$R156))</f>
        <v>trifft nicht zu</v>
      </c>
      <c r="J156" s="46" t="n">
        <f aca="false">IF($R156="","",INDEX(Anforderungen!$L:$L,$R156))</f>
        <v>0</v>
      </c>
      <c r="K156" s="45" t="str">
        <f aca="false">IF($R156="","",INDEX(Anforderungen!$M:$M,$R156))</f>
        <v>Automatisch ausgewertet: Außerhalb des betrachteten Leistungsumfangs (Schranken, Kennzeichenerfassung, dynamische Anzeige).</v>
      </c>
      <c r="R156" s="0" t="n">
        <f aca="false">IFERROR(MATCH(ROWS($A$14:$A156),$T$7:$T$2000,0)+6,"")</f>
        <v>149</v>
      </c>
      <c r="T156" s="0" t="n">
        <f aca="false">IF(Anforderungen!$B156="","",IF(AND(OR($B5="(alle)",Anforderungen!$K156=$B5),OR($E5="(alle)",Anforderungen!$C156=$E5),OR($H5="(alle)",Anforderungen!$E156=$H5),OR($B7="(alle)",ISNUMBER(SEARCH($B7,Anforderungen!$J156))),OR($E7="(alle)",ISNUMBER(SEARCH($E7,Anforderungen!$I156))),OR($H7="",ISNUMBER(SEARCH($H7,Anforderungen!$F156&amp;" "&amp;Anforderungen!$G156)))),COUNT($T$6:$T155)+1,""))</f>
        <v>150</v>
      </c>
    </row>
    <row r="157" customFormat="false" ht="30" hidden="false" customHeight="true" outlineLevel="0" collapsed="false">
      <c r="A157" s="45" t="str">
        <f aca="false">IF($R157="","",INDEX(Anforderungen!$B:$B,$R157))</f>
        <v>ANF-144</v>
      </c>
      <c r="B157" s="45" t="str">
        <f aca="false">IF($R157="","",INDEX(Anforderungen!$C:$C,$R157))</f>
        <v>Bieterfragenkatalog</v>
      </c>
      <c r="C157" s="45" t="str">
        <f aca="false">IF($R157="","",INDEX(Anforderungen!$D:$D,$R157))</f>
        <v>Nr. 92 / S. 7</v>
      </c>
      <c r="D157" s="45" t="str">
        <f aca="false">IF($R157="","",INDEX(Anforderungen!$E:$E,$R157))</f>
        <v>Sonstiges / Zuordnung prüfen</v>
      </c>
      <c r="E157" s="45" t="str">
        <f aca="false">IF($R157="","",INDEX(Anforderungen!$F:$F,$R157))</f>
        <v>Klarstellung: Diesem Vorschlag kann nicht zugestimmt werden. Es müssen auch artfremde Objekte detektiert werden.</v>
      </c>
      <c r="F157" s="45" t="str">
        <f aca="false">IF($R157="","",INDEX(Anforderungen!$G:$G,$R157))</f>
        <v>"Für die Ableitung einer technischen Lösung der Objektdetektion ist die Abgrenzung des Begriffs "Objektdetektion" wesentlich. Vorschlag: Können wir für die weitere Ausarbeitung der technsichen Lösung den Begriff "Objekt" durch "Kraftfahrzeug" ersetzten?</v>
      </c>
      <c r="G157" s="45" t="str">
        <f aca="false">IF($R157="","",INDEX(Anforderungen!$I:$I,$R157))</f>
        <v>SCS</v>
      </c>
      <c r="H157" s="45" t="str">
        <f aca="false">IF($R157="","",INDEX(Anforderungen!$J:$J,$R157))</f>
        <v>Belegungsdetektion</v>
      </c>
      <c r="I157" s="45" t="str">
        <f aca="false">IF($R157="","",INDEX(Anforderungen!$K:$K,$R157))</f>
        <v>trifft nicht zu</v>
      </c>
      <c r="J157" s="46" t="n">
        <f aca="false">IF($R157="","",INDEX(Anforderungen!$L:$L,$R157))</f>
        <v>0</v>
      </c>
      <c r="K157" s="45" t="str">
        <f aca="false">IF($R157="","",INDEX(Anforderungen!$M:$M,$R157))</f>
        <v>Automatisch ausgewertet: Außerhalb des betrachteten Leistungsumfangs (Schranken, Kennzeichenerfassung, dynamische Anzeige).</v>
      </c>
      <c r="R157" s="0" t="n">
        <f aca="false">IFERROR(MATCH(ROWS($A$14:$A157),$T$7:$T$2000,0)+6,"")</f>
        <v>150</v>
      </c>
      <c r="T157" s="0" t="n">
        <f aca="false">IF(Anforderungen!$B157="","",IF(AND(OR($B5="(alle)",Anforderungen!$K157=$B5),OR($E5="(alle)",Anforderungen!$C157=$E5),OR($H5="(alle)",Anforderungen!$E157=$H5),OR($B7="(alle)",ISNUMBER(SEARCH($B7,Anforderungen!$J157))),OR($E7="(alle)",ISNUMBER(SEARCH($E7,Anforderungen!$I157))),OR($H7="",ISNUMBER(SEARCH($H7,Anforderungen!$F157&amp;" "&amp;Anforderungen!$G157)))),COUNT($T$6:$T156)+1,""))</f>
        <v>151</v>
      </c>
    </row>
    <row r="158" customFormat="false" ht="30" hidden="false" customHeight="true" outlineLevel="0" collapsed="false">
      <c r="A158" s="45" t="str">
        <f aca="false">IF($R158="","",INDEX(Anforderungen!$B:$B,$R158))</f>
        <v>ANF-145</v>
      </c>
      <c r="B158" s="45" t="str">
        <f aca="false">IF($R158="","",INDEX(Anforderungen!$C:$C,$R158))</f>
        <v>Bieterfragenkatalog</v>
      </c>
      <c r="C158" s="45" t="str">
        <f aca="false">IF($R158="","",INDEX(Anforderungen!$D:$D,$R158))</f>
        <v>Nr. 93 / S. 7</v>
      </c>
      <c r="D158" s="45" t="str">
        <f aca="false">IF($R158="","",INDEX(Anforderungen!$E:$E,$R158))</f>
        <v>Vergabeverfahren &amp; Angebot</v>
      </c>
      <c r="E158" s="45" t="str">
        <f aca="false">IF($R158="","",INDEX(Anforderungen!$F:$F,$R158))</f>
        <v>Klarstellung: Eine Stoffpreisgleitklausel ist nicht vorgesehen.</v>
      </c>
      <c r="F158" s="45" t="str">
        <f aca="false">IF($R158="","",INDEX(Anforderungen!$G:$G,$R158))</f>
        <v>Kann für das finanzielle Angebot eine Preisgleitklausel in Bezug zu einschlägigen Materialpreisindizes je relevanter Komponentengruppe angewendet werden?</v>
      </c>
      <c r="G158" s="45" t="str">
        <f aca="false">IF($R158="","",INDEX(Anforderungen!$I:$I,$R158))</f>
        <v>offen</v>
      </c>
      <c r="H158" s="45" t="str">
        <f aca="false">IF($R158="","",INDEX(Anforderungen!$J:$J,$R158))</f>
        <v>–</v>
      </c>
      <c r="I158" s="45" t="str">
        <f aca="false">IF($R158="","",INDEX(Anforderungen!$K:$K,$R158))</f>
        <v>trifft nicht zu</v>
      </c>
      <c r="J158" s="46" t="n">
        <f aca="false">IF($R158="","",INDEX(Anforderungen!$L:$L,$R158))</f>
        <v>0</v>
      </c>
      <c r="K158" s="45" t="str">
        <f aca="false">IF($R158="","",INDEX(Anforderungen!$M:$M,$R158))</f>
        <v>Automatisch ausgewertet: Betrifft das Vergabeverfahren (Angebot, Wertung, Unterlagen), nicht die zu erbringende Leistung. Keiner Komponente zugeordnet.</v>
      </c>
      <c r="R158" s="0" t="n">
        <f aca="false">IFERROR(MATCH(ROWS($A$14:$A158),$T$7:$T$2000,0)+6,"")</f>
        <v>151</v>
      </c>
      <c r="T158" s="0" t="n">
        <f aca="false">IF(Anforderungen!$B158="","",IF(AND(OR($B5="(alle)",Anforderungen!$K158=$B5),OR($E5="(alle)",Anforderungen!$C158=$E5),OR($H5="(alle)",Anforderungen!$E158=$H5),OR($B7="(alle)",ISNUMBER(SEARCH($B7,Anforderungen!$J158))),OR($E7="(alle)",ISNUMBER(SEARCH($E7,Anforderungen!$I158))),OR($H7="",ISNUMBER(SEARCH($H7,Anforderungen!$F158&amp;" "&amp;Anforderungen!$G158)))),COUNT($T$6:$T157)+1,""))</f>
        <v>152</v>
      </c>
    </row>
    <row r="159" customFormat="false" ht="30" hidden="false" customHeight="true" outlineLevel="0" collapsed="false">
      <c r="A159" s="45" t="str">
        <f aca="false">IF($R159="","",INDEX(Anforderungen!$B:$B,$R159))</f>
        <v>ANF-146</v>
      </c>
      <c r="B159" s="45" t="str">
        <f aca="false">IF($R159="","",INDEX(Anforderungen!$C:$C,$R159))</f>
        <v>Bieterfragenkatalog</v>
      </c>
      <c r="C159" s="45" t="str">
        <f aca="false">IF($R159="","",INDEX(Anforderungen!$D:$D,$R159))</f>
        <v>Nr. 94 / S. 7</v>
      </c>
      <c r="D159" s="45" t="str">
        <f aca="false">IF($R159="","",INDEX(Anforderungen!$E:$E,$R159))</f>
        <v>Netzanschluss &amp; Energie</v>
      </c>
      <c r="E159" s="45" t="str">
        <f aca="false">IF($R159="","",INDEX(Anforderungen!$F:$F,$R159))</f>
        <v>Klarstellung: Nach dem jetzigen Stand der Vertragsunterlagen sind die Kosten in das Betreiberentgelt einzukalkulieren.</v>
      </c>
      <c r="F159" s="45" t="str">
        <f aca="false">IF($R159="","",INDEX(Anforderungen!$G:$G,$R159))</f>
        <v>Gemäß §7 kann der Ladepunktbetreiber die Kosten für den Messstellenbetrieb nicht an den Mobilitätsdienstleister weitergeben, da das Infrastrukturentgelt von der Autobahn GmbH festgelegt wird. Wer übernimmt die Kosten für den Messstellenbetrieb?</v>
      </c>
      <c r="G159" s="45" t="str">
        <f aca="false">IF($R159="","",INDEX(Anforderungen!$I:$I,$R159))</f>
        <v>offen</v>
      </c>
      <c r="H159" s="45" t="str">
        <f aca="false">IF($R159="","",INDEX(Anforderungen!$J:$J,$R159))</f>
        <v>–</v>
      </c>
      <c r="I159" s="45" t="str">
        <f aca="false">IF($R159="","",INDEX(Anforderungen!$K:$K,$R159))</f>
        <v>trifft nicht zu</v>
      </c>
      <c r="J159" s="46" t="n">
        <f aca="false">IF($R159="","",INDEX(Anforderungen!$L:$L,$R159))</f>
        <v>0</v>
      </c>
      <c r="K159" s="45" t="str">
        <f aca="false">IF($R159="","",INDEX(Anforderungen!$M:$M,$R159))</f>
        <v>Automatisch ausgewertet: Außerhalb des betrachteten Leistungsumfangs (Schranken, Kennzeichenerfassung, dynamische Anzeige).</v>
      </c>
      <c r="R159" s="0" t="n">
        <f aca="false">IFERROR(MATCH(ROWS($A$14:$A159),$T$7:$T$2000,0)+6,"")</f>
        <v>152</v>
      </c>
      <c r="T159" s="0" t="n">
        <f aca="false">IF(Anforderungen!$B159="","",IF(AND(OR($B5="(alle)",Anforderungen!$K159=$B5),OR($E5="(alle)",Anforderungen!$C159=$E5),OR($H5="(alle)",Anforderungen!$E159=$H5),OR($B7="(alle)",ISNUMBER(SEARCH($B7,Anforderungen!$J159))),OR($E7="(alle)",ISNUMBER(SEARCH($E7,Anforderungen!$I159))),OR($H7="",ISNUMBER(SEARCH($H7,Anforderungen!$F159&amp;" "&amp;Anforderungen!$G159)))),COUNT($T$6:$T158)+1,""))</f>
        <v>153</v>
      </c>
    </row>
    <row r="160" customFormat="false" ht="30" hidden="false" customHeight="true" outlineLevel="0" collapsed="false">
      <c r="A160" s="45" t="str">
        <f aca="false">IF($R160="","",INDEX(Anforderungen!$B:$B,$R160))</f>
        <v>ANF-147</v>
      </c>
      <c r="B160" s="45" t="str">
        <f aca="false">IF($R160="","",INDEX(Anforderungen!$C:$C,$R160))</f>
        <v>Bieterfragenkatalog</v>
      </c>
      <c r="C160" s="45" t="str">
        <f aca="false">IF($R160="","",INDEX(Anforderungen!$D:$D,$R160))</f>
        <v>Nr. 95 / S. 8</v>
      </c>
      <c r="D160" s="45" t="str">
        <f aca="false">IF($R160="","",INDEX(Anforderungen!$E:$E,$R160))</f>
        <v>Netzanschluss &amp; Energie</v>
      </c>
      <c r="E160" s="45" t="str">
        <f aca="false">IF($R160="","",INDEX(Anforderungen!$F:$F,$R160))</f>
        <v>Verweis des Auftraggebers auf die Antwort zu Bieterfrage 60.</v>
      </c>
      <c r="F160" s="45" t="str">
        <f aca="false">IF($R160="","",INDEX(Anforderungen!$G:$G,$R160))</f>
        <v>Details zum Netzanschluss: Die Anzahl der Ladepunkte und die geforderten Leistungen passen nicht zu den Aufbauanforderungen insbesondere hinsichtlich der geforderten (gleichzeitigen) Ladeleistungen (auch nicht zur Leistung 2035). Wie ist hiermit umzugehen? Beispiel: DE-BB-444901: gemäß Anforderungen an die Ladeleistungen wird u.M. eine NA-Leistung von 4682 kW benötigt. In der Anlage wird als beantragte NA-Leistung 2800 kW angegeben.</v>
      </c>
      <c r="G160" s="45" t="str">
        <f aca="false">IF($R160="","",INDEX(Anforderungen!$I:$I,$R160))</f>
        <v>offen</v>
      </c>
      <c r="H160" s="45" t="str">
        <f aca="false">IF($R160="","",INDEX(Anforderungen!$J:$J,$R160))</f>
        <v>–</v>
      </c>
      <c r="I160" s="45" t="str">
        <f aca="false">IF($R160="","",INDEX(Anforderungen!$K:$K,$R160))</f>
        <v>trifft nicht zu</v>
      </c>
      <c r="J160" s="46" t="n">
        <f aca="false">IF($R160="","",INDEX(Anforderungen!$L:$L,$R160))</f>
        <v>0</v>
      </c>
      <c r="K160" s="45" t="str">
        <f aca="false">IF($R160="","",INDEX(Anforderungen!$M:$M,$R160))</f>
        <v>Automatisch ausgewertet: Die Antwort des Auftraggebers verweist ausschließlich auf Bieterfrage 60. Keine eigenständige Anforderung – der Inhalt ist unter der dort erfassten Zeile nachzuhalten.</v>
      </c>
      <c r="R160" s="0" t="n">
        <f aca="false">IFERROR(MATCH(ROWS($A$14:$A160),$T$7:$T$2000,0)+6,"")</f>
        <v>153</v>
      </c>
      <c r="T160" s="0" t="n">
        <f aca="false">IF(Anforderungen!$B160="","",IF(AND(OR($B5="(alle)",Anforderungen!$K160=$B5),OR($E5="(alle)",Anforderungen!$C160=$E5),OR($H5="(alle)",Anforderungen!$E160=$H5),OR($B7="(alle)",ISNUMBER(SEARCH($B7,Anforderungen!$J160))),OR($E7="(alle)",ISNUMBER(SEARCH($E7,Anforderungen!$I160))),OR($H7="",ISNUMBER(SEARCH($H7,Anforderungen!$F160&amp;" "&amp;Anforderungen!$G160)))),COUNT($T$6:$T159)+1,""))</f>
        <v>154</v>
      </c>
    </row>
    <row r="161" customFormat="false" ht="30" hidden="false" customHeight="true" outlineLevel="0" collapsed="false">
      <c r="A161" s="45" t="str">
        <f aca="false">IF($R161="","",INDEX(Anforderungen!$B:$B,$R161))</f>
        <v>ANF-148</v>
      </c>
      <c r="B161" s="45" t="str">
        <f aca="false">IF($R161="","",INDEX(Anforderungen!$C:$C,$R161))</f>
        <v>Bieterfragenkatalog</v>
      </c>
      <c r="C161" s="45" t="str">
        <f aca="false">IF($R161="","",INDEX(Anforderungen!$D:$D,$R161))</f>
        <v>Nr. 96 / S. 8</v>
      </c>
      <c r="D161" s="45" t="str">
        <f aca="false">IF($R161="","",INDEX(Anforderungen!$E:$E,$R161))</f>
        <v>Reservierung</v>
      </c>
      <c r="E161" s="45" t="str">
        <f aca="false">IF($R161="","",INDEX(Anforderungen!$F:$F,$R161))</f>
        <v>Zusage / Ankündigung: Siehe Antwort auf die Bieterfrage 33. Danach werden die Möglichkeiten und Rahmenbedingungen der Reservierung Teil der Bieterverhandlungen sein.</v>
      </c>
      <c r="F161" s="45" t="str">
        <f aca="false">IF($R161="","",INDEX(Anforderungen!$G:$G,$R161))</f>
        <v>Ist die (a) Überwachung der Gesamtanlage und/oder (b) die Objektidentifikation und/oder (c) eine Kennzeichenidentifikation z.B. im Zusammenhang mit dem Reservierungssystem mittels Kameratechnik seitens des AG erlaubt und erwünscht? Wenn ja, welche zusätzlichen genehmigungs-/freigabetechnischen Schritte müssen hierfür angegangen grob angegangen werden?</v>
      </c>
      <c r="G161" s="45" t="str">
        <f aca="false">IF($R161="","",INDEX(Anforderungen!$I:$I,$R161))</f>
        <v>eRound / SCS / Reservierungsplattform</v>
      </c>
      <c r="H161" s="45" t="str">
        <f aca="false">IF($R161="","",INDEX(Anforderungen!$J:$J,$R161))</f>
        <v>Kennzeichenerfassung / OCPI Buchungskalender / Reservierungsplattform / Pönalisierungssystem</v>
      </c>
      <c r="I161" s="45" t="str">
        <f aca="false">IF($R161="","",INDEX(Anforderungen!$K:$K,$R161))</f>
        <v>erfasst</v>
      </c>
      <c r="J161" s="46" t="n">
        <f aca="false">IF($R161="","",INDEX(Anforderungen!$L:$L,$R161))</f>
        <v>0</v>
      </c>
      <c r="K161" s="45" t="n">
        <f aca="false">IF($R161="","",INDEX(Anforderungen!$M:$M,$R161))</f>
        <v>0</v>
      </c>
      <c r="R161" s="0" t="n">
        <f aca="false">IFERROR(MATCH(ROWS($A$14:$A161),$T$7:$T$2000,0)+6,"")</f>
        <v>154</v>
      </c>
      <c r="T161" s="0" t="n">
        <f aca="false">IF(Anforderungen!$B161="","",IF(AND(OR($B5="(alle)",Anforderungen!$K161=$B5),OR($E5="(alle)",Anforderungen!$C161=$E5),OR($H5="(alle)",Anforderungen!$E161=$H5),OR($B7="(alle)",ISNUMBER(SEARCH($B7,Anforderungen!$J161))),OR($E7="(alle)",ISNUMBER(SEARCH($E7,Anforderungen!$I161))),OR($H7="",ISNUMBER(SEARCH($H7,Anforderungen!$F161&amp;" "&amp;Anforderungen!$G161)))),COUNT($T$6:$T160)+1,""))</f>
        <v>155</v>
      </c>
    </row>
    <row r="162" customFormat="false" ht="30" hidden="false" customHeight="true" outlineLevel="0" collapsed="false">
      <c r="A162" s="45" t="str">
        <f aca="false">IF($R162="","",INDEX(Anforderungen!$B:$B,$R162))</f>
        <v>ANF-149</v>
      </c>
      <c r="B162" s="45" t="str">
        <f aca="false">IF($R162="","",INDEX(Anforderungen!$C:$C,$R162))</f>
        <v>Bieterfragenkatalog</v>
      </c>
      <c r="C162" s="45" t="str">
        <f aca="false">IF($R162="","",INDEX(Anforderungen!$D:$D,$R162))</f>
        <v>Nr. 97 / S. 8</v>
      </c>
      <c r="D162" s="45" t="str">
        <f aca="false">IF($R162="","",INDEX(Anforderungen!$E:$E,$R162))</f>
        <v>Flächen &amp; Genehmigungen</v>
      </c>
      <c r="E162" s="45" t="str">
        <f aca="false">IF($R162="","",INDEX(Anforderungen!$F:$F,$R162))</f>
        <v>Klarstellung: Die Vorplanungen der Standorte DE-BB-444901 Elsteraue und DE-BY-000329 Kirchholz Süd wurden entsprechend aktualisiert und werden den Bietern als Anlage zur Beantwortung dieser Bieterfragen zur Verfügung gestellt.</v>
      </c>
      <c r="F162" s="45" t="str">
        <f aca="false">IF($R162="","",INDEX(Anforderungen!$G:$G,$R162))</f>
        <v>Wann werden die Anlagen 3 (Vorplanungen) der überarbeiteten Anlage 2 (Standortübersicht) angeglichen? Bspw. Unstimmigkeiten bei den Standorten DE-BB-444901 Elsteraue und DE-BY-000329 Kirchholz Süd</v>
      </c>
      <c r="G162" s="45" t="str">
        <f aca="false">IF($R162="","",INDEX(Anforderungen!$I:$I,$R162))</f>
        <v>offen</v>
      </c>
      <c r="H162" s="45" t="str">
        <f aca="false">IF($R162="","",INDEX(Anforderungen!$J:$J,$R162))</f>
        <v>–</v>
      </c>
      <c r="I162" s="45" t="str">
        <f aca="false">IF($R162="","",INDEX(Anforderungen!$K:$K,$R162))</f>
        <v>trifft nicht zu</v>
      </c>
      <c r="J162" s="46" t="n">
        <f aca="false">IF($R162="","",INDEX(Anforderungen!$L:$L,$R162))</f>
        <v>0</v>
      </c>
      <c r="K162" s="45" t="str">
        <f aca="false">IF($R162="","",INDEX(Anforderungen!$M:$M,$R162))</f>
        <v>Automatisch ausgewertet: Außerhalb des betrachteten Leistungsumfangs (Schranken, Kennzeichenerfassung, dynamische Anzeige).</v>
      </c>
      <c r="R162" s="0" t="n">
        <f aca="false">IFERROR(MATCH(ROWS($A$14:$A162),$T$7:$T$2000,0)+6,"")</f>
        <v>155</v>
      </c>
      <c r="T162" s="0" t="n">
        <f aca="false">IF(Anforderungen!$B162="","",IF(AND(OR($B5="(alle)",Anforderungen!$K162=$B5),OR($E5="(alle)",Anforderungen!$C162=$E5),OR($H5="(alle)",Anforderungen!$E162=$H5),OR($B7="(alle)",ISNUMBER(SEARCH($B7,Anforderungen!$J162))),OR($E7="(alle)",ISNUMBER(SEARCH($E7,Anforderungen!$I162))),OR($H7="",ISNUMBER(SEARCH($H7,Anforderungen!$F162&amp;" "&amp;Anforderungen!$G162)))),COUNT($T$6:$T161)+1,""))</f>
        <v>156</v>
      </c>
    </row>
    <row r="163" customFormat="false" ht="30" hidden="false" customHeight="true" outlineLevel="0" collapsed="false">
      <c r="A163" s="45" t="str">
        <f aca="false">IF($R163="","",INDEX(Anforderungen!$B:$B,$R163))</f>
        <v>ANF-150</v>
      </c>
      <c r="B163" s="45" t="str">
        <f aca="false">IF($R163="","",INDEX(Anforderungen!$C:$C,$R163))</f>
        <v>Bieterfragenkatalog</v>
      </c>
      <c r="C163" s="45" t="str">
        <f aca="false">IF($R163="","",INDEX(Anforderungen!$D:$D,$R163))</f>
        <v>Nr. 98 / S. 8</v>
      </c>
      <c r="D163" s="45" t="str">
        <f aca="false">IF($R163="","",INDEX(Anforderungen!$E:$E,$R163))</f>
        <v>Bau &amp; Dokumentation</v>
      </c>
      <c r="E163" s="45" t="str">
        <f aca="false">IF($R163="","",INDEX(Anforderungen!$F:$F,$R163))</f>
        <v>Verweis des Auftraggebers auf die Antwort zu Bieterfrage 87.</v>
      </c>
      <c r="F163" s="45" t="str">
        <f aca="false">IF($R163="","",INDEX(Anforderungen!$G:$G,$R163))</f>
        <v>Betreibervertrag § 14: Ist die Höhe der Vertragsstrafe von „0,1 % des gemäß Preisblatt durchschnittlich zu zahlenden Errichtungsgeldes, maximal jedoch 5 % des durchschnittlich Errichtungsentgeltes“ bei nicht fristgerechter Errichtung bezogen auf alle Standorte im Sinne des § 5, oder soll sich das durchschnittliche Errichtungsentgelt als Bemessungsgröße lediglich auf diejenigen Standorte beziehen, die für den verbindlichen Vertragstermin keine Betriebsfreigabe erhalten haben? Diese Frage ergänzt die Bieterfrage Nr. 87.</v>
      </c>
      <c r="G163" s="45" t="str">
        <f aca="false">IF($R163="","",INDEX(Anforderungen!$I:$I,$R163))</f>
        <v>offen</v>
      </c>
      <c r="H163" s="45" t="str">
        <f aca="false">IF($R163="","",INDEX(Anforderungen!$J:$J,$R163))</f>
        <v>–</v>
      </c>
      <c r="I163" s="45" t="str">
        <f aca="false">IF($R163="","",INDEX(Anforderungen!$K:$K,$R163))</f>
        <v>trifft nicht zu</v>
      </c>
      <c r="J163" s="46" t="n">
        <f aca="false">IF($R163="","",INDEX(Anforderungen!$L:$L,$R163))</f>
        <v>0</v>
      </c>
      <c r="K163" s="45" t="str">
        <f aca="false">IF($R163="","",INDEX(Anforderungen!$M:$M,$R163))</f>
        <v>Automatisch ausgewertet: Die Antwort des Auftraggebers verweist ausschließlich auf Bieterfrage 87. Keine eigenständige Anforderung – der Inhalt ist unter der dort erfassten Zeile nachzuhalten.</v>
      </c>
      <c r="R163" s="0" t="n">
        <f aca="false">IFERROR(MATCH(ROWS($A$14:$A163),$T$7:$T$2000,0)+6,"")</f>
        <v>156</v>
      </c>
      <c r="T163" s="0" t="n">
        <f aca="false">IF(Anforderungen!$B163="","",IF(AND(OR($B5="(alle)",Anforderungen!$K163=$B5),OR($E5="(alle)",Anforderungen!$C163=$E5),OR($H5="(alle)",Anforderungen!$E163=$H5),OR($B7="(alle)",ISNUMBER(SEARCH($B7,Anforderungen!$J163))),OR($E7="(alle)",ISNUMBER(SEARCH($E7,Anforderungen!$I163))),OR($H7="",ISNUMBER(SEARCH($H7,Anforderungen!$F163&amp;" "&amp;Anforderungen!$G163)))),COUNT($T$6:$T162)+1,""))</f>
        <v>157</v>
      </c>
    </row>
    <row r="164" customFormat="false" ht="30" hidden="false" customHeight="true" outlineLevel="0" collapsed="false">
      <c r="A164" s="45" t="str">
        <f aca="false">IF($R164="","",INDEX(Anforderungen!$B:$B,$R164))</f>
        <v>ANF-151</v>
      </c>
      <c r="B164" s="45" t="str">
        <f aca="false">IF($R164="","",INDEX(Anforderungen!$C:$C,$R164))</f>
        <v>Bieterfragenkatalog</v>
      </c>
      <c r="C164" s="45" t="str">
        <f aca="false">IF($R164="","",INDEX(Anforderungen!$D:$D,$R164))</f>
        <v>Nr. 99 / S. 8</v>
      </c>
      <c r="D164" s="45" t="str">
        <f aca="false">IF($R164="","",INDEX(Anforderungen!$E:$E,$R164))</f>
        <v>Bau &amp; Dokumentation</v>
      </c>
      <c r="E164" s="45" t="str">
        <f aca="false">IF($R164="","",INDEX(Anforderungen!$F:$F,$R164))</f>
        <v>Klarstellung: Das Auftraggeberinteresse bzw. Bestellerinteresse ist jeweils in versicherungsvertragsrechtlicher Hinsicht zu verstehen.</v>
      </c>
      <c r="F164" s="45" t="str">
        <f aca="false">IF($R164="","",INDEX(Anforderungen!$G:$G,$R164))</f>
        <v>Betreibervertrag § 51: Bitte erläutern Sie die Formulierung im Kontext der Sachsubstanzversicherung/Elektronikversicherung in § 51 Abs. 1 a. aa) „Das Interesse der Auftraggeber ist mitzuversichern." als auch die Formulierung im Kontext der Montageversicherung in § 51 Abs. 1 b. cc) „Vom Versicherungsschutz müssen insbesondere umfasst sein: […] Auftraggeberinteresse (sog. „Bestellerinteresse“).“ Was ist hier inhaltlich konkret abzusichern, etwaige Verdienstausfälle der AG? Bezieht sich die Formulierung lediglich auf den Zeitraum, bevor die Ladeinfrastruktur nach § 15 in das Eigentum des AG 1 übergegangen ist? Falls dieses (noch zu definierende) Interesse der AG mitversichert wird, wie passt es im Versicherungsfall damit zusammen, dass die AG nach dem Betreibervertrag keinen eigenen Anspruch gegenüber der Versicherung zu haben scheinen (arg.ex § 51 Abs. 1 Nr. 1 d. Satz 6)?</v>
      </c>
      <c r="G164" s="45" t="str">
        <f aca="false">IF($R164="","",INDEX(Anforderungen!$I:$I,$R164))</f>
        <v>offen</v>
      </c>
      <c r="H164" s="45" t="str">
        <f aca="false">IF($R164="","",INDEX(Anforderungen!$J:$J,$R164))</f>
        <v>–</v>
      </c>
      <c r="I164" s="45" t="str">
        <f aca="false">IF($R164="","",INDEX(Anforderungen!$K:$K,$R164))</f>
        <v>trifft nicht zu</v>
      </c>
      <c r="J164" s="46" t="n">
        <f aca="false">IF($R164="","",INDEX(Anforderungen!$L:$L,$R164))</f>
        <v>0</v>
      </c>
      <c r="K164" s="45" t="str">
        <f aca="false">IF($R164="","",INDEX(Anforderungen!$M:$M,$R164))</f>
        <v>Automatisch ausgewertet: Außerhalb des betrachteten Leistungsumfangs (Schranken, Kennzeichenerfassung, dynamische Anzeige).</v>
      </c>
      <c r="R164" s="0" t="n">
        <f aca="false">IFERROR(MATCH(ROWS($A$14:$A164),$T$7:$T$2000,0)+6,"")</f>
        <v>157</v>
      </c>
      <c r="T164" s="0" t="n">
        <f aca="false">IF(Anforderungen!$B164="","",IF(AND(OR($B5="(alle)",Anforderungen!$K164=$B5),OR($E5="(alle)",Anforderungen!$C164=$E5),OR($H5="(alle)",Anforderungen!$E164=$H5),OR($B7="(alle)",ISNUMBER(SEARCH($B7,Anforderungen!$J164))),OR($E7="(alle)",ISNUMBER(SEARCH($E7,Anforderungen!$I164))),OR($H7="",ISNUMBER(SEARCH($H7,Anforderungen!$F164&amp;" "&amp;Anforderungen!$G164)))),COUNT($T$6:$T163)+1,""))</f>
        <v>158</v>
      </c>
    </row>
    <row r="165" customFormat="false" ht="30" hidden="false" customHeight="true" outlineLevel="0" collapsed="false">
      <c r="A165" s="45" t="str">
        <f aca="false">IF($R165="","",INDEX(Anforderungen!$B:$B,$R165))</f>
        <v>ANF-152</v>
      </c>
      <c r="B165" s="45" t="str">
        <f aca="false">IF($R165="","",INDEX(Anforderungen!$C:$C,$R165))</f>
        <v>Bieterfragenkatalog</v>
      </c>
      <c r="C165" s="45" t="str">
        <f aca="false">IF($R165="","",INDEX(Anforderungen!$D:$D,$R165))</f>
        <v>Nr. 100 / S. 8</v>
      </c>
      <c r="D165" s="45" t="str">
        <f aca="false">IF($R165="","",INDEX(Anforderungen!$E:$E,$R165))</f>
        <v>Vertrag &amp; Recht</v>
      </c>
      <c r="E165" s="45" t="str">
        <f aca="false">IF($R165="","",INDEX(Anforderungen!$F:$F,$R165))</f>
        <v>Klarstellung: Erfüllungsgehilfen sind insbesondere die Nachunternehmer des Betreibers. Insoweit ist der Klammerzusatz nur klarstellend.</v>
      </c>
      <c r="F165" s="45" t="str">
        <f aca="false">IF($R165="","",INDEX(Anforderungen!$G:$G,$R165))</f>
        <v>Betreibervertrag § 51: In § 51 Abs. 2 a. Satz 3 und Abs. 2 b. Satz 1 wird der Begriff des Nachunternehmers verwendet, der in Abs. 2 b. Satz 1 durch einen Klammerzusatz wiederum mit dem Begriff des Erfüllungsgehilfen gleichgesetzt wird. Wird der Nachunternehmer dabei im Hinblick auf die Versicherungspflicht ausschließlich im Sinne der Definition des § 58 Abs. 2 verstanden, oder sollen in § 51 – und insofern weitergehend als in § 58 Abs. 2 – alle Erfüllungsgehilfen im Sinne des § 278 BGB erfasst und damit versichert werden?</v>
      </c>
      <c r="G165" s="45" t="str">
        <f aca="false">IF($R165="","",INDEX(Anforderungen!$I:$I,$R165))</f>
        <v>offen</v>
      </c>
      <c r="H165" s="45" t="str">
        <f aca="false">IF($R165="","",INDEX(Anforderungen!$J:$J,$R165))</f>
        <v>–</v>
      </c>
      <c r="I165" s="45" t="str">
        <f aca="false">IF($R165="","",INDEX(Anforderungen!$K:$K,$R165))</f>
        <v>trifft nicht zu</v>
      </c>
      <c r="J165" s="46" t="n">
        <f aca="false">IF($R165="","",INDEX(Anforderungen!$L:$L,$R165))</f>
        <v>0</v>
      </c>
      <c r="K165" s="45" t="str">
        <f aca="false">IF($R165="","",INDEX(Anforderungen!$M:$M,$R165))</f>
        <v>Automatisch ausgewertet: Außerhalb des betrachteten Leistungsumfangs (Schranken, Kennzeichenerfassung, dynamische Anzeige).</v>
      </c>
      <c r="R165" s="0" t="n">
        <f aca="false">IFERROR(MATCH(ROWS($A$14:$A165),$T$7:$T$2000,0)+6,"")</f>
        <v>158</v>
      </c>
      <c r="T165" s="0" t="n">
        <f aca="false">IF(Anforderungen!$B165="","",IF(AND(OR($B5="(alle)",Anforderungen!$K165=$B5),OR($E5="(alle)",Anforderungen!$C165=$E5),OR($H5="(alle)",Anforderungen!$E165=$H5),OR($B7="(alle)",ISNUMBER(SEARCH($B7,Anforderungen!$J165))),OR($E7="(alle)",ISNUMBER(SEARCH($E7,Anforderungen!$I165))),OR($H7="",ISNUMBER(SEARCH($H7,Anforderungen!$F165&amp;" "&amp;Anforderungen!$G165)))),COUNT($T$6:$T164)+1,""))</f>
        <v>159</v>
      </c>
    </row>
    <row r="166" customFormat="false" ht="30" hidden="false" customHeight="true" outlineLevel="0" collapsed="false">
      <c r="A166" s="45" t="str">
        <f aca="false">IF($R166="","",INDEX(Anforderungen!$B:$B,$R166))</f>
        <v>ANF-153</v>
      </c>
      <c r="B166" s="45" t="str">
        <f aca="false">IF($R166="","",INDEX(Anforderungen!$C:$C,$R166))</f>
        <v>Bieterfragenkatalog</v>
      </c>
      <c r="C166" s="45" t="str">
        <f aca="false">IF($R166="","",INDEX(Anforderungen!$D:$D,$R166))</f>
        <v>Nr. 101 / S. 8</v>
      </c>
      <c r="D166" s="45" t="str">
        <f aca="false">IF($R166="","",INDEX(Anforderungen!$E:$E,$R166))</f>
        <v>Vertrag &amp; Recht</v>
      </c>
      <c r="E166" s="45" t="str">
        <f aca="false">IF($R166="","",INDEX(Anforderungen!$F:$F,$R166))</f>
        <v>Bestätigt: ein entsprechender Wechsel von Nachunternehmern ist grundsätzlich ebenfalls möglich.</v>
      </c>
      <c r="F166" s="45" t="str">
        <f aca="false">IF($R166="","",INDEX(Anforderungen!$G:$G,$R166))</f>
        <v>Nachunternehmer: Können Nachunternehmer, welche im ersten (nicht-verbindlichen) Angebot benannt wurden, zum finalen Angebot noch gewechselt werden, und falls ja, müssen hierfür bestimmte Gründe vorliegen? Diese Frage ergänzt die Bieterfrage Nr. 49 insofern, als vorliegend bereits ein Nachunternehmer namentlich benannt worden ist.</v>
      </c>
      <c r="G166" s="45" t="str">
        <f aca="false">IF($R166="","",INDEX(Anforderungen!$I:$I,$R166))</f>
        <v>offen</v>
      </c>
      <c r="H166" s="45" t="str">
        <f aca="false">IF($R166="","",INDEX(Anforderungen!$J:$J,$R166))</f>
        <v>–</v>
      </c>
      <c r="I166" s="45" t="str">
        <f aca="false">IF($R166="","",INDEX(Anforderungen!$K:$K,$R166))</f>
        <v>trifft nicht zu</v>
      </c>
      <c r="J166" s="46" t="n">
        <f aca="false">IF($R166="","",INDEX(Anforderungen!$L:$L,$R166))</f>
        <v>0</v>
      </c>
      <c r="K166" s="45" t="str">
        <f aca="false">IF($R166="","",INDEX(Anforderungen!$M:$M,$R166))</f>
        <v>Automatisch ausgewertet: Außerhalb des betrachteten Leistungsumfangs (Schranken, Kennzeichenerfassung, dynamische Anzeige).</v>
      </c>
      <c r="R166" s="0" t="n">
        <f aca="false">IFERROR(MATCH(ROWS($A$14:$A166),$T$7:$T$2000,0)+6,"")</f>
        <v>159</v>
      </c>
      <c r="T166" s="0" t="n">
        <f aca="false">IF(Anforderungen!$B166="","",IF(AND(OR($B5="(alle)",Anforderungen!$K166=$B5),OR($E5="(alle)",Anforderungen!$C166=$E5),OR($H5="(alle)",Anforderungen!$E166=$H5),OR($B7="(alle)",ISNUMBER(SEARCH($B7,Anforderungen!$J166))),OR($E7="(alle)",ISNUMBER(SEARCH($E7,Anforderungen!$I166))),OR($H7="",ISNUMBER(SEARCH($H7,Anforderungen!$F166&amp;" "&amp;Anforderungen!$G166)))),COUNT($T$6:$T165)+1,""))</f>
        <v>160</v>
      </c>
    </row>
    <row r="167" customFormat="false" ht="30" hidden="false" customHeight="true" outlineLevel="0" collapsed="false">
      <c r="A167" s="45" t="str">
        <f aca="false">IF($R167="","",INDEX(Anforderungen!$B:$B,$R167))</f>
        <v>ANF-154</v>
      </c>
      <c r="B167" s="45" t="str">
        <f aca="false">IF($R167="","",INDEX(Anforderungen!$C:$C,$R167))</f>
        <v>Bieterfragenkatalog</v>
      </c>
      <c r="C167" s="45" t="str">
        <f aca="false">IF($R167="","",INDEX(Anforderungen!$D:$D,$R167))</f>
        <v>Nr. 102 / S. 8</v>
      </c>
      <c r="D167" s="45" t="str">
        <f aca="false">IF($R167="","",INDEX(Anforderungen!$E:$E,$R167))</f>
        <v>Reservierung</v>
      </c>
      <c r="E167" s="45" t="str">
        <f aca="false">IF($R167="","",INDEX(Anforderungen!$F:$F,$R167))</f>
        <v>Klarstellung: Für die Erstellung der Erstangebote ist davon auszugehen, dass eine Weiterleitung an den AG erfolgt.</v>
      </c>
      <c r="F167" s="45" t="str">
        <f aca="false">IF($R167="","",INDEX(Anforderungen!$G:$G,$R167))</f>
        <v>Betreibervertrag § 19 Abs. 6: Welche Höhe des Reservierungsentgeltes eines Endkunden wird bei erfolgreichem Ladevorgang an den AG1/2 weitergeleitet? Ist es richtig, dass nachdem 60 % des Reservierungsentgeltes mit dem Ladepreis des Endkunden verrechnet worden ist, die übrigen 40 % an den AG1/2 weitergegeben werden?</v>
      </c>
      <c r="G167" s="45" t="str">
        <f aca="false">IF($R167="","",INDEX(Anforderungen!$I:$I,$R167))</f>
        <v>eRound</v>
      </c>
      <c r="H167" s="45" t="str">
        <f aca="false">IF($R167="","",INDEX(Anforderungen!$J:$J,$R167))</f>
        <v>OCPI Buchungskalender</v>
      </c>
      <c r="I167" s="45" t="str">
        <f aca="false">IF($R167="","",INDEX(Anforderungen!$K:$K,$R167))</f>
        <v>trifft nicht zu</v>
      </c>
      <c r="J167" s="46" t="n">
        <f aca="false">IF($R167="","",INDEX(Anforderungen!$L:$L,$R167))</f>
        <v>0</v>
      </c>
      <c r="K167" s="45" t="str">
        <f aca="false">IF($R167="","",INDEX(Anforderungen!$M:$M,$R167))</f>
        <v>Automatisch ausgewertet: Außerhalb des betrachteten Leistungsumfangs (Schranken, Kennzeichenerfassung, dynamische Anzeige).</v>
      </c>
      <c r="R167" s="0" t="n">
        <f aca="false">IFERROR(MATCH(ROWS($A$14:$A167),$T$7:$T$2000,0)+6,"")</f>
        <v>160</v>
      </c>
      <c r="T167" s="0" t="n">
        <f aca="false">IF(Anforderungen!$B167="","",IF(AND(OR($B5="(alle)",Anforderungen!$K167=$B5),OR($E5="(alle)",Anforderungen!$C167=$E5),OR($H5="(alle)",Anforderungen!$E167=$H5),OR($B7="(alle)",ISNUMBER(SEARCH($B7,Anforderungen!$J167))),OR($E7="(alle)",ISNUMBER(SEARCH($E7,Anforderungen!$I167))),OR($H7="",ISNUMBER(SEARCH($H7,Anforderungen!$F167&amp;" "&amp;Anforderungen!$G167)))),COUNT($T$6:$T166)+1,""))</f>
        <v>161</v>
      </c>
    </row>
    <row r="168" customFormat="false" ht="30" hidden="false" customHeight="true" outlineLevel="0" collapsed="false">
      <c r="A168" s="45" t="str">
        <f aca="false">IF($R168="","",INDEX(Anforderungen!$B:$B,$R168))</f>
        <v>ANF-155</v>
      </c>
      <c r="B168" s="45" t="str">
        <f aca="false">IF($R168="","",INDEX(Anforderungen!$C:$C,$R168))</f>
        <v>Bieterfragenkatalog</v>
      </c>
      <c r="C168" s="45" t="str">
        <f aca="false">IF($R168="","",INDEX(Anforderungen!$D:$D,$R168))</f>
        <v>Nr. 103 / S. 8</v>
      </c>
      <c r="D168" s="45" t="str">
        <f aca="false">IF($R168="","",INDEX(Anforderungen!$E:$E,$R168))</f>
        <v>Reservierung</v>
      </c>
      <c r="E168" s="45" t="str">
        <f aca="false">IF($R168="","",INDEX(Anforderungen!$F:$F,$R168))</f>
        <v>Klarstellung: Für die Erstellung der Erstangebote ist davon auszugehen, dass die Ladepunkte ausschließlich für "E-LKW" zur Verfügung stehen.</v>
      </c>
      <c r="F168" s="45" t="str">
        <f aca="false">IF($R168="","",INDEX(Anforderungen!$G:$G,$R168))</f>
        <v>Können Ladepunkte an (weitgehend) „LKW-freien Tagen“ (wie z.B. an Sonntagen) ebenfalls für PKW geöffnet werden? Dies würde die Auslastung erhöhen, wobei die LKW, nicht zuletzt wegen der Reservierungsmöglichkeit, weiterhin prioritär behandelt werden würden.</v>
      </c>
      <c r="G168" s="45" t="str">
        <f aca="false">IF($R168="","",INDEX(Anforderungen!$I:$I,$R168))</f>
        <v>eRound</v>
      </c>
      <c r="H168" s="45" t="str">
        <f aca="false">IF($R168="","",INDEX(Anforderungen!$J:$J,$R168))</f>
        <v>OCPI Buchungskalender</v>
      </c>
      <c r="I168" s="45" t="str">
        <f aca="false">IF($R168="","",INDEX(Anforderungen!$K:$K,$R168))</f>
        <v>trifft nicht zu</v>
      </c>
      <c r="J168" s="46" t="n">
        <f aca="false">IF($R168="","",INDEX(Anforderungen!$L:$L,$R168))</f>
        <v>0</v>
      </c>
      <c r="K168" s="45" t="str">
        <f aca="false">IF($R168="","",INDEX(Anforderungen!$M:$M,$R168))</f>
        <v>Automatisch ausgewertet: Außerhalb des betrachteten Leistungsumfangs (Schranken, Kennzeichenerfassung, dynamische Anzeige).</v>
      </c>
      <c r="R168" s="0" t="n">
        <f aca="false">IFERROR(MATCH(ROWS($A$14:$A168),$T$7:$T$2000,0)+6,"")</f>
        <v>161</v>
      </c>
      <c r="T168" s="0" t="n">
        <f aca="false">IF(Anforderungen!$B168="","",IF(AND(OR($B5="(alle)",Anforderungen!$K168=$B5),OR($E5="(alle)",Anforderungen!$C168=$E5),OR($H5="(alle)",Anforderungen!$E168=$H5),OR($B7="(alle)",ISNUMBER(SEARCH($B7,Anforderungen!$J168))),OR($E7="(alle)",ISNUMBER(SEARCH($E7,Anforderungen!$I168))),OR($H7="",ISNUMBER(SEARCH($H7,Anforderungen!$F168&amp;" "&amp;Anforderungen!$G168)))),COUNT($T$6:$T167)+1,""))</f>
        <v>162</v>
      </c>
    </row>
    <row r="169" customFormat="false" ht="30" hidden="false" customHeight="true" outlineLevel="0" collapsed="false">
      <c r="A169" s="45" t="str">
        <f aca="false">IF($R169="","",INDEX(Anforderungen!$B:$B,$R169))</f>
        <v>ANF-156</v>
      </c>
      <c r="B169" s="45" t="str">
        <f aca="false">IF($R169="","",INDEX(Anforderungen!$C:$C,$R169))</f>
        <v>Bieterfragenkatalog</v>
      </c>
      <c r="C169" s="45" t="str">
        <f aca="false">IF($R169="","",INDEX(Anforderungen!$D:$D,$R169))</f>
        <v>Nr. 104 / S. 9</v>
      </c>
      <c r="D169" s="45" t="str">
        <f aca="false">IF($R169="","",INDEX(Anforderungen!$E:$E,$R169))</f>
        <v>Netzanschluss &amp; Energie</v>
      </c>
      <c r="E169" s="45" t="str">
        <f aca="false">IF($R169="","",INDEX(Anforderungen!$F:$F,$R169))</f>
        <v>Klarstellung: Eine Preisgleitung für Kabellieferungen ist aktuell nicht vorgesehen.</v>
      </c>
      <c r="F169" s="45" t="str">
        <f aca="false">IF($R169="","",INDEX(Anforderungen!$G:$G,$R169))</f>
        <v>In BV §39, Absatz 6 heißt es: “Wenn ein zur Errichtung der Infrastruktur erforderlicher Ladepunkt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 Wie ist das Vorgehen bei erforderlichen Kabeln, etc.?</v>
      </c>
      <c r="G169" s="45" t="str">
        <f aca="false">IF($R169="","",INDEX(Anforderungen!$I:$I,$R169))</f>
        <v>offen</v>
      </c>
      <c r="H169" s="45" t="str">
        <f aca="false">IF($R169="","",INDEX(Anforderungen!$J:$J,$R169))</f>
        <v>–</v>
      </c>
      <c r="I169" s="45" t="str">
        <f aca="false">IF($R169="","",INDEX(Anforderungen!$K:$K,$R169))</f>
        <v>trifft nicht zu</v>
      </c>
      <c r="J169" s="46" t="n">
        <f aca="false">IF($R169="","",INDEX(Anforderungen!$L:$L,$R169))</f>
        <v>0</v>
      </c>
      <c r="K169" s="45" t="str">
        <f aca="false">IF($R169="","",INDEX(Anforderungen!$M:$M,$R169))</f>
        <v>Automatisch ausgewertet: Außerhalb des betrachteten Leistungsumfangs (Schranken, Kennzeichenerfassung, dynamische Anzeige).</v>
      </c>
      <c r="R169" s="0" t="n">
        <f aca="false">IFERROR(MATCH(ROWS($A$14:$A169),$T$7:$T$2000,0)+6,"")</f>
        <v>162</v>
      </c>
      <c r="T169" s="0" t="n">
        <f aca="false">IF(Anforderungen!$B169="","",IF(AND(OR($B5="(alle)",Anforderungen!$K169=$B5),OR($E5="(alle)",Anforderungen!$C169=$E5),OR($H5="(alle)",Anforderungen!$E169=$H5),OR($B7="(alle)",ISNUMBER(SEARCH($B7,Anforderungen!$J169))),OR($E7="(alle)",ISNUMBER(SEARCH($E7,Anforderungen!$I169))),OR($H7="",ISNUMBER(SEARCH($H7,Anforderungen!$F169&amp;" "&amp;Anforderungen!$G169)))),COUNT($T$6:$T168)+1,""))</f>
        <v>163</v>
      </c>
    </row>
    <row r="170" customFormat="false" ht="30" hidden="false" customHeight="true" outlineLevel="0" collapsed="false">
      <c r="A170" s="45" t="str">
        <f aca="false">IF($R170="","",INDEX(Anforderungen!$B:$B,$R170))</f>
        <v>ANF-157</v>
      </c>
      <c r="B170" s="45" t="str">
        <f aca="false">IF($R170="","",INDEX(Anforderungen!$C:$C,$R170))</f>
        <v>Bieterfragenkatalog</v>
      </c>
      <c r="C170" s="45" t="str">
        <f aca="false">IF($R170="","",INDEX(Anforderungen!$D:$D,$R170))</f>
        <v>Nr. 105 / S. 9</v>
      </c>
      <c r="D170" s="45" t="str">
        <f aca="false">IF($R170="","",INDEX(Anforderungen!$E:$E,$R170))</f>
        <v>Flächen &amp; Genehmigungen</v>
      </c>
      <c r="E170" s="45" t="str">
        <f aca="false">IF($R170="","",INDEX(Anforderungen!$F:$F,$R170))</f>
        <v>Klarstellung: In der Vorplanung des Standorts DE-BW-006005 Linsenbühl gab es tatsächlich Abweichungen. Diese wurden aktualisiert und werden den Bietern als Anlage zur Beantwortung dieser Bieterfragen zur Verfügung gestellt.</v>
      </c>
      <c r="F170" s="45" t="str">
        <f aca="false">IF($R170="","",INDEX(Anforderungen!$G:$G,$R170))</f>
        <v>Wir bitten um Überprüfung der widersprüchlichen Angaben zur Anzahl der Ladepunkte in den beiden Dokumenten: - 20250114_Vertragsanlage 02_Standortübersicht (losspezi-fisch)_Los4_v2.pdf - Vertragsanlage 03/Los4/Vorplanungen: DE-BW-006005 Linsen-bühl_VP.pdf Während in der Vorplanung 6xMCS und 3xCCS eingezeichnet sind, sind in der Tabelle nur 5xMCS und 2xCCS angegeben.</v>
      </c>
      <c r="G170" s="45" t="str">
        <f aca="false">IF($R170="","",INDEX(Anforderungen!$I:$I,$R170))</f>
        <v>offen</v>
      </c>
      <c r="H170" s="45" t="str">
        <f aca="false">IF($R170="","",INDEX(Anforderungen!$J:$J,$R170))</f>
        <v>–</v>
      </c>
      <c r="I170" s="45" t="str">
        <f aca="false">IF($R170="","",INDEX(Anforderungen!$K:$K,$R170))</f>
        <v>trifft nicht zu</v>
      </c>
      <c r="J170" s="46" t="n">
        <f aca="false">IF($R170="","",INDEX(Anforderungen!$L:$L,$R170))</f>
        <v>0</v>
      </c>
      <c r="K170" s="45" t="str">
        <f aca="false">IF($R170="","",INDEX(Anforderungen!$M:$M,$R170))</f>
        <v>Automatisch ausgewertet: Außerhalb des betrachteten Leistungsumfangs (Schranken, Kennzeichenerfassung, dynamische Anzeige).</v>
      </c>
      <c r="R170" s="0" t="n">
        <f aca="false">IFERROR(MATCH(ROWS($A$14:$A170),$T$7:$T$2000,0)+6,"")</f>
        <v>163</v>
      </c>
      <c r="T170" s="0" t="n">
        <f aca="false">IF(Anforderungen!$B170="","",IF(AND(OR($B5="(alle)",Anforderungen!$K170=$B5),OR($E5="(alle)",Anforderungen!$C170=$E5),OR($H5="(alle)",Anforderungen!$E170=$H5),OR($B7="(alle)",ISNUMBER(SEARCH($B7,Anforderungen!$J170))),OR($E7="(alle)",ISNUMBER(SEARCH($E7,Anforderungen!$I170))),OR($H7="",ISNUMBER(SEARCH($H7,Anforderungen!$F170&amp;" "&amp;Anforderungen!$G170)))),COUNT($T$6:$T169)+1,""))</f>
        <v>164</v>
      </c>
    </row>
    <row r="171" customFormat="false" ht="30" hidden="false" customHeight="true" outlineLevel="0" collapsed="false">
      <c r="A171" s="45" t="str">
        <f aca="false">IF($R171="","",INDEX(Anforderungen!$B:$B,$R171))</f>
        <v>ANF-158</v>
      </c>
      <c r="B171" s="45" t="str">
        <f aca="false">IF($R171="","",INDEX(Anforderungen!$C:$C,$R171))</f>
        <v>Bieterfragenkatalog</v>
      </c>
      <c r="C171" s="45" t="str">
        <f aca="false">IF($R171="","",INDEX(Anforderungen!$D:$D,$R171))</f>
        <v>Nr. 106 / S. 9</v>
      </c>
      <c r="D171" s="45" t="str">
        <f aca="false">IF($R171="","",INDEX(Anforderungen!$E:$E,$R171))</f>
        <v>Flächen &amp; Genehmigungen</v>
      </c>
      <c r="E171" s="45" t="str">
        <f aca="false">IF($R171="","",INDEX(Anforderungen!$F:$F,$R171))</f>
        <v>Klarstellung: In der Vorplanung des Standorts DE-BY-00329 Kirchholz Südl gab es tatsächlich Abweichungen.</v>
      </c>
      <c r="F171" s="45" t="str">
        <f aca="false">IF($R171="","",INDEX(Anforderungen!$G:$G,$R171))</f>
        <v>Wir bitten um Überprüfung der widersprüchlichen Angaben zur Anzahl der Ladepunkte in den beiden Dokumenten: - 20250114_Vertragsanlage 02_Standortübersicht (losspezifisch)_ Los4_v2.pdf - Vertragsanlage 03/Los4/Vorplanungen: DE-BY-00329 Kirchholz Süd_VP.pdf Während in der Vorplanung 6xMCS und 5xCCS eingezeichnet sind, sind in der Tabelle nur 3xMCS und 3xCCS angegeben.</v>
      </c>
      <c r="G171" s="45" t="str">
        <f aca="false">IF($R171="","",INDEX(Anforderungen!$I:$I,$R171))</f>
        <v>offen</v>
      </c>
      <c r="H171" s="45" t="str">
        <f aca="false">IF($R171="","",INDEX(Anforderungen!$J:$J,$R171))</f>
        <v>–</v>
      </c>
      <c r="I171" s="45" t="str">
        <f aca="false">IF($R171="","",INDEX(Anforderungen!$K:$K,$R171))</f>
        <v>trifft nicht zu</v>
      </c>
      <c r="J171" s="46" t="n">
        <f aca="false">IF($R171="","",INDEX(Anforderungen!$L:$L,$R171))</f>
        <v>0</v>
      </c>
      <c r="K171" s="45" t="str">
        <f aca="false">IF($R171="","",INDEX(Anforderungen!$M:$M,$R171))</f>
        <v>Automatisch ausgewertet: Außerhalb des betrachteten Leistungsumfangs (Schranken, Kennzeichenerfassung, dynamische Anzeige).</v>
      </c>
      <c r="R171" s="0" t="n">
        <f aca="false">IFERROR(MATCH(ROWS($A$14:$A171),$T$7:$T$2000,0)+6,"")</f>
        <v>164</v>
      </c>
      <c r="T171" s="0" t="n">
        <f aca="false">IF(Anforderungen!$B171="","",IF(AND(OR($B5="(alle)",Anforderungen!$K171=$B5),OR($E5="(alle)",Anforderungen!$C171=$E5),OR($H5="(alle)",Anforderungen!$E171=$H5),OR($B7="(alle)",ISNUMBER(SEARCH($B7,Anforderungen!$J171))),OR($E7="(alle)",ISNUMBER(SEARCH($E7,Anforderungen!$I171))),OR($H7="",ISNUMBER(SEARCH($H7,Anforderungen!$F171&amp;" "&amp;Anforderungen!$G171)))),COUNT($T$6:$T170)+1,""))</f>
        <v>165</v>
      </c>
    </row>
    <row r="172" customFormat="false" ht="30" hidden="false" customHeight="true" outlineLevel="0" collapsed="false">
      <c r="A172" s="45" t="str">
        <f aca="false">IF($R172="","",INDEX(Anforderungen!$B:$B,$R172))</f>
        <v>ANF-159</v>
      </c>
      <c r="B172" s="45" t="str">
        <f aca="false">IF($R172="","",INDEX(Anforderungen!$C:$C,$R172))</f>
        <v>Bieterfragenkatalog</v>
      </c>
      <c r="C172" s="45" t="str">
        <f aca="false">IF($R172="","",INDEX(Anforderungen!$D:$D,$R172))</f>
        <v>Nr. 107 / S. 9</v>
      </c>
      <c r="D172" s="45" t="str">
        <f aca="false">IF($R172="","",INDEX(Anforderungen!$E:$E,$R172))</f>
        <v>Flächen &amp; Genehmigungen</v>
      </c>
      <c r="E172" s="45" t="str">
        <f aca="false">IF($R172="","",INDEX(Anforderungen!$F:$F,$R172))</f>
        <v>Klarstellung: Ihre Annahme ist zutreffend. Grundsätzlich werden die Bestandsgeometrien der Fahrstreifen sowie die Länge der Stellplätze der PWC Anlagen nicht verändert.</v>
      </c>
      <c r="F172" s="45" t="str">
        <f aca="false">IF($R172="","",INDEX(Anforderungen!$G:$G,$R172))</f>
        <v>Gemäß Vertragsanlage 04 LB Errichtung, Ziffer 3.10 (Anforderungen an die Umgebung der LKW- Ladeinfrastruktur) sind Zuwege und Durchfahrten zu denLKW-Ladepunkten so zu dimensionieren/gestalten, dass Fahrzeuge der Klassen GST diese befahren können und eine An- und Abfahrt zum und vom LKWLadeplatz´uneingeschränkt möglich ist. Weiter sind in Anhang 01a zur Vertragsanlage 4 Referenzplanung konkrete Maße für die Fahrstreifenbreiten (6,50 m) und darüber hinaus in den Vorplanungen für die Einzelstandorte u.a. konkrete Längen der Stellplätze (25,45 m) angegeben. Diese Breiten und Längen entsprechen nicht immer den Maßen im Bestand. Gehen wir recht in der Annahme, dass die Fahrstreifenbreite entsprechend den Breiten der Bestandsfahrstreifen und die Länge der Stellplätze entsprechend den Bestandsstellplätzen auf den jeweiligen Standorten hergestellt werden können, soweit damit die Vorgabe der Leistungsbeschreibung Errichtung; Ziffer 3.10 erfüllt wird?</v>
      </c>
      <c r="G172" s="45" t="str">
        <f aca="false">IF($R172="","",INDEX(Anforderungen!$I:$I,$R172))</f>
        <v>offen</v>
      </c>
      <c r="H172" s="45" t="str">
        <f aca="false">IF($R172="","",INDEX(Anforderungen!$J:$J,$R172))</f>
        <v>–</v>
      </c>
      <c r="I172" s="45" t="str">
        <f aca="false">IF($R172="","",INDEX(Anforderungen!$K:$K,$R172))</f>
        <v>trifft nicht zu</v>
      </c>
      <c r="J172" s="46" t="n">
        <f aca="false">IF($R172="","",INDEX(Anforderungen!$L:$L,$R172))</f>
        <v>0</v>
      </c>
      <c r="K172" s="45" t="str">
        <f aca="false">IF($R172="","",INDEX(Anforderungen!$M:$M,$R172))</f>
        <v>Automatisch ausgewertet: Außerhalb des betrachteten Leistungsumfangs (Schranken, Kennzeichenerfassung, dynamische Anzeige).</v>
      </c>
      <c r="R172" s="0" t="n">
        <f aca="false">IFERROR(MATCH(ROWS($A$14:$A172),$T$7:$T$2000,0)+6,"")</f>
        <v>165</v>
      </c>
      <c r="T172" s="0" t="n">
        <f aca="false">IF(Anforderungen!$B172="","",IF(AND(OR($B5="(alle)",Anforderungen!$K172=$B5),OR($E5="(alle)",Anforderungen!$C172=$E5),OR($H5="(alle)",Anforderungen!$E172=$H5),OR($B7="(alle)",ISNUMBER(SEARCH($B7,Anforderungen!$J172))),OR($E7="(alle)",ISNUMBER(SEARCH($E7,Anforderungen!$I172))),OR($H7="",ISNUMBER(SEARCH($H7,Anforderungen!$F172&amp;" "&amp;Anforderungen!$G172)))),COUNT($T$6:$T171)+1,""))</f>
        <v>166</v>
      </c>
    </row>
    <row r="173" customFormat="false" ht="30" hidden="false" customHeight="true" outlineLevel="0" collapsed="false">
      <c r="A173" s="45" t="str">
        <f aca="false">IF($R173="","",INDEX(Anforderungen!$B:$B,$R173))</f>
        <v>ANF-160</v>
      </c>
      <c r="B173" s="45" t="str">
        <f aca="false">IF($R173="","",INDEX(Anforderungen!$C:$C,$R173))</f>
        <v>Bieterfragenkatalog</v>
      </c>
      <c r="C173" s="45" t="str">
        <f aca="false">IF($R173="","",INDEX(Anforderungen!$D:$D,$R173))</f>
        <v>Nr. 108 / S. 9</v>
      </c>
      <c r="D173" s="45" t="str">
        <f aca="false">IF($R173="","",INDEX(Anforderungen!$E:$E,$R173))</f>
        <v>Vertrag &amp; Recht</v>
      </c>
      <c r="E173" s="45" t="str">
        <f aca="false">IF($R173="","",INDEX(Anforderungen!$F:$F,$R173))</f>
        <v>Klarstellung: Entsprechende Unterlagen können nich tzur Verfügung gestellt werden.</v>
      </c>
      <c r="F173" s="45" t="str">
        <f aca="false">IF($R173="","",INDEX(Anforderungen!$G:$G,$R173))</f>
        <v>Können für alle in Vertragsanlage 02 aufgeführten Standorte alle Aufzeichnungen bzw. Unterlagen über Hochwasserereignisse und Vorfälle, bei denen gefährliche Stoffe freigesetzt wurden, zur Verfügung gestellt werden?</v>
      </c>
      <c r="G173" s="45" t="str">
        <f aca="false">IF($R173="","",INDEX(Anforderungen!$I:$I,$R173))</f>
        <v>offen</v>
      </c>
      <c r="H173" s="45" t="str">
        <f aca="false">IF($R173="","",INDEX(Anforderungen!$J:$J,$R173))</f>
        <v>–</v>
      </c>
      <c r="I173" s="45" t="str">
        <f aca="false">IF($R173="","",INDEX(Anforderungen!$K:$K,$R173))</f>
        <v>trifft nicht zu</v>
      </c>
      <c r="J173" s="46" t="n">
        <f aca="false">IF($R173="","",INDEX(Anforderungen!$L:$L,$R173))</f>
        <v>0</v>
      </c>
      <c r="K173" s="45" t="str">
        <f aca="false">IF($R173="","",INDEX(Anforderungen!$M:$M,$R173))</f>
        <v>Automatisch ausgewertet: Außerhalb des betrachteten Leistungsumfangs (Schranken, Kennzeichenerfassung, dynamische Anzeige).</v>
      </c>
      <c r="R173" s="0" t="n">
        <f aca="false">IFERROR(MATCH(ROWS($A$14:$A173),$T$7:$T$2000,0)+6,"")</f>
        <v>166</v>
      </c>
      <c r="T173" s="0" t="n">
        <f aca="false">IF(Anforderungen!$B173="","",IF(AND(OR($B5="(alle)",Anforderungen!$K173=$B5),OR($E5="(alle)",Anforderungen!$C173=$E5),OR($H5="(alle)",Anforderungen!$E173=$H5),OR($B7="(alle)",ISNUMBER(SEARCH($B7,Anforderungen!$J173))),OR($E7="(alle)",ISNUMBER(SEARCH($E7,Anforderungen!$I173))),OR($H7="",ISNUMBER(SEARCH($H7,Anforderungen!$F173&amp;" "&amp;Anforderungen!$G173)))),COUNT($T$6:$T172)+1,""))</f>
        <v>167</v>
      </c>
    </row>
    <row r="174" customFormat="false" ht="30" hidden="false" customHeight="true" outlineLevel="0" collapsed="false">
      <c r="A174" s="45" t="str">
        <f aca="false">IF($R174="","",INDEX(Anforderungen!$B:$B,$R174))</f>
        <v>ANF-161</v>
      </c>
      <c r="B174" s="45" t="str">
        <f aca="false">IF($R174="","",INDEX(Anforderungen!$C:$C,$R174))</f>
        <v>Bieterfragenkatalog</v>
      </c>
      <c r="C174" s="45" t="str">
        <f aca="false">IF($R174="","",INDEX(Anforderungen!$D:$D,$R174))</f>
        <v>Nr. 109 / S. 9</v>
      </c>
      <c r="D174" s="45" t="str">
        <f aca="false">IF($R174="","",INDEX(Anforderungen!$E:$E,$R174))</f>
        <v>Authentifizierung &amp; Zugang</v>
      </c>
      <c r="E174" s="45" t="str">
        <f aca="false">IF($R174="","",INDEX(Anforderungen!$F:$F,$R174))</f>
        <v>Klarstellung: Ihre Annahme ist richtig, es muss demnach korrekterweise heißen, dass auf Abschnitt 5 verwiesen wird.</v>
      </c>
      <c r="F174" s="45" t="str">
        <f aca="false">IF($R174="","",INDEX(Anforderungen!$G:$G,$R174))</f>
        <v>In Vertragsanlage 06, Abschnitt 8 (Authentifizierungsoptionen) wird im vierten Aufzählungspunkt auf Abschnitt 7 verwiesen. Wir bitten um Prüfung, ob es sich dabei nicht um den Verweis auf Abschnitt 5 handeln muss.</v>
      </c>
      <c r="G174" s="45" t="str">
        <f aca="false">IF($R174="","",INDEX(Anforderungen!$I:$I,$R174))</f>
        <v>eRound</v>
      </c>
      <c r="H174" s="45" t="str">
        <f aca="false">IF($R174="","",INDEX(Anforderungen!$J:$J,$R174))</f>
        <v>Authentifizierungskomponente</v>
      </c>
      <c r="I174" s="45" t="str">
        <f aca="false">IF($R174="","",INDEX(Anforderungen!$K:$K,$R174))</f>
        <v>trifft nicht zu</v>
      </c>
      <c r="J174" s="46" t="n">
        <f aca="false">IF($R174="","",INDEX(Anforderungen!$L:$L,$R174))</f>
        <v>0</v>
      </c>
      <c r="K174" s="45" t="str">
        <f aca="false">IF($R174="","",INDEX(Anforderungen!$M:$M,$R174))</f>
        <v>Automatisch ausgewertet: Außerhalb des betrachteten Leistungsumfangs (Schranken, Kennzeichenerfassung, dynamische Anzeige).</v>
      </c>
      <c r="R174" s="0" t="n">
        <f aca="false">IFERROR(MATCH(ROWS($A$14:$A174),$T$7:$T$2000,0)+6,"")</f>
        <v>167</v>
      </c>
      <c r="T174" s="0" t="n">
        <f aca="false">IF(Anforderungen!$B174="","",IF(AND(OR($B5="(alle)",Anforderungen!$K174=$B5),OR($E5="(alle)",Anforderungen!$C174=$E5),OR($H5="(alle)",Anforderungen!$E174=$H5),OR($B7="(alle)",ISNUMBER(SEARCH($B7,Anforderungen!$J174))),OR($E7="(alle)",ISNUMBER(SEARCH($E7,Anforderungen!$I174))),OR($H7="",ISNUMBER(SEARCH($H7,Anforderungen!$F174&amp;" "&amp;Anforderungen!$G174)))),COUNT($T$6:$T173)+1,""))</f>
        <v>168</v>
      </c>
    </row>
    <row r="175" customFormat="false" ht="30" hidden="false" customHeight="true" outlineLevel="0" collapsed="false">
      <c r="A175" s="45" t="str">
        <f aca="false">IF($R175="","",INDEX(Anforderungen!$B:$B,$R175))</f>
        <v>ANF-162</v>
      </c>
      <c r="B175" s="45" t="str">
        <f aca="false">IF($R175="","",INDEX(Anforderungen!$C:$C,$R175))</f>
        <v>Bieterfragenkatalog</v>
      </c>
      <c r="C175" s="45" t="str">
        <f aca="false">IF($R175="","",INDEX(Anforderungen!$D:$D,$R175))</f>
        <v>Nr. 110 / S. 9</v>
      </c>
      <c r="D175" s="45" t="str">
        <f aca="false">IF($R175="","",INDEX(Anforderungen!$E:$E,$R175))</f>
        <v>Betrieb &amp; Auslastung</v>
      </c>
      <c r="E175" s="45" t="str">
        <f aca="false">IF($R175="","",INDEX(Anforderungen!$F:$F,$R175))</f>
        <v>Bestätigt: in Abschnitt 7 Unterpunkt 5 der Vertragsanlage 11 muss hinsichtlich des Nichtvertretenmüssens auf § 21 Abs.</v>
      </c>
      <c r="F175" s="45" t="str">
        <f aca="false">IF($R175="","",INDEX(Anforderungen!$G:$G,$R175))</f>
        <v>In Vertragsanlage 11, Abschnitt 7 (Verfügbarkeit), Unterpunkt 5, wird auf BV § 16.1 e) des Vertrags verwiesen. Wir bitten um Prüfung, ob es sich dabei nicht um den Verweis auf BV § 21 Absatz 4 handeln muss.</v>
      </c>
      <c r="G175" s="45" t="str">
        <f aca="false">IF($R175="","",INDEX(Anforderungen!$I:$I,$R175))</f>
        <v>Zuordnung prüfen</v>
      </c>
      <c r="H175" s="45" t="str">
        <f aca="false">IF($R175="","",INDEX(Anforderungen!$J:$J,$R175))</f>
        <v>Zuordnung prüfen</v>
      </c>
      <c r="I175" s="45" t="str">
        <f aca="false">IF($R175="","",INDEX(Anforderungen!$K:$K,$R175))</f>
        <v>trifft nicht zu</v>
      </c>
      <c r="J175" s="46" t="n">
        <f aca="false">IF($R175="","",INDEX(Anforderungen!$L:$L,$R175))</f>
        <v>0</v>
      </c>
      <c r="K175" s="45" t="str">
        <f aca="false">IF($R175="","",INDEX(Anforderungen!$M:$M,$R175))</f>
        <v>Automatisch ausgewertet: Außerhalb des betrachteten Leistungsumfangs (Schranken, Kennzeichenerfassung, dynamische Anzeige).</v>
      </c>
      <c r="R175" s="0" t="n">
        <f aca="false">IFERROR(MATCH(ROWS($A$14:$A175),$T$7:$T$2000,0)+6,"")</f>
        <v>168</v>
      </c>
      <c r="T175" s="0" t="n">
        <f aca="false">IF(Anforderungen!$B175="","",IF(AND(OR($B5="(alle)",Anforderungen!$K175=$B5),OR($E5="(alle)",Anforderungen!$C175=$E5),OR($H5="(alle)",Anforderungen!$E175=$H5),OR($B7="(alle)",ISNUMBER(SEARCH($B7,Anforderungen!$J175))),OR($E7="(alle)",ISNUMBER(SEARCH($E7,Anforderungen!$I175))),OR($H7="",ISNUMBER(SEARCH($H7,Anforderungen!$F175&amp;" "&amp;Anforderungen!$G175)))),COUNT($T$6:$T174)+1,""))</f>
        <v>169</v>
      </c>
    </row>
    <row r="176" customFormat="false" ht="30" hidden="false" customHeight="true" outlineLevel="0" collapsed="false">
      <c r="A176" s="45" t="str">
        <f aca="false">IF($R176="","",INDEX(Anforderungen!$B:$B,$R176))</f>
        <v>ANF-163</v>
      </c>
      <c r="B176" s="45" t="str">
        <f aca="false">IF($R176="","",INDEX(Anforderungen!$C:$C,$R176))</f>
        <v>Bieterfragenkatalog</v>
      </c>
      <c r="C176" s="45" t="str">
        <f aca="false">IF($R176="","",INDEX(Anforderungen!$D:$D,$R176))</f>
        <v>Nr. 111 / S. 9</v>
      </c>
      <c r="D176" s="45" t="str">
        <f aca="false">IF($R176="","",INDEX(Anforderungen!$E:$E,$R176))</f>
        <v>Netzanschluss &amp; Energie</v>
      </c>
      <c r="E176" s="45" t="str">
        <f aca="false">IF($R176="","",INDEX(Anforderungen!$F:$F,$R176))</f>
        <v>Klarstellung: Es handelt sich dabei um die Dächer der Technikgebäude (z.B. Übergabestation, Trafostation).</v>
      </c>
      <c r="F176" s="45" t="str">
        <f aca="false">IF($R176="","",INDEX(Anforderungen!$G:$G,$R176))</f>
        <v>In den Abschnitten 6.3 Instandhaltung sowie 6.5 Regelmäßige Prüfung wird die Prüfung, Wartung und Instandhaltung von Dächern bzw. Überdachungen gefordert. Wir bitten um Angabe, um welche Dächer bzw. Überdachungen es sich dabei handelt.</v>
      </c>
      <c r="G176" s="45" t="str">
        <f aca="false">IF($R176="","",INDEX(Anforderungen!$I:$I,$R176))</f>
        <v>offen</v>
      </c>
      <c r="H176" s="45" t="str">
        <f aca="false">IF($R176="","",INDEX(Anforderungen!$J:$J,$R176))</f>
        <v>–</v>
      </c>
      <c r="I176" s="45" t="str">
        <f aca="false">IF($R176="","",INDEX(Anforderungen!$K:$K,$R176))</f>
        <v>trifft nicht zu</v>
      </c>
      <c r="J176" s="46" t="n">
        <f aca="false">IF($R176="","",INDEX(Anforderungen!$L:$L,$R176))</f>
        <v>0</v>
      </c>
      <c r="K176" s="45" t="str">
        <f aca="false">IF($R176="","",INDEX(Anforderungen!$M:$M,$R176))</f>
        <v>Automatisch ausgewertet: Außerhalb des betrachteten Leistungsumfangs (Schranken, Kennzeichenerfassung, dynamische Anzeige).</v>
      </c>
      <c r="R176" s="0" t="n">
        <f aca="false">IFERROR(MATCH(ROWS($A$14:$A176),$T$7:$T$2000,0)+6,"")</f>
        <v>169</v>
      </c>
      <c r="T176" s="0" t="n">
        <f aca="false">IF(Anforderungen!$B176="","",IF(AND(OR($B5="(alle)",Anforderungen!$K176=$B5),OR($E5="(alle)",Anforderungen!$C176=$E5),OR($H5="(alle)",Anforderungen!$E176=$H5),OR($B7="(alle)",ISNUMBER(SEARCH($B7,Anforderungen!$J176))),OR($E7="(alle)",ISNUMBER(SEARCH($E7,Anforderungen!$I176))),OR($H7="",ISNUMBER(SEARCH($H7,Anforderungen!$F176&amp;" "&amp;Anforderungen!$G176)))),COUNT($T$6:$T175)+1,""))</f>
        <v>170</v>
      </c>
    </row>
    <row r="177" customFormat="false" ht="30" hidden="false" customHeight="true" outlineLevel="0" collapsed="false">
      <c r="A177" s="45" t="str">
        <f aca="false">IF($R177="","",INDEX(Anforderungen!$B:$B,$R177))</f>
        <v>ANF-164</v>
      </c>
      <c r="B177" s="45" t="str">
        <f aca="false">IF($R177="","",INDEX(Anforderungen!$C:$C,$R177))</f>
        <v>Bieterfragenkatalog</v>
      </c>
      <c r="C177" s="45" t="str">
        <f aca="false">IF($R177="","",INDEX(Anforderungen!$D:$D,$R177))</f>
        <v>Nr. 112 / S. 9</v>
      </c>
      <c r="D177" s="45" t="str">
        <f aca="false">IF($R177="","",INDEX(Anforderungen!$E:$E,$R177))</f>
        <v>Flächen &amp; Genehmigungen</v>
      </c>
      <c r="E177" s="45" t="str">
        <f aca="false">IF($R177="","",INDEX(Anforderungen!$F:$F,$R177))</f>
        <v>Klarstellung: Es ist von den in Vertragsanlage 3 angegebenen Zeiträumen auszugehen.</v>
      </c>
      <c r="F177" s="45" t="str">
        <f aca="false">IF($R177="","",INDEX(Anforderungen!$G:$G,$R177))</f>
        <v>Im Abschnitt 3.3.2 Vorgehen für Standorte mit Ausbauabsicht heißt es: "Im Rahmen des Vertragszeitraums kann es zu Um- und Ausbauvorhaben an einzelnen Standorten kommen. In diesen Fällen wird die jeweilige Rastanlage etwa 12 UND 18 Monate voll gesperrt." Wir bitten um Erläuterung, ob wir generell von 18 Monaten ausgehen sollen, oder ob es Unterscheidungen zwischen den Standorten bzgl. 12 und 18 Monaten gibt</v>
      </c>
      <c r="G177" s="45" t="str">
        <f aca="false">IF($R177="","",INDEX(Anforderungen!$I:$I,$R177))</f>
        <v>offen</v>
      </c>
      <c r="H177" s="45" t="str">
        <f aca="false">IF($R177="","",INDEX(Anforderungen!$J:$J,$R177))</f>
        <v>–</v>
      </c>
      <c r="I177" s="45" t="str">
        <f aca="false">IF($R177="","",INDEX(Anforderungen!$K:$K,$R177))</f>
        <v>trifft nicht zu</v>
      </c>
      <c r="J177" s="46" t="n">
        <f aca="false">IF($R177="","",INDEX(Anforderungen!$L:$L,$R177))</f>
        <v>0</v>
      </c>
      <c r="K177" s="45" t="str">
        <f aca="false">IF($R177="","",INDEX(Anforderungen!$M:$M,$R177))</f>
        <v>Automatisch ausgewertet: Außerhalb des betrachteten Leistungsumfangs (Schranken, Kennzeichenerfassung, dynamische Anzeige).</v>
      </c>
      <c r="R177" s="0" t="n">
        <f aca="false">IFERROR(MATCH(ROWS($A$14:$A177),$T$7:$T$2000,0)+6,"")</f>
        <v>170</v>
      </c>
      <c r="T177" s="0" t="n">
        <f aca="false">IF(Anforderungen!$B177="","",IF(AND(OR($B5="(alle)",Anforderungen!$K177=$B5),OR($E5="(alle)",Anforderungen!$C177=$E5),OR($H5="(alle)",Anforderungen!$E177=$H5),OR($B7="(alle)",ISNUMBER(SEARCH($B7,Anforderungen!$J177))),OR($E7="(alle)",ISNUMBER(SEARCH($E7,Anforderungen!$I177))),OR($H7="",ISNUMBER(SEARCH($H7,Anforderungen!$F177&amp;" "&amp;Anforderungen!$G177)))),COUNT($T$6:$T176)+1,""))</f>
        <v>171</v>
      </c>
    </row>
    <row r="178" customFormat="false" ht="30" hidden="false" customHeight="true" outlineLevel="0" collapsed="false">
      <c r="A178" s="45" t="str">
        <f aca="false">IF($R178="","",INDEX(Anforderungen!$B:$B,$R178))</f>
        <v>ANF-165</v>
      </c>
      <c r="B178" s="45" t="str">
        <f aca="false">IF($R178="","",INDEX(Anforderungen!$C:$C,$R178))</f>
        <v>Bieterfragenkatalog</v>
      </c>
      <c r="C178" s="45" t="str">
        <f aca="false">IF($R178="","",INDEX(Anforderungen!$D:$D,$R178))</f>
        <v>Nr. 113 / S. 9</v>
      </c>
      <c r="D178" s="45" t="str">
        <f aca="false">IF($R178="","",INDEX(Anforderungen!$E:$E,$R178))</f>
        <v>Flächen &amp; Genehmigungen</v>
      </c>
      <c r="E178" s="45" t="str">
        <f aca="false">IF($R178="","",INDEX(Anforderungen!$F:$F,$R178))</f>
        <v>Klarstellung: Richtigerweise muss an dieser Stelle auf Ziffer 4.11.2 der Vertragsanlage 04: Leistungsbeschreibung Errichtung verwiesen werden.</v>
      </c>
      <c r="F178" s="45" t="str">
        <f aca="false">IF($R178="","",INDEX(Anforderungen!$G:$G,$R178))</f>
        <v>Im Hinblick auf die Entwässerungs- und Abwassereinrichtungen verweist der Vertrag auf Ziffer 4.12.2 der Vertragsanlage 4: Leistungsbeschreibung Errichtung. Wir bitten um Berichtigung der Verweisung.</v>
      </c>
      <c r="G178" s="45" t="str">
        <f aca="false">IF($R178="","",INDEX(Anforderungen!$I:$I,$R178))</f>
        <v>offen</v>
      </c>
      <c r="H178" s="45" t="str">
        <f aca="false">IF($R178="","",INDEX(Anforderungen!$J:$J,$R178))</f>
        <v>–</v>
      </c>
      <c r="I178" s="45" t="str">
        <f aca="false">IF($R178="","",INDEX(Anforderungen!$K:$K,$R178))</f>
        <v>trifft nicht zu</v>
      </c>
      <c r="J178" s="46" t="n">
        <f aca="false">IF($R178="","",INDEX(Anforderungen!$L:$L,$R178))</f>
        <v>0</v>
      </c>
      <c r="K178" s="45" t="str">
        <f aca="false">IF($R178="","",INDEX(Anforderungen!$M:$M,$R178))</f>
        <v>Automatisch ausgewertet: Außerhalb des betrachteten Leistungsumfangs (Schranken, Kennzeichenerfassung, dynamische Anzeige).</v>
      </c>
      <c r="R178" s="0" t="n">
        <f aca="false">IFERROR(MATCH(ROWS($A$14:$A178),$T$7:$T$2000,0)+6,"")</f>
        <v>171</v>
      </c>
      <c r="T178" s="0" t="n">
        <f aca="false">IF(Anforderungen!$B178="","",IF(AND(OR($B5="(alle)",Anforderungen!$K178=$B5),OR($E5="(alle)",Anforderungen!$C178=$E5),OR($H5="(alle)",Anforderungen!$E178=$H5),OR($B7="(alle)",ISNUMBER(SEARCH($B7,Anforderungen!$J178))),OR($E7="(alle)",ISNUMBER(SEARCH($E7,Anforderungen!$I178))),OR($H7="",ISNUMBER(SEARCH($H7,Anforderungen!$F178&amp;" "&amp;Anforderungen!$G178)))),COUNT($T$6:$T177)+1,""))</f>
        <v>172</v>
      </c>
    </row>
    <row r="179" customFormat="false" ht="30" hidden="false" customHeight="true" outlineLevel="0" collapsed="false">
      <c r="A179" s="45" t="str">
        <f aca="false">IF($R179="","",INDEX(Anforderungen!$B:$B,$R179))</f>
        <v>ANF-166</v>
      </c>
      <c r="B179" s="45" t="str">
        <f aca="false">IF($R179="","",INDEX(Anforderungen!$C:$C,$R179))</f>
        <v>Bieterfragenkatalog</v>
      </c>
      <c r="C179" s="45" t="str">
        <f aca="false">IF($R179="","",INDEX(Anforderungen!$D:$D,$R179))</f>
        <v>Nr. 114 / S. 10</v>
      </c>
      <c r="D179" s="45" t="str">
        <f aca="false">IF($R179="","",INDEX(Anforderungen!$E:$E,$R179))</f>
        <v>Technik Ladeinfrastruktur</v>
      </c>
      <c r="E179" s="45" t="str">
        <f aca="false">IF($R179="","",INDEX(Anforderungen!$F:$F,$R179))</f>
        <v>Klarstellung: Die Ladepunkte für das Übernachtladen müssen technisch eine Ladeleistung von min. 150 kW abgeben können.</v>
      </c>
      <c r="F179" s="45" t="str">
        <f aca="false">IF($R179="","",INDEX(Anforderungen!$G:$G,$R179))</f>
        <v>Der Vertrag sieht vor: “Die Nennladeleistung von CCS-Ladepunkten, die nur zum Übernachtladen bestimmt sind, beträgt mindestens 150 kW. Die Mindestladeleistung bei CCS-Ladepunkten zum Zwischen-laden beträgt 400 kW, bei CCS-Ladepunkten zum Übernachtladen 100 kW.“ Dies erscheint mit Blick auf das Übernachtladen nicht eindeutig. Wir bitten um Klarstellung, welche Anforderungen an die Ladeleistung bei Ladepunkten für das Übernachladen gelten.</v>
      </c>
      <c r="G179" s="45" t="str">
        <f aca="false">IF($R179="","",INDEX(Anforderungen!$I:$I,$R179))</f>
        <v>Zuordnung prüfen</v>
      </c>
      <c r="H179" s="45" t="str">
        <f aca="false">IF($R179="","",INDEX(Anforderungen!$J:$J,$R179))</f>
        <v>Zuordnung prüfen</v>
      </c>
      <c r="I179" s="45" t="str">
        <f aca="false">IF($R179="","",INDEX(Anforderungen!$K:$K,$R179))</f>
        <v>trifft nicht zu</v>
      </c>
      <c r="J179" s="46" t="n">
        <f aca="false">IF($R179="","",INDEX(Anforderungen!$L:$L,$R179))</f>
        <v>0</v>
      </c>
      <c r="K179" s="45" t="str">
        <f aca="false">IF($R179="","",INDEX(Anforderungen!$M:$M,$R179))</f>
        <v>Automatisch ausgewertet: Außerhalb des betrachteten Leistungsumfangs (Schranken, Kennzeichenerfassung, dynamische Anzeige).</v>
      </c>
      <c r="R179" s="0" t="n">
        <f aca="false">IFERROR(MATCH(ROWS($A$14:$A179),$T$7:$T$2000,0)+6,"")</f>
        <v>172</v>
      </c>
      <c r="T179" s="0" t="n">
        <f aca="false">IF(Anforderungen!$B179="","",IF(AND(OR($B5="(alle)",Anforderungen!$K179=$B5),OR($E5="(alle)",Anforderungen!$C179=$E5),OR($H5="(alle)",Anforderungen!$E179=$H5),OR($B7="(alle)",ISNUMBER(SEARCH($B7,Anforderungen!$J179))),OR($E7="(alle)",ISNUMBER(SEARCH($E7,Anforderungen!$I179))),OR($H7="",ISNUMBER(SEARCH($H7,Anforderungen!$F179&amp;" "&amp;Anforderungen!$G179)))),COUNT($T$6:$T178)+1,""))</f>
        <v>173</v>
      </c>
    </row>
    <row r="180" customFormat="false" ht="30" hidden="false" customHeight="true" outlineLevel="0" collapsed="false">
      <c r="A180" s="45" t="str">
        <f aca="false">IF($R180="","",INDEX(Anforderungen!$B:$B,$R180))</f>
        <v>ANF-167</v>
      </c>
      <c r="B180" s="45" t="str">
        <f aca="false">IF($R180="","",INDEX(Anforderungen!$C:$C,$R180))</f>
        <v>Bieterfragenkatalog</v>
      </c>
      <c r="C180" s="45" t="str">
        <f aca="false">IF($R180="","",INDEX(Anforderungen!$D:$D,$R180))</f>
        <v>Nr. 115 / S. 10</v>
      </c>
      <c r="D180" s="45" t="str">
        <f aca="false">IF($R180="","",INDEX(Anforderungen!$E:$E,$R180))</f>
        <v>Vertrag &amp; Recht</v>
      </c>
      <c r="E180" s="45" t="str">
        <f aca="false">IF($R180="","",INDEX(Anforderungen!$F:$F,$R180))</f>
        <v>Klarstellung: Die Begriffe „Datenmanipulation und -missbrauch im §62 des Vertrages beziehen sich auch auf nicht personenbezogene Daten.</v>
      </c>
      <c r="F180" s="45" t="str">
        <f aca="false">IF($R180="","",INDEX(Anforderungen!$G:$G,$R180))</f>
        <v>Beziehen sich die Begriffe „Datenmanipulation und -missbrauch“ nur auf personenbezogene Daten im Sinne des Datenschutzrechts oder auch auf nicht-personenbezogene Daten im Sinne der allgemeinen Informationssicherheit?</v>
      </c>
      <c r="G180" s="45" t="str">
        <f aca="false">IF($R180="","",INDEX(Anforderungen!$I:$I,$R180))</f>
        <v>offen</v>
      </c>
      <c r="H180" s="45" t="str">
        <f aca="false">IF($R180="","",INDEX(Anforderungen!$J:$J,$R180))</f>
        <v>–</v>
      </c>
      <c r="I180" s="45" t="str">
        <f aca="false">IF($R180="","",INDEX(Anforderungen!$K:$K,$R180))</f>
        <v>trifft nicht zu</v>
      </c>
      <c r="J180" s="46" t="n">
        <f aca="false">IF($R180="","",INDEX(Anforderungen!$L:$L,$R180))</f>
        <v>0</v>
      </c>
      <c r="K180" s="45" t="str">
        <f aca="false">IF($R180="","",INDEX(Anforderungen!$M:$M,$R180))</f>
        <v>Automatisch ausgewertet: Außerhalb des betrachteten Leistungsumfangs (Schranken, Kennzeichenerfassung, dynamische Anzeige).</v>
      </c>
      <c r="R180" s="0" t="n">
        <f aca="false">IFERROR(MATCH(ROWS($A$14:$A180),$T$7:$T$2000,0)+6,"")</f>
        <v>173</v>
      </c>
      <c r="T180" s="0" t="n">
        <f aca="false">IF(Anforderungen!$B180="","",IF(AND(OR($B5="(alle)",Anforderungen!$K180=$B5),OR($E5="(alle)",Anforderungen!$C180=$E5),OR($H5="(alle)",Anforderungen!$E180=$H5),OR($B7="(alle)",ISNUMBER(SEARCH($B7,Anforderungen!$J180))),OR($E7="(alle)",ISNUMBER(SEARCH($E7,Anforderungen!$I180))),OR($H7="",ISNUMBER(SEARCH($H7,Anforderungen!$F180&amp;" "&amp;Anforderungen!$G180)))),COUNT($T$6:$T179)+1,""))</f>
        <v>174</v>
      </c>
    </row>
    <row r="181" customFormat="false" ht="30" hidden="false" customHeight="true" outlineLevel="0" collapsed="false">
      <c r="A181" s="45" t="str">
        <f aca="false">IF($R181="","",INDEX(Anforderungen!$B:$B,$R181))</f>
        <v>ANF-168</v>
      </c>
      <c r="B181" s="45" t="str">
        <f aca="false">IF($R181="","",INDEX(Anforderungen!$C:$C,$R181))</f>
        <v>Bieterfragenkatalog</v>
      </c>
      <c r="C181" s="45" t="str">
        <f aca="false">IF($R181="","",INDEX(Anforderungen!$D:$D,$R181))</f>
        <v>Nr. 116 / S. 10</v>
      </c>
      <c r="D181" s="45" t="str">
        <f aca="false">IF($R181="","",INDEX(Anforderungen!$E:$E,$R181))</f>
        <v>Bau &amp; Dokumentation</v>
      </c>
      <c r="E181" s="45" t="str">
        <f aca="false">IF($R181="","",INDEX(Anforderungen!$F:$F,$R181))</f>
        <v>Klarstellung: Die Bürgschaft sichert sämtliche Verpflichtungen des AN gegenüber dem AG ab (Abs. 1).</v>
      </c>
      <c r="F181" s="45" t="str">
        <f aca="false">IF($R181="","",INDEX(Anforderungen!$G:$G,$R181))</f>
        <v>Der Vertrag sieht gem. §49.1 vor, dass die Bürgschaft innerhalb von 30 Tagen nach Vertragsschluss vorzulegen ist und für die Erfüllung sämtlicher Leistungspflichten betreffend Planung, Errichtung und Betrieb (einschließlich Zahlngsverpflichtungen) dient. Wir bitten um Klarstellung, inwiefern für die Bürgschaft der Betrieb einschließlich Zahlungsverpflichtungen zu berücksichtigen ist. Weiter heißt es in §49.3f., dass sich die Höhe der Bürgschaft mit der erteilten Betriebsfreigabe eines Standorts um den Betrag verringert, der dem Anteil des Errichtungsentgeltes für diesen Standort an der Gesamtsumme des Netto-Errichtungsentgelts enspricht. Somit wird die Bürgschaft vollständig zurückgegeben, sobald für alle Standorte die Betriebsfreigabe erteilt worden ist. Wir bitten um Erläuterung der Bürgschaft, die zu jedem Zeitpunkt des Vertrags (also auch nach Betriebsfreigabe der Standorte) vorzulegen ist. Wir gehen davon aus, dass die Bürgschaft 100% des Netto-Errichtungsentgelts gem. Preisblatt bis zur Betriebsfreigabe des letzten Standorts abdeckt. Müssen zusätzlich die 50 % des Errichtungsentgelts, die bis zum Vertragsende ausgezahlt werden, im Einklang mit den vierteljährlichen Zahlungen des AG abnehmend abgedeckt werden?</v>
      </c>
      <c r="G181" s="45" t="str">
        <f aca="false">IF($R181="","",INDEX(Anforderungen!$I:$I,$R181))</f>
        <v>offen</v>
      </c>
      <c r="H181" s="45" t="str">
        <f aca="false">IF($R181="","",INDEX(Anforderungen!$J:$J,$R181))</f>
        <v>–</v>
      </c>
      <c r="I181" s="45" t="str">
        <f aca="false">IF($R181="","",INDEX(Anforderungen!$K:$K,$R181))</f>
        <v>trifft nicht zu</v>
      </c>
      <c r="J181" s="46" t="n">
        <f aca="false">IF($R181="","",INDEX(Anforderungen!$L:$L,$R181))</f>
        <v>0</v>
      </c>
      <c r="K181" s="45" t="str">
        <f aca="false">IF($R181="","",INDEX(Anforderungen!$M:$M,$R181))</f>
        <v>Automatisch ausgewertet: Außerhalb des betrachteten Leistungsumfangs (Schranken, Kennzeichenerfassung, dynamische Anzeige).</v>
      </c>
      <c r="R181" s="0" t="n">
        <f aca="false">IFERROR(MATCH(ROWS($A$14:$A181),$T$7:$T$2000,0)+6,"")</f>
        <v>174</v>
      </c>
      <c r="T181" s="0" t="n">
        <f aca="false">IF(Anforderungen!$B181="","",IF(AND(OR($B5="(alle)",Anforderungen!$K181=$B5),OR($E5="(alle)",Anforderungen!$C181=$E5),OR($H5="(alle)",Anforderungen!$E181=$H5),OR($B7="(alle)",ISNUMBER(SEARCH($B7,Anforderungen!$J181))),OR($E7="(alle)",ISNUMBER(SEARCH($E7,Anforderungen!$I181))),OR($H7="",ISNUMBER(SEARCH($H7,Anforderungen!$F181&amp;" "&amp;Anforderungen!$G181)))),COUNT($T$6:$T180)+1,""))</f>
        <v>175</v>
      </c>
    </row>
    <row r="182" customFormat="false" ht="30" hidden="false" customHeight="true" outlineLevel="0" collapsed="false">
      <c r="A182" s="45" t="str">
        <f aca="false">IF($R182="","",INDEX(Anforderungen!$B:$B,$R182))</f>
        <v>ANF-169</v>
      </c>
      <c r="B182" s="45" t="str">
        <f aca="false">IF($R182="","",INDEX(Anforderungen!$C:$C,$R182))</f>
        <v>Bieterfragenkatalog</v>
      </c>
      <c r="C182" s="45" t="str">
        <f aca="false">IF($R182="","",INDEX(Anforderungen!$D:$D,$R182))</f>
        <v>Nr. 117 / S. 10</v>
      </c>
      <c r="D182" s="45" t="str">
        <f aca="false">IF($R182="","",INDEX(Anforderungen!$E:$E,$R182))</f>
        <v>Netzanschluss &amp; Energie</v>
      </c>
      <c r="E182" s="45" t="str">
        <f aca="false">IF($R182="","",INDEX(Anforderungen!$F:$F,$R182))</f>
        <v>Klarstellung: Für die Erstellung der Erstangebote ist davon auszugehen, dass die Erstattung entsprechend §47 quartalsweise erfolgt.</v>
      </c>
      <c r="F182" s="45" t="str">
        <f aca="false">IF($R182="","",INDEX(Anforderungen!$G:$G,$R182))</f>
        <v>Gemäß §43.3 des Vertrags wird der Auftraggeber 1 den Leistungspreis der Netzentgelte erstatten. Wir bitten um Erläuterung, wie die Erstattung Leistungspreises konkret vorgesehen ist. Zu welchen Zeitpunkten während der Vertragslaufzeit wird der Auftragnehmer die Erstattung erhalten?</v>
      </c>
      <c r="G182" s="45" t="str">
        <f aca="false">IF($R182="","",INDEX(Anforderungen!$I:$I,$R182))</f>
        <v>offen</v>
      </c>
      <c r="H182" s="45" t="str">
        <f aca="false">IF($R182="","",INDEX(Anforderungen!$J:$J,$R182))</f>
        <v>–</v>
      </c>
      <c r="I182" s="45" t="str">
        <f aca="false">IF($R182="","",INDEX(Anforderungen!$K:$K,$R182))</f>
        <v>trifft nicht zu</v>
      </c>
      <c r="J182" s="46" t="n">
        <f aca="false">IF($R182="","",INDEX(Anforderungen!$L:$L,$R182))</f>
        <v>0</v>
      </c>
      <c r="K182" s="45" t="str">
        <f aca="false">IF($R182="","",INDEX(Anforderungen!$M:$M,$R182))</f>
        <v>Automatisch ausgewertet: Außerhalb des betrachteten Leistungsumfangs (Schranken, Kennzeichenerfassung, dynamische Anzeige).</v>
      </c>
      <c r="R182" s="0" t="n">
        <f aca="false">IFERROR(MATCH(ROWS($A$14:$A182),$T$7:$T$2000,0)+6,"")</f>
        <v>175</v>
      </c>
      <c r="T182" s="0" t="n">
        <f aca="false">IF(Anforderungen!$B182="","",IF(AND(OR($B5="(alle)",Anforderungen!$K182=$B5),OR($E5="(alle)",Anforderungen!$C182=$E5),OR($H5="(alle)",Anforderungen!$E182=$H5),OR($B7="(alle)",ISNUMBER(SEARCH($B7,Anforderungen!$J182))),OR($E7="(alle)",ISNUMBER(SEARCH($E7,Anforderungen!$I182))),OR($H7="",ISNUMBER(SEARCH($H7,Anforderungen!$F182&amp;" "&amp;Anforderungen!$G182)))),COUNT($T$6:$T181)+1,""))</f>
        <v>176</v>
      </c>
    </row>
    <row r="183" customFormat="false" ht="30" hidden="false" customHeight="true" outlineLevel="0" collapsed="false">
      <c r="A183" s="45" t="str">
        <f aca="false">IF($R183="","",INDEX(Anforderungen!$B:$B,$R183))</f>
        <v>ANF-170</v>
      </c>
      <c r="B183" s="45" t="str">
        <f aca="false">IF($R183="","",INDEX(Anforderungen!$C:$C,$R183))</f>
        <v>Bieterfragenkatalog</v>
      </c>
      <c r="C183" s="45" t="str">
        <f aca="false">IF($R183="","",INDEX(Anforderungen!$D:$D,$R183))</f>
        <v>Nr. 118 / S. 10</v>
      </c>
      <c r="D183" s="45" t="str">
        <f aca="false">IF($R183="","",INDEX(Anforderungen!$E:$E,$R183))</f>
        <v>Netzanschluss &amp; Energie</v>
      </c>
      <c r="E183" s="45" t="str">
        <f aca="false">IF($R183="","",INDEX(Anforderungen!$F:$F,$R183))</f>
        <v>Klarstellung: Um eine Vergleichbarkeit der Erstangebote sicherzustellen, müssen die Kosten für auftretende Verlustenergie – entgegen der Antwort zu Frage 15 - nicht in das Betreiberentgelt eingepreist werden.</v>
      </c>
      <c r="F183" s="45" t="str">
        <f aca="false">IF($R183="","",INDEX(Anforderungen!$G:$G,$R183))</f>
        <v>Bezüglich der Verlustenergie im Durchleitungsmodell schreiben Sie in der Antwort zu Frage 15, diese wäre in das Betreiberentgelt einzupreisen. Über Alternativen, etwa eine pauschale Weitergabe, könne in den Bietergesprächen gesprochen werden. Führt das nicht zu kaum einschätzbaren Risiken auf Seiten der Bieter, da nur schwer eingeschätzt werden kann, ob und wenn ja in welchem Umfang vom Durchleitungsmodell Gebrauch gemacht wird.</v>
      </c>
      <c r="G183" s="45" t="str">
        <f aca="false">IF($R183="","",INDEX(Anforderungen!$I:$I,$R183))</f>
        <v>offen</v>
      </c>
      <c r="H183" s="45" t="str">
        <f aca="false">IF($R183="","",INDEX(Anforderungen!$J:$J,$R183))</f>
        <v>–</v>
      </c>
      <c r="I183" s="45" t="str">
        <f aca="false">IF($R183="","",INDEX(Anforderungen!$K:$K,$R183))</f>
        <v>trifft nicht zu</v>
      </c>
      <c r="J183" s="46" t="n">
        <f aca="false">IF($R183="","",INDEX(Anforderungen!$L:$L,$R183))</f>
        <v>0</v>
      </c>
      <c r="K183" s="45" t="str">
        <f aca="false">IF($R183="","",INDEX(Anforderungen!$M:$M,$R183))</f>
        <v>Automatisch ausgewertet: Außerhalb des betrachteten Leistungsumfangs (Schranken, Kennzeichenerfassung, dynamische Anzeige).</v>
      </c>
      <c r="R183" s="0" t="n">
        <f aca="false">IFERROR(MATCH(ROWS($A$14:$A183),$T$7:$T$2000,0)+6,"")</f>
        <v>176</v>
      </c>
      <c r="T183" s="0" t="n">
        <f aca="false">IF(Anforderungen!$B183="","",IF(AND(OR($B5="(alle)",Anforderungen!$K183=$B5),OR($E5="(alle)",Anforderungen!$C183=$E5),OR($H5="(alle)",Anforderungen!$E183=$H5),OR($B7="(alle)",ISNUMBER(SEARCH($B7,Anforderungen!$J183))),OR($E7="(alle)",ISNUMBER(SEARCH($E7,Anforderungen!$I183))),OR($H7="",ISNUMBER(SEARCH($H7,Anforderungen!$F183&amp;" "&amp;Anforderungen!$G183)))),COUNT($T$6:$T182)+1,""))</f>
        <v>177</v>
      </c>
    </row>
    <row r="184" customFormat="false" ht="30" hidden="false" customHeight="true" outlineLevel="0" collapsed="false">
      <c r="A184" s="45" t="str">
        <f aca="false">IF($R184="","",INDEX(Anforderungen!$B:$B,$R184))</f>
        <v>ANF-171</v>
      </c>
      <c r="B184" s="45" t="str">
        <f aca="false">IF($R184="","",INDEX(Anforderungen!$C:$C,$R184))</f>
        <v>Bieterfragenkatalog</v>
      </c>
      <c r="C184" s="45" t="str">
        <f aca="false">IF($R184="","",INDEX(Anforderungen!$D:$D,$R184))</f>
        <v>Nr. 119 / S. 10</v>
      </c>
      <c r="D184" s="45" t="str">
        <f aca="false">IF($R184="","",INDEX(Anforderungen!$E:$E,$R184))</f>
        <v>Technik Ladeinfrastruktur</v>
      </c>
      <c r="E184" s="45" t="str">
        <f aca="false">IF($R184="","",INDEX(Anforderungen!$F:$F,$R184))</f>
        <v>Klarstellung: Dies ist richtig, es ist keine Kompensation geplant. Der aktuelle Planungsstand ist der Vertragsanlage 3 zu entnehmen.</v>
      </c>
      <c r="F184" s="45" t="str">
        <f aca="false">IF($R184="","",INDEX(Anforderungen!$G:$G,$R184))</f>
        <v>Gehen wir recht in der Annahme, dass im Fall der Vorgabe zur Bereitstellung geringerer Ladeleistung oder zum Betrieb einzelner Ladepunkte im Vertrag keine Kompensation für entgangene Ladeumsätze vorgesehen ist und deshalb dieses Risiko in der Kalkulation des Betreiberentgelts zu berücksichtigen ist? Sollte dies der Fall sein, bitten wir um Mitteilung des aktuellen Planungsstands in wievielen Fällen je Los solche Vorgaben zu erwarten sind.</v>
      </c>
      <c r="G184" s="45" t="str">
        <f aca="false">IF($R184="","",INDEX(Anforderungen!$I:$I,$R184))</f>
        <v>Zuordnung prüfen</v>
      </c>
      <c r="H184" s="45" t="str">
        <f aca="false">IF($R184="","",INDEX(Anforderungen!$J:$J,$R184))</f>
        <v>Zuordnung prüfen</v>
      </c>
      <c r="I184" s="45" t="str">
        <f aca="false">IF($R184="","",INDEX(Anforderungen!$K:$K,$R184))</f>
        <v>trifft nicht zu</v>
      </c>
      <c r="J184" s="46" t="n">
        <f aca="false">IF($R184="","",INDEX(Anforderungen!$L:$L,$R184))</f>
        <v>0</v>
      </c>
      <c r="K184" s="45" t="str">
        <f aca="false">IF($R184="","",INDEX(Anforderungen!$M:$M,$R184))</f>
        <v>Automatisch ausgewertet: Außerhalb des betrachteten Leistungsumfangs (Schranken, Kennzeichenerfassung, dynamische Anzeige).</v>
      </c>
      <c r="R184" s="0" t="n">
        <f aca="false">IFERROR(MATCH(ROWS($A$14:$A184),$T$7:$T$2000,0)+6,"")</f>
        <v>177</v>
      </c>
      <c r="T184" s="0" t="n">
        <f aca="false">IF(Anforderungen!$B184="","",IF(AND(OR($B5="(alle)",Anforderungen!$K184=$B5),OR($E5="(alle)",Anforderungen!$C184=$E5),OR($H5="(alle)",Anforderungen!$E184=$H5),OR($B7="(alle)",ISNUMBER(SEARCH($B7,Anforderungen!$J184))),OR($E7="(alle)",ISNUMBER(SEARCH($E7,Anforderungen!$I184))),OR($H7="",ISNUMBER(SEARCH($H7,Anforderungen!$F184&amp;" "&amp;Anforderungen!$G184)))),COUNT($T$6:$T183)+1,""))</f>
        <v>178</v>
      </c>
    </row>
    <row r="185" customFormat="false" ht="30" hidden="false" customHeight="true" outlineLevel="0" collapsed="false">
      <c r="A185" s="45" t="str">
        <f aca="false">IF($R185="","",INDEX(Anforderungen!$B:$B,$R185))</f>
        <v>ANF-172</v>
      </c>
      <c r="B185" s="45" t="str">
        <f aca="false">IF($R185="","",INDEX(Anforderungen!$C:$C,$R185))</f>
        <v>Bieterfragenkatalog</v>
      </c>
      <c r="C185" s="45" t="str">
        <f aca="false">IF($R185="","",INDEX(Anforderungen!$D:$D,$R185))</f>
        <v>Nr. 120 / S. 10</v>
      </c>
      <c r="D185" s="45" t="str">
        <f aca="false">IF($R185="","",INDEX(Anforderungen!$E:$E,$R185))</f>
        <v>Netzanschluss &amp; Energie</v>
      </c>
      <c r="E185" s="45" t="str">
        <f aca="false">IF($R185="","",INDEX(Anforderungen!$F:$F,$R185))</f>
        <v>Verweis des Auftraggebers auf die Antwort zu Bieterfrage 47.</v>
      </c>
      <c r="F185" s="45" t="str">
        <f aca="false">IF($R185="","",INDEX(Anforderungen!$G:$G,$R185))</f>
        <v>Erfüllen diese potentiellen Speicher die Vorgaben der VDE 4110 mit Verfügbarkeit von Einheitenzertifikaten, sodass für einen netzdienlichen Betrieb zur Teilnahme am Regelenergiemarkt auch das erforderliche Anlagenzertifikat durch den AG 2 beigebracht werden kann?</v>
      </c>
      <c r="G185" s="45" t="str">
        <f aca="false">IF($R185="","",INDEX(Anforderungen!$I:$I,$R185))</f>
        <v>offen</v>
      </c>
      <c r="H185" s="45" t="str">
        <f aca="false">IF($R185="","",INDEX(Anforderungen!$J:$J,$R185))</f>
        <v>–</v>
      </c>
      <c r="I185" s="45" t="str">
        <f aca="false">IF($R185="","",INDEX(Anforderungen!$K:$K,$R185))</f>
        <v>trifft nicht zu</v>
      </c>
      <c r="J185" s="46" t="n">
        <f aca="false">IF($R185="","",INDEX(Anforderungen!$L:$L,$R185))</f>
        <v>0</v>
      </c>
      <c r="K185" s="45" t="str">
        <f aca="false">IF($R185="","",INDEX(Anforderungen!$M:$M,$R185))</f>
        <v>Automatisch ausgewertet: Die Antwort des Auftraggebers verweist ausschließlich auf Bieterfrage 47. Keine eigenständige Anforderung – der Inhalt ist unter der dort erfassten Zeile nachzuhalten.</v>
      </c>
      <c r="R185" s="0" t="n">
        <f aca="false">IFERROR(MATCH(ROWS($A$14:$A185),$T$7:$T$2000,0)+6,"")</f>
        <v>178</v>
      </c>
      <c r="T185" s="0" t="n">
        <f aca="false">IF(Anforderungen!$B185="","",IF(AND(OR($B5="(alle)",Anforderungen!$K185=$B5),OR($E5="(alle)",Anforderungen!$C185=$E5),OR($H5="(alle)",Anforderungen!$E185=$H5),OR($B7="(alle)",ISNUMBER(SEARCH($B7,Anforderungen!$J185))),OR($E7="(alle)",ISNUMBER(SEARCH($E7,Anforderungen!$I185))),OR($H7="",ISNUMBER(SEARCH($H7,Anforderungen!$F185&amp;" "&amp;Anforderungen!$G185)))),COUNT($T$6:$T184)+1,""))</f>
        <v>179</v>
      </c>
    </row>
    <row r="186" customFormat="false" ht="30" hidden="false" customHeight="true" outlineLevel="0" collapsed="false">
      <c r="A186" s="45" t="str">
        <f aca="false">IF($R186="","",INDEX(Anforderungen!$B:$B,$R186))</f>
        <v>ANF-173</v>
      </c>
      <c r="B186" s="45" t="str">
        <f aca="false">IF($R186="","",INDEX(Anforderungen!$C:$C,$R186))</f>
        <v>Bieterfragenkatalog</v>
      </c>
      <c r="C186" s="45" t="str">
        <f aca="false">IF($R186="","",INDEX(Anforderungen!$D:$D,$R186))</f>
        <v>Nr. 121 / S. 10</v>
      </c>
      <c r="D186" s="45" t="str">
        <f aca="false">IF($R186="","",INDEX(Anforderungen!$E:$E,$R186))</f>
        <v>Vertrag &amp; Recht</v>
      </c>
      <c r="E186" s="45" t="str">
        <f aca="false">IF($R186="","",INDEX(Anforderungen!$F:$F,$R186))</f>
        <v>Klarstellung: Die Forderung an eine externe Versorgung von elektrischen Trailern mittels eigenständiger oder kombinierter Spannungsversorgung bleibt bestehen.</v>
      </c>
      <c r="F186" s="45" t="str">
        <f aca="false">IF($R186="","",INDEX(Anforderungen!$G:$G,$R186))</f>
        <v>Nach Einschätzung aktueller Markttrends und der Entwicklung im eLKW-Segment werden elektrische Trailer mit einem ePTO geplant, um über die HV Batterie des LKWs mit Strom versorgt zu werden. Vor diesem Hintergrund: Werden die AG an der Vorgabe zum sog. Trailerladen festhalten, obwohl dies zu deutlich höheren Mehrkosten führen wird? Zur Vergleichbarkeit und Vereinheitlichung der Standortkonzepte bitten wir um eine Konkretisierung der Vorgaben zur Ausgestaltung des Trailerladens.</v>
      </c>
      <c r="G186" s="45" t="str">
        <f aca="false">IF($R186="","",INDEX(Anforderungen!$I:$I,$R186))</f>
        <v>offen</v>
      </c>
      <c r="H186" s="45" t="str">
        <f aca="false">IF($R186="","",INDEX(Anforderungen!$J:$J,$R186))</f>
        <v>–</v>
      </c>
      <c r="I186" s="45" t="str">
        <f aca="false">IF($R186="","",INDEX(Anforderungen!$K:$K,$R186))</f>
        <v>trifft nicht zu</v>
      </c>
      <c r="J186" s="46" t="n">
        <f aca="false">IF($R186="","",INDEX(Anforderungen!$L:$L,$R186))</f>
        <v>0</v>
      </c>
      <c r="K186" s="45" t="str">
        <f aca="false">IF($R186="","",INDEX(Anforderungen!$M:$M,$R186))</f>
        <v>Automatisch ausgewertet: Außerhalb des betrachteten Leistungsumfangs (Schranken, Kennzeichenerfassung, dynamische Anzeige).</v>
      </c>
      <c r="R186" s="0" t="n">
        <f aca="false">IFERROR(MATCH(ROWS($A$14:$A186),$T$7:$T$2000,0)+6,"")</f>
        <v>179</v>
      </c>
      <c r="T186" s="0" t="n">
        <f aca="false">IF(Anforderungen!$B186="","",IF(AND(OR($B5="(alle)",Anforderungen!$K186=$B5),OR($E5="(alle)",Anforderungen!$C186=$E5),OR($H5="(alle)",Anforderungen!$E186=$H5),OR($B7="(alle)",ISNUMBER(SEARCH($B7,Anforderungen!$J186))),OR($E7="(alle)",ISNUMBER(SEARCH($E7,Anforderungen!$I186))),OR($H7="",ISNUMBER(SEARCH($H7,Anforderungen!$F186&amp;" "&amp;Anforderungen!$G186)))),COUNT($T$6:$T185)+1,""))</f>
        <v>180</v>
      </c>
    </row>
    <row r="187" customFormat="false" ht="30" hidden="false" customHeight="true" outlineLevel="0" collapsed="false">
      <c r="A187" s="45" t="str">
        <f aca="false">IF($R187="","",INDEX(Anforderungen!$B:$B,$R187))</f>
        <v>ANF-174</v>
      </c>
      <c r="B187" s="45" t="str">
        <f aca="false">IF($R187="","",INDEX(Anforderungen!$C:$C,$R187))</f>
        <v>Bieterfragenkatalog</v>
      </c>
      <c r="C187" s="45" t="str">
        <f aca="false">IF($R187="","",INDEX(Anforderungen!$D:$D,$R187))</f>
        <v>Nr. 122 / S. 11</v>
      </c>
      <c r="D187" s="45" t="str">
        <f aca="false">IF($R187="","",INDEX(Anforderungen!$E:$E,$R187))</f>
        <v>Betrieb &amp; Auslastung</v>
      </c>
      <c r="E187" s="45" t="str">
        <f aca="false">IF($R187="","",INDEX(Anforderungen!$F:$F,$R187))</f>
        <v>Klarstellung: Die Auslastung der Ladepunkte stellt eine prognostische Entscheidung dar, die aus Erfahrungswerten abzuleiten ist.</v>
      </c>
      <c r="F187" s="45" t="str">
        <f aca="false">IF($R187="","",INDEX(Anforderungen!$G:$G,$R187))</f>
        <v>Bitte definieren Sie in diesem Kontext die Begrifflichkeit "fehlende Auslastung." Gehen wir recht in der Annahme, dass keine baulichen Vorkehrungen zur Freihaltung der Ladepunkte einzukalkulieren sind.</v>
      </c>
      <c r="G187" s="45" t="str">
        <f aca="false">IF($R187="","",INDEX(Anforderungen!$I:$I,$R187))</f>
        <v>Zuordnung prüfen</v>
      </c>
      <c r="H187" s="45" t="str">
        <f aca="false">IF($R187="","",INDEX(Anforderungen!$J:$J,$R187))</f>
        <v>Zuordnung prüfen</v>
      </c>
      <c r="I187" s="45" t="str">
        <f aca="false">IF($R187="","",INDEX(Anforderungen!$K:$K,$R187))</f>
        <v>trifft nicht zu</v>
      </c>
      <c r="J187" s="46" t="n">
        <f aca="false">IF($R187="","",INDEX(Anforderungen!$L:$L,$R187))</f>
        <v>0</v>
      </c>
      <c r="K187" s="45" t="str">
        <f aca="false">IF($R187="","",INDEX(Anforderungen!$M:$M,$R187))</f>
        <v>Automatisch ausgewertet: Außerhalb des betrachteten Leistungsumfangs (Schranken, Kennzeichenerfassung, dynamische Anzeige).</v>
      </c>
      <c r="R187" s="0" t="n">
        <f aca="false">IFERROR(MATCH(ROWS($A$14:$A187),$T$7:$T$2000,0)+6,"")</f>
        <v>180</v>
      </c>
      <c r="T187" s="0" t="n">
        <f aca="false">IF(Anforderungen!$B187="","",IF(AND(OR($B5="(alle)",Anforderungen!$K187=$B5),OR($E5="(alle)",Anforderungen!$C187=$E5),OR($H5="(alle)",Anforderungen!$E187=$H5),OR($B7="(alle)",ISNUMBER(SEARCH($B7,Anforderungen!$J187))),OR($E7="(alle)",ISNUMBER(SEARCH($E7,Anforderungen!$I187))),OR($H7="",ISNUMBER(SEARCH($H7,Anforderungen!$F187&amp;" "&amp;Anforderungen!$G187)))),COUNT($T$6:$T186)+1,""))</f>
        <v>181</v>
      </c>
    </row>
    <row r="188" customFormat="false" ht="30" hidden="false" customHeight="true" outlineLevel="0" collapsed="false">
      <c r="A188" s="45" t="str">
        <f aca="false">IF($R188="","",INDEX(Anforderungen!$B:$B,$R188))</f>
        <v>ANF-175</v>
      </c>
      <c r="B188" s="45" t="str">
        <f aca="false">IF($R188="","",INDEX(Anforderungen!$C:$C,$R188))</f>
        <v>Bieterfragenkatalog</v>
      </c>
      <c r="C188" s="45" t="str">
        <f aca="false">IF($R188="","",INDEX(Anforderungen!$D:$D,$R188))</f>
        <v>Nr. 123 / S. 11</v>
      </c>
      <c r="D188" s="45" t="str">
        <f aca="false">IF($R188="","",INDEX(Anforderungen!$E:$E,$R188))</f>
        <v>Technik Ladeinfrastruktur</v>
      </c>
      <c r="E188" s="45" t="str">
        <f aca="false">IF($R188="","",INDEX(Anforderungen!$F:$F,$R188))</f>
        <v>Bestätigt: davon kann für die Abgabe der Erstangebote ausgegangen werden.</v>
      </c>
      <c r="F188" s="45" t="str">
        <f aca="false">IF($R188="","",INDEX(Anforderungen!$G:$G,$R188))</f>
        <v>Gehen wir recht in der Annahme, dass der AG abweichende Vorgaben zur Freigabe von Ladepunkten zum Zwischenladen standortspezifisch lediglich nach Abstimmung mit dem AN festlegen kann?</v>
      </c>
      <c r="G188" s="45" t="str">
        <f aca="false">IF($R188="","",INDEX(Anforderungen!$I:$I,$R188))</f>
        <v>Zuordnung prüfen</v>
      </c>
      <c r="H188" s="45" t="str">
        <f aca="false">IF($R188="","",INDEX(Anforderungen!$J:$J,$R188))</f>
        <v>Zuordnung prüfen</v>
      </c>
      <c r="I188" s="45" t="str">
        <f aca="false">IF($R188="","",INDEX(Anforderungen!$K:$K,$R188))</f>
        <v>trifft nicht zu</v>
      </c>
      <c r="J188" s="46" t="n">
        <f aca="false">IF($R188="","",INDEX(Anforderungen!$L:$L,$R188))</f>
        <v>0</v>
      </c>
      <c r="K188" s="45" t="str">
        <f aca="false">IF($R188="","",INDEX(Anforderungen!$M:$M,$R188))</f>
        <v>Automatisch ausgewertet: Außerhalb des betrachteten Leistungsumfangs (Schranken, Kennzeichenerfassung, dynamische Anzeige).</v>
      </c>
      <c r="R188" s="0" t="n">
        <f aca="false">IFERROR(MATCH(ROWS($A$14:$A188),$T$7:$T$2000,0)+6,"")</f>
        <v>181</v>
      </c>
      <c r="T188" s="0" t="n">
        <f aca="false">IF(Anforderungen!$B188="","",IF(AND(OR($B5="(alle)",Anforderungen!$K188=$B5),OR($E5="(alle)",Anforderungen!$C188=$E5),OR($H5="(alle)",Anforderungen!$E188=$H5),OR($B7="(alle)",ISNUMBER(SEARCH($B7,Anforderungen!$J188))),OR($E7="(alle)",ISNUMBER(SEARCH($E7,Anforderungen!$I188))),OR($H7="",ISNUMBER(SEARCH($H7,Anforderungen!$F188&amp;" "&amp;Anforderungen!$G188)))),COUNT($T$6:$T187)+1,""))</f>
        <v>182</v>
      </c>
    </row>
    <row r="189" customFormat="false" ht="30" hidden="false" customHeight="true" outlineLevel="0" collapsed="false">
      <c r="A189" s="45" t="str">
        <f aca="false">IF($R189="","",INDEX(Anforderungen!$B:$B,$R189))</f>
        <v>ANF-176</v>
      </c>
      <c r="B189" s="45" t="str">
        <f aca="false">IF($R189="","",INDEX(Anforderungen!$C:$C,$R189))</f>
        <v>Bieterfragenkatalog</v>
      </c>
      <c r="C189" s="45" t="str">
        <f aca="false">IF($R189="","",INDEX(Anforderungen!$D:$D,$R189))</f>
        <v>Nr. 124 / S. 11</v>
      </c>
      <c r="D189" s="45" t="str">
        <f aca="false">IF($R189="","",INDEX(Anforderungen!$E:$E,$R189))</f>
        <v>Vertrag &amp; Recht</v>
      </c>
      <c r="E189" s="45" t="str">
        <f aca="false">IF($R189="","",INDEX(Anforderungen!$F:$F,$R189))</f>
        <v>Klarstellung: Hinsichtlich der Freianlagen richtet sich die (Wieder-) Herstellung der Oberflächen nach Kap.</v>
      </c>
      <c r="F189" s="45" t="str">
        <f aca="false">IF($R189="","",INDEX(Anforderungen!$G:$G,$R189))</f>
        <v>Bitte konkretisieren Sie, ob Oberflächen nach der Installation der Infrastruktur wieder hergestellt werden müssen, wie Sie vor der Installation vorgefunden wurden.</v>
      </c>
      <c r="G189" s="45" t="str">
        <f aca="false">IF($R189="","",INDEX(Anforderungen!$I:$I,$R189))</f>
        <v>offen</v>
      </c>
      <c r="H189" s="45" t="str">
        <f aca="false">IF($R189="","",INDEX(Anforderungen!$J:$J,$R189))</f>
        <v>–</v>
      </c>
      <c r="I189" s="45" t="str">
        <f aca="false">IF($R189="","",INDEX(Anforderungen!$K:$K,$R189))</f>
        <v>trifft nicht zu</v>
      </c>
      <c r="J189" s="46" t="n">
        <f aca="false">IF($R189="","",INDEX(Anforderungen!$L:$L,$R189))</f>
        <v>0</v>
      </c>
      <c r="K189" s="45" t="str">
        <f aca="false">IF($R189="","",INDEX(Anforderungen!$M:$M,$R189))</f>
        <v>Automatisch ausgewertet: Außerhalb des betrachteten Leistungsumfangs (Schranken, Kennzeichenerfassung, dynamische Anzeige).</v>
      </c>
      <c r="R189" s="0" t="n">
        <f aca="false">IFERROR(MATCH(ROWS($A$14:$A189),$T$7:$T$2000,0)+6,"")</f>
        <v>182</v>
      </c>
      <c r="T189" s="0" t="n">
        <f aca="false">IF(Anforderungen!$B189="","",IF(AND(OR($B5="(alle)",Anforderungen!$K189=$B5),OR($E5="(alle)",Anforderungen!$C189=$E5),OR($H5="(alle)",Anforderungen!$E189=$H5),OR($B7="(alle)",ISNUMBER(SEARCH($B7,Anforderungen!$J189))),OR($E7="(alle)",ISNUMBER(SEARCH($E7,Anforderungen!$I189))),OR($H7="",ISNUMBER(SEARCH($H7,Anforderungen!$F189&amp;" "&amp;Anforderungen!$G189)))),COUNT($T$6:$T188)+1,""))</f>
        <v>183</v>
      </c>
    </row>
    <row r="190" customFormat="false" ht="30" hidden="false" customHeight="true" outlineLevel="0" collapsed="false">
      <c r="A190" s="45" t="str">
        <f aca="false">IF($R190="","",INDEX(Anforderungen!$B:$B,$R190))</f>
        <v>ANF-177</v>
      </c>
      <c r="B190" s="45" t="str">
        <f aca="false">IF($R190="","",INDEX(Anforderungen!$C:$C,$R190))</f>
        <v>Bieterfragenkatalog</v>
      </c>
      <c r="C190" s="45" t="str">
        <f aca="false">IF($R190="","",INDEX(Anforderungen!$D:$D,$R190))</f>
        <v>Nr. 125 / S. 11</v>
      </c>
      <c r="D190" s="45" t="str">
        <f aca="false">IF($R190="","",INDEX(Anforderungen!$E:$E,$R190))</f>
        <v>Reservierung</v>
      </c>
      <c r="E190" s="45" t="str">
        <f aca="false">IF($R190="","",INDEX(Anforderungen!$F:$F,$R190))</f>
        <v>Verneint: die Entwicklung eines zentralen Reservierungssystems durch die AG ist nicht geplant.</v>
      </c>
      <c r="F190" s="45" t="str">
        <f aca="false">IF($R190="","",INDEX(Anforderungen!$G:$G,$R190))</f>
        <v>Planen die AGs ein zentrales Reservierungssystem für das LKW-Schnellladenetz zu entwickeln oder ist die Erwartungshaltung, dass der AN weiterhin eine eigene Lösung entwickelt? Im Falle eines zentralen Reservierungssystems: Steht das zentrale Reservierungssystem bereits fest?</v>
      </c>
      <c r="G190" s="45" t="str">
        <f aca="false">IF($R190="","",INDEX(Anforderungen!$I:$I,$R190))</f>
        <v>eRound / Reservierungsplattform</v>
      </c>
      <c r="H190" s="45" t="str">
        <f aca="false">IF($R190="","",INDEX(Anforderungen!$J:$J,$R190))</f>
        <v>OCPI Buchungskalender / Reservierungsplattform</v>
      </c>
      <c r="I190" s="45" t="str">
        <f aca="false">IF($R190="","",INDEX(Anforderungen!$K:$K,$R190))</f>
        <v>trifft nicht zu</v>
      </c>
      <c r="J190" s="46" t="n">
        <f aca="false">IF($R190="","",INDEX(Anforderungen!$L:$L,$R190))</f>
        <v>0</v>
      </c>
      <c r="K190" s="45" t="str">
        <f aca="false">IF($R190="","",INDEX(Anforderungen!$M:$M,$R190))</f>
        <v>Automatisch ausgewertet: Außerhalb des betrachteten Leistungsumfangs (Schranken, Kennzeichenerfassung, dynamische Anzeige).</v>
      </c>
      <c r="R190" s="0" t="n">
        <f aca="false">IFERROR(MATCH(ROWS($A$14:$A190),$T$7:$T$2000,0)+6,"")</f>
        <v>183</v>
      </c>
      <c r="T190" s="0" t="n">
        <f aca="false">IF(Anforderungen!$B190="","",IF(AND(OR($B5="(alle)",Anforderungen!$K190=$B5),OR($E5="(alle)",Anforderungen!$C190=$E5),OR($H5="(alle)",Anforderungen!$E190=$H5),OR($B7="(alle)",ISNUMBER(SEARCH($B7,Anforderungen!$J190))),OR($E7="(alle)",ISNUMBER(SEARCH($E7,Anforderungen!$I190))),OR($H7="",ISNUMBER(SEARCH($H7,Anforderungen!$F190&amp;" "&amp;Anforderungen!$G190)))),COUNT($T$6:$T189)+1,""))</f>
        <v>184</v>
      </c>
    </row>
    <row r="191" customFormat="false" ht="30" hidden="false" customHeight="true" outlineLevel="0" collapsed="false">
      <c r="A191" s="45" t="str">
        <f aca="false">IF($R191="","",INDEX(Anforderungen!$B:$B,$R191))</f>
        <v>ANF-178</v>
      </c>
      <c r="B191" s="45" t="str">
        <f aca="false">IF($R191="","",INDEX(Anforderungen!$C:$C,$R191))</f>
        <v>Bieterfragenkatalog</v>
      </c>
      <c r="C191" s="45" t="str">
        <f aca="false">IF($R191="","",INDEX(Anforderungen!$D:$D,$R191))</f>
        <v>Nr. 126 / S. 11</v>
      </c>
      <c r="D191" s="45" t="str">
        <f aca="false">IF($R191="","",INDEX(Anforderungen!$E:$E,$R191))</f>
        <v>Authentifizierung &amp; Zugang</v>
      </c>
      <c r="E191" s="45" t="str">
        <f aca="false">IF($R191="","",INDEX(Anforderungen!$F:$F,$R191))</f>
        <v>Klarstellung: Es ist nicht vorgesehen, dass der Ad-hoc-Preis von den Auftraggebern vorgegeben wird. Bei der Kalkulation und Festsetzung des Ad-hoc-Preises sind jedoch die Vorgaben des § 26 des Vertrages zu beachten.</v>
      </c>
      <c r="F191" s="45" t="str">
        <f aca="false">IF($R191="","",INDEX(Anforderungen!$G:$G,$R191))</f>
        <v>In §26 heißt es, dass der Strompreis für Ad-hoc-Ladevorgänge „angemessen“ und „transparent“ sein muss. Könnten Sie bitte präzisieren, ob Sie planen, die Preisfestsetzung durch die Betreiber in irgendeiner Weise einzuschränken, und wenn ja, in welcher Form?</v>
      </c>
      <c r="G191" s="45" t="str">
        <f aca="false">IF($R191="","",INDEX(Anforderungen!$I:$I,$R191))</f>
        <v>eRound</v>
      </c>
      <c r="H191" s="45" t="str">
        <f aca="false">IF($R191="","",INDEX(Anforderungen!$J:$J,$R191))</f>
        <v>Authentifizierungskomponente / Abrechnungskomponente</v>
      </c>
      <c r="I191" s="45" t="str">
        <f aca="false">IF($R191="","",INDEX(Anforderungen!$K:$K,$R191))</f>
        <v>trifft nicht zu</v>
      </c>
      <c r="J191" s="46" t="n">
        <f aca="false">IF($R191="","",INDEX(Anforderungen!$L:$L,$R191))</f>
        <v>0</v>
      </c>
      <c r="K191" s="45" t="str">
        <f aca="false">IF($R191="","",INDEX(Anforderungen!$M:$M,$R191))</f>
        <v>Automatisch ausgewertet: Außerhalb des betrachteten Leistungsumfangs (Schranken, Kennzeichenerfassung, dynamische Anzeige).</v>
      </c>
      <c r="R191" s="0" t="n">
        <f aca="false">IFERROR(MATCH(ROWS($A$14:$A191),$T$7:$T$2000,0)+6,"")</f>
        <v>184</v>
      </c>
      <c r="T191" s="0" t="n">
        <f aca="false">IF(Anforderungen!$B191="","",IF(AND(OR($B5="(alle)",Anforderungen!$K191=$B5),OR($E5="(alle)",Anforderungen!$C191=$E5),OR($H5="(alle)",Anforderungen!$E191=$H5),OR($B7="(alle)",ISNUMBER(SEARCH($B7,Anforderungen!$J191))),OR($E7="(alle)",ISNUMBER(SEARCH($E7,Anforderungen!$I191))),OR($H7="",ISNUMBER(SEARCH($H7,Anforderungen!$F191&amp;" "&amp;Anforderungen!$G191)))),COUNT($T$6:$T190)+1,""))</f>
        <v>185</v>
      </c>
    </row>
    <row r="192" customFormat="false" ht="30" hidden="false" customHeight="true" outlineLevel="0" collapsed="false">
      <c r="A192" s="45" t="str">
        <f aca="false">IF($R192="","",INDEX(Anforderungen!$B:$B,$R192))</f>
        <v>ANF-179</v>
      </c>
      <c r="B192" s="45" t="str">
        <f aca="false">IF($R192="","",INDEX(Anforderungen!$C:$C,$R192))</f>
        <v>Bieterfragenkatalog</v>
      </c>
      <c r="C192" s="45" t="str">
        <f aca="false">IF($R192="","",INDEX(Anforderungen!$D:$D,$R192))</f>
        <v>Nr. 127 / S. 11</v>
      </c>
      <c r="D192" s="45" t="str">
        <f aca="false">IF($R192="","",INDEX(Anforderungen!$E:$E,$R192))</f>
        <v>Vergabeverfahren &amp; Angebot</v>
      </c>
      <c r="E192" s="45" t="str">
        <f aca="false">IF($R192="","",INDEX(Anforderungen!$F:$F,$R192))</f>
        <v>Bestätigt: dies ist möglich. Das Formblatt A6 dient der Vorbereitung der Bieterverhandlungen, um Verhandlungsbedarfe der Bieter zu kennen und sie zum Gegenstand der Bieterverhandlungen zu machen.</v>
      </c>
      <c r="F192" s="45" t="str">
        <f aca="false">IF($R192="","",INDEX(Anforderungen!$G:$G,$R192))</f>
        <v>Können Sie bestätigen, dass Bieter in späteren Phasen über dem in Dokument A6 angegebenen „Verhandlungsbedarf“ hinaus weitere Anmerkungen zu den Hauptverträgen machen dürfen?</v>
      </c>
      <c r="G192" s="45" t="str">
        <f aca="false">IF($R192="","",INDEX(Anforderungen!$I:$I,$R192))</f>
        <v>offen</v>
      </c>
      <c r="H192" s="45" t="str">
        <f aca="false">IF($R192="","",INDEX(Anforderungen!$J:$J,$R192))</f>
        <v>–</v>
      </c>
      <c r="I192" s="45" t="str">
        <f aca="false">IF($R192="","",INDEX(Anforderungen!$K:$K,$R192))</f>
        <v>trifft nicht zu</v>
      </c>
      <c r="J192" s="46" t="n">
        <f aca="false">IF($R192="","",INDEX(Anforderungen!$L:$L,$R192))</f>
        <v>0</v>
      </c>
      <c r="K192" s="45" t="str">
        <f aca="false">IF($R192="","",INDEX(Anforderungen!$M:$M,$R192))</f>
        <v>Automatisch ausgewertet: Betrifft das Vergabeverfahren (Angebot, Wertung, Unterlagen), nicht die zu erbringende Leistung. Keiner Komponente zugeordnet.</v>
      </c>
      <c r="R192" s="0" t="n">
        <f aca="false">IFERROR(MATCH(ROWS($A$14:$A192),$T$7:$T$2000,0)+6,"")</f>
        <v>185</v>
      </c>
      <c r="T192" s="0" t="n">
        <f aca="false">IF(Anforderungen!$B192="","",IF(AND(OR($B5="(alle)",Anforderungen!$K192=$B5),OR($E5="(alle)",Anforderungen!$C192=$E5),OR($H5="(alle)",Anforderungen!$E192=$H5),OR($B7="(alle)",ISNUMBER(SEARCH($B7,Anforderungen!$J192))),OR($E7="(alle)",ISNUMBER(SEARCH($E7,Anforderungen!$I192))),OR($H7="",ISNUMBER(SEARCH($H7,Anforderungen!$F192&amp;" "&amp;Anforderungen!$G192)))),COUNT($T$6:$T191)+1,""))</f>
        <v>186</v>
      </c>
    </row>
    <row r="193" customFormat="false" ht="30" hidden="false" customHeight="true" outlineLevel="0" collapsed="false">
      <c r="A193" s="45" t="str">
        <f aca="false">IF($R193="","",INDEX(Anforderungen!$B:$B,$R193))</f>
        <v>ANF-180</v>
      </c>
      <c r="B193" s="45" t="str">
        <f aca="false">IF($R193="","",INDEX(Anforderungen!$C:$C,$R193))</f>
        <v>Bieterfragenkatalog</v>
      </c>
      <c r="C193" s="45" t="str">
        <f aca="false">IF($R193="","",INDEX(Anforderungen!$D:$D,$R193))</f>
        <v>Nr. 128 / S. 11</v>
      </c>
      <c r="D193" s="45" t="str">
        <f aca="false">IF($R193="","",INDEX(Anforderungen!$E:$E,$R193))</f>
        <v>Vergabeverfahren &amp; Angebot</v>
      </c>
      <c r="E193" s="45" t="str">
        <f aca="false">IF($R193="","",INDEX(Anforderungen!$F:$F,$R193))</f>
        <v>Verneint: es gibt keinen Mindestpreis.</v>
      </c>
      <c r="F193" s="45" t="str">
        <f aca="false">IF($R193="","",INDEX(Anforderungen!$G:$G,$R193))</f>
        <v>Gibt es einen Mindestpreis für das Bau- und Betreiberentgeld, die von den Bietern festgelegt werden müssen? Oder dürfen die Bieter das Geschäftsrisiko selbst tragen, wenn sie hohe Einnahmen aus dem Stromverkauf erwarten?</v>
      </c>
      <c r="G193" s="45" t="str">
        <f aca="false">IF($R193="","",INDEX(Anforderungen!$I:$I,$R193))</f>
        <v>offen</v>
      </c>
      <c r="H193" s="45" t="str">
        <f aca="false">IF($R193="","",INDEX(Anforderungen!$J:$J,$R193))</f>
        <v>–</v>
      </c>
      <c r="I193" s="45" t="str">
        <f aca="false">IF($R193="","",INDEX(Anforderungen!$K:$K,$R193))</f>
        <v>trifft nicht zu</v>
      </c>
      <c r="J193" s="46" t="n">
        <f aca="false">IF($R193="","",INDEX(Anforderungen!$L:$L,$R193))</f>
        <v>0</v>
      </c>
      <c r="K193" s="45" t="str">
        <f aca="false">IF($R193="","",INDEX(Anforderungen!$M:$M,$R193))</f>
        <v>Automatisch ausgewertet: Betrifft das Vergabeverfahren (Angebot, Wertung, Unterlagen), nicht die zu erbringende Leistung. Keiner Komponente zugeordnet.</v>
      </c>
      <c r="R193" s="0" t="n">
        <f aca="false">IFERROR(MATCH(ROWS($A$14:$A193),$T$7:$T$2000,0)+6,"")</f>
        <v>186</v>
      </c>
      <c r="T193" s="0" t="n">
        <f aca="false">IF(Anforderungen!$B193="","",IF(AND(OR($B5="(alle)",Anforderungen!$K193=$B5),OR($E5="(alle)",Anforderungen!$C193=$E5),OR($H5="(alle)",Anforderungen!$E193=$H5),OR($B7="(alle)",ISNUMBER(SEARCH($B7,Anforderungen!$J193))),OR($E7="(alle)",ISNUMBER(SEARCH($E7,Anforderungen!$I193))),OR($H7="",ISNUMBER(SEARCH($H7,Anforderungen!$F193&amp;" "&amp;Anforderungen!$G193)))),COUNT($T$6:$T192)+1,""))</f>
        <v>187</v>
      </c>
    </row>
    <row r="194" customFormat="false" ht="30" hidden="false" customHeight="true" outlineLevel="0" collapsed="false">
      <c r="A194" s="45" t="str">
        <f aca="false">IF($R194="","",INDEX(Anforderungen!$B:$B,$R194))</f>
        <v>ANF-181</v>
      </c>
      <c r="B194" s="45" t="str">
        <f aca="false">IF($R194="","",INDEX(Anforderungen!$C:$C,$R194))</f>
        <v>Bieterfragenkatalog</v>
      </c>
      <c r="C194" s="45" t="str">
        <f aca="false">IF($R194="","",INDEX(Anforderungen!$D:$D,$R194))</f>
        <v>Nr. 129 / S. 11</v>
      </c>
      <c r="D194" s="45" t="str">
        <f aca="false">IF($R194="","",INDEX(Anforderungen!$E:$E,$R194))</f>
        <v>Netzanschluss &amp; Energie</v>
      </c>
      <c r="E194" s="45" t="str">
        <f aca="false">IF($R194="","",INDEX(Anforderungen!$F:$F,$R194))</f>
        <v>Klarstellung: Siehe Antwort auf die Bieterfragen 45-47. Der AG wird den Bietern die entsprechenden Infromationen zur Verfügung stellen, sobald dies möglich ist.</v>
      </c>
      <c r="F194" s="45" t="str">
        <f aca="false">IF($R194="","",INDEX(Anforderungen!$G:$G,$R194))</f>
        <v>Um die Option mit Speicher in unser Angebot zu integrieren, benötigen wir während des Ausschreibungsverfahrens viel genauere Informationen (z.B. Standorte, Kapazität, Zeitplan). Ist geplant, solche Informationen vor der Einreichung des finalen Angebots bereitzustellen, oder ist dies erst nach der Vergabe geplant?</v>
      </c>
      <c r="G194" s="45" t="str">
        <f aca="false">IF($R194="","",INDEX(Anforderungen!$I:$I,$R194))</f>
        <v>offen</v>
      </c>
      <c r="H194" s="45" t="str">
        <f aca="false">IF($R194="","",INDEX(Anforderungen!$J:$J,$R194))</f>
        <v>–</v>
      </c>
      <c r="I194" s="45" t="str">
        <f aca="false">IF($R194="","",INDEX(Anforderungen!$K:$K,$R194))</f>
        <v>trifft nicht zu</v>
      </c>
      <c r="J194" s="46" t="n">
        <f aca="false">IF($R194="","",INDEX(Anforderungen!$L:$L,$R194))</f>
        <v>0</v>
      </c>
      <c r="K194" s="45" t="str">
        <f aca="false">IF($R194="","",INDEX(Anforderungen!$M:$M,$R194))</f>
        <v>Automatisch ausgewertet: Außerhalb des betrachteten Leistungsumfangs (Schranken, Kennzeichenerfassung, dynamische Anzeige).</v>
      </c>
      <c r="R194" s="0" t="n">
        <f aca="false">IFERROR(MATCH(ROWS($A$14:$A194),$T$7:$T$2000,0)+6,"")</f>
        <v>187</v>
      </c>
      <c r="T194" s="0" t="n">
        <f aca="false">IF(Anforderungen!$B194="","",IF(AND(OR($B5="(alle)",Anforderungen!$K194=$B5),OR($E5="(alle)",Anforderungen!$C194=$E5),OR($H5="(alle)",Anforderungen!$E194=$H5),OR($B7="(alle)",ISNUMBER(SEARCH($B7,Anforderungen!$J194))),OR($E7="(alle)",ISNUMBER(SEARCH($E7,Anforderungen!$I194))),OR($H7="",ISNUMBER(SEARCH($H7,Anforderungen!$F194&amp;" "&amp;Anforderungen!$G194)))),COUNT($T$6:$T193)+1,""))</f>
        <v>188</v>
      </c>
    </row>
    <row r="195" customFormat="false" ht="30" hidden="false" customHeight="true" outlineLevel="0" collapsed="false">
      <c r="A195" s="45" t="str">
        <f aca="false">IF($R195="","",INDEX(Anforderungen!$B:$B,$R195))</f>
        <v>ANF-182</v>
      </c>
      <c r="B195" s="45" t="str">
        <f aca="false">IF($R195="","",INDEX(Anforderungen!$C:$C,$R195))</f>
        <v>Bieterfragenkatalog</v>
      </c>
      <c r="C195" s="45" t="str">
        <f aca="false">IF($R195="","",INDEX(Anforderungen!$D:$D,$R195))</f>
        <v>Nr. 130 / S. 11</v>
      </c>
      <c r="D195" s="45" t="str">
        <f aca="false">IF($R195="","",INDEX(Anforderungen!$E:$E,$R195))</f>
        <v>Vertrag &amp; Recht</v>
      </c>
      <c r="E195" s="45" t="str">
        <f aca="false">IF($R195="","",INDEX(Anforderungen!$F:$F,$R195))</f>
        <v>Bestätigt: der AG muss der Weitergabe der Informationen zustimmen. Wir bitten Sie auch für solche Anfragen die Nachrichtenfunktion des Vergabeportals zu nutzen.</v>
      </c>
      <c r="F195" s="45" t="str">
        <f aca="false">IF($R195="","",INDEX(Anforderungen!$G:$G,$R195))</f>
        <v>Wir bitten um Klärung des Prozesses zur Weitergabe vertraulicher Informationen an Dritte, die nicht in §3 der Vertraulichkeitsvereinbarung aufgeführt sind, z.B. verbundene Unternehmen oder Berater ohne spezifische Vertraulichkeitsverpflichtung. Muss der Auftraggeber 2 der Weitergabe von Informationen an diese Dritten zustimmen, auch wenn ein NDA unterzeichnet wurde? Wenn ja, über welchen Kanal sollte dies geschehen?</v>
      </c>
      <c r="G195" s="45" t="str">
        <f aca="false">IF($R195="","",INDEX(Anforderungen!$I:$I,$R195))</f>
        <v>offen</v>
      </c>
      <c r="H195" s="45" t="str">
        <f aca="false">IF($R195="","",INDEX(Anforderungen!$J:$J,$R195))</f>
        <v>–</v>
      </c>
      <c r="I195" s="45" t="str">
        <f aca="false">IF($R195="","",INDEX(Anforderungen!$K:$K,$R195))</f>
        <v>trifft nicht zu</v>
      </c>
      <c r="J195" s="46" t="n">
        <f aca="false">IF($R195="","",INDEX(Anforderungen!$L:$L,$R195))</f>
        <v>0</v>
      </c>
      <c r="K195" s="45" t="str">
        <f aca="false">IF($R195="","",INDEX(Anforderungen!$M:$M,$R195))</f>
        <v>Automatisch ausgewertet: Außerhalb des betrachteten Leistungsumfangs (Schranken, Kennzeichenerfassung, dynamische Anzeige).</v>
      </c>
      <c r="R195" s="0" t="n">
        <f aca="false">IFERROR(MATCH(ROWS($A$14:$A195),$T$7:$T$2000,0)+6,"")</f>
        <v>188</v>
      </c>
      <c r="T195" s="0" t="n">
        <f aca="false">IF(Anforderungen!$B195="","",IF(AND(OR($B5="(alle)",Anforderungen!$K195=$B5),OR($E5="(alle)",Anforderungen!$C195=$E5),OR($H5="(alle)",Anforderungen!$E195=$H5),OR($B7="(alle)",ISNUMBER(SEARCH($B7,Anforderungen!$J195))),OR($E7="(alle)",ISNUMBER(SEARCH($E7,Anforderungen!$I195))),OR($H7="",ISNUMBER(SEARCH($H7,Anforderungen!$F195&amp;" "&amp;Anforderungen!$G195)))),COUNT($T$6:$T194)+1,""))</f>
        <v>189</v>
      </c>
    </row>
    <row r="196" customFormat="false" ht="30" hidden="false" customHeight="true" outlineLevel="0" collapsed="false">
      <c r="A196" s="45" t="str">
        <f aca="false">IF($R196="","",INDEX(Anforderungen!$B:$B,$R196))</f>
        <v>ANF-183</v>
      </c>
      <c r="B196" s="45" t="str">
        <f aca="false">IF($R196="","",INDEX(Anforderungen!$C:$C,$R196))</f>
        <v>Bieterfragenkatalog</v>
      </c>
      <c r="C196" s="45" t="str">
        <f aca="false">IF($R196="","",INDEX(Anforderungen!$D:$D,$R196))</f>
        <v>Nr. 131 / S. 11</v>
      </c>
      <c r="D196" s="45" t="str">
        <f aca="false">IF($R196="","",INDEX(Anforderungen!$E:$E,$R196))</f>
        <v>Vertrag &amp; Recht</v>
      </c>
      <c r="E196" s="45" t="str">
        <f aca="false">IF($R196="","",INDEX(Anforderungen!$F:$F,$R196))</f>
        <v>Verneint: die ausdrücklich geregelten Vertragsstrafen sind von der Haftungsbeschränkung in § 50 nicht umfasst.</v>
      </c>
      <c r="F196" s="45" t="str">
        <f aca="false">IF($R196="","",INDEX(Anforderungen!$G:$G,$R196))</f>
        <v>Sind Vertragsstrafen während der Betriebsphase, wie sie z. B. in § 21 oder § 48 definiert sind, auf die in § 50 festgelegte maximale allgemeine Haftung anzurechnen?</v>
      </c>
      <c r="G196" s="45" t="str">
        <f aca="false">IF($R196="","",INDEX(Anforderungen!$I:$I,$R196))</f>
        <v>offen</v>
      </c>
      <c r="H196" s="45" t="str">
        <f aca="false">IF($R196="","",INDEX(Anforderungen!$J:$J,$R196))</f>
        <v>–</v>
      </c>
      <c r="I196" s="45" t="str">
        <f aca="false">IF($R196="","",INDEX(Anforderungen!$K:$K,$R196))</f>
        <v>trifft nicht zu</v>
      </c>
      <c r="J196" s="46" t="n">
        <f aca="false">IF($R196="","",INDEX(Anforderungen!$L:$L,$R196))</f>
        <v>0</v>
      </c>
      <c r="K196" s="45" t="str">
        <f aca="false">IF($R196="","",INDEX(Anforderungen!$M:$M,$R196))</f>
        <v>Automatisch ausgewertet: Außerhalb des betrachteten Leistungsumfangs (Schranken, Kennzeichenerfassung, dynamische Anzeige).</v>
      </c>
      <c r="R196" s="0" t="n">
        <f aca="false">IFERROR(MATCH(ROWS($A$14:$A196),$T$7:$T$2000,0)+6,"")</f>
        <v>189</v>
      </c>
      <c r="T196" s="0" t="n">
        <f aca="false">IF(Anforderungen!$B196="","",IF(AND(OR($B5="(alle)",Anforderungen!$K196=$B5),OR($E5="(alle)",Anforderungen!$C196=$E5),OR($H5="(alle)",Anforderungen!$E196=$H5),OR($B7="(alle)",ISNUMBER(SEARCH($B7,Anforderungen!$J196))),OR($E7="(alle)",ISNUMBER(SEARCH($E7,Anforderungen!$I196))),OR($H7="",ISNUMBER(SEARCH($H7,Anforderungen!$F196&amp;" "&amp;Anforderungen!$G196)))),COUNT($T$6:$T195)+1,""))</f>
        <v>190</v>
      </c>
    </row>
    <row r="197" customFormat="false" ht="30" hidden="false" customHeight="true" outlineLevel="0" collapsed="false">
      <c r="A197" s="45" t="str">
        <f aca="false">IF($R197="","",INDEX(Anforderungen!$B:$B,$R197))</f>
        <v>ANF-184</v>
      </c>
      <c r="B197" s="45" t="str">
        <f aca="false">IF($R197="","",INDEX(Anforderungen!$C:$C,$R197))</f>
        <v>Bieterfragenkatalog</v>
      </c>
      <c r="C197" s="45" t="str">
        <f aca="false">IF($R197="","",INDEX(Anforderungen!$D:$D,$R197))</f>
        <v>Nr. 132 / S. 11</v>
      </c>
      <c r="D197" s="45" t="str">
        <f aca="false">IF($R197="","",INDEX(Anforderungen!$E:$E,$R197))</f>
        <v>Vertrag &amp; Recht</v>
      </c>
      <c r="E197" s="45" t="str">
        <f aca="false">IF($R197="","",INDEX(Anforderungen!$F:$F,$R197))</f>
        <v>Klarstellung: Eine Regelung bestimmter Kriterien/Gründe für die Ziehung der Vertragsverlängerungsoption nach §52 Abs.</v>
      </c>
      <c r="F197" s="45" t="str">
        <f aca="false">IF($R197="","",INDEX(Anforderungen!$G:$G,$R197))</f>
        <v>Können Sie uns genauere Informationen über die Bedingungen der optionalen Vertragsverlängerung gemäß §52 geben? Die Verlängerungsoption muss zumindest teilweise auf objektiven Kriterien basieren, damit wir sie in unser Angebot integrieren können.</v>
      </c>
      <c r="G197" s="45" t="str">
        <f aca="false">IF($R197="","",INDEX(Anforderungen!$I:$I,$R197))</f>
        <v>offen</v>
      </c>
      <c r="H197" s="45" t="str">
        <f aca="false">IF($R197="","",INDEX(Anforderungen!$J:$J,$R197))</f>
        <v>–</v>
      </c>
      <c r="I197" s="45" t="str">
        <f aca="false">IF($R197="","",INDEX(Anforderungen!$K:$K,$R197))</f>
        <v>trifft nicht zu</v>
      </c>
      <c r="J197" s="46" t="n">
        <f aca="false">IF($R197="","",INDEX(Anforderungen!$L:$L,$R197))</f>
        <v>0</v>
      </c>
      <c r="K197" s="45" t="str">
        <f aca="false">IF($R197="","",INDEX(Anforderungen!$M:$M,$R197))</f>
        <v>Automatisch ausgewertet: Außerhalb des betrachteten Leistungsumfangs (Schranken, Kennzeichenerfassung, dynamische Anzeige).</v>
      </c>
      <c r="R197" s="0" t="n">
        <f aca="false">IFERROR(MATCH(ROWS($A$14:$A197),$T$7:$T$2000,0)+6,"")</f>
        <v>190</v>
      </c>
      <c r="T197" s="0" t="n">
        <f aca="false">IF(Anforderungen!$B197="","",IF(AND(OR($B5="(alle)",Anforderungen!$K197=$B5),OR($E5="(alle)",Anforderungen!$C197=$E5),OR($H5="(alle)",Anforderungen!$E197=$H5),OR($B7="(alle)",ISNUMBER(SEARCH($B7,Anforderungen!$J197))),OR($E7="(alle)",ISNUMBER(SEARCH($E7,Anforderungen!$I197))),OR($H7="",ISNUMBER(SEARCH($H7,Anforderungen!$F197&amp;" "&amp;Anforderungen!$G197)))),COUNT($T$6:$T196)+1,""))</f>
        <v>191</v>
      </c>
    </row>
    <row r="198" customFormat="false" ht="30" hidden="false" customHeight="true" outlineLevel="0" collapsed="false">
      <c r="A198" s="45" t="str">
        <f aca="false">IF($R198="","",INDEX(Anforderungen!$B:$B,$R198))</f>
        <v>ANF-185</v>
      </c>
      <c r="B198" s="45" t="str">
        <f aca="false">IF($R198="","",INDEX(Anforderungen!$C:$C,$R198))</f>
        <v>Bieterfragenkatalog</v>
      </c>
      <c r="C198" s="45" t="str">
        <f aca="false">IF($R198="","",INDEX(Anforderungen!$D:$D,$R198))</f>
        <v>Nr. 133 / S. 11</v>
      </c>
      <c r="D198" s="45" t="str">
        <f aca="false">IF($R198="","",INDEX(Anforderungen!$E:$E,$R198))</f>
        <v>Netzanschluss &amp; Energie</v>
      </c>
      <c r="E198" s="45" t="str">
        <f aca="false">IF($R198="","",INDEX(Anforderungen!$F:$F,$R198))</f>
        <v>Klarstellung: Der Auftragnehmer muss das Durchleitungsmodell anwenden, sofern Mobilitätsdienstleister für Ladevorgänge ihrer Kunden davon Gebrauch machen wollen.</v>
      </c>
      <c r="F198" s="45" t="str">
        <f aca="false">IF($R198="","",INDEX(Anforderungen!$G:$G,$R198))</f>
        <v>Die breitflächige Entwicklung des Durchleitungsmodells ist aktuell noch nicht gesichert und hängt auch nicht nur von den Ladepunktbetreibern ab. Ist eine verzögerte Inbetriebnahme dieses Modells denkbar, sofern die erforderlichen Schnittmengen zwischen Ladepunktbetreiber und Mobilitätsdienstleister länger braucht, als der Bau der Standorte?</v>
      </c>
      <c r="G198" s="45" t="str">
        <f aca="false">IF($R198="","",INDEX(Anforderungen!$I:$I,$R198))</f>
        <v>offen</v>
      </c>
      <c r="H198" s="45" t="str">
        <f aca="false">IF($R198="","",INDEX(Anforderungen!$J:$J,$R198))</f>
        <v>–</v>
      </c>
      <c r="I198" s="45" t="str">
        <f aca="false">IF($R198="","",INDEX(Anforderungen!$K:$K,$R198))</f>
        <v>trifft nicht zu</v>
      </c>
      <c r="J198" s="46" t="n">
        <f aca="false">IF($R198="","",INDEX(Anforderungen!$L:$L,$R198))</f>
        <v>0</v>
      </c>
      <c r="K198" s="45" t="str">
        <f aca="false">IF($R198="","",INDEX(Anforderungen!$M:$M,$R198))</f>
        <v>Automatisch ausgewertet: Außerhalb des betrachteten Leistungsumfangs (Schranken, Kennzeichenerfassung, dynamische Anzeige).</v>
      </c>
      <c r="R198" s="0" t="n">
        <f aca="false">IFERROR(MATCH(ROWS($A$14:$A198),$T$7:$T$2000,0)+6,"")</f>
        <v>191</v>
      </c>
      <c r="T198" s="0" t="n">
        <f aca="false">IF(Anforderungen!$B198="","",IF(AND(OR($B5="(alle)",Anforderungen!$K198=$B5),OR($E5="(alle)",Anforderungen!$C198=$E5),OR($H5="(alle)",Anforderungen!$E198=$H5),OR($B7="(alle)",ISNUMBER(SEARCH($B7,Anforderungen!$J198))),OR($E7="(alle)",ISNUMBER(SEARCH($E7,Anforderungen!$I198))),OR($H7="",ISNUMBER(SEARCH($H7,Anforderungen!$F198&amp;" "&amp;Anforderungen!$G198)))),COUNT($T$6:$T197)+1,""))</f>
        <v>192</v>
      </c>
    </row>
    <row r="199" customFormat="false" ht="30" hidden="false" customHeight="true" outlineLevel="0" collapsed="false">
      <c r="A199" s="45" t="str">
        <f aca="false">IF($R199="","",INDEX(Anforderungen!$B:$B,$R199))</f>
        <v>ANF-186</v>
      </c>
      <c r="B199" s="45" t="str">
        <f aca="false">IF($R199="","",INDEX(Anforderungen!$C:$C,$R199))</f>
        <v>Bieterfragenkatalog</v>
      </c>
      <c r="C199" s="45" t="str">
        <f aca="false">IF($R199="","",INDEX(Anforderungen!$D:$D,$R199))</f>
        <v>Nr. 134 / S. 11</v>
      </c>
      <c r="D199" s="45" t="str">
        <f aca="false">IF($R199="","",INDEX(Anforderungen!$E:$E,$R199))</f>
        <v>Vergabeverfahren &amp; Angebot</v>
      </c>
      <c r="E199" s="45" t="str">
        <f aca="false">IF($R199="","",INDEX(Anforderungen!$F:$F,$R199))</f>
        <v>Verweis des Auftraggebers auf die Antwort zu Bieterfrage 103.</v>
      </c>
      <c r="F199" s="45" t="str">
        <f aca="false">IF($R199="","",INDEX(Anforderungen!$G:$G,$R199))</f>
        <v>Ist erlaubt, sofern technisch möglich, das Laden von E-Autos oder leichten Fahrzeugen auf der Infrastruktur zuzulassen?</v>
      </c>
      <c r="G199" s="45" t="str">
        <f aca="false">IF($R199="","",INDEX(Anforderungen!$I:$I,$R199))</f>
        <v>offen</v>
      </c>
      <c r="H199" s="45" t="str">
        <f aca="false">IF($R199="","",INDEX(Anforderungen!$J:$J,$R199))</f>
        <v>–</v>
      </c>
      <c r="I199" s="45" t="str">
        <f aca="false">IF($R199="","",INDEX(Anforderungen!$K:$K,$R199))</f>
        <v>trifft nicht zu</v>
      </c>
      <c r="J199" s="46" t="n">
        <f aca="false">IF($R199="","",INDEX(Anforderungen!$L:$L,$R199))</f>
        <v>0</v>
      </c>
      <c r="K199" s="45" t="str">
        <f aca="false">IF($R199="","",INDEX(Anforderungen!$M:$M,$R199))</f>
        <v>Automatisch ausgewertet: Die Antwort des Auftraggebers verweist ausschließlich auf Bieterfrage 103. Keine eigenständige Anforderung – der Inhalt ist unter der dort erfassten Zeile nachzuhalten.</v>
      </c>
      <c r="R199" s="0" t="n">
        <f aca="false">IFERROR(MATCH(ROWS($A$14:$A199),$T$7:$T$2000,0)+6,"")</f>
        <v>192</v>
      </c>
      <c r="T199" s="0" t="n">
        <f aca="false">IF(Anforderungen!$B199="","",IF(AND(OR($B5="(alle)",Anforderungen!$K199=$B5),OR($E5="(alle)",Anforderungen!$C199=$E5),OR($H5="(alle)",Anforderungen!$E199=$H5),OR($B7="(alle)",ISNUMBER(SEARCH($B7,Anforderungen!$J199))),OR($E7="(alle)",ISNUMBER(SEARCH($E7,Anforderungen!$I199))),OR($H7="",ISNUMBER(SEARCH($H7,Anforderungen!$F199&amp;" "&amp;Anforderungen!$G199)))),COUNT($T$6:$T198)+1,""))</f>
        <v>193</v>
      </c>
    </row>
    <row r="200" customFormat="false" ht="30" hidden="false" customHeight="true" outlineLevel="0" collapsed="false">
      <c r="A200" s="45" t="str">
        <f aca="false">IF($R200="","",INDEX(Anforderungen!$B:$B,$R200))</f>
        <v>ANF-187</v>
      </c>
      <c r="B200" s="45" t="str">
        <f aca="false">IF($R200="","",INDEX(Anforderungen!$C:$C,$R200))</f>
        <v>Bieterfragenkatalog</v>
      </c>
      <c r="C200" s="45" t="str">
        <f aca="false">IF($R200="","",INDEX(Anforderungen!$D:$D,$R200))</f>
        <v>Nr. 135 / S. 12</v>
      </c>
      <c r="D200" s="45" t="str">
        <f aca="false">IF($R200="","",INDEX(Anforderungen!$E:$E,$R200))</f>
        <v>Vertrag &amp; Recht</v>
      </c>
      <c r="E200" s="45" t="str">
        <f aca="false">IF($R200="","",INDEX(Anforderungen!$F:$F,$R200))</f>
        <v>Klarstellung: Eine entsprechende Festlegung wird im Vergabeverfahren durch den AG erfolgen.</v>
      </c>
      <c r="F200" s="45" t="str">
        <f aca="false">IF($R200="","",INDEX(Anforderungen!$G:$G,$R200))</f>
        <v>§42. Erfolgt die Rückerstattung in einem Mal oder ist es geplant, die aufkommenden Kosten, ähnlich wie das Errichtungsentgeld, über die restliche Vertragsdauer zu strecken ?</v>
      </c>
      <c r="G200" s="45" t="str">
        <f aca="false">IF($R200="","",INDEX(Anforderungen!$I:$I,$R200))</f>
        <v>offen</v>
      </c>
      <c r="H200" s="45" t="str">
        <f aca="false">IF($R200="","",INDEX(Anforderungen!$J:$J,$R200))</f>
        <v>–</v>
      </c>
      <c r="I200" s="45" t="str">
        <f aca="false">IF($R200="","",INDEX(Anforderungen!$K:$K,$R200))</f>
        <v>trifft nicht zu</v>
      </c>
      <c r="J200" s="46" t="n">
        <f aca="false">IF($R200="","",INDEX(Anforderungen!$L:$L,$R200))</f>
        <v>0</v>
      </c>
      <c r="K200" s="45" t="str">
        <f aca="false">IF($R200="","",INDEX(Anforderungen!$M:$M,$R200))</f>
        <v>Automatisch ausgewertet: Außerhalb des betrachteten Leistungsumfangs (Schranken, Kennzeichenerfassung, dynamische Anzeige).</v>
      </c>
      <c r="R200" s="0" t="n">
        <f aca="false">IFERROR(MATCH(ROWS($A$14:$A200),$T$7:$T$2000,0)+6,"")</f>
        <v>193</v>
      </c>
      <c r="T200" s="0" t="n">
        <f aca="false">IF(Anforderungen!$B200="","",IF(AND(OR($B5="(alle)",Anforderungen!$K200=$B5),OR($E5="(alle)",Anforderungen!$C200=$E5),OR($H5="(alle)",Anforderungen!$E200=$H5),OR($B7="(alle)",ISNUMBER(SEARCH($B7,Anforderungen!$J200))),OR($E7="(alle)",ISNUMBER(SEARCH($E7,Anforderungen!$I200))),OR($H7="",ISNUMBER(SEARCH($H7,Anforderungen!$F200&amp;" "&amp;Anforderungen!$G200)))),COUNT($T$6:$T199)+1,""))</f>
        <v>194</v>
      </c>
    </row>
    <row r="201" customFormat="false" ht="30" hidden="false" customHeight="true" outlineLevel="0" collapsed="false">
      <c r="A201" s="45" t="str">
        <f aca="false">IF($R201="","",INDEX(Anforderungen!$B:$B,$R201))</f>
        <v>ANF-188</v>
      </c>
      <c r="B201" s="45" t="str">
        <f aca="false">IF($R201="","",INDEX(Anforderungen!$C:$C,$R201))</f>
        <v>Bieterfragenkatalog</v>
      </c>
      <c r="C201" s="45" t="str">
        <f aca="false">IF($R201="","",INDEX(Anforderungen!$D:$D,$R201))</f>
        <v>Nr. 136 / S. 12</v>
      </c>
      <c r="D201" s="45" t="str">
        <f aca="false">IF($R201="","",INDEX(Anforderungen!$E:$E,$R201))</f>
        <v>Vertrag &amp; Recht</v>
      </c>
      <c r="E201" s="45" t="str">
        <f aca="false">IF($R201="","",INDEX(Anforderungen!$F:$F,$R201))</f>
        <v>Klarstellung: Es ist nicht ausgeschlossen, dass entsprechende Leistungen im sachlichen Zusammenhang mit der vertraglichen Leistung stehen können.</v>
      </c>
      <c r="F201" s="45" t="str">
        <f aca="false">IF($R201="","",INDEX(Anforderungen!$G:$G,$R201))</f>
        <v>§35.1 Können Sie „im sachlichen Zusammenhang“ präzisieren? Sind z.B. Zusatzleistungen wie Snackautomaten, Toiletten oder der Bau von Gebäuden im sachlichen Zusammenhang?</v>
      </c>
      <c r="G201" s="45" t="str">
        <f aca="false">IF($R201="","",INDEX(Anforderungen!$I:$I,$R201))</f>
        <v>offen</v>
      </c>
      <c r="H201" s="45" t="str">
        <f aca="false">IF($R201="","",INDEX(Anforderungen!$J:$J,$R201))</f>
        <v>–</v>
      </c>
      <c r="I201" s="45" t="str">
        <f aca="false">IF($R201="","",INDEX(Anforderungen!$K:$K,$R201))</f>
        <v>trifft nicht zu</v>
      </c>
      <c r="J201" s="46" t="n">
        <f aca="false">IF($R201="","",INDEX(Anforderungen!$L:$L,$R201))</f>
        <v>0</v>
      </c>
      <c r="K201" s="45" t="str">
        <f aca="false">IF($R201="","",INDEX(Anforderungen!$M:$M,$R201))</f>
        <v>Automatisch ausgewertet: Außerhalb des betrachteten Leistungsumfangs (Schranken, Kennzeichenerfassung, dynamische Anzeige).</v>
      </c>
      <c r="R201" s="0" t="n">
        <f aca="false">IFERROR(MATCH(ROWS($A$14:$A201),$T$7:$T$2000,0)+6,"")</f>
        <v>194</v>
      </c>
      <c r="T201" s="0" t="n">
        <f aca="false">IF(Anforderungen!$B201="","",IF(AND(OR($B5="(alle)",Anforderungen!$K201=$B5),OR($E5="(alle)",Anforderungen!$C201=$E5),OR($H5="(alle)",Anforderungen!$E201=$H5),OR($B7="(alle)",ISNUMBER(SEARCH($B7,Anforderungen!$J201))),OR($E7="(alle)",ISNUMBER(SEARCH($E7,Anforderungen!$I201))),OR($H7="",ISNUMBER(SEARCH($H7,Anforderungen!$F201&amp;" "&amp;Anforderungen!$G201)))),COUNT($T$6:$T200)+1,""))</f>
        <v>195</v>
      </c>
    </row>
    <row r="202" customFormat="false" ht="30" hidden="false" customHeight="true" outlineLevel="0" collapsed="false">
      <c r="A202" s="45" t="str">
        <f aca="false">IF($R202="","",INDEX(Anforderungen!$B:$B,$R202))</f>
        <v>ANF-189</v>
      </c>
      <c r="B202" s="45" t="str">
        <f aca="false">IF($R202="","",INDEX(Anforderungen!$C:$C,$R202))</f>
        <v>Bieterfragenkatalog</v>
      </c>
      <c r="C202" s="45" t="str">
        <f aca="false">IF($R202="","",INDEX(Anforderungen!$D:$D,$R202))</f>
        <v>Nr. 137 / S. 12</v>
      </c>
      <c r="D202" s="45" t="str">
        <f aca="false">IF($R202="","",INDEX(Anforderungen!$E:$E,$R202))</f>
        <v>Vertrag &amp; Recht</v>
      </c>
      <c r="E202" s="45" t="str">
        <f aca="false">IF($R202="","",INDEX(Anforderungen!$F:$F,$R202))</f>
        <v>Klarstellung: Die Regelungen im Vertrag §35.3 sind abschließend. Soweit der AG 2 die Planungsleistungen beistellt, gelten die dort getroffenen Regelungen.</v>
      </c>
      <c r="F202" s="45" t="str">
        <f aca="false">IF($R202="","",INDEX(Anforderungen!$G:$G,$R202))</f>
        <v>§35.3 Welche Prozedur ist vorgesehen, sollte der Auftragnehmer nicht in der Lage sein, ein Angebot abzugeben? Welche Strafen sind in diesem Fall vorgesehen? Inwiefern können die Kosten an den Auftraggeber 2 weitergegeben werden, sollten die vorgelegten Unterlagen unvollständig sein und finanziellen Mehraufwand beim Auftragnehmer erfordern?</v>
      </c>
      <c r="G202" s="45" t="str">
        <f aca="false">IF($R202="","",INDEX(Anforderungen!$I:$I,$R202))</f>
        <v>offen</v>
      </c>
      <c r="H202" s="45" t="str">
        <f aca="false">IF($R202="","",INDEX(Anforderungen!$J:$J,$R202))</f>
        <v>–</v>
      </c>
      <c r="I202" s="45" t="str">
        <f aca="false">IF($R202="","",INDEX(Anforderungen!$K:$K,$R202))</f>
        <v>trifft nicht zu</v>
      </c>
      <c r="J202" s="46" t="n">
        <f aca="false">IF($R202="","",INDEX(Anforderungen!$L:$L,$R202))</f>
        <v>0</v>
      </c>
      <c r="K202" s="45" t="str">
        <f aca="false">IF($R202="","",INDEX(Anforderungen!$M:$M,$R202))</f>
        <v>Automatisch ausgewertet: Außerhalb des betrachteten Leistungsumfangs (Schranken, Kennzeichenerfassung, dynamische Anzeige).</v>
      </c>
      <c r="R202" s="0" t="n">
        <f aca="false">IFERROR(MATCH(ROWS($A$14:$A202),$T$7:$T$2000,0)+6,"")</f>
        <v>195</v>
      </c>
      <c r="T202" s="0" t="n">
        <f aca="false">IF(Anforderungen!$B202="","",IF(AND(OR($B5="(alle)",Anforderungen!$K202=$B5),OR($E5="(alle)",Anforderungen!$C202=$E5),OR($H5="(alle)",Anforderungen!$E202=$H5),OR($B7="(alle)",ISNUMBER(SEARCH($B7,Anforderungen!$J202))),OR($E7="(alle)",ISNUMBER(SEARCH($E7,Anforderungen!$I202))),OR($H7="",ISNUMBER(SEARCH($H7,Anforderungen!$F202&amp;" "&amp;Anforderungen!$G202)))),COUNT($T$6:$T201)+1,""))</f>
        <v>196</v>
      </c>
    </row>
    <row r="203" customFormat="false" ht="30" hidden="false" customHeight="true" outlineLevel="0" collapsed="false">
      <c r="A203" s="45" t="str">
        <f aca="false">IF($R203="","",INDEX(Anforderungen!$B:$B,$R203))</f>
        <v>ANF-190</v>
      </c>
      <c r="B203" s="45" t="str">
        <f aca="false">IF($R203="","",INDEX(Anforderungen!$C:$C,$R203))</f>
        <v>Bieterfragenkatalog</v>
      </c>
      <c r="C203" s="45" t="str">
        <f aca="false">IF($R203="","",INDEX(Anforderungen!$D:$D,$R203))</f>
        <v>Nr. 138 / S. 12</v>
      </c>
      <c r="D203" s="45" t="str">
        <f aca="false">IF($R203="","",INDEX(Anforderungen!$E:$E,$R203))</f>
        <v>Netzanschluss &amp; Energie</v>
      </c>
      <c r="E203" s="45" t="str">
        <f aca="false">IF($R203="","",INDEX(Anforderungen!$F:$F,$R203))</f>
        <v>Bestätigt: § 43 Abs. 1 gilt sowohl bei einer Skalierung durch Errichtung zusätzlicher Ladepunkte (§33 Abs.</v>
      </c>
      <c r="F203" s="45" t="str">
        <f aca="false">IF($R203="","",INDEX(Anforderungen!$G:$G,$R203))</f>
        <v>§33.1 &amp; 34.1 Gilt bei der Errichtung neuer Standorte gemäß §33 und §34 auch §43.1?</v>
      </c>
      <c r="G203" s="45" t="str">
        <f aca="false">IF($R203="","",INDEX(Anforderungen!$I:$I,$R203))</f>
        <v>offen</v>
      </c>
      <c r="H203" s="45" t="str">
        <f aca="false">IF($R203="","",INDEX(Anforderungen!$J:$J,$R203))</f>
        <v>–</v>
      </c>
      <c r="I203" s="45" t="str">
        <f aca="false">IF($R203="","",INDEX(Anforderungen!$K:$K,$R203))</f>
        <v>trifft nicht zu</v>
      </c>
      <c r="J203" s="46" t="n">
        <f aca="false">IF($R203="","",INDEX(Anforderungen!$L:$L,$R203))</f>
        <v>0</v>
      </c>
      <c r="K203" s="45" t="str">
        <f aca="false">IF($R203="","",INDEX(Anforderungen!$M:$M,$R203))</f>
        <v>Automatisch ausgewertet: Außerhalb des betrachteten Leistungsumfangs (Schranken, Kennzeichenerfassung, dynamische Anzeige).</v>
      </c>
      <c r="R203" s="0" t="n">
        <f aca="false">IFERROR(MATCH(ROWS($A$14:$A203),$T$7:$T$2000,0)+6,"")</f>
        <v>196</v>
      </c>
      <c r="T203" s="0" t="n">
        <f aca="false">IF(Anforderungen!$B203="","",IF(AND(OR($B5="(alle)",Anforderungen!$K203=$B5),OR($E5="(alle)",Anforderungen!$C203=$E5),OR($H5="(alle)",Anforderungen!$E203=$H5),OR($B7="(alle)",ISNUMBER(SEARCH($B7,Anforderungen!$J203))),OR($E7="(alle)",ISNUMBER(SEARCH($E7,Anforderungen!$I203))),OR($H7="",ISNUMBER(SEARCH($H7,Anforderungen!$F203&amp;" "&amp;Anforderungen!$G203)))),COUNT($T$6:$T202)+1,""))</f>
        <v>197</v>
      </c>
    </row>
    <row r="204" customFormat="false" ht="30" hidden="false" customHeight="true" outlineLevel="0" collapsed="false">
      <c r="A204" s="45" t="str">
        <f aca="false">IF($R204="","",INDEX(Anforderungen!$B:$B,$R204))</f>
        <v>ANF-191</v>
      </c>
      <c r="B204" s="45" t="str">
        <f aca="false">IF($R204="","",INDEX(Anforderungen!$C:$C,$R204))</f>
        <v>Bieterfragenkatalog</v>
      </c>
      <c r="C204" s="45" t="str">
        <f aca="false">IF($R204="","",INDEX(Anforderungen!$D:$D,$R204))</f>
        <v>Nr. 139 / S. 12</v>
      </c>
      <c r="D204" s="45" t="str">
        <f aca="false">IF($R204="","",INDEX(Anforderungen!$E:$E,$R204))</f>
        <v>Technik Ladeinfrastruktur</v>
      </c>
      <c r="E204" s="45" t="str">
        <f aca="false">IF($R204="","",INDEX(Anforderungen!$F:$F,$R204))</f>
        <v>Bestätigt: der Auftragnehmer wird automatisch bis zum Ende der Vertragslaufzeit zum Betreiber der neuen Ladepunkte.</v>
      </c>
      <c r="F204" s="45" t="str">
        <f aca="false">IF($R204="","",INDEX(Anforderungen!$G:$G,$R204))</f>
        <v>§33.1 &amp; 34.1 Wird der Auftragnehmer automatisch bis zum Ende des laufenden Vertrags zum Betreiber der neuen Ladepunkte erklärt, mit denselben Vertragsbedingungen? Gilt dies insbesonder, wenn die Ladepunkte von einem Drittanbieter errichtet werden?</v>
      </c>
      <c r="G204" s="45" t="str">
        <f aca="false">IF($R204="","",INDEX(Anforderungen!$I:$I,$R204))</f>
        <v>Zuordnung prüfen</v>
      </c>
      <c r="H204" s="45" t="str">
        <f aca="false">IF($R204="","",INDEX(Anforderungen!$J:$J,$R204))</f>
        <v>Zuordnung prüfen</v>
      </c>
      <c r="I204" s="45" t="str">
        <f aca="false">IF($R204="","",INDEX(Anforderungen!$K:$K,$R204))</f>
        <v>trifft nicht zu</v>
      </c>
      <c r="J204" s="46" t="n">
        <f aca="false">IF($R204="","",INDEX(Anforderungen!$L:$L,$R204))</f>
        <v>0</v>
      </c>
      <c r="K204" s="45" t="str">
        <f aca="false">IF($R204="","",INDEX(Anforderungen!$M:$M,$R204))</f>
        <v>Automatisch ausgewertet: Außerhalb des betrachteten Leistungsumfangs (Schranken, Kennzeichenerfassung, dynamische Anzeige).</v>
      </c>
      <c r="R204" s="0" t="n">
        <f aca="false">IFERROR(MATCH(ROWS($A$14:$A204),$T$7:$T$2000,0)+6,"")</f>
        <v>197</v>
      </c>
      <c r="T204" s="0" t="n">
        <f aca="false">IF(Anforderungen!$B204="","",IF(AND(OR($B5="(alle)",Anforderungen!$K204=$B5),OR($E5="(alle)",Anforderungen!$C204=$E5),OR($H5="(alle)",Anforderungen!$E204=$H5),OR($B7="(alle)",ISNUMBER(SEARCH($B7,Anforderungen!$J204))),OR($E7="(alle)",ISNUMBER(SEARCH($E7,Anforderungen!$I204))),OR($H7="",ISNUMBER(SEARCH($H7,Anforderungen!$F204&amp;" "&amp;Anforderungen!$G204)))),COUNT($T$6:$T203)+1,""))</f>
        <v>198</v>
      </c>
    </row>
    <row r="205" customFormat="false" ht="30" hidden="false" customHeight="true" outlineLevel="0" collapsed="false">
      <c r="A205" s="45" t="str">
        <f aca="false">IF($R205="","",INDEX(Anforderungen!$B:$B,$R205))</f>
        <v>ANF-192</v>
      </c>
      <c r="B205" s="45" t="str">
        <f aca="false">IF($R205="","",INDEX(Anforderungen!$C:$C,$R205))</f>
        <v>Bieterfragenkatalog</v>
      </c>
      <c r="C205" s="45" t="str">
        <f aca="false">IF($R205="","",INDEX(Anforderungen!$D:$D,$R205))</f>
        <v>Nr. 140 / S. 12</v>
      </c>
      <c r="D205" s="45" t="str">
        <f aca="false">IF($R205="","",INDEX(Anforderungen!$E:$E,$R205))</f>
        <v>Technik Ladeinfrastruktur</v>
      </c>
      <c r="E205" s="45" t="str">
        <f aca="false">IF($R205="","",INDEX(Anforderungen!$F:$F,$R205))</f>
        <v>Klarstellung: § 33 Abs. 6 verweist wegen der Kosten für Abbau und Stillegung auf § 35, der im Falle einer Beauftragung des Auftragnehmers bzw. im Falle der Koordination der Arbeiten eines Dritten, eine Vergütung vorsieht.</v>
      </c>
      <c r="F205" s="45" t="str">
        <f aca="false">IF($R205="","",INDEX(Anforderungen!$G:$G,$R205))</f>
        <v>§33.6 Wer trägt die Kosten für Abbau und Stilllegung? Unter welchen Fristen? Gibt es definierte und quantitative Kriterien für mögliche Auslöser für die Stilllegungsentscheidung einiger Standorte, und ist dieser Hebel auf eine bestimmte Anzahl von maximalen CP beschränkt, die vor Vertragsende aus dem Betrieb genommen werden dürfen?</v>
      </c>
      <c r="G205" s="45" t="str">
        <f aca="false">IF($R205="","",INDEX(Anforderungen!$I:$I,$R205))</f>
        <v>Zuordnung prüfen</v>
      </c>
      <c r="H205" s="45" t="str">
        <f aca="false">IF($R205="","",INDEX(Anforderungen!$J:$J,$R205))</f>
        <v>Zuordnung prüfen</v>
      </c>
      <c r="I205" s="45" t="str">
        <f aca="false">IF($R205="","",INDEX(Anforderungen!$K:$K,$R205))</f>
        <v>trifft nicht zu</v>
      </c>
      <c r="J205" s="46" t="n">
        <f aca="false">IF($R205="","",INDEX(Anforderungen!$L:$L,$R205))</f>
        <v>0</v>
      </c>
      <c r="K205" s="45" t="str">
        <f aca="false">IF($R205="","",INDEX(Anforderungen!$M:$M,$R205))</f>
        <v>Automatisch ausgewertet: Außerhalb des betrachteten Leistungsumfangs (Schranken, Kennzeichenerfassung, dynamische Anzeige).</v>
      </c>
      <c r="R205" s="0" t="n">
        <f aca="false">IFERROR(MATCH(ROWS($A$14:$A205),$T$7:$T$2000,0)+6,"")</f>
        <v>198</v>
      </c>
      <c r="T205" s="0" t="n">
        <f aca="false">IF(Anforderungen!$B205="","",IF(AND(OR($B5="(alle)",Anforderungen!$K205=$B5),OR($E5="(alle)",Anforderungen!$C205=$E5),OR($H5="(alle)",Anforderungen!$E205=$H5),OR($B7="(alle)",ISNUMBER(SEARCH($B7,Anforderungen!$J205))),OR($E7="(alle)",ISNUMBER(SEARCH($E7,Anforderungen!$I205))),OR($H7="",ISNUMBER(SEARCH($H7,Anforderungen!$F205&amp;" "&amp;Anforderungen!$G205)))),COUNT($T$6:$T204)+1,""))</f>
        <v>199</v>
      </c>
    </row>
    <row r="206" customFormat="false" ht="30" hidden="false" customHeight="true" outlineLevel="0" collapsed="false">
      <c r="A206" s="45" t="str">
        <f aca="false">IF($R206="","",INDEX(Anforderungen!$B:$B,$R206))</f>
        <v>ANF-193</v>
      </c>
      <c r="B206" s="45" t="str">
        <f aca="false">IF($R206="","",INDEX(Anforderungen!$C:$C,$R206))</f>
        <v>Bieterfragenkatalog</v>
      </c>
      <c r="C206" s="45" t="str">
        <f aca="false">IF($R206="","",INDEX(Anforderungen!$D:$D,$R206))</f>
        <v>Nr. 141 / S. 12</v>
      </c>
      <c r="D206" s="45" t="str">
        <f aca="false">IF($R206="","",INDEX(Anforderungen!$E:$E,$R206))</f>
        <v>Netzanschluss &amp; Energie</v>
      </c>
      <c r="E206" s="45" t="str">
        <f aca="false">IF($R206="","",INDEX(Anforderungen!$F:$F,$R206))</f>
        <v>Klarstellung: Restriktionen für Endnutzer sind praktisch nicht zu erwarten und im Übrigen soweit wie möglich zu vermeiden.</v>
      </c>
      <c r="F206" s="45" t="str">
        <f aca="false">IF($R206="","",INDEX(Anforderungen!$G:$G,$R206))</f>
        <v>Die beantragten Netzanschlusleistungen für die meisten Standorte reichen nicht aus, um Ladevorgänge an allen geplanten Ladepunkten zu ermöglichen. Wir gehen davon aus, dass mindestens eine dieser beiden Aussagen gilt: - Die Differenz wird über Speicher ausgeglichen. - Es ist nicht notwendig, dass an allen Ladepunkten gleichzeitig geladen werden kann und es dürfen dementsprechende Restriktionen für Endnutzer (z.B. längere Wartezeiten) umgesetzt werden. Wir bitten um Klarstellung.</v>
      </c>
      <c r="G206" s="45" t="str">
        <f aca="false">IF($R206="","",INDEX(Anforderungen!$I:$I,$R206))</f>
        <v>offen</v>
      </c>
      <c r="H206" s="45" t="str">
        <f aca="false">IF($R206="","",INDEX(Anforderungen!$J:$J,$R206))</f>
        <v>–</v>
      </c>
      <c r="I206" s="45" t="str">
        <f aca="false">IF($R206="","",INDEX(Anforderungen!$K:$K,$R206))</f>
        <v>trifft nicht zu</v>
      </c>
      <c r="J206" s="46" t="n">
        <f aca="false">IF($R206="","",INDEX(Anforderungen!$L:$L,$R206))</f>
        <v>0</v>
      </c>
      <c r="K206" s="45" t="str">
        <f aca="false">IF($R206="","",INDEX(Anforderungen!$M:$M,$R206))</f>
        <v>Automatisch ausgewertet: Außerhalb des betrachteten Leistungsumfangs (Schranken, Kennzeichenerfassung, dynamische Anzeige).</v>
      </c>
      <c r="R206" s="0" t="n">
        <f aca="false">IFERROR(MATCH(ROWS($A$14:$A206),$T$7:$T$2000,0)+6,"")</f>
        <v>199</v>
      </c>
      <c r="T206" s="0" t="n">
        <f aca="false">IF(Anforderungen!$B206="","",IF(AND(OR($B5="(alle)",Anforderungen!$K206=$B5),OR($E5="(alle)",Anforderungen!$C206=$E5),OR($H5="(alle)",Anforderungen!$E206=$H5),OR($B7="(alle)",ISNUMBER(SEARCH($B7,Anforderungen!$J206))),OR($E7="(alle)",ISNUMBER(SEARCH($E7,Anforderungen!$I206))),OR($H7="",ISNUMBER(SEARCH($H7,Anforderungen!$F206&amp;" "&amp;Anforderungen!$G206)))),COUNT($T$6:$T205)+1,""))</f>
        <v>200</v>
      </c>
    </row>
    <row r="207" customFormat="false" ht="30" hidden="false" customHeight="true" outlineLevel="0" collapsed="false">
      <c r="A207" s="45" t="str">
        <f aca="false">IF($R207="","",INDEX(Anforderungen!$B:$B,$R207))</f>
        <v>ANF-194</v>
      </c>
      <c r="B207" s="45" t="str">
        <f aca="false">IF($R207="","",INDEX(Anforderungen!$C:$C,$R207))</f>
        <v>Bieterfragenkatalog</v>
      </c>
      <c r="C207" s="45" t="str">
        <f aca="false">IF($R207="","",INDEX(Anforderungen!$D:$D,$R207))</f>
        <v>Nr. 142 / S. 12</v>
      </c>
      <c r="D207" s="45" t="str">
        <f aca="false">IF($R207="","",INDEX(Anforderungen!$E:$E,$R207))</f>
        <v>Netzanschluss &amp; Energie</v>
      </c>
      <c r="E207" s="45" t="str">
        <f aca="false">IF($R207="","",INDEX(Anforderungen!$F:$F,$R207))</f>
        <v>Verweis des Auftraggebers auf die Antwort zu Bieterfrage 81.</v>
      </c>
      <c r="F207" s="45" t="str">
        <f aca="false">IF($R207="","",INDEX(Anforderungen!$G:$G,$R207))</f>
        <v>Können Sie uns Angaben zur voraussichtlichen Preisspanne des vom Kunden 2 gemäß §41 festgelegten „Infrastrukturentgeldes“ machen? Ist es das Ziel des Infrastrukturentfelds, alle Kosten zu erstatten, die dem Kunden 2 durch die Einrichtung der Infrastruktur entstanden sind (Baugebühr + Betriebsgebühr + sonstige Kosten (z. B. Netzanschluss))? Für die Erstellung unseres Angebots ist es wichtig, den Preis zu kennen, den die Endnutzer zahlen werden.</v>
      </c>
      <c r="G207" s="45" t="str">
        <f aca="false">IF($R207="","",INDEX(Anforderungen!$I:$I,$R207))</f>
        <v>offen</v>
      </c>
      <c r="H207" s="45" t="str">
        <f aca="false">IF($R207="","",INDEX(Anforderungen!$J:$J,$R207))</f>
        <v>–</v>
      </c>
      <c r="I207" s="45" t="str">
        <f aca="false">IF($R207="","",INDEX(Anforderungen!$K:$K,$R207))</f>
        <v>trifft nicht zu</v>
      </c>
      <c r="J207" s="46" t="n">
        <f aca="false">IF($R207="","",INDEX(Anforderungen!$L:$L,$R207))</f>
        <v>0</v>
      </c>
      <c r="K207" s="45" t="str">
        <f aca="false">IF($R207="","",INDEX(Anforderungen!$M:$M,$R207))</f>
        <v>Automatisch ausgewertet: Die Antwort des Auftraggebers verweist ausschließlich auf Bieterfrage 81. Keine eigenständige Anforderung – der Inhalt ist unter der dort erfassten Zeile nachzuhalten.</v>
      </c>
      <c r="R207" s="0" t="n">
        <f aca="false">IFERROR(MATCH(ROWS($A$14:$A207),$T$7:$T$2000,0)+6,"")</f>
        <v>200</v>
      </c>
      <c r="T207" s="0" t="n">
        <f aca="false">IF(Anforderungen!$B207="","",IF(AND(OR($B5="(alle)",Anforderungen!$K207=$B5),OR($E5="(alle)",Anforderungen!$C207=$E5),OR($H5="(alle)",Anforderungen!$E207=$H5),OR($B7="(alle)",ISNUMBER(SEARCH($B7,Anforderungen!$J207))),OR($E7="(alle)",ISNUMBER(SEARCH($E7,Anforderungen!$I207))),OR($H7="",ISNUMBER(SEARCH($H7,Anforderungen!$F207&amp;" "&amp;Anforderungen!$G207)))),COUNT($T$6:$T206)+1,""))</f>
        <v>201</v>
      </c>
    </row>
    <row r="208" customFormat="false" ht="30" hidden="false" customHeight="true" outlineLevel="0" collapsed="false">
      <c r="A208" s="45" t="str">
        <f aca="false">IF($R208="","",INDEX(Anforderungen!$B:$B,$R208))</f>
        <v>ANF-195</v>
      </c>
      <c r="B208" s="45" t="str">
        <f aca="false">IF($R208="","",INDEX(Anforderungen!$C:$C,$R208))</f>
        <v>Bieterfragenkatalog</v>
      </c>
      <c r="C208" s="45" t="str">
        <f aca="false">IF($R208="","",INDEX(Anforderungen!$D:$D,$R208))</f>
        <v>Nr. 143 / S. 12</v>
      </c>
      <c r="D208" s="45" t="str">
        <f aca="false">IF($R208="","",INDEX(Anforderungen!$E:$E,$R208))</f>
        <v>Vertrag &amp; Recht</v>
      </c>
      <c r="E208" s="45" t="str">
        <f aca="false">IF($R208="","",INDEX(Anforderungen!$F:$F,$R208))</f>
        <v>Klarstellung: Siehe §55 Abs. 2: "Im Falle einer Vertragsbeendigung durch Ablauf der (gegebenenfalls verlängerten) Vertragslaufzeit kann der Auftraggeber 2 den Auftragnehmer gemäß den Regelungen zur Ausführung geänderter oder zusätzlicher …</v>
      </c>
      <c r="F208" s="45" t="str">
        <f aca="false">IF($R208="","",INDEX(Anforderungen!$G:$G,$R208))</f>
        <v>Müssen die Bieter davon ausgehen, dass die Infrastruktur bei Vertragsende stillgelegt wird? Falls ja, sind diese Kosten vom Bieter mit einzuberechnen?</v>
      </c>
      <c r="G208" s="45" t="str">
        <f aca="false">IF($R208="","",INDEX(Anforderungen!$I:$I,$R208))</f>
        <v>offen</v>
      </c>
      <c r="H208" s="45" t="str">
        <f aca="false">IF($R208="","",INDEX(Anforderungen!$J:$J,$R208))</f>
        <v>–</v>
      </c>
      <c r="I208" s="45" t="str">
        <f aca="false">IF($R208="","",INDEX(Anforderungen!$K:$K,$R208))</f>
        <v>trifft nicht zu</v>
      </c>
      <c r="J208" s="46" t="n">
        <f aca="false">IF($R208="","",INDEX(Anforderungen!$L:$L,$R208))</f>
        <v>0</v>
      </c>
      <c r="K208" s="45" t="str">
        <f aca="false">IF($R208="","",INDEX(Anforderungen!$M:$M,$R208))</f>
        <v>Automatisch ausgewertet: Außerhalb des betrachteten Leistungsumfangs (Schranken, Kennzeichenerfassung, dynamische Anzeige).</v>
      </c>
      <c r="R208" s="0" t="n">
        <f aca="false">IFERROR(MATCH(ROWS($A$14:$A208),$T$7:$T$2000,0)+6,"")</f>
        <v>201</v>
      </c>
      <c r="T208" s="0" t="n">
        <f aca="false">IF(Anforderungen!$B208="","",IF(AND(OR($B5="(alle)",Anforderungen!$K208=$B5),OR($E5="(alle)",Anforderungen!$C208=$E5),OR($H5="(alle)",Anforderungen!$E208=$H5),OR($B7="(alle)",ISNUMBER(SEARCH($B7,Anforderungen!$J208))),OR($E7="(alle)",ISNUMBER(SEARCH($E7,Anforderungen!$I208))),OR($H7="",ISNUMBER(SEARCH($H7,Anforderungen!$F208&amp;" "&amp;Anforderungen!$G208)))),COUNT($T$6:$T207)+1,""))</f>
        <v>202</v>
      </c>
    </row>
    <row r="209" customFormat="false" ht="30" hidden="false" customHeight="true" outlineLevel="0" collapsed="false">
      <c r="A209" s="45" t="str">
        <f aca="false">IF($R209="","",INDEX(Anforderungen!$B:$B,$R209))</f>
        <v>ANF-196</v>
      </c>
      <c r="B209" s="45" t="str">
        <f aca="false">IF($R209="","",INDEX(Anforderungen!$C:$C,$R209))</f>
        <v>Bieterfragenkatalog</v>
      </c>
      <c r="C209" s="45" t="str">
        <f aca="false">IF($R209="","",INDEX(Anforderungen!$D:$D,$R209))</f>
        <v>Nr. 144 / S. 12</v>
      </c>
      <c r="D209" s="45" t="str">
        <f aca="false">IF($R209="","",INDEX(Anforderungen!$E:$E,$R209))</f>
        <v>Reservierung</v>
      </c>
      <c r="E209" s="45" t="str">
        <f aca="false">IF($R209="","",INDEX(Anforderungen!$F:$F,$R209))</f>
        <v>Klarstellung: Der AG bittet um Konkretisierung, welche Probleme aus Sicht des Bieters zu erwarten sind. Dies kann im Rahmen des Verhanldungsbedarfs mit dem Erstangebot erfolgen.</v>
      </c>
      <c r="F209" s="45" t="str">
        <f aca="false">IF($R209="","",INDEX(Anforderungen!$G:$G,$R209))</f>
        <v>Der in §27 spezifizierte erforderliche Zugang für Mobilitätsdienstleister könnte für manche Funktionalitäten, z.B. der Option einer Reservierun, zu Interface-Problemen führen. Wir bitten um präzisiere Angabe, welche Schnitstellen im Back-end System mit Mobilitätsdienstleistern erwartet werden.</v>
      </c>
      <c r="G209" s="45" t="str">
        <f aca="false">IF($R209="","",INDEX(Anforderungen!$I:$I,$R209))</f>
        <v>eRound</v>
      </c>
      <c r="H209" s="45" t="str">
        <f aca="false">IF($R209="","",INDEX(Anforderungen!$J:$J,$R209))</f>
        <v>OCPI Buchungskalender</v>
      </c>
      <c r="I209" s="45" t="str">
        <f aca="false">IF($R209="","",INDEX(Anforderungen!$K:$K,$R209))</f>
        <v>trifft nicht zu</v>
      </c>
      <c r="J209" s="46" t="n">
        <f aca="false">IF($R209="","",INDEX(Anforderungen!$L:$L,$R209))</f>
        <v>0</v>
      </c>
      <c r="K209" s="45" t="str">
        <f aca="false">IF($R209="","",INDEX(Anforderungen!$M:$M,$R209))</f>
        <v>Automatisch ausgewertet: Außerhalb des betrachteten Leistungsumfangs (Schranken, Kennzeichenerfassung, dynamische Anzeige).</v>
      </c>
      <c r="R209" s="0" t="n">
        <f aca="false">IFERROR(MATCH(ROWS($A$14:$A209),$T$7:$T$2000,0)+6,"")</f>
        <v>202</v>
      </c>
      <c r="T209" s="0" t="n">
        <f aca="false">IF(Anforderungen!$B209="","",IF(AND(OR($B5="(alle)",Anforderungen!$K209=$B5),OR($E5="(alle)",Anforderungen!$C209=$E5),OR($H5="(alle)",Anforderungen!$E209=$H5),OR($B7="(alle)",ISNUMBER(SEARCH($B7,Anforderungen!$J209))),OR($E7="(alle)",ISNUMBER(SEARCH($E7,Anforderungen!$I209))),OR($H7="",ISNUMBER(SEARCH($H7,Anforderungen!$F209&amp;" "&amp;Anforderungen!$G209)))),COUNT($T$6:$T208)+1,""))</f>
        <v>203</v>
      </c>
    </row>
    <row r="210" customFormat="false" ht="30" hidden="false" customHeight="true" outlineLevel="0" collapsed="false">
      <c r="A210" s="45" t="str">
        <f aca="false">IF($R210="","",INDEX(Anforderungen!$B:$B,$R210))</f>
        <v>ANF-197</v>
      </c>
      <c r="B210" s="45" t="str">
        <f aca="false">IF($R210="","",INDEX(Anforderungen!$C:$C,$R210))</f>
        <v>Bieterfragenkatalog</v>
      </c>
      <c r="C210" s="45" t="str">
        <f aca="false">IF($R210="","",INDEX(Anforderungen!$D:$D,$R210))</f>
        <v>Nr. 145 / S. 12</v>
      </c>
      <c r="D210" s="45" t="str">
        <f aca="false">IF($R210="","",INDEX(Anforderungen!$E:$E,$R210))</f>
        <v>Netzanschluss &amp; Energie</v>
      </c>
      <c r="E210" s="45" t="str">
        <f aca="false">IF($R210="","",INDEX(Anforderungen!$F:$F,$R210))</f>
        <v>Klarstellung: Die Mechanik des Durchleitungsmodells wird in der Anlage 14 beschrieben. Sie kann zum Gegenstand des Verhandlungsbedarfs gemacht werden.</v>
      </c>
      <c r="F210" s="45" t="str">
        <f aca="false">IF($R210="","",INDEX(Anforderungen!$G:$G,$R210))</f>
        <v>Wir bitten um präziesere Angaben zu den erwarteten Veranwortlichkeiten, finanziellen Flüssen und dem Datenaustausch im Durchleitungsmodell. Insbesondere: Welchen Spielraum hat der Ladepunktbetreiber, um im Durchleitungsmodell eine Marge pro verkaufter kWh Strom zu erhalten?</v>
      </c>
      <c r="G210" s="45" t="str">
        <f aca="false">IF($R210="","",INDEX(Anforderungen!$I:$I,$R210))</f>
        <v>offen</v>
      </c>
      <c r="H210" s="45" t="str">
        <f aca="false">IF($R210="","",INDEX(Anforderungen!$J:$J,$R210))</f>
        <v>–</v>
      </c>
      <c r="I210" s="45" t="str">
        <f aca="false">IF($R210="","",INDEX(Anforderungen!$K:$K,$R210))</f>
        <v>trifft nicht zu</v>
      </c>
      <c r="J210" s="46" t="n">
        <f aca="false">IF($R210="","",INDEX(Anforderungen!$L:$L,$R210))</f>
        <v>0</v>
      </c>
      <c r="K210" s="45" t="str">
        <f aca="false">IF($R210="","",INDEX(Anforderungen!$M:$M,$R210))</f>
        <v>Automatisch ausgewertet: Außerhalb des betrachteten Leistungsumfangs (Schranken, Kennzeichenerfassung, dynamische Anzeige).</v>
      </c>
      <c r="R210" s="0" t="n">
        <f aca="false">IFERROR(MATCH(ROWS($A$14:$A210),$T$7:$T$2000,0)+6,"")</f>
        <v>203</v>
      </c>
      <c r="T210" s="0" t="n">
        <f aca="false">IF(Anforderungen!$B210="","",IF(AND(OR($B5="(alle)",Anforderungen!$K210=$B5),OR($E5="(alle)",Anforderungen!$C210=$E5),OR($H5="(alle)",Anforderungen!$E210=$H5),OR($B7="(alle)",ISNUMBER(SEARCH($B7,Anforderungen!$J210))),OR($E7="(alle)",ISNUMBER(SEARCH($E7,Anforderungen!$I210))),OR($H7="",ISNUMBER(SEARCH($H7,Anforderungen!$F210&amp;" "&amp;Anforderungen!$G210)))),COUNT($T$6:$T209)+1,""))</f>
        <v>204</v>
      </c>
    </row>
    <row r="211" customFormat="false" ht="30" hidden="false" customHeight="true" outlineLevel="0" collapsed="false">
      <c r="A211" s="45" t="str">
        <f aca="false">IF($R211="","",INDEX(Anforderungen!$B:$B,$R211))</f>
        <v>ANF-198</v>
      </c>
      <c r="B211" s="45" t="str">
        <f aca="false">IF($R211="","",INDEX(Anforderungen!$C:$C,$R211))</f>
        <v>Bieterfragenkatalog</v>
      </c>
      <c r="C211" s="45" t="str">
        <f aca="false">IF($R211="","",INDEX(Anforderungen!$D:$D,$R211))</f>
        <v>Nr. 146 / S. 12</v>
      </c>
      <c r="D211" s="45" t="str">
        <f aca="false">IF($R211="","",INDEX(Anforderungen!$E:$E,$R211))</f>
        <v>Flächen &amp; Genehmigungen</v>
      </c>
      <c r="E211" s="45" t="str">
        <f aca="false">IF($R211="","",INDEX(Anforderungen!$F:$F,$R211))</f>
        <v>Klarstellung: Zusätzliche EInrichtungen, wie die genannten, sind nicht zu planen. Das vom AG beschriebene Leistungssoll ist abschließend.</v>
      </c>
      <c r="F211" s="45" t="str">
        <f aca="false">IF($R211="","",INDEX(Anforderungen!$G:$G,$R211))</f>
        <v>Besitzen manche der Standorte bereits Einrichtungen in Betrieb (z.B. Sanitäranlagen, Bänke, Grünflächen), oder müssen diese grundsätzlich auch vom Auftragnehmer mitgeplant werden?</v>
      </c>
      <c r="G211" s="45" t="str">
        <f aca="false">IF($R211="","",INDEX(Anforderungen!$I:$I,$R211))</f>
        <v>offen</v>
      </c>
      <c r="H211" s="45" t="str">
        <f aca="false">IF($R211="","",INDEX(Anforderungen!$J:$J,$R211))</f>
        <v>–</v>
      </c>
      <c r="I211" s="45" t="str">
        <f aca="false">IF($R211="","",INDEX(Anforderungen!$K:$K,$R211))</f>
        <v>trifft nicht zu</v>
      </c>
      <c r="J211" s="46" t="n">
        <f aca="false">IF($R211="","",INDEX(Anforderungen!$L:$L,$R211))</f>
        <v>0</v>
      </c>
      <c r="K211" s="45" t="str">
        <f aca="false">IF($R211="","",INDEX(Anforderungen!$M:$M,$R211))</f>
        <v>Automatisch ausgewertet: Außerhalb des betrachteten Leistungsumfangs (Schranken, Kennzeichenerfassung, dynamische Anzeige).</v>
      </c>
      <c r="R211" s="0" t="n">
        <f aca="false">IFERROR(MATCH(ROWS($A$14:$A211),$T$7:$T$2000,0)+6,"")</f>
        <v>204</v>
      </c>
      <c r="T211" s="0" t="n">
        <f aca="false">IF(Anforderungen!$B211="","",IF(AND(OR($B5="(alle)",Anforderungen!$K211=$B5),OR($E5="(alle)",Anforderungen!$C211=$E5),OR($H5="(alle)",Anforderungen!$E211=$H5),OR($B7="(alle)",ISNUMBER(SEARCH($B7,Anforderungen!$J211))),OR($E7="(alle)",ISNUMBER(SEARCH($E7,Anforderungen!$I211))),OR($H7="",ISNUMBER(SEARCH($H7,Anforderungen!$F211&amp;" "&amp;Anforderungen!$G211)))),COUNT($T$6:$T210)+1,""))</f>
        <v>205</v>
      </c>
    </row>
    <row r="212" customFormat="false" ht="30" hidden="false" customHeight="true" outlineLevel="0" collapsed="false">
      <c r="A212" s="45" t="str">
        <f aca="false">IF($R212="","",INDEX(Anforderungen!$B:$B,$R212))</f>
        <v>ANF-199</v>
      </c>
      <c r="B212" s="45" t="str">
        <f aca="false">IF($R212="","",INDEX(Anforderungen!$C:$C,$R212))</f>
        <v>Bieterfragenkatalog</v>
      </c>
      <c r="C212" s="45" t="str">
        <f aca="false">IF($R212="","",INDEX(Anforderungen!$D:$D,$R212))</f>
        <v>Nr. 147 / S. 13</v>
      </c>
      <c r="D212" s="45" t="str">
        <f aca="false">IF($R212="","",INDEX(Anforderungen!$E:$E,$R212))</f>
        <v>Netzanschluss &amp; Energie</v>
      </c>
      <c r="E212" s="45" t="str">
        <f aca="false">IF($R212="","",INDEX(Anforderungen!$F:$F,$R212))</f>
        <v>Klarstellung: Siehe hierzu die Antwort auf die Bieterfrage 78. Die jeweilgen Rastanlagen sollen über einen eigenen Netzanschluss angeschlossen werden.</v>
      </c>
      <c r="F212" s="45" t="str">
        <f aca="false">IF($R212="","",INDEX(Anforderungen!$G:$G,$R212))</f>
        <v>Für die Festlegung der Bohrverfahren und -geräte werden für die Kalkulation maßgebliche Informationen notwendig (u.a. Baugrunduntersuchungsergebnisse, grundsätzliche Anforderungen des AG`s zur Auslegung der Bohrungen). Frage: Auf welcher Grundlage sind die Preise abzugeben? Die Anlage 5 enthält lediglich Informationen zu den Netzanschlüssen, aber keine Informationen über notwendige Horizontalbohrungen. Welche Standorte sind betroffen? Welche Leistungen werden durch den Netzbetreiber erbracht (z.B. Ziehen des Kabels?)</v>
      </c>
      <c r="G212" s="45" t="str">
        <f aca="false">IF($R212="","",INDEX(Anforderungen!$I:$I,$R212))</f>
        <v>offen</v>
      </c>
      <c r="H212" s="45" t="str">
        <f aca="false">IF($R212="","",INDEX(Anforderungen!$J:$J,$R212))</f>
        <v>–</v>
      </c>
      <c r="I212" s="45" t="str">
        <f aca="false">IF($R212="","",INDEX(Anforderungen!$K:$K,$R212))</f>
        <v>trifft nicht zu</v>
      </c>
      <c r="J212" s="46" t="n">
        <f aca="false">IF($R212="","",INDEX(Anforderungen!$L:$L,$R212))</f>
        <v>0</v>
      </c>
      <c r="K212" s="45" t="str">
        <f aca="false">IF($R212="","",INDEX(Anforderungen!$M:$M,$R212))</f>
        <v>Automatisch ausgewertet: Außerhalb des betrachteten Leistungsumfangs (Schranken, Kennzeichenerfassung, dynamische Anzeige).</v>
      </c>
      <c r="R212" s="0" t="n">
        <f aca="false">IFERROR(MATCH(ROWS($A$14:$A212),$T$7:$T$2000,0)+6,"")</f>
        <v>205</v>
      </c>
      <c r="T212" s="0" t="n">
        <f aca="false">IF(Anforderungen!$B212="","",IF(AND(OR($B5="(alle)",Anforderungen!$K212=$B5),OR($E5="(alle)",Anforderungen!$C212=$E5),OR($H5="(alle)",Anforderungen!$E212=$H5),OR($B7="(alle)",ISNUMBER(SEARCH($B7,Anforderungen!$J212))),OR($E7="(alle)",ISNUMBER(SEARCH($E7,Anforderungen!$I212))),OR($H7="",ISNUMBER(SEARCH($H7,Anforderungen!$F212&amp;" "&amp;Anforderungen!$G212)))),COUNT($T$6:$T211)+1,""))</f>
        <v>206</v>
      </c>
    </row>
    <row r="213" customFormat="false" ht="30" hidden="false" customHeight="true" outlineLevel="0" collapsed="false">
      <c r="A213" s="45" t="str">
        <f aca="false">IF($R213="","",INDEX(Anforderungen!$B:$B,$R213))</f>
        <v>ANF-200</v>
      </c>
      <c r="B213" s="45" t="str">
        <f aca="false">IF($R213="","",INDEX(Anforderungen!$C:$C,$R213))</f>
        <v>Bieterfragenkatalog</v>
      </c>
      <c r="C213" s="45" t="str">
        <f aca="false">IF($R213="","",INDEX(Anforderungen!$D:$D,$R213))</f>
        <v>Nr. 148 / S. 13</v>
      </c>
      <c r="D213" s="45" t="str">
        <f aca="false">IF($R213="","",INDEX(Anforderungen!$E:$E,$R213))</f>
        <v>Netzanschluss &amp; Energie</v>
      </c>
      <c r="E213" s="45" t="str">
        <f aca="false">IF($R213="","",INDEX(Anforderungen!$F:$F,$R213))</f>
        <v>Klarstellung: Siehe hierzu die Antwort auf die Bieterfrage 78. Die jeweilgen Rastanlagen sollen über einen eigenen Netzanschluss angeschlossen werden.</v>
      </c>
      <c r="F213" s="45" t="str">
        <f aca="false">IF($R213="","",INDEX(Anforderungen!$G:$G,$R213))</f>
        <v>Wir vermuten, dass bei einigen Rastplätzen durch vorherige Maßnahmen bereits Querungen hergestellt wurden, werden diese ggf. nutzbar sein?</v>
      </c>
      <c r="G213" s="45" t="str">
        <f aca="false">IF($R213="","",INDEX(Anforderungen!$I:$I,$R213))</f>
        <v>offen</v>
      </c>
      <c r="H213" s="45" t="str">
        <f aca="false">IF($R213="","",INDEX(Anforderungen!$J:$J,$R213))</f>
        <v>–</v>
      </c>
      <c r="I213" s="45" t="str">
        <f aca="false">IF($R213="","",INDEX(Anforderungen!$K:$K,$R213))</f>
        <v>trifft nicht zu</v>
      </c>
      <c r="J213" s="46" t="n">
        <f aca="false">IF($R213="","",INDEX(Anforderungen!$L:$L,$R213))</f>
        <v>0</v>
      </c>
      <c r="K213" s="45" t="str">
        <f aca="false">IF($R213="","",INDEX(Anforderungen!$M:$M,$R213))</f>
        <v>Automatisch ausgewertet: Außerhalb des betrachteten Leistungsumfangs (Schranken, Kennzeichenerfassung, dynamische Anzeige).</v>
      </c>
      <c r="R213" s="0" t="n">
        <f aca="false">IFERROR(MATCH(ROWS($A$14:$A213),$T$7:$T$2000,0)+6,"")</f>
        <v>206</v>
      </c>
      <c r="T213" s="0" t="n">
        <f aca="false">IF(Anforderungen!$B213="","",IF(AND(OR($B5="(alle)",Anforderungen!$K213=$B5),OR($E5="(alle)",Anforderungen!$C213=$E5),OR($H5="(alle)",Anforderungen!$E213=$H5),OR($B7="(alle)",ISNUMBER(SEARCH($B7,Anforderungen!$J213))),OR($E7="(alle)",ISNUMBER(SEARCH($E7,Anforderungen!$I213))),OR($H7="",ISNUMBER(SEARCH($H7,Anforderungen!$F213&amp;" "&amp;Anforderungen!$G213)))),COUNT($T$6:$T212)+1,""))</f>
        <v>207</v>
      </c>
    </row>
    <row r="214" customFormat="false" ht="30" hidden="false" customHeight="true" outlineLevel="0" collapsed="false">
      <c r="A214" s="45" t="str">
        <f aca="false">IF($R214="","",INDEX(Anforderungen!$B:$B,$R214))</f>
        <v>ANF-201</v>
      </c>
      <c r="B214" s="45" t="str">
        <f aca="false">IF($R214="","",INDEX(Anforderungen!$C:$C,$R214))</f>
        <v>Bieterfragenkatalog</v>
      </c>
      <c r="C214" s="45" t="str">
        <f aca="false">IF($R214="","",INDEX(Anforderungen!$D:$D,$R214))</f>
        <v>Nr. 149 / S. 13</v>
      </c>
      <c r="D214" s="45" t="str">
        <f aca="false">IF($R214="","",INDEX(Anforderungen!$E:$E,$R214))</f>
        <v>Netzanschluss &amp; Energie</v>
      </c>
      <c r="E214" s="45" t="str">
        <f aca="false">IF($R214="","",INDEX(Anforderungen!$F:$F,$R214))</f>
        <v>Klarstellung: Siehe hierzu die Antwort auf die Bieterfrage 78. Die jeweilgen Rastanlagen sollen über einen eigenen Netzanschluss angeschlossen werden.</v>
      </c>
      <c r="F214" s="45" t="str">
        <f aca="false">IF($R214="","",INDEX(Anforderungen!$G:$G,$R214))</f>
        <v>Die Netzanschlussleistungen variieren zum Teil erheblich, weshalb die Auslegung der Mittelspannungsstationen zumeist individuell erfolgt - Welche Mindestanforderungen hat der AG an die Kabelquerschnitte, die zwischen den Rastplätzen gezogen werden? Mit welchen Querschnittsannahmen ist die Kalkulation zu erstellen?</v>
      </c>
      <c r="G214" s="45" t="str">
        <f aca="false">IF($R214="","",INDEX(Anforderungen!$I:$I,$R214))</f>
        <v>offen</v>
      </c>
      <c r="H214" s="45" t="str">
        <f aca="false">IF($R214="","",INDEX(Anforderungen!$J:$J,$R214))</f>
        <v>–</v>
      </c>
      <c r="I214" s="45" t="str">
        <f aca="false">IF($R214="","",INDEX(Anforderungen!$K:$K,$R214))</f>
        <v>trifft nicht zu</v>
      </c>
      <c r="J214" s="46" t="n">
        <f aca="false">IF($R214="","",INDEX(Anforderungen!$L:$L,$R214))</f>
        <v>0</v>
      </c>
      <c r="K214" s="45" t="str">
        <f aca="false">IF($R214="","",INDEX(Anforderungen!$M:$M,$R214))</f>
        <v>Automatisch ausgewertet: Außerhalb des betrachteten Leistungsumfangs (Schranken, Kennzeichenerfassung, dynamische Anzeige).</v>
      </c>
      <c r="R214" s="0" t="n">
        <f aca="false">IFERROR(MATCH(ROWS($A$14:$A214),$T$7:$T$2000,0)+6,"")</f>
        <v>207</v>
      </c>
      <c r="T214" s="0" t="n">
        <f aca="false">IF(Anforderungen!$B214="","",IF(AND(OR($B5="(alle)",Anforderungen!$K214=$B5),OR($E5="(alle)",Anforderungen!$C214=$E5),OR($H5="(alle)",Anforderungen!$E214=$H5),OR($B7="(alle)",ISNUMBER(SEARCH($B7,Anforderungen!$J214))),OR($E7="(alle)",ISNUMBER(SEARCH($E7,Anforderungen!$I214))),OR($H7="",ISNUMBER(SEARCH($H7,Anforderungen!$F214&amp;" "&amp;Anforderungen!$G214)))),COUNT($T$6:$T213)+1,""))</f>
        <v>208</v>
      </c>
    </row>
    <row r="215" customFormat="false" ht="30" hidden="false" customHeight="true" outlineLevel="0" collapsed="false">
      <c r="A215" s="45" t="str">
        <f aca="false">IF($R215="","",INDEX(Anforderungen!$B:$B,$R215))</f>
        <v>ANF-202</v>
      </c>
      <c r="B215" s="45" t="str">
        <f aca="false">IF($R215="","",INDEX(Anforderungen!$C:$C,$R215))</f>
        <v>Bieterfragenkatalog</v>
      </c>
      <c r="C215" s="45" t="str">
        <f aca="false">IF($R215="","",INDEX(Anforderungen!$D:$D,$R215))</f>
        <v>Nr. 150 / S. 13</v>
      </c>
      <c r="D215" s="45" t="str">
        <f aca="false">IF($R215="","",INDEX(Anforderungen!$E:$E,$R215))</f>
        <v>Netzanschluss &amp; Energie</v>
      </c>
      <c r="E215" s="45" t="str">
        <f aca="false">IF($R215="","",INDEX(Anforderungen!$F:$F,$R215))</f>
        <v>Klarstellung: Siehe hierzu die Antwort auf die Bieterfrage 78. Die jeweilgen Rastanlagen sollen über einen eigenen Netzanschluss angeschlossen werden.</v>
      </c>
      <c r="F215" s="45" t="str">
        <f aca="false">IF($R215="","",INDEX(Anforderungen!$G:$G,$R215))</f>
        <v>Die Kalkulation ist maßgeblich von den vorliegenden Bodenklassen abhängig. Bis zu welcher Bodenklasse ist die Kalkulation zu erstellen? Wird der Mehraufwand aus höheren Bodenklassen (z.B. felsiger Boden) gesondert vergütet?</v>
      </c>
      <c r="G215" s="45" t="str">
        <f aca="false">IF($R215="","",INDEX(Anforderungen!$I:$I,$R215))</f>
        <v>offen</v>
      </c>
      <c r="H215" s="45" t="str">
        <f aca="false">IF($R215="","",INDEX(Anforderungen!$J:$J,$R215))</f>
        <v>–</v>
      </c>
      <c r="I215" s="45" t="str">
        <f aca="false">IF($R215="","",INDEX(Anforderungen!$K:$K,$R215))</f>
        <v>trifft nicht zu</v>
      </c>
      <c r="J215" s="46" t="n">
        <f aca="false">IF($R215="","",INDEX(Anforderungen!$L:$L,$R215))</f>
        <v>0</v>
      </c>
      <c r="K215" s="45" t="str">
        <f aca="false">IF($R215="","",INDEX(Anforderungen!$M:$M,$R215))</f>
        <v>Automatisch ausgewertet: Außerhalb des betrachteten Leistungsumfangs (Schranken, Kennzeichenerfassung, dynamische Anzeige).</v>
      </c>
      <c r="R215" s="0" t="n">
        <f aca="false">IFERROR(MATCH(ROWS($A$14:$A215),$T$7:$T$2000,0)+6,"")</f>
        <v>208</v>
      </c>
      <c r="T215" s="0" t="n">
        <f aca="false">IF(Anforderungen!$B215="","",IF(AND(OR($B5="(alle)",Anforderungen!$K215=$B5),OR($E5="(alle)",Anforderungen!$C215=$E5),OR($H5="(alle)",Anforderungen!$E215=$H5),OR($B7="(alle)",ISNUMBER(SEARCH($B7,Anforderungen!$J215))),OR($E7="(alle)",ISNUMBER(SEARCH($E7,Anforderungen!$I215))),OR($H7="",ISNUMBER(SEARCH($H7,Anforderungen!$F215&amp;" "&amp;Anforderungen!$G215)))),COUNT($T$6:$T214)+1,""))</f>
        <v>209</v>
      </c>
    </row>
    <row r="216" customFormat="false" ht="30" hidden="false" customHeight="true" outlineLevel="0" collapsed="false">
      <c r="A216" s="45" t="str">
        <f aca="false">IF($R216="","",INDEX(Anforderungen!$B:$B,$R216))</f>
        <v>ANF-203</v>
      </c>
      <c r="B216" s="45" t="str">
        <f aca="false">IF($R216="","",INDEX(Anforderungen!$C:$C,$R216))</f>
        <v>Bieterfragenkatalog</v>
      </c>
      <c r="C216" s="45" t="str">
        <f aca="false">IF($R216="","",INDEX(Anforderungen!$D:$D,$R216))</f>
        <v>Nr. 151 / S. 13</v>
      </c>
      <c r="D216" s="45" t="str">
        <f aca="false">IF($R216="","",INDEX(Anforderungen!$E:$E,$R216))</f>
        <v>Netzanschluss &amp; Energie</v>
      </c>
      <c r="E216" s="45" t="str">
        <f aca="false">IF($R216="","",INDEX(Anforderungen!$F:$F,$R216))</f>
        <v>Klarstellung: Die jeweilgen Rastanlagen sollen über einen eigenen Netzanschluss angeschlossen werden, so dass i.d.R. keine Liegenschaften überquert werden müssen um mit einem Netzanschluss versehen werden zu können.</v>
      </c>
      <c r="F216" s="45" t="str">
        <f aca="false">IF($R216="","",INDEX(Anforderungen!$G:$G,$R216))</f>
        <v>Die Rastplätze liegen z.T. mehrere Kilometer auseinander. Ist davon auszugehen, dass zum Zeitpunkt der geplanten Ausführung alle notwendigen Genehmigungen der zu überquerenden Liegenschaften vorliegen?</v>
      </c>
      <c r="G216" s="45" t="str">
        <f aca="false">IF($R216="","",INDEX(Anforderungen!$I:$I,$R216))</f>
        <v>offen</v>
      </c>
      <c r="H216" s="45" t="str">
        <f aca="false">IF($R216="","",INDEX(Anforderungen!$J:$J,$R216))</f>
        <v>–</v>
      </c>
      <c r="I216" s="45" t="str">
        <f aca="false">IF($R216="","",INDEX(Anforderungen!$K:$K,$R216))</f>
        <v>trifft nicht zu</v>
      </c>
      <c r="J216" s="46" t="n">
        <f aca="false">IF($R216="","",INDEX(Anforderungen!$L:$L,$R216))</f>
        <v>0</v>
      </c>
      <c r="K216" s="45" t="str">
        <f aca="false">IF($R216="","",INDEX(Anforderungen!$M:$M,$R216))</f>
        <v>Automatisch ausgewertet: Außerhalb des betrachteten Leistungsumfangs (Schranken, Kennzeichenerfassung, dynamische Anzeige).</v>
      </c>
      <c r="R216" s="0" t="n">
        <f aca="false">IFERROR(MATCH(ROWS($A$14:$A216),$T$7:$T$2000,0)+6,"")</f>
        <v>209</v>
      </c>
      <c r="T216" s="0" t="n">
        <f aca="false">IF(Anforderungen!$B216="","",IF(AND(OR($B5="(alle)",Anforderungen!$K216=$B5),OR($E5="(alle)",Anforderungen!$C216=$E5),OR($H5="(alle)",Anforderungen!$E216=$H5),OR($B7="(alle)",ISNUMBER(SEARCH($B7,Anforderungen!$J216))),OR($E7="(alle)",ISNUMBER(SEARCH($E7,Anforderungen!$I216))),OR($H7="",ISNUMBER(SEARCH($H7,Anforderungen!$F216&amp;" "&amp;Anforderungen!$G216)))),COUNT($T$6:$T215)+1,""))</f>
        <v>210</v>
      </c>
    </row>
    <row r="217" customFormat="false" ht="30" hidden="false" customHeight="true" outlineLevel="0" collapsed="false">
      <c r="A217" s="45" t="str">
        <f aca="false">IF($R217="","",INDEX(Anforderungen!$B:$B,$R217))</f>
        <v>ANF-204</v>
      </c>
      <c r="B217" s="45" t="str">
        <f aca="false">IF($R217="","",INDEX(Anforderungen!$C:$C,$R217))</f>
        <v>Bieterfragenkatalog</v>
      </c>
      <c r="C217" s="45" t="str">
        <f aca="false">IF($R217="","",INDEX(Anforderungen!$D:$D,$R217))</f>
        <v>Nr. 152 / S. 13</v>
      </c>
      <c r="D217" s="45" t="str">
        <f aca="false">IF($R217="","",INDEX(Anforderungen!$E:$E,$R217))</f>
        <v>Netzanschluss &amp; Energie</v>
      </c>
      <c r="E217" s="45" t="str">
        <f aca="false">IF($R217="","",INDEX(Anforderungen!$F:$F,$R217))</f>
        <v>Klarstellung: Siehe hierzu die Antwort auf die Bieterfrage 78. Die jeweilgen Rastanlagen sollen über einen eigenen Netzanschluss angeschlossen werden.</v>
      </c>
      <c r="F217" s="45" t="str">
        <f aca="false">IF($R217="","",INDEX(Anforderungen!$G:$G,$R217))</f>
        <v>An welchen Standorten sind Horizontalbohrungen durchzuführen? In Anlage 4 wird auf Seite 26 auf die Vertragsanlage 5 verwiesen. Allerdings gibt es in der Tabelle von Anlage 5 keine Spalte, die Informationen hierzu aufweist.</v>
      </c>
      <c r="G217" s="45" t="str">
        <f aca="false">IF($R217="","",INDEX(Anforderungen!$I:$I,$R217))</f>
        <v>offen</v>
      </c>
      <c r="H217" s="45" t="str">
        <f aca="false">IF($R217="","",INDEX(Anforderungen!$J:$J,$R217))</f>
        <v>–</v>
      </c>
      <c r="I217" s="45" t="str">
        <f aca="false">IF($R217="","",INDEX(Anforderungen!$K:$K,$R217))</f>
        <v>trifft nicht zu</v>
      </c>
      <c r="J217" s="46" t="n">
        <f aca="false">IF($R217="","",INDEX(Anforderungen!$L:$L,$R217))</f>
        <v>0</v>
      </c>
      <c r="K217" s="45" t="str">
        <f aca="false">IF($R217="","",INDEX(Anforderungen!$M:$M,$R217))</f>
        <v>Automatisch ausgewertet: Außerhalb des betrachteten Leistungsumfangs (Schranken, Kennzeichenerfassung, dynamische Anzeige).</v>
      </c>
      <c r="R217" s="0" t="n">
        <f aca="false">IFERROR(MATCH(ROWS($A$14:$A217),$T$7:$T$2000,0)+6,"")</f>
        <v>210</v>
      </c>
      <c r="T217" s="0" t="n">
        <f aca="false">IF(Anforderungen!$B217="","",IF(AND(OR($B5="(alle)",Anforderungen!$K217=$B5),OR($E5="(alle)",Anforderungen!$C217=$E5),OR($H5="(alle)",Anforderungen!$E217=$H5),OR($B7="(alle)",ISNUMBER(SEARCH($B7,Anforderungen!$J217))),OR($E7="(alle)",ISNUMBER(SEARCH($E7,Anforderungen!$I217))),OR($H7="",ISNUMBER(SEARCH($H7,Anforderungen!$F217&amp;" "&amp;Anforderungen!$G217)))),COUNT($T$6:$T216)+1,""))</f>
        <v>211</v>
      </c>
    </row>
    <row r="218" customFormat="false" ht="30" hidden="false" customHeight="true" outlineLevel="0" collapsed="false">
      <c r="A218" s="45" t="str">
        <f aca="false">IF($R218="","",INDEX(Anforderungen!$B:$B,$R218))</f>
        <v>ANF-205</v>
      </c>
      <c r="B218" s="45" t="str">
        <f aca="false">IF($R218="","",INDEX(Anforderungen!$C:$C,$R218))</f>
        <v>Bieterfragenkatalog</v>
      </c>
      <c r="C218" s="45" t="str">
        <f aca="false">IF($R218="","",INDEX(Anforderungen!$D:$D,$R218))</f>
        <v>Nr. 153 / S. 13</v>
      </c>
      <c r="D218" s="45" t="str">
        <f aca="false">IF($R218="","",INDEX(Anforderungen!$E:$E,$R218))</f>
        <v>Bau &amp; Dokumentation</v>
      </c>
      <c r="E218" s="45" t="str">
        <f aca="false">IF($R218="","",INDEX(Anforderungen!$F:$F,$R218))</f>
        <v>Klarstellung: Die zusätzlichen Bauleistungen unter Ziffer 6.1 und 6.2 sind im hiesigen Verfahren nicht gefordert, so dass in den beiden Feldern keine Angaben gemacht werden müssen.</v>
      </c>
      <c r="F218" s="45" t="str">
        <f aca="false">IF($R218="","",INDEX(Anforderungen!$G:$G,$R218))</f>
        <v>Die Punkte 6.1: "Planungs- und Bauleistung Querung der Autobahn (wenn in Anlage 3b gesondert gefordert) und 6.2 "Material für Querung, z.B.. Kabel, Kabelverlegung, ggf. weiteres Material (wenn in Anlage 3b gesondert gefordert) beziehen sich auf eine Anlage 3b, die nicht vorliegt. Würden Sie diese bitte zur Verfügung stellen?</v>
      </c>
      <c r="G218" s="45" t="str">
        <f aca="false">IF($R218="","",INDEX(Anforderungen!$I:$I,$R218))</f>
        <v>offen</v>
      </c>
      <c r="H218" s="45" t="str">
        <f aca="false">IF($R218="","",INDEX(Anforderungen!$J:$J,$R218))</f>
        <v>–</v>
      </c>
      <c r="I218" s="45" t="str">
        <f aca="false">IF($R218="","",INDEX(Anforderungen!$K:$K,$R218))</f>
        <v>trifft nicht zu</v>
      </c>
      <c r="J218" s="46" t="n">
        <f aca="false">IF($R218="","",INDEX(Anforderungen!$L:$L,$R218))</f>
        <v>0</v>
      </c>
      <c r="K218" s="45" t="str">
        <f aca="false">IF($R218="","",INDEX(Anforderungen!$M:$M,$R218))</f>
        <v>Automatisch ausgewertet: Außerhalb des betrachteten Leistungsumfangs (Schranken, Kennzeichenerfassung, dynamische Anzeige).</v>
      </c>
      <c r="R218" s="0" t="n">
        <f aca="false">IFERROR(MATCH(ROWS($A$14:$A218),$T$7:$T$2000,0)+6,"")</f>
        <v>211</v>
      </c>
      <c r="T218" s="0" t="n">
        <f aca="false">IF(Anforderungen!$B218="","",IF(AND(OR($B5="(alle)",Anforderungen!$K218=$B5),OR($E5="(alle)",Anforderungen!$C218=$E5),OR($H5="(alle)",Anforderungen!$E218=$H5),OR($B7="(alle)",ISNUMBER(SEARCH($B7,Anforderungen!$J218))),OR($E7="(alle)",ISNUMBER(SEARCH($E7,Anforderungen!$I218))),OR($H7="",ISNUMBER(SEARCH($H7,Anforderungen!$F218&amp;" "&amp;Anforderungen!$G218)))),COUNT($T$6:$T217)+1,""))</f>
        <v>212</v>
      </c>
    </row>
    <row r="219" customFormat="false" ht="30" hidden="false" customHeight="true" outlineLevel="0" collapsed="false">
      <c r="A219" s="45" t="str">
        <f aca="false">IF($R219="","",INDEX(Anforderungen!$B:$B,$R219))</f>
        <v>ANF-206</v>
      </c>
      <c r="B219" s="45" t="str">
        <f aca="false">IF($R219="","",INDEX(Anforderungen!$C:$C,$R219))</f>
        <v>Bieterfragenkatalog</v>
      </c>
      <c r="C219" s="45" t="str">
        <f aca="false">IF($R219="","",INDEX(Anforderungen!$D:$D,$R219))</f>
        <v>Nr. 154 / S. 13</v>
      </c>
      <c r="D219" s="45" t="str">
        <f aca="false">IF($R219="","",INDEX(Anforderungen!$E:$E,$R219))</f>
        <v>Anzeige &amp; Beschilderung</v>
      </c>
      <c r="E219" s="45" t="str">
        <f aca="false">IF($R219="","",INDEX(Anforderungen!$F:$F,$R219))</f>
        <v>Verweis des Auftraggebers auf die Antwort zu Bieterfrage 113.</v>
      </c>
      <c r="F219" s="45" t="str">
        <f aca="false">IF($R219="","",INDEX(Anforderungen!$G:$G,$R219))</f>
        <v>Der erste Satz ist unverständlich und der Verweis auf Ziffer 4.12.2. (Beschilderung und Markierung) der Anlage 4 macht in diesem Zusammenhang keinen Sinn. Bitte um Klärung.</v>
      </c>
      <c r="G219" s="45" t="str">
        <f aca="false">IF($R219="","",INDEX(Anforderungen!$I:$I,$R219))</f>
        <v>tbd</v>
      </c>
      <c r="H219" s="45" t="str">
        <f aca="false">IF($R219="","",INDEX(Anforderungen!$J:$J,$R219))</f>
        <v>Beschilderung</v>
      </c>
      <c r="I219" s="45" t="str">
        <f aca="false">IF($R219="","",INDEX(Anforderungen!$K:$K,$R219))</f>
        <v>trifft nicht zu</v>
      </c>
      <c r="J219" s="46" t="n">
        <f aca="false">IF($R219="","",INDEX(Anforderungen!$L:$L,$R219))</f>
        <v>0</v>
      </c>
      <c r="K219" s="45" t="str">
        <f aca="false">IF($R219="","",INDEX(Anforderungen!$M:$M,$R219))</f>
        <v>Automatisch ausgewertet: Die Antwort des Auftraggebers verweist ausschließlich auf Bieterfrage 113. Keine eigenständige Anforderung – der Inhalt ist unter der dort erfassten Zeile nachzuhalten.</v>
      </c>
      <c r="R219" s="0" t="n">
        <f aca="false">IFERROR(MATCH(ROWS($A$14:$A219),$T$7:$T$2000,0)+6,"")</f>
        <v>212</v>
      </c>
      <c r="T219" s="0" t="n">
        <f aca="false">IF(Anforderungen!$B219="","",IF(AND(OR($B5="(alle)",Anforderungen!$K219=$B5),OR($E5="(alle)",Anforderungen!$C219=$E5),OR($H5="(alle)",Anforderungen!$E219=$H5),OR($B7="(alle)",ISNUMBER(SEARCH($B7,Anforderungen!$J219))),OR($E7="(alle)",ISNUMBER(SEARCH($E7,Anforderungen!$I219))),OR($H7="",ISNUMBER(SEARCH($H7,Anforderungen!$F219&amp;" "&amp;Anforderungen!$G219)))),COUNT($T$6:$T218)+1,""))</f>
        <v>213</v>
      </c>
    </row>
    <row r="220" customFormat="false" ht="30" hidden="false" customHeight="true" outlineLevel="0" collapsed="false">
      <c r="A220" s="45" t="str">
        <f aca="false">IF($R220="","",INDEX(Anforderungen!$B:$B,$R220))</f>
        <v>ANF-207</v>
      </c>
      <c r="B220" s="45" t="str">
        <f aca="false">IF($R220="","",INDEX(Anforderungen!$C:$C,$R220))</f>
        <v>Bieterfragenkatalog</v>
      </c>
      <c r="C220" s="45" t="str">
        <f aca="false">IF($R220="","",INDEX(Anforderungen!$D:$D,$R220))</f>
        <v>Nr. 155 / S. 13</v>
      </c>
      <c r="D220" s="45" t="str">
        <f aca="false">IF($R220="","",INDEX(Anforderungen!$E:$E,$R220))</f>
        <v>Netzanschluss &amp; Energie</v>
      </c>
      <c r="E220" s="45" t="str">
        <f aca="false">IF($R220="","",INDEX(Anforderungen!$F:$F,$R220))</f>
        <v>Klarstellung: Siehe Antwort auf die Bieterfrage 5. Hintergrund war ein technischer Fehler bei der Erstellung und Bereitstellung der Unterlage.</v>
      </c>
      <c r="F220" s="45" t="str">
        <f aca="false">IF($R220="","",INDEX(Anforderungen!$G:$G,$R220))</f>
        <v>Die letzten beiden Versionen der Standortübersicht (vom 06.01. und 14.01.) weisen sowohl zur ursprünglichen Version als auch untereinander erhebliche Veränderungen bei der Standortkonfiguration auf. Könnten Sie bitte zu den Hintergründen Stellung nehmen? Liegt es beispielsweise am Netzanschluss oder an veränderten Nachfrageprognosen?</v>
      </c>
      <c r="G220" s="45" t="str">
        <f aca="false">IF($R220="","",INDEX(Anforderungen!$I:$I,$R220))</f>
        <v>offen</v>
      </c>
      <c r="H220" s="45" t="str">
        <f aca="false">IF($R220="","",INDEX(Anforderungen!$J:$J,$R220))</f>
        <v>–</v>
      </c>
      <c r="I220" s="45" t="str">
        <f aca="false">IF($R220="","",INDEX(Anforderungen!$K:$K,$R220))</f>
        <v>trifft nicht zu</v>
      </c>
      <c r="J220" s="46" t="n">
        <f aca="false">IF($R220="","",INDEX(Anforderungen!$L:$L,$R220))</f>
        <v>0</v>
      </c>
      <c r="K220" s="45" t="str">
        <f aca="false">IF($R220="","",INDEX(Anforderungen!$M:$M,$R220))</f>
        <v>Automatisch ausgewertet: Außerhalb des betrachteten Leistungsumfangs (Schranken, Kennzeichenerfassung, dynamische Anzeige).</v>
      </c>
      <c r="R220" s="0" t="n">
        <f aca="false">IFERROR(MATCH(ROWS($A$14:$A220),$T$7:$T$2000,0)+6,"")</f>
        <v>213</v>
      </c>
      <c r="T220" s="0" t="n">
        <f aca="false">IF(Anforderungen!$B220="","",IF(AND(OR($B5="(alle)",Anforderungen!$K220=$B5),OR($E5="(alle)",Anforderungen!$C220=$E5),OR($H5="(alle)",Anforderungen!$E220=$H5),OR($B7="(alle)",ISNUMBER(SEARCH($B7,Anforderungen!$J220))),OR($E7="(alle)",ISNUMBER(SEARCH($E7,Anforderungen!$I220))),OR($H7="",ISNUMBER(SEARCH($H7,Anforderungen!$F220&amp;" "&amp;Anforderungen!$G220)))),COUNT($T$6:$T219)+1,""))</f>
        <v>214</v>
      </c>
    </row>
    <row r="221" customFormat="false" ht="30" hidden="false" customHeight="true" outlineLevel="0" collapsed="false">
      <c r="A221" s="45" t="str">
        <f aca="false">IF($R221="","",INDEX(Anforderungen!$B:$B,$R221))</f>
        <v>ANF-208</v>
      </c>
      <c r="B221" s="45" t="str">
        <f aca="false">IF($R221="","",INDEX(Anforderungen!$C:$C,$R221))</f>
        <v>Bieterfragenkatalog</v>
      </c>
      <c r="C221" s="45" t="str">
        <f aca="false">IF($R221="","",INDEX(Anforderungen!$D:$D,$R221))</f>
        <v>Nr. 156 / S. 13</v>
      </c>
      <c r="D221" s="45" t="str">
        <f aca="false">IF($R221="","",INDEX(Anforderungen!$E:$E,$R221))</f>
        <v>Netzanschluss &amp; Energie</v>
      </c>
      <c r="E221" s="45" t="str">
        <f aca="false">IF($R221="","",INDEX(Anforderungen!$F:$F,$R221))</f>
        <v>Klarstellung: Siehe Antwort auf die Bieterfrage 48 und 119. Die konkrete Verfügbarkeit und der ggf. notwendigte Pfad für eine Leistungserhöhung an den einzelnen Standorten sind erst nach Eingang der Erstangebote durch die zuständigen …</v>
      </c>
      <c r="F221" s="45" t="str">
        <f aca="false">IF($R221="","",INDEX(Anforderungen!$G:$G,$R221))</f>
        <v>Gibt es beim Netzanschluss bzw. Speicher eine Mindestquote der anvisierten Leistung, die erreicht wird? Sie schreiben in Bezug auf voherige Bieterfragen, dass alle Ladepunkte zu errichten sind sowie dass derzeit keine Aussagen zu den zum voraussichtlichen Startzeitraum vorhandenen Anschlusskapazitäten gemacht werden kann. Das Wissen mit welcher Leistung gerechnet werden kann oder ob es Standorte / Lose gibt, die sich dahingehend massiv unterscheiden ist jedoch sowohl für die Angebotskalkulation als auch die Favorisierung von Losen äußerst relevant. Beispielsweise vor dem Hintergrund, welche Leistung den Kunden letzendlich zur Verfügung gestellt wird sowohl durch mehr Energieverluste bei der Nutzung eines Speichers.</v>
      </c>
      <c r="G221" s="45" t="str">
        <f aca="false">IF($R221="","",INDEX(Anforderungen!$I:$I,$R221))</f>
        <v>offen</v>
      </c>
      <c r="H221" s="45" t="str">
        <f aca="false">IF($R221="","",INDEX(Anforderungen!$J:$J,$R221))</f>
        <v>–</v>
      </c>
      <c r="I221" s="45" t="str">
        <f aca="false">IF($R221="","",INDEX(Anforderungen!$K:$K,$R221))</f>
        <v>trifft nicht zu</v>
      </c>
      <c r="J221" s="46" t="n">
        <f aca="false">IF($R221="","",INDEX(Anforderungen!$L:$L,$R221))</f>
        <v>0</v>
      </c>
      <c r="K221" s="45" t="str">
        <f aca="false">IF($R221="","",INDEX(Anforderungen!$M:$M,$R221))</f>
        <v>Automatisch ausgewertet: Außerhalb des betrachteten Leistungsumfangs (Schranken, Kennzeichenerfassung, dynamische Anzeige).</v>
      </c>
      <c r="R221" s="0" t="n">
        <f aca="false">IFERROR(MATCH(ROWS($A$14:$A221),$T$7:$T$2000,0)+6,"")</f>
        <v>214</v>
      </c>
      <c r="T221" s="0" t="n">
        <f aca="false">IF(Anforderungen!$B221="","",IF(AND(OR($B5="(alle)",Anforderungen!$K221=$B5),OR($E5="(alle)",Anforderungen!$C221=$E5),OR($H5="(alle)",Anforderungen!$E221=$H5),OR($B7="(alle)",ISNUMBER(SEARCH($B7,Anforderungen!$J221))),OR($E7="(alle)",ISNUMBER(SEARCH($E7,Anforderungen!$I221))),OR($H7="",ISNUMBER(SEARCH($H7,Anforderungen!$F221&amp;" "&amp;Anforderungen!$G221)))),COUNT($T$6:$T220)+1,""))</f>
        <v>215</v>
      </c>
    </row>
    <row r="222" customFormat="false" ht="30" hidden="false" customHeight="true" outlineLevel="0" collapsed="false">
      <c r="A222" s="45" t="str">
        <f aca="false">IF($R222="","",INDEX(Anforderungen!$B:$B,$R222))</f>
        <v>ANF-209</v>
      </c>
      <c r="B222" s="45" t="str">
        <f aca="false">IF($R222="","",INDEX(Anforderungen!$C:$C,$R222))</f>
        <v>Bieterfragenkatalog</v>
      </c>
      <c r="C222" s="45" t="str">
        <f aca="false">IF($R222="","",INDEX(Anforderungen!$D:$D,$R222))</f>
        <v>Nr. 157 / S. 13</v>
      </c>
      <c r="D222" s="45" t="str">
        <f aca="false">IF($R222="","",INDEX(Anforderungen!$E:$E,$R222))</f>
        <v>Vergabeverfahren &amp; Angebot</v>
      </c>
      <c r="E222" s="45" t="str">
        <f aca="false">IF($R222="","",INDEX(Anforderungen!$F:$F,$R222))</f>
        <v>Verweis des Auftraggebers auf die Antwort zu Bieterfrage 44.</v>
      </c>
      <c r="F222" s="45" t="str">
        <f aca="false">IF($R222="","",INDEX(Anforderungen!$G:$G,$R222))</f>
        <v>Wie bereits im Januar geäußert, bitten wir um zeitnahe Bereitstellung von "change versions" zu den überarbeiteten Vergabeunterlagen.</v>
      </c>
      <c r="G222" s="45" t="str">
        <f aca="false">IF($R222="","",INDEX(Anforderungen!$I:$I,$R222))</f>
        <v>offen</v>
      </c>
      <c r="H222" s="45" t="str">
        <f aca="false">IF($R222="","",INDEX(Anforderungen!$J:$J,$R222))</f>
        <v>–</v>
      </c>
      <c r="I222" s="45" t="str">
        <f aca="false">IF($R222="","",INDEX(Anforderungen!$K:$K,$R222))</f>
        <v>trifft nicht zu</v>
      </c>
      <c r="J222" s="46" t="n">
        <f aca="false">IF($R222="","",INDEX(Anforderungen!$L:$L,$R222))</f>
        <v>0</v>
      </c>
      <c r="K222" s="45" t="str">
        <f aca="false">IF($R222="","",INDEX(Anforderungen!$M:$M,$R222))</f>
        <v>Automatisch ausgewertet: Die Antwort des Auftraggebers verweist ausschließlich auf Bieterfrage 44. Keine eigenständige Anforderung – der Inhalt ist unter der dort erfassten Zeile nachzuhalten.</v>
      </c>
      <c r="R222" s="0" t="n">
        <f aca="false">IFERROR(MATCH(ROWS($A$14:$A222),$T$7:$T$2000,0)+6,"")</f>
        <v>215</v>
      </c>
      <c r="T222" s="0" t="n">
        <f aca="false">IF(Anforderungen!$B222="","",IF(AND(OR($B5="(alle)",Anforderungen!$K222=$B5),OR($E5="(alle)",Anforderungen!$C222=$E5),OR($H5="(alle)",Anforderungen!$E222=$H5),OR($B7="(alle)",ISNUMBER(SEARCH($B7,Anforderungen!$J222))),OR($E7="(alle)",ISNUMBER(SEARCH($E7,Anforderungen!$I222))),OR($H7="",ISNUMBER(SEARCH($H7,Anforderungen!$F222&amp;" "&amp;Anforderungen!$G222)))),COUNT($T$6:$T221)+1,""))</f>
        <v>216</v>
      </c>
    </row>
    <row r="223" customFormat="false" ht="30" hidden="false" customHeight="true" outlineLevel="0" collapsed="false">
      <c r="A223" s="45" t="str">
        <f aca="false">IF($R223="","",INDEX(Anforderungen!$B:$B,$R223))</f>
        <v>ANF-210</v>
      </c>
      <c r="B223" s="45" t="str">
        <f aca="false">IF($R223="","",INDEX(Anforderungen!$C:$C,$R223))</f>
        <v>Bieterfragenkatalog</v>
      </c>
      <c r="C223" s="45" t="str">
        <f aca="false">IF($R223="","",INDEX(Anforderungen!$D:$D,$R223))</f>
        <v>Nr. 158 / S. 14</v>
      </c>
      <c r="D223" s="45" t="str">
        <f aca="false">IF($R223="","",INDEX(Anforderungen!$E:$E,$R223))</f>
        <v>Flächen &amp; Genehmigungen</v>
      </c>
      <c r="E223" s="45" t="str">
        <f aca="false">IF($R223="","",INDEX(Anforderungen!$F:$F,$R223))</f>
        <v>Klarstellung: Mit unserer Nachricht am 06.02.2025 wurden Sie zusätzlich darüber informiert, dass bzgl. der Frage 73 ein Änderungspaket folgt: Die Vertragsanlage 02_Standortübersicht wurde losspezifisch überarbeitet.</v>
      </c>
      <c r="F223" s="45" t="str">
        <f aca="false">IF($R223="","",INDEX(Anforderungen!$G:$G,$R223))</f>
        <v>Wir Sie darauf hinweisen, dass wir das angekündigte Änderungspaket nicht erhalten haben. Die Nachrichten der Vergabestelle vom 06.02.2025 hinsichtlich der neuen Version der Vergabeunterlagen und der neuen Aufforderung zur Angebotsangabe enthalten keine Anhänge. Wir bitten um die Zusendung dieser Unterlagen.</v>
      </c>
      <c r="G223" s="45" t="str">
        <f aca="false">IF($R223="","",INDEX(Anforderungen!$I:$I,$R223))</f>
        <v>offen</v>
      </c>
      <c r="H223" s="45" t="str">
        <f aca="false">IF($R223="","",INDEX(Anforderungen!$J:$J,$R223))</f>
        <v>–</v>
      </c>
      <c r="I223" s="45" t="str">
        <f aca="false">IF($R223="","",INDEX(Anforderungen!$K:$K,$R223))</f>
        <v>trifft nicht zu</v>
      </c>
      <c r="J223" s="46" t="n">
        <f aca="false">IF($R223="","",INDEX(Anforderungen!$L:$L,$R223))</f>
        <v>0</v>
      </c>
      <c r="K223" s="45" t="str">
        <f aca="false">IF($R223="","",INDEX(Anforderungen!$M:$M,$R223))</f>
        <v>Automatisch ausgewertet: Außerhalb des betrachteten Leistungsumfangs (Schranken, Kennzeichenerfassung, dynamische Anzeige).</v>
      </c>
      <c r="R223" s="0" t="n">
        <f aca="false">IFERROR(MATCH(ROWS($A$14:$A223),$T$7:$T$2000,0)+6,"")</f>
        <v>216</v>
      </c>
      <c r="T223" s="0" t="n">
        <f aca="false">IF(Anforderungen!$B223="","",IF(AND(OR($B5="(alle)",Anforderungen!$K223=$B5),OR($E5="(alle)",Anforderungen!$C223=$E5),OR($H5="(alle)",Anforderungen!$E223=$H5),OR($B7="(alle)",ISNUMBER(SEARCH($B7,Anforderungen!$J223))),OR($E7="(alle)",ISNUMBER(SEARCH($E7,Anforderungen!$I223))),OR($H7="",ISNUMBER(SEARCH($H7,Anforderungen!$F223&amp;" "&amp;Anforderungen!$G223)))),COUNT($T$6:$T222)+1,""))</f>
        <v>217</v>
      </c>
    </row>
    <row r="224" customFormat="false" ht="30" hidden="false" customHeight="true" outlineLevel="0" collapsed="false">
      <c r="A224" s="45" t="str">
        <f aca="false">IF($R224="","",INDEX(Anforderungen!$B:$B,$R224))</f>
        <v>ANF-211</v>
      </c>
      <c r="B224" s="45" t="str">
        <f aca="false">IF($R224="","",INDEX(Anforderungen!$C:$C,$R224))</f>
        <v>Bieterfragenkatalog</v>
      </c>
      <c r="C224" s="45" t="str">
        <f aca="false">IF($R224="","",INDEX(Anforderungen!$D:$D,$R224))</f>
        <v>Nr. 159 / S. 14</v>
      </c>
      <c r="D224" s="45" t="str">
        <f aca="false">IF($R224="","",INDEX(Anforderungen!$E:$E,$R224))</f>
        <v>Netzanschluss &amp; Energie</v>
      </c>
      <c r="E224" s="45" t="str">
        <f aca="false">IF($R224="","",INDEX(Anforderungen!$F:$F,$R224))</f>
        <v>Klarstellung: a) Die Bieter können für die Erstellung der Erstangebote davon ausgehen, dass die Errichtung genehmigungsfähig ist.</v>
      </c>
      <c r="F224" s="45" t="str">
        <f aca="false">IF($R224="","",INDEX(Anforderungen!$G:$G,$R224))</f>
        <v>Soweit aus den Referenzplanungen (Vertragsanlage 3 Standorte) ersichtlich, sind die Ladesäulen, häufig auch die Technikgebäude (Trafos, Power Units etc.), überwiegend innerhalb der 100 m Anbaubeschränkungszone, teilweise sogar innerhalb der 40 m Anbauverbotszone zur Autobahn vorgesehen. a) Können die Bieter davon ausgehen, dass für alle Standorte durch die AG/Vergabestelle bereits sichergestellt wurde, dass die Errichtung innerhalb dieser Zonen genehmigungsfähig ist? b) Können die Bieter weiterhin davon ausgehen, dass die 2-Wochen-Frist für Rückmeldungen der zu beteiligenden Genehmigungsbehörden (gem. Ver-tragsanlage 04 – LB Errichtung; Ziff. 3.6) auch für die Erteilung der erforderlichen Baugenehmigungen maßgeblich ist?</v>
      </c>
      <c r="G224" s="45" t="str">
        <f aca="false">IF($R224="","",INDEX(Anforderungen!$I:$I,$R224))</f>
        <v>Alpitronic</v>
      </c>
      <c r="H224" s="45" t="str">
        <f aca="false">IF($R224="","",INDEX(Anforderungen!$J:$J,$R224))</f>
        <v>Ladeeinrichtung</v>
      </c>
      <c r="I224" s="45" t="str">
        <f aca="false">IF($R224="","",INDEX(Anforderungen!$K:$K,$R224))</f>
        <v>trifft nicht zu</v>
      </c>
      <c r="J224" s="46" t="n">
        <f aca="false">IF($R224="","",INDEX(Anforderungen!$L:$L,$R224))</f>
        <v>0</v>
      </c>
      <c r="K224" s="45" t="str">
        <f aca="false">IF($R224="","",INDEX(Anforderungen!$M:$M,$R224))</f>
        <v>Automatisch ausgewertet: Außerhalb des betrachteten Leistungsumfangs (Schranken, Kennzeichenerfassung, dynamische Anzeige).</v>
      </c>
      <c r="R224" s="0" t="n">
        <f aca="false">IFERROR(MATCH(ROWS($A$14:$A224),$T$7:$T$2000,0)+6,"")</f>
        <v>217</v>
      </c>
      <c r="T224" s="0" t="n">
        <f aca="false">IF(Anforderungen!$B224="","",IF(AND(OR($B5="(alle)",Anforderungen!$K224=$B5),OR($E5="(alle)",Anforderungen!$C224=$E5),OR($H5="(alle)",Anforderungen!$E224=$H5),OR($B7="(alle)",ISNUMBER(SEARCH($B7,Anforderungen!$J224))),OR($E7="(alle)",ISNUMBER(SEARCH($E7,Anforderungen!$I224))),OR($H7="",ISNUMBER(SEARCH($H7,Anforderungen!$F224&amp;" "&amp;Anforderungen!$G224)))),COUNT($T$6:$T223)+1,""))</f>
        <v>218</v>
      </c>
    </row>
    <row r="225" customFormat="false" ht="30" hidden="false" customHeight="true" outlineLevel="0" collapsed="false">
      <c r="A225" s="45" t="str">
        <f aca="false">IF($R225="","",INDEX(Anforderungen!$B:$B,$R225))</f>
        <v>ANF-212</v>
      </c>
      <c r="B225" s="45" t="str">
        <f aca="false">IF($R225="","",INDEX(Anforderungen!$C:$C,$R225))</f>
        <v>Bieterfragenkatalog</v>
      </c>
      <c r="C225" s="45" t="str">
        <f aca="false">IF($R225="","",INDEX(Anforderungen!$D:$D,$R225))</f>
        <v>Nr. 160 / S. 14</v>
      </c>
      <c r="D225" s="45" t="str">
        <f aca="false">IF($R225="","",INDEX(Anforderungen!$E:$E,$R225))</f>
        <v>Flächen &amp; Genehmigungen</v>
      </c>
      <c r="E225" s="45" t="str">
        <f aca="false">IF($R225="","",INDEX(Anforderungen!$F:$F,$R225))</f>
        <v>Klarstellung: Die Annahme ist korrekt. Gemäß Definition der ERS sind Stellflächen auch Verkehrsflächen.</v>
      </c>
      <c r="F225" s="45" t="str">
        <f aca="false">IF($R225="","",INDEX(Anforderungen!$G:$G,$R225))</f>
        <v>Gemäß Vertragsanlage 04 – LB Errichtung; Ziff. 4.11.2 (Erd-, Entwässerungs- und Kanalarbeiten) sind Leitungen unter Verkehrsflächen generell in Leerrohren zu verlegen. Gehen wir recht in der Annahme, dass diese Vorgabe auch für Leitungen (bzw. Kabel) unter Stellflächen gilt?</v>
      </c>
      <c r="G225" s="45" t="str">
        <f aca="false">IF($R225="","",INDEX(Anforderungen!$I:$I,$R225))</f>
        <v>offen</v>
      </c>
      <c r="H225" s="45" t="str">
        <f aca="false">IF($R225="","",INDEX(Anforderungen!$J:$J,$R225))</f>
        <v>–</v>
      </c>
      <c r="I225" s="45" t="str">
        <f aca="false">IF($R225="","",INDEX(Anforderungen!$K:$K,$R225))</f>
        <v>trifft nicht zu</v>
      </c>
      <c r="J225" s="46" t="n">
        <f aca="false">IF($R225="","",INDEX(Anforderungen!$L:$L,$R225))</f>
        <v>0</v>
      </c>
      <c r="K225" s="45" t="str">
        <f aca="false">IF($R225="","",INDEX(Anforderungen!$M:$M,$R225))</f>
        <v>Automatisch ausgewertet: Außerhalb des betrachteten Leistungsumfangs (Schranken, Kennzeichenerfassung, dynamische Anzeige).</v>
      </c>
      <c r="R225" s="0" t="n">
        <f aca="false">IFERROR(MATCH(ROWS($A$14:$A225),$T$7:$T$2000,0)+6,"")</f>
        <v>218</v>
      </c>
      <c r="T225" s="0" t="n">
        <f aca="false">IF(Anforderungen!$B225="","",IF(AND(OR($B5="(alle)",Anforderungen!$K225=$B5),OR($E5="(alle)",Anforderungen!$C225=$E5),OR($H5="(alle)",Anforderungen!$E225=$H5),OR($B7="(alle)",ISNUMBER(SEARCH($B7,Anforderungen!$J225))),OR($E7="(alle)",ISNUMBER(SEARCH($E7,Anforderungen!$I225))),OR($H7="",ISNUMBER(SEARCH($H7,Anforderungen!$F225&amp;" "&amp;Anforderungen!$G225)))),COUNT($T$6:$T224)+1,""))</f>
        <v>219</v>
      </c>
    </row>
    <row r="226" customFormat="false" ht="30" hidden="false" customHeight="true" outlineLevel="0" collapsed="false">
      <c r="A226" s="45" t="str">
        <f aca="false">IF($R226="","",INDEX(Anforderungen!$B:$B,$R226))</f>
        <v>ANF-213</v>
      </c>
      <c r="B226" s="45" t="str">
        <f aca="false">IF($R226="","",INDEX(Anforderungen!$C:$C,$R226))</f>
        <v>Bieterfragenkatalog</v>
      </c>
      <c r="C226" s="45" t="str">
        <f aca="false">IF($R226="","",INDEX(Anforderungen!$D:$D,$R226))</f>
        <v>Nr. 161 / S. 14</v>
      </c>
      <c r="D226" s="45" t="str">
        <f aca="false">IF($R226="","",INDEX(Anforderungen!$E:$E,$R226))</f>
        <v>Technik Ladeinfrastruktur</v>
      </c>
      <c r="E226" s="45" t="str">
        <f aca="false">IF($R226="","",INDEX(Anforderungen!$F:$F,$R226))</f>
        <v>Klarstellung: Der Auftragnehmer ist in diesem Fall zur unverzüglichen Wiederherstellung verpflichtet. Die Kostentragung ist nach Maßgabe von § 23 Abs.</v>
      </c>
      <c r="F226" s="45" t="str">
        <f aca="false">IF($R226="","",INDEX(Anforderungen!$G:$G,$R226))</f>
        <v>Gehen wir recht in der Annahme, dass bei völliger oder teilweiser Zerstörung von Ladeeinrichtungen oder sonstigen baulichen Bestandteilen an der Ladeinfrastruktur während der Vertragslaufzeit die Kosten für die Wiederherstellung und Wiederinbetriebnahme der Auftraggeber zu tragen hat, wenn der Auftragnehmer die Zerstörung nicht zu vertreten hat und die Beschädigungen oder Zerstörungen nach den nach diesem Vertrag vorgesehenen Versicherungen nicht zu versichern waren?</v>
      </c>
      <c r="G226" s="45" t="str">
        <f aca="false">IF($R226="","",INDEX(Anforderungen!$I:$I,$R226))</f>
        <v>Alpitronic</v>
      </c>
      <c r="H226" s="45" t="str">
        <f aca="false">IF($R226="","",INDEX(Anforderungen!$J:$J,$R226))</f>
        <v>Ladeeinrichtung</v>
      </c>
      <c r="I226" s="45" t="str">
        <f aca="false">IF($R226="","",INDEX(Anforderungen!$K:$K,$R226))</f>
        <v>trifft nicht zu</v>
      </c>
      <c r="J226" s="46" t="n">
        <f aca="false">IF($R226="","",INDEX(Anforderungen!$L:$L,$R226))</f>
        <v>0</v>
      </c>
      <c r="K226" s="45" t="str">
        <f aca="false">IF($R226="","",INDEX(Anforderungen!$M:$M,$R226))</f>
        <v>Automatisch ausgewertet: Außerhalb des betrachteten Leistungsumfangs (Schranken, Kennzeichenerfassung, dynamische Anzeige).</v>
      </c>
      <c r="R226" s="0" t="n">
        <f aca="false">IFERROR(MATCH(ROWS($A$14:$A226),$T$7:$T$2000,0)+6,"")</f>
        <v>219</v>
      </c>
      <c r="T226" s="0" t="n">
        <f aca="false">IF(Anforderungen!$B226="","",IF(AND(OR($B5="(alle)",Anforderungen!$K226=$B5),OR($E5="(alle)",Anforderungen!$C226=$E5),OR($H5="(alle)",Anforderungen!$E226=$H5),OR($B7="(alle)",ISNUMBER(SEARCH($B7,Anforderungen!$J226))),OR($E7="(alle)",ISNUMBER(SEARCH($E7,Anforderungen!$I226))),OR($H7="",ISNUMBER(SEARCH($H7,Anforderungen!$F226&amp;" "&amp;Anforderungen!$G226)))),COUNT($T$6:$T225)+1,""))</f>
        <v>220</v>
      </c>
    </row>
    <row r="227" customFormat="false" ht="30" hidden="false" customHeight="true" outlineLevel="0" collapsed="false">
      <c r="A227" s="45" t="str">
        <f aca="false">IF($R227="","",INDEX(Anforderungen!$B:$B,$R227))</f>
        <v>ANF-214</v>
      </c>
      <c r="B227" s="45" t="str">
        <f aca="false">IF($R227="","",INDEX(Anforderungen!$C:$C,$R227))</f>
        <v>Bieterfragenkatalog</v>
      </c>
      <c r="C227" s="45" t="str">
        <f aca="false">IF($R227="","",INDEX(Anforderungen!$D:$D,$R227))</f>
        <v>Nr. 162 / S. 14</v>
      </c>
      <c r="D227" s="45" t="str">
        <f aca="false">IF($R227="","",INDEX(Anforderungen!$E:$E,$R227))</f>
        <v>Vertrag &amp; Recht</v>
      </c>
      <c r="E227" s="45" t="str">
        <f aca="false">IF($R227="","",INDEX(Anforderungen!$F:$F,$R227))</f>
        <v>Klarstellung: Das Verhältnis der beiden Klauseln wird mit dem nächsten Vertragsupdate klarer gefasst. Siehe hierzu im Übrigen die Antwort auf die Bieterfrage 44.</v>
      </c>
      <c r="F227" s="45" t="str">
        <f aca="false">IF($R227="","",INDEX(Anforderungen!$G:$G,$R227))</f>
        <v>Wir bitten um Mitteilung, wie § 22 Abs. 6 und § 23 Abs. 3 Betreibervertrag voneinander abzugrenzen sind. Dem Wortlaut nach überschneiden sich die Anwen-dungsbereiche dieser beiden Klauseln.</v>
      </c>
      <c r="G227" s="45" t="str">
        <f aca="false">IF($R227="","",INDEX(Anforderungen!$I:$I,$R227))</f>
        <v>offen</v>
      </c>
      <c r="H227" s="45" t="str">
        <f aca="false">IF($R227="","",INDEX(Anforderungen!$J:$J,$R227))</f>
        <v>–</v>
      </c>
      <c r="I227" s="45" t="str">
        <f aca="false">IF($R227="","",INDEX(Anforderungen!$K:$K,$R227))</f>
        <v>trifft nicht zu</v>
      </c>
      <c r="J227" s="46" t="n">
        <f aca="false">IF($R227="","",INDEX(Anforderungen!$L:$L,$R227))</f>
        <v>0</v>
      </c>
      <c r="K227" s="45" t="str">
        <f aca="false">IF($R227="","",INDEX(Anforderungen!$M:$M,$R227))</f>
        <v>Automatisch ausgewertet: Außerhalb des betrachteten Leistungsumfangs (Schranken, Kennzeichenerfassung, dynamische Anzeige).</v>
      </c>
      <c r="R227" s="0" t="n">
        <f aca="false">IFERROR(MATCH(ROWS($A$14:$A227),$T$7:$T$2000,0)+6,"")</f>
        <v>220</v>
      </c>
      <c r="T227" s="0" t="n">
        <f aca="false">IF(Anforderungen!$B227="","",IF(AND(OR($B5="(alle)",Anforderungen!$K227=$B5),OR($E5="(alle)",Anforderungen!$C227=$E5),OR($H5="(alle)",Anforderungen!$E227=$H5),OR($B7="(alle)",ISNUMBER(SEARCH($B7,Anforderungen!$J227))),OR($E7="(alle)",ISNUMBER(SEARCH($E7,Anforderungen!$I227))),OR($H7="",ISNUMBER(SEARCH($H7,Anforderungen!$F227&amp;" "&amp;Anforderungen!$G227)))),COUNT($T$6:$T226)+1,""))</f>
        <v>221</v>
      </c>
    </row>
    <row r="228" customFormat="false" ht="30" hidden="false" customHeight="true" outlineLevel="0" collapsed="false">
      <c r="A228" s="45" t="str">
        <f aca="false">IF($R228="","",INDEX(Anforderungen!$B:$B,$R228))</f>
        <v>ANF-215</v>
      </c>
      <c r="B228" s="45" t="str">
        <f aca="false">IF($R228="","",INDEX(Anforderungen!$C:$C,$R228))</f>
        <v>Bieterfragenkatalog</v>
      </c>
      <c r="C228" s="45" t="str">
        <f aca="false">IF($R228="","",INDEX(Anforderungen!$D:$D,$R228))</f>
        <v>Nr. 163 / S. 14</v>
      </c>
      <c r="D228" s="45" t="str">
        <f aca="false">IF($R228="","",INDEX(Anforderungen!$E:$E,$R228))</f>
        <v>Bau &amp; Dokumentation</v>
      </c>
      <c r="E228" s="45" t="str">
        <f aca="false">IF($R228="","",INDEX(Anforderungen!$F:$F,$R228))</f>
        <v>Klarstellung: zu a) Für die Erstellung der Erstangebote ist davon auszugehen, dass die genannten Kosten gemäß §35 vergütet werden. zu b) Für die Erstellung der Erstangebote ist davon auszugehen, dass keine entsprechenden Kompensation …</v>
      </c>
      <c r="F228" s="45" t="str">
        <f aca="false">IF($R228="","",INDEX(Anforderungen!$G:$G,$R228))</f>
        <v>Gehen wir recht in der Annahme, dass für Standorte, die nach ihrer Betriebsfreigabe geschlossen bzw. durch Baumaßnahmen des AG maßgeblich beein-flusst werden (Vertragsanlage 03; Angaben und Informationen zu den einzelnen Standorten / Ausbauabsichten sowie weitere Maßnahmen des AG) folgendes gilt? a) Die Kosten für den Abbau, die Einlagerung und die erneute Errichtung der Ladeinfrastruktur werden über geänderte und zusätzliche Leistungen gem. § 35 vergütet. b) Die Kompensation der entgangenen Einnahmen aus dem Betrieb werden über geänderte und zusätzliche Leistungen gem. § 35 vergütet. c) Für Standorte, die auf Anordnung des AG geschlossen werden, wird das Betreiberentgelt auch während der Schließung weitergezahlt.</v>
      </c>
      <c r="G228" s="45" t="str">
        <f aca="false">IF($R228="","",INDEX(Anforderungen!$I:$I,$R228))</f>
        <v>offen</v>
      </c>
      <c r="H228" s="45" t="str">
        <f aca="false">IF($R228="","",INDEX(Anforderungen!$J:$J,$R228))</f>
        <v>–</v>
      </c>
      <c r="I228" s="45" t="str">
        <f aca="false">IF($R228="","",INDEX(Anforderungen!$K:$K,$R228))</f>
        <v>trifft nicht zu</v>
      </c>
      <c r="J228" s="46" t="n">
        <f aca="false">IF($R228="","",INDEX(Anforderungen!$L:$L,$R228))</f>
        <v>0</v>
      </c>
      <c r="K228" s="45" t="str">
        <f aca="false">IF($R228="","",INDEX(Anforderungen!$M:$M,$R228))</f>
        <v>Automatisch ausgewertet: Außerhalb des betrachteten Leistungsumfangs (Schranken, Kennzeichenerfassung, dynamische Anzeige).</v>
      </c>
      <c r="R228" s="0" t="n">
        <f aca="false">IFERROR(MATCH(ROWS($A$14:$A228),$T$7:$T$2000,0)+6,"")</f>
        <v>221</v>
      </c>
      <c r="T228" s="0" t="n">
        <f aca="false">IF(Anforderungen!$B228="","",IF(AND(OR($B5="(alle)",Anforderungen!$K228=$B5),OR($E5="(alle)",Anforderungen!$C228=$E5),OR($H5="(alle)",Anforderungen!$E228=$H5),OR($B7="(alle)",ISNUMBER(SEARCH($B7,Anforderungen!$J228))),OR($E7="(alle)",ISNUMBER(SEARCH($E7,Anforderungen!$I228))),OR($H7="",ISNUMBER(SEARCH($H7,Anforderungen!$F228&amp;" "&amp;Anforderungen!$G228)))),COUNT($T$6:$T227)+1,""))</f>
        <v>222</v>
      </c>
    </row>
    <row r="229" customFormat="false" ht="30" hidden="false" customHeight="true" outlineLevel="0" collapsed="false">
      <c r="A229" s="45" t="str">
        <f aca="false">IF($R229="","",INDEX(Anforderungen!$B:$B,$R229))</f>
        <v>ANF-216</v>
      </c>
      <c r="B229" s="45" t="str">
        <f aca="false">IF($R229="","",INDEX(Anforderungen!$C:$C,$R229))</f>
        <v>Bieterfragenkatalog</v>
      </c>
      <c r="C229" s="45" t="str">
        <f aca="false">IF($R229="","",INDEX(Anforderungen!$D:$D,$R229))</f>
        <v>Nr. 164 / S. 14</v>
      </c>
      <c r="D229" s="45" t="str">
        <f aca="false">IF($R229="","",INDEX(Anforderungen!$E:$E,$R229))</f>
        <v>Vergabeverfahren &amp; Angebot</v>
      </c>
      <c r="E229" s="45" t="str">
        <f aca="false">IF($R229="","",INDEX(Anforderungen!$F:$F,$R229))</f>
        <v>Klarstellung: Die Frist für das Einreichen von Bieterfragen endet am 28.02.2025, 12 Uhr.</v>
      </c>
      <c r="F229" s="45" t="str">
        <f aca="false">IF($R229="","",INDEX(Anforderungen!$G:$G,$R229))</f>
        <v>Wir bitten um Auskunft, ob im Zuge der Verlängerung der Angebotsabgabe (Bieterfragenkatalog Nr. 86) ebenfalls die Frist für das Einreichen von Bieterfragen um 3 Wochen verlängert und in diesem Zuge auch die Aufforderung zur Angebotsabgabe angepasst wird.</v>
      </c>
      <c r="G229" s="45" t="str">
        <f aca="false">IF($R229="","",INDEX(Anforderungen!$I:$I,$R229))</f>
        <v>offen</v>
      </c>
      <c r="H229" s="45" t="str">
        <f aca="false">IF($R229="","",INDEX(Anforderungen!$J:$J,$R229))</f>
        <v>–</v>
      </c>
      <c r="I229" s="45" t="str">
        <f aca="false">IF($R229="","",INDEX(Anforderungen!$K:$K,$R229))</f>
        <v>trifft nicht zu</v>
      </c>
      <c r="J229" s="46" t="n">
        <f aca="false">IF($R229="","",INDEX(Anforderungen!$L:$L,$R229))</f>
        <v>0</v>
      </c>
      <c r="K229" s="45" t="str">
        <f aca="false">IF($R229="","",INDEX(Anforderungen!$M:$M,$R229))</f>
        <v>Automatisch ausgewertet: Betrifft das Vergabeverfahren (Angebot, Wertung, Unterlagen), nicht die zu erbringende Leistung. Keiner Komponente zugeordnet.</v>
      </c>
      <c r="R229" s="0" t="n">
        <f aca="false">IFERROR(MATCH(ROWS($A$14:$A229),$T$7:$T$2000,0)+6,"")</f>
        <v>222</v>
      </c>
      <c r="T229" s="0" t="n">
        <f aca="false">IF(Anforderungen!$B229="","",IF(AND(OR($B5="(alle)",Anforderungen!$K229=$B5),OR($E5="(alle)",Anforderungen!$C229=$E5),OR($H5="(alle)",Anforderungen!$E229=$H5),OR($B7="(alle)",ISNUMBER(SEARCH($B7,Anforderungen!$J229))),OR($E7="(alle)",ISNUMBER(SEARCH($E7,Anforderungen!$I229))),OR($H7="",ISNUMBER(SEARCH($H7,Anforderungen!$F229&amp;" "&amp;Anforderungen!$G229)))),COUNT($T$6:$T228)+1,""))</f>
        <v>223</v>
      </c>
    </row>
    <row r="230" customFormat="false" ht="30" hidden="false" customHeight="true" outlineLevel="0" collapsed="false">
      <c r="A230" s="45" t="str">
        <f aca="false">IF($R230="","",INDEX(Anforderungen!$B:$B,$R230))</f>
        <v>ANF-217</v>
      </c>
      <c r="B230" s="45" t="str">
        <f aca="false">IF($R230="","",INDEX(Anforderungen!$C:$C,$R230))</f>
        <v>Bieterfragenkatalog</v>
      </c>
      <c r="C230" s="45" t="str">
        <f aca="false">IF($R230="","",INDEX(Anforderungen!$D:$D,$R230))</f>
        <v>Nr. 165 / S. 15</v>
      </c>
      <c r="D230" s="45" t="str">
        <f aca="false">IF($R230="","",INDEX(Anforderungen!$E:$E,$R230))</f>
        <v>Flächen &amp; Genehmigungen</v>
      </c>
      <c r="E230" s="45" t="str">
        <f aca="false">IF($R230="","",INDEX(Anforderungen!$F:$F,$R230))</f>
        <v>Klarstellung: Der Bieter kann davon ausgehen, dass Standorte während des Vertragszeitraums von Um- und Ausbauarbeiten betroffen sein werden und diese im Rahmen dieser Maßnahmen dann auch entsprechend gesperrt werden (Siehe Vertragsanlage 4, …</v>
      </c>
      <c r="F230" s="45" t="str">
        <f aca="false">IF($R230="","",INDEX(Anforderungen!$G:$G,$R230))</f>
        <v>Wir bitten um Erläuterung der Angaben in Vertragsanlage 04, LB Errichtung, Ziff. 3.3.2 .i.V.m. Vertragsanlage 03; Angaben und Informationen zu den einzelnen Standorten (Ausbauabsichten sowie weitere Maßnahmen des AG) Im Einzelnen: a) Unter LB Errichtung; Ziff. 3.3.2; Absatz 3 wird auf "Informationen zu weiteren geplanten Maßnahmen" in Vertragsanlage 03 verwiesen und ausgeführt, dass der AN bei diesen davon ausgehen soll, dass die Rastanlagen geöffnet bleiben. In Vertragsanlage 03 ist jedoch bei fast allen "weitere (Erhaltungs-) Maßnah- men" eine Standortsperrung angegeben (die wesentliche Spalte "Standortsperrung" ist mit "ja" befüllt). Bitte klären Sie diesen Widerspruch auf. b) Der unter LB Errichtung; Ziff. 3.3.2; letzter Satz angeführte §41.3 des Vertra-ges enthält einen Passus zum Infrastrukturentgelt. Bitte erläutern Sie den Zusammenhang. c) Welche Annahmen über die Dauer der Schließung von Rastanlagen sollen die Bieter treffen, wenn die Spalte "Ausbauabsicht bis 2035" mit "ja", die Spalte "Standortsperrung" jedoch nicht befüllt ist? Gemäß LB Errichtung; Ziff. 3.3.2; Absatz 1 sollen die Bieter bei Um- und Ausbauvorhaben von einer Vollsperrung der Rastanlagen von bis zu 18 Monaten ausgehen. Bitte klären Sie diesen Wi-derspruch auf. d) Welche Annahmen über Zeitpunkt und Dauer der Schließung von Rastanla-gen sollen die Bieter treffen, wenn die Spalte "Ausbauabsicht bis 2035" mit "ja" befüllt ist, jedoch keine Angaben zu Beginn und Ende der Maßnahme angege-ben bzw. mit "tbd" befüllt sind? e) Welche Annahmen über die Dauer der Schließung von Rastanlagen sollen die Bieter treffen, wenn die Spalte "Ausbauabsicht bis 2035" mit "nein", die Spalte "Standortsperrung" jedoch mit "ja" befüllt ist? f) Welche Annahmen über Zeitpunkt und Dauer der Schließung von Rastanla-gen sollen die Bieter treffen, wenn Beginn bzw. Ende der Maßnahmen mit "ab 2028" oder "nach 2030" angegeben sind?</v>
      </c>
      <c r="G230" s="45" t="str">
        <f aca="false">IF($R230="","",INDEX(Anforderungen!$I:$I,$R230))</f>
        <v>offen</v>
      </c>
      <c r="H230" s="45" t="str">
        <f aca="false">IF($R230="","",INDEX(Anforderungen!$J:$J,$R230))</f>
        <v>–</v>
      </c>
      <c r="I230" s="45" t="str">
        <f aca="false">IF($R230="","",INDEX(Anforderungen!$K:$K,$R230))</f>
        <v>trifft nicht zu</v>
      </c>
      <c r="J230" s="46" t="n">
        <f aca="false">IF($R230="","",INDEX(Anforderungen!$L:$L,$R230))</f>
        <v>0</v>
      </c>
      <c r="K230" s="45" t="str">
        <f aca="false">IF($R230="","",INDEX(Anforderungen!$M:$M,$R230))</f>
        <v>Automatisch ausgewertet: Außerhalb des betrachteten Leistungsumfangs (Schranken, Kennzeichenerfassung, dynamische Anzeige).</v>
      </c>
      <c r="R230" s="0" t="n">
        <f aca="false">IFERROR(MATCH(ROWS($A$14:$A230),$T$7:$T$2000,0)+6,"")</f>
        <v>223</v>
      </c>
      <c r="T230" s="0" t="n">
        <f aca="false">IF(Anforderungen!$B230="","",IF(AND(OR($B5="(alle)",Anforderungen!$K230=$B5),OR($E5="(alle)",Anforderungen!$C230=$E5),OR($H5="(alle)",Anforderungen!$E230=$H5),OR($B7="(alle)",ISNUMBER(SEARCH($B7,Anforderungen!$J230))),OR($E7="(alle)",ISNUMBER(SEARCH($E7,Anforderungen!$I230))),OR($H7="",ISNUMBER(SEARCH($H7,Anforderungen!$F230&amp;" "&amp;Anforderungen!$G230)))),COUNT($T$6:$T229)+1,""))</f>
        <v>224</v>
      </c>
    </row>
    <row r="231" customFormat="false" ht="30" hidden="false" customHeight="true" outlineLevel="0" collapsed="false">
      <c r="A231" s="45" t="str">
        <f aca="false">IF($R231="","",INDEX(Anforderungen!$B:$B,$R231))</f>
        <v>ANF-218</v>
      </c>
      <c r="B231" s="45" t="str">
        <f aca="false">IF($R231="","",INDEX(Anforderungen!$C:$C,$R231))</f>
        <v>Bieterfragenkatalog</v>
      </c>
      <c r="C231" s="45" t="str">
        <f aca="false">IF($R231="","",INDEX(Anforderungen!$D:$D,$R231))</f>
        <v>Nr. 166 / S. 15</v>
      </c>
      <c r="D231" s="45" t="str">
        <f aca="false">IF($R231="","",INDEX(Anforderungen!$E:$E,$R231))</f>
        <v>Netzanschluss &amp; Energie</v>
      </c>
      <c r="E231" s="45" t="str">
        <f aca="false">IF($R231="","",INDEX(Anforderungen!$F:$F,$R231))</f>
        <v>Klarstellung: Ihre Annahme, dass eine Kanalnetzberechnung nur erforderlich sei, wenn das Kanalnetz aufgrund der geplanten Maßnahme in Lage und Höhe verändert wird, ist unzutreffend.</v>
      </c>
      <c r="F231" s="45" t="str">
        <f aca="false">IF($R231="","",INDEX(Anforderungen!$G:$G,$R231))</f>
        <v>Bezugnehmend auf die Antwort zur Bieterfrage Nr. 43: Gehen wir richtig der Annahme, dass eine Kanalnetzberechnung nur erforderlich ist, wenn das Kanalnetz aufgrund der geplanten Maßnahme in Lage und Höhe verändert wird? Ferner gehen wir richtig der Annahme, dass bei einem Anschluss an den Bestandskanal mit einer geringfügigen Veränderung der angeschlossenen Fläche (z. B. Trafostation, Überbauung einer Grüninsel) die Angabe der zusätzlich angeschlossenen Wassermenge ausreichend ist?</v>
      </c>
      <c r="G231" s="45" t="str">
        <f aca="false">IF($R231="","",INDEX(Anforderungen!$I:$I,$R231))</f>
        <v>offen</v>
      </c>
      <c r="H231" s="45" t="str">
        <f aca="false">IF($R231="","",INDEX(Anforderungen!$J:$J,$R231))</f>
        <v>–</v>
      </c>
      <c r="I231" s="45" t="str">
        <f aca="false">IF($R231="","",INDEX(Anforderungen!$K:$K,$R231))</f>
        <v>trifft nicht zu</v>
      </c>
      <c r="J231" s="46" t="n">
        <f aca="false">IF($R231="","",INDEX(Anforderungen!$L:$L,$R231))</f>
        <v>0</v>
      </c>
      <c r="K231" s="45" t="str">
        <f aca="false">IF($R231="","",INDEX(Anforderungen!$M:$M,$R231))</f>
        <v>Automatisch ausgewertet: Außerhalb des betrachteten Leistungsumfangs (Schranken, Kennzeichenerfassung, dynamische Anzeige).</v>
      </c>
      <c r="R231" s="0" t="n">
        <f aca="false">IFERROR(MATCH(ROWS($A$14:$A231),$T$7:$T$2000,0)+6,"")</f>
        <v>224</v>
      </c>
      <c r="T231" s="0" t="n">
        <f aca="false">IF(Anforderungen!$B231="","",IF(AND(OR($B5="(alle)",Anforderungen!$K231=$B5),OR($E5="(alle)",Anforderungen!$C231=$E5),OR($H5="(alle)",Anforderungen!$E231=$H5),OR($B7="(alle)",ISNUMBER(SEARCH($B7,Anforderungen!$J231))),OR($E7="(alle)",ISNUMBER(SEARCH($E7,Anforderungen!$I231))),OR($H7="",ISNUMBER(SEARCH($H7,Anforderungen!$F231&amp;" "&amp;Anforderungen!$G231)))),COUNT($T$6:$T230)+1,""))</f>
        <v>225</v>
      </c>
    </row>
    <row r="232" customFormat="false" ht="30" hidden="false" customHeight="true" outlineLevel="0" collapsed="false">
      <c r="A232" s="45" t="str">
        <f aca="false">IF($R232="","",INDEX(Anforderungen!$B:$B,$R232))</f>
        <v>ANF-219</v>
      </c>
      <c r="B232" s="45" t="str">
        <f aca="false">IF($R232="","",INDEX(Anforderungen!$C:$C,$R232))</f>
        <v>Bieterfragenkatalog</v>
      </c>
      <c r="C232" s="45" t="str">
        <f aca="false">IF($R232="","",INDEX(Anforderungen!$D:$D,$R232))</f>
        <v>Nr. 167 / S. 15</v>
      </c>
      <c r="D232" s="45" t="str">
        <f aca="false">IF($R232="","",INDEX(Anforderungen!$E:$E,$R232))</f>
        <v>Netzanschluss &amp; Energie</v>
      </c>
      <c r="E232" s="45" t="str">
        <f aca="false">IF($R232="","",INDEX(Anforderungen!$F:$F,$R232))</f>
        <v>Klarstellung: Siehe hierzu die Antwort auf Bieterfrage 39. Sollten sich nach Vertragschluss Änderungen gegenüber vor Vertragschluss vom AG definierten Anforderungen ergeben, gelten die entsprechenden Regelungen des Vertrags über geänderte oder …</v>
      </c>
      <c r="F232" s="45" t="str">
        <f aca="false">IF($R232="","",INDEX(Anforderungen!$G:$G,$R232))</f>
        <v>Ergänzend zu Ihrer Bieterantwort lfd. Nr. 39 bitte wir um weitere Erklärung: Wie soll mit Mehrkosten umgegangen werden, wenn im Nachgang die Netzanschlusssituation erhöhte Anforderungen, wie z. B. 30 KV oder Direktversorgung aus einem Umspannwerk vom VNB gefordert wird. Kosten für in diesem Fall erforderliche Kabeldifferenzschutztechnik sind erheblich.</v>
      </c>
      <c r="G232" s="45" t="str">
        <f aca="false">IF($R232="","",INDEX(Anforderungen!$I:$I,$R232))</f>
        <v>offen</v>
      </c>
      <c r="H232" s="45" t="str">
        <f aca="false">IF($R232="","",INDEX(Anforderungen!$J:$J,$R232))</f>
        <v>–</v>
      </c>
      <c r="I232" s="45" t="str">
        <f aca="false">IF($R232="","",INDEX(Anforderungen!$K:$K,$R232))</f>
        <v>trifft nicht zu</v>
      </c>
      <c r="J232" s="46" t="n">
        <f aca="false">IF($R232="","",INDEX(Anforderungen!$L:$L,$R232))</f>
        <v>0</v>
      </c>
      <c r="K232" s="45" t="str">
        <f aca="false">IF($R232="","",INDEX(Anforderungen!$M:$M,$R232))</f>
        <v>Automatisch ausgewertet: Außerhalb des betrachteten Leistungsumfangs (Schranken, Kennzeichenerfassung, dynamische Anzeige).</v>
      </c>
      <c r="R232" s="0" t="n">
        <f aca="false">IFERROR(MATCH(ROWS($A$14:$A232),$T$7:$T$2000,0)+6,"")</f>
        <v>225</v>
      </c>
      <c r="T232" s="0" t="n">
        <f aca="false">IF(Anforderungen!$B232="","",IF(AND(OR($B5="(alle)",Anforderungen!$K232=$B5),OR($E5="(alle)",Anforderungen!$C232=$E5),OR($H5="(alle)",Anforderungen!$E232=$H5),OR($B7="(alle)",ISNUMBER(SEARCH($B7,Anforderungen!$J232))),OR($E7="(alle)",ISNUMBER(SEARCH($E7,Anforderungen!$I232))),OR($H7="",ISNUMBER(SEARCH($H7,Anforderungen!$F232&amp;" "&amp;Anforderungen!$G232)))),COUNT($T$6:$T231)+1,""))</f>
        <v>226</v>
      </c>
    </row>
    <row r="233" customFormat="false" ht="30" hidden="false" customHeight="true" outlineLevel="0" collapsed="false">
      <c r="A233" s="45" t="str">
        <f aca="false">IF($R233="","",INDEX(Anforderungen!$B:$B,$R233))</f>
        <v>ANF-220</v>
      </c>
      <c r="B233" s="45" t="str">
        <f aca="false">IF($R233="","",INDEX(Anforderungen!$C:$C,$R233))</f>
        <v>Bieterfragenkatalog</v>
      </c>
      <c r="C233" s="45" t="str">
        <f aca="false">IF($R233="","",INDEX(Anforderungen!$D:$D,$R233))</f>
        <v>Nr. 168 / S. 15</v>
      </c>
      <c r="D233" s="45" t="str">
        <f aca="false">IF($R233="","",INDEX(Anforderungen!$E:$E,$R233))</f>
        <v>Vertrag &amp; Recht</v>
      </c>
      <c r="E233" s="45" t="str">
        <f aca="false">IF($R233="","",INDEX(Anforderungen!$F:$F,$R233))</f>
        <v>Klarstellung: Mehrkosten, die sich aus einer Änderung von anzuwendenden Rechtsvorschriften oder technischen Regeln und Regelwerken ergeben werden dem Auftragnehmer nach Maßgabe von § 36 des Betreibervertrages erstattet.</v>
      </c>
      <c r="F233" s="45" t="str">
        <f aca="false">IF($R233="","",INDEX(Anforderungen!$G:$G,$R233))</f>
        <v>Die Errichtung der Anlagen können sich bis ins Jahr 2030 hinziehen. Wie soll mit Mehrkosten umgegangen werden, wenn sich in diesem Zeitraum die TAB`s der VNB`s ändern und dadurch Bedingt neue Anforderungen entstehen, die zum heutigen Zeitpunkt nicht bekannt sind?</v>
      </c>
      <c r="G233" s="45" t="str">
        <f aca="false">IF($R233="","",INDEX(Anforderungen!$I:$I,$R233))</f>
        <v>offen</v>
      </c>
      <c r="H233" s="45" t="str">
        <f aca="false">IF($R233="","",INDEX(Anforderungen!$J:$J,$R233))</f>
        <v>–</v>
      </c>
      <c r="I233" s="45" t="str">
        <f aca="false">IF($R233="","",INDEX(Anforderungen!$K:$K,$R233))</f>
        <v>trifft nicht zu</v>
      </c>
      <c r="J233" s="46" t="n">
        <f aca="false">IF($R233="","",INDEX(Anforderungen!$L:$L,$R233))</f>
        <v>0</v>
      </c>
      <c r="K233" s="45" t="str">
        <f aca="false">IF($R233="","",INDEX(Anforderungen!$M:$M,$R233))</f>
        <v>Automatisch ausgewertet: Außerhalb des betrachteten Leistungsumfangs (Schranken, Kennzeichenerfassung, dynamische Anzeige).</v>
      </c>
      <c r="R233" s="0" t="n">
        <f aca="false">IFERROR(MATCH(ROWS($A$14:$A233),$T$7:$T$2000,0)+6,"")</f>
        <v>226</v>
      </c>
      <c r="T233" s="0" t="n">
        <f aca="false">IF(Anforderungen!$B233="","",IF(AND(OR($B5="(alle)",Anforderungen!$K233=$B5),OR($E5="(alle)",Anforderungen!$C233=$E5),OR($H5="(alle)",Anforderungen!$E233=$H5),OR($B7="(alle)",ISNUMBER(SEARCH($B7,Anforderungen!$J233))),OR($E7="(alle)",ISNUMBER(SEARCH($E7,Anforderungen!$I233))),OR($H7="",ISNUMBER(SEARCH($H7,Anforderungen!$F233&amp;" "&amp;Anforderungen!$G233)))),COUNT($T$6:$T232)+1,""))</f>
        <v>227</v>
      </c>
    </row>
    <row r="234" customFormat="false" ht="30" hidden="false" customHeight="true" outlineLevel="0" collapsed="false">
      <c r="A234" s="45" t="str">
        <f aca="false">IF($R234="","",INDEX(Anforderungen!$B:$B,$R234))</f>
        <v>ANF-221</v>
      </c>
      <c r="B234" s="45" t="str">
        <f aca="false">IF($R234="","",INDEX(Anforderungen!$C:$C,$R234))</f>
        <v>Bieterfragenkatalog</v>
      </c>
      <c r="C234" s="45" t="str">
        <f aca="false">IF($R234="","",INDEX(Anforderungen!$D:$D,$R234))</f>
        <v>Nr. 169 / S. 15</v>
      </c>
      <c r="D234" s="45" t="str">
        <f aca="false">IF($R234="","",INDEX(Anforderungen!$E:$E,$R234))</f>
        <v>Anzeige &amp; Beschilderung</v>
      </c>
      <c r="E234" s="45" t="str">
        <f aca="false">IF($R234="","",INDEX(Anforderungen!$F:$F,$R234))</f>
        <v>Klarstellung: Die von Ihnen angefragten Informationen und Dokumente können aktuell nicht vom AG zur Verfügung gestellt werden.</v>
      </c>
      <c r="F234" s="45" t="str">
        <f aca="false">IF($R234="","",INDEX(Anforderungen!$G:$G,$R234))</f>
        <v>Lt. Abschnitt 3.10.1 trägt der AN die Verantwortung für eine Beleuchtungsqualität nach DIN EN13201 sowie den Vorgaben in Kapitel 9.4.4 der Empfehlungen für Rastanlagen an Straßen der FGSV (Ausgabe 2011). Kann der AG die bestehende Beleuchtungsplanung und auch die bestehende technische Hardware (Masthöhen, Art, Typ und Bestückung sowie bei LED die Optiken und Bestromung) der bestehenden Leuchtkörper zur Verfügung stellen? Diese sind für eine Beleuchtungsüberplanung erforderlich.</v>
      </c>
      <c r="G234" s="45" t="str">
        <f aca="false">IF($R234="","",INDEX(Anforderungen!$I:$I,$R234))</f>
        <v>SCS</v>
      </c>
      <c r="H234" s="45" t="str">
        <f aca="false">IF($R234="","",INDEX(Anforderungen!$J:$J,$R234))</f>
        <v>Dynamische Anzeige</v>
      </c>
      <c r="I234" s="45" t="str">
        <f aca="false">IF($R234="","",INDEX(Anforderungen!$K:$K,$R234))</f>
        <v>erfasst</v>
      </c>
      <c r="J234" s="46" t="n">
        <f aca="false">IF($R234="","",INDEX(Anforderungen!$L:$L,$R234))</f>
        <v>0</v>
      </c>
      <c r="K234" s="45" t="n">
        <f aca="false">IF($R234="","",INDEX(Anforderungen!$M:$M,$R234))</f>
        <v>0</v>
      </c>
      <c r="R234" s="0" t="n">
        <f aca="false">IFERROR(MATCH(ROWS($A$14:$A234),$T$7:$T$2000,0)+6,"")</f>
        <v>227</v>
      </c>
      <c r="T234" s="0" t="n">
        <f aca="false">IF(Anforderungen!$B234="","",IF(AND(OR($B5="(alle)",Anforderungen!$K234=$B5),OR($E5="(alle)",Anforderungen!$C234=$E5),OR($H5="(alle)",Anforderungen!$E234=$H5),OR($B7="(alle)",ISNUMBER(SEARCH($B7,Anforderungen!$J234))),OR($E7="(alle)",ISNUMBER(SEARCH($E7,Anforderungen!$I234))),OR($H7="",ISNUMBER(SEARCH($H7,Anforderungen!$F234&amp;" "&amp;Anforderungen!$G234)))),COUNT($T$6:$T233)+1,""))</f>
        <v>228</v>
      </c>
    </row>
    <row r="235" customFormat="false" ht="30" hidden="false" customHeight="true" outlineLevel="0" collapsed="false">
      <c r="A235" s="45" t="str">
        <f aca="false">IF($R235="","",INDEX(Anforderungen!$B:$B,$R235))</f>
        <v>ANF-222</v>
      </c>
      <c r="B235" s="45" t="str">
        <f aca="false">IF($R235="","",INDEX(Anforderungen!$C:$C,$R235))</f>
        <v>Bieterfragenkatalog</v>
      </c>
      <c r="C235" s="45" t="str">
        <f aca="false">IF($R235="","",INDEX(Anforderungen!$D:$D,$R235))</f>
        <v>Nr. 170 / S. 15</v>
      </c>
      <c r="D235" s="45" t="str">
        <f aca="false">IF($R235="","",INDEX(Anforderungen!$E:$E,$R235))</f>
        <v>Flächen &amp; Genehmigungen</v>
      </c>
      <c r="E235" s="45" t="str">
        <f aca="false">IF($R235="","",INDEX(Anforderungen!$F:$F,$R235))</f>
        <v>Klarstellung: Zu a) Der AG kann nicht bestätigen, dass die heute vorhandene Grundbeleuchtung bereits diese Anforderungen erfüllt.</v>
      </c>
      <c r="F235" s="45" t="str">
        <f aca="false">IF($R235="","",INDEX(Anforderungen!$G:$G,$R235))</f>
        <v>Lt. Abschnitt 3.10.1 trägt der AN die Verantwortung für eine Beleuchtungsqualität nach DIN EN13201 sowie den Vorgaben in Kapitel 9.4.4 der Empfehlungen für Rastanlagen an Straßen der FGSV (Ausgabe 2011). a) Kann der AG bestätigen, dass die heute vorhandene Grundbeleuchtung bereits diese Anforderungen erfüllt? b) Kann der AG bestätigen, dass der AN nur für die durch diese Baumaßnahme durchgeführten Anpassungen, die Nachweise erbringen muss und auch nur auf dem heute bestehenden Beleuchtungsniveau?</v>
      </c>
      <c r="G235" s="45" t="str">
        <f aca="false">IF($R235="","",INDEX(Anforderungen!$I:$I,$R235))</f>
        <v>Zuordnung prüfen</v>
      </c>
      <c r="H235" s="45" t="str">
        <f aca="false">IF($R235="","",INDEX(Anforderungen!$J:$J,$R235))</f>
        <v>Zuordnung prüfen</v>
      </c>
      <c r="I235" s="45" t="str">
        <f aca="false">IF($R235="","",INDEX(Anforderungen!$K:$K,$R235))</f>
        <v>trifft nicht zu</v>
      </c>
      <c r="J235" s="46" t="n">
        <f aca="false">IF($R235="","",INDEX(Anforderungen!$L:$L,$R235))</f>
        <v>0</v>
      </c>
      <c r="K235" s="45" t="str">
        <f aca="false">IF($R235="","",INDEX(Anforderungen!$M:$M,$R235))</f>
        <v>Automatisch ausgewertet: Außerhalb des betrachteten Leistungsumfangs (Schranken, Kennzeichenerfassung, dynamische Anzeige).</v>
      </c>
      <c r="R235" s="0" t="n">
        <f aca="false">IFERROR(MATCH(ROWS($A$14:$A235),$T$7:$T$2000,0)+6,"")</f>
        <v>228</v>
      </c>
      <c r="T235" s="0" t="n">
        <f aca="false">IF(Anforderungen!$B235="","",IF(AND(OR($B5="(alle)",Anforderungen!$K235=$B5),OR($E5="(alle)",Anforderungen!$C235=$E5),OR($H5="(alle)",Anforderungen!$E235=$H5),OR($B7="(alle)",ISNUMBER(SEARCH($B7,Anforderungen!$J235))),OR($E7="(alle)",ISNUMBER(SEARCH($E7,Anforderungen!$I235))),OR($H7="",ISNUMBER(SEARCH($H7,Anforderungen!$F235&amp;" "&amp;Anforderungen!$G235)))),COUNT($T$6:$T234)+1,""))</f>
        <v>229</v>
      </c>
    </row>
    <row r="236" customFormat="false" ht="30" hidden="false" customHeight="true" outlineLevel="0" collapsed="false">
      <c r="A236" s="45" t="str">
        <f aca="false">IF($R236="","",INDEX(Anforderungen!$B:$B,$R236))</f>
        <v>ANF-223</v>
      </c>
      <c r="B236" s="45" t="str">
        <f aca="false">IF($R236="","",INDEX(Anforderungen!$C:$C,$R236))</f>
        <v>Bieterfragenkatalog</v>
      </c>
      <c r="C236" s="45" t="str">
        <f aca="false">IF($R236="","",INDEX(Anforderungen!$D:$D,$R236))</f>
        <v>Nr. 171 / S. 15</v>
      </c>
      <c r="D236" s="45" t="str">
        <f aca="false">IF($R236="","",INDEX(Anforderungen!$E:$E,$R236))</f>
        <v>Netzanschluss &amp; Energie</v>
      </c>
      <c r="E236" s="45" t="str">
        <f aca="false">IF($R236="","",INDEX(Anforderungen!$F:$F,$R236))</f>
        <v>Klarstellung: Siehe hierzu die Antwort auf die Bieterfrage 45. Die Bieter sollen im Erstangebot keine Vorrüstungen im Bereich der Übergabestation für Speicher vorgesehen.</v>
      </c>
      <c r="F236" s="45" t="str">
        <f aca="false">IF($R236="","",INDEX(Anforderungen!$G:$G,$R236))</f>
        <v>§44, Abs. 1.: Der AG kann an Standorten Speicher aufstellen. Sollen im Angebot bereits Vorrüstungen im Bereich der Übergabestation für Speicher vorgesehen werden?</v>
      </c>
      <c r="G236" s="45" t="str">
        <f aca="false">IF($R236="","",INDEX(Anforderungen!$I:$I,$R236))</f>
        <v>offen</v>
      </c>
      <c r="H236" s="45" t="str">
        <f aca="false">IF($R236="","",INDEX(Anforderungen!$J:$J,$R236))</f>
        <v>–</v>
      </c>
      <c r="I236" s="45" t="str">
        <f aca="false">IF($R236="","",INDEX(Anforderungen!$K:$K,$R236))</f>
        <v>trifft nicht zu</v>
      </c>
      <c r="J236" s="46" t="n">
        <f aca="false">IF($R236="","",INDEX(Anforderungen!$L:$L,$R236))</f>
        <v>0</v>
      </c>
      <c r="K236" s="45" t="str">
        <f aca="false">IF($R236="","",INDEX(Anforderungen!$M:$M,$R236))</f>
        <v>Automatisch ausgewertet: Außerhalb des betrachteten Leistungsumfangs (Schranken, Kennzeichenerfassung, dynamische Anzeige).</v>
      </c>
      <c r="R236" s="0" t="n">
        <f aca="false">IFERROR(MATCH(ROWS($A$14:$A236),$T$7:$T$2000,0)+6,"")</f>
        <v>229</v>
      </c>
      <c r="T236" s="0" t="n">
        <f aca="false">IF(Anforderungen!$B236="","",IF(AND(OR($B5="(alle)",Anforderungen!$K236=$B5),OR($E5="(alle)",Anforderungen!$C236=$E5),OR($H5="(alle)",Anforderungen!$E236=$H5),OR($B7="(alle)",ISNUMBER(SEARCH($B7,Anforderungen!$J236))),OR($E7="(alle)",ISNUMBER(SEARCH($E7,Anforderungen!$I236))),OR($H7="",ISNUMBER(SEARCH($H7,Anforderungen!$F236&amp;" "&amp;Anforderungen!$G236)))),COUNT($T$6:$T235)+1,""))</f>
        <v>230</v>
      </c>
    </row>
    <row r="237" customFormat="false" ht="30" hidden="false" customHeight="true" outlineLevel="0" collapsed="false">
      <c r="A237" s="45" t="str">
        <f aca="false">IF($R237="","",INDEX(Anforderungen!$B:$B,$R237))</f>
        <v>ANF-224</v>
      </c>
      <c r="B237" s="45" t="str">
        <f aca="false">IF($R237="","",INDEX(Anforderungen!$C:$C,$R237))</f>
        <v>Bieterfragenkatalog</v>
      </c>
      <c r="C237" s="45" t="str">
        <f aca="false">IF($R237="","",INDEX(Anforderungen!$D:$D,$R237))</f>
        <v>Nr. 172 / S. 16</v>
      </c>
      <c r="D237" s="45" t="str">
        <f aca="false">IF($R237="","",INDEX(Anforderungen!$E:$E,$R237))</f>
        <v>Vertrag &amp; Recht</v>
      </c>
      <c r="E237" s="45" t="str">
        <f aca="false">IF($R237="","",INDEX(Anforderungen!$F:$F,$R237))</f>
        <v>Klarstellung: Ihre Annahme ist zutreffend. Es sollen möglichst viele Bereiche der Verkehrsflächen erhalten bleiben.</v>
      </c>
      <c r="F237" s="45" t="str">
        <f aca="false">IF($R237="","",INDEX(Anforderungen!$G:$G,$R237))</f>
        <v>Gehen wir recht in der Annahme, dass im Bereich der Errichtung der LKW-Ladeinfrstruktur von der Baumaßnahme nicht betroffene Oberflächen im Ausgangszustand belassen werden können und damit an vielen Stellen eine Verbindung von neuer und bestehnder Oberfläche entsteht?</v>
      </c>
      <c r="G237" s="45" t="str">
        <f aca="false">IF($R237="","",INDEX(Anforderungen!$I:$I,$R237))</f>
        <v>offen</v>
      </c>
      <c r="H237" s="45" t="str">
        <f aca="false">IF($R237="","",INDEX(Anforderungen!$J:$J,$R237))</f>
        <v>–</v>
      </c>
      <c r="I237" s="45" t="str">
        <f aca="false">IF($R237="","",INDEX(Anforderungen!$K:$K,$R237))</f>
        <v>trifft nicht zu</v>
      </c>
      <c r="J237" s="46" t="n">
        <f aca="false">IF($R237="","",INDEX(Anforderungen!$L:$L,$R237))</f>
        <v>0</v>
      </c>
      <c r="K237" s="45" t="str">
        <f aca="false">IF($R237="","",INDEX(Anforderungen!$M:$M,$R237))</f>
        <v>Automatisch ausgewertet: Außerhalb des betrachteten Leistungsumfangs (Schranken, Kennzeichenerfassung, dynamische Anzeige).</v>
      </c>
      <c r="R237" s="0" t="n">
        <f aca="false">IFERROR(MATCH(ROWS($A$14:$A237),$T$7:$T$2000,0)+6,"")</f>
        <v>230</v>
      </c>
      <c r="T237" s="0" t="n">
        <f aca="false">IF(Anforderungen!$B237="","",IF(AND(OR($B5="(alle)",Anforderungen!$K237=$B5),OR($E5="(alle)",Anforderungen!$C237=$E5),OR($H5="(alle)",Anforderungen!$E237=$H5),OR($B7="(alle)",ISNUMBER(SEARCH($B7,Anforderungen!$J237))),OR($E7="(alle)",ISNUMBER(SEARCH($E7,Anforderungen!$I237))),OR($H7="",ISNUMBER(SEARCH($H7,Anforderungen!$F237&amp;" "&amp;Anforderungen!$G237)))),COUNT($T$6:$T236)+1,""))</f>
        <v>231</v>
      </c>
    </row>
    <row r="238" customFormat="false" ht="30" hidden="false" customHeight="true" outlineLevel="0" collapsed="false">
      <c r="A238" s="45" t="str">
        <f aca="false">IF($R238="","",INDEX(Anforderungen!$B:$B,$R238))</f>
        <v>ANF-225</v>
      </c>
      <c r="B238" s="45" t="str">
        <f aca="false">IF($R238="","",INDEX(Anforderungen!$C:$C,$R238))</f>
        <v>Bieterfragenkatalog</v>
      </c>
      <c r="C238" s="45" t="str">
        <f aca="false">IF($R238="","",INDEX(Anforderungen!$D:$D,$R238))</f>
        <v>Nr. 173 / S. 16</v>
      </c>
      <c r="D238" s="45" t="str">
        <f aca="false">IF($R238="","",INDEX(Anforderungen!$E:$E,$R238))</f>
        <v>Vergabeverfahren &amp; Angebot</v>
      </c>
      <c r="E238" s="45" t="str">
        <f aca="false">IF($R238="","",INDEX(Anforderungen!$F:$F,$R238))</f>
        <v>Klarstellung: Wir verweisen auf unsere Antwort zur Frage 158.</v>
      </c>
      <c r="F238" s="45" t="str">
        <f aca="false">IF($R238="","",INDEX(Anforderungen!$G:$G,$R238))</f>
        <v>Wir haben von Ihnen am 06.02 eine Mitteilung erhalten, das aktualisierte Vergabeunterlagen verfügbar sind. Bedauerlicherweise ist diese Mitteilung ohne Anhang. Handelt es sich hierbei um ein Fehler des Programms?</v>
      </c>
      <c r="G238" s="45" t="str">
        <f aca="false">IF($R238="","",INDEX(Anforderungen!$I:$I,$R238))</f>
        <v>offen</v>
      </c>
      <c r="H238" s="45" t="str">
        <f aca="false">IF($R238="","",INDEX(Anforderungen!$J:$J,$R238))</f>
        <v>–</v>
      </c>
      <c r="I238" s="45" t="str">
        <f aca="false">IF($R238="","",INDEX(Anforderungen!$K:$K,$R238))</f>
        <v>trifft nicht zu</v>
      </c>
      <c r="J238" s="46" t="n">
        <f aca="false">IF($R238="","",INDEX(Anforderungen!$L:$L,$R238))</f>
        <v>0</v>
      </c>
      <c r="K238" s="45" t="str">
        <f aca="false">IF($R238="","",INDEX(Anforderungen!$M:$M,$R238))</f>
        <v>Automatisch ausgewertet: Betrifft das Vergabeverfahren (Angebot, Wertung, Unterlagen), nicht die zu erbringende Leistung. Keiner Komponente zugeordnet.</v>
      </c>
      <c r="R238" s="0" t="n">
        <f aca="false">IFERROR(MATCH(ROWS($A$14:$A238),$T$7:$T$2000,0)+6,"")</f>
        <v>231</v>
      </c>
      <c r="T238" s="0" t="n">
        <f aca="false">IF(Anforderungen!$B238="","",IF(AND(OR($B5="(alle)",Anforderungen!$K238=$B5),OR($E5="(alle)",Anforderungen!$C238=$E5),OR($H5="(alle)",Anforderungen!$E238=$H5),OR($B7="(alle)",ISNUMBER(SEARCH($B7,Anforderungen!$J238))),OR($E7="(alle)",ISNUMBER(SEARCH($E7,Anforderungen!$I238))),OR($H7="",ISNUMBER(SEARCH($H7,Anforderungen!$F238&amp;" "&amp;Anforderungen!$G238)))),COUNT($T$6:$T237)+1,""))</f>
        <v>232</v>
      </c>
    </row>
    <row r="239" customFormat="false" ht="30" hidden="false" customHeight="true" outlineLevel="0" collapsed="false">
      <c r="A239" s="45" t="str">
        <f aca="false">IF($R239="","",INDEX(Anforderungen!$B:$B,$R239))</f>
        <v>ANF-226</v>
      </c>
      <c r="B239" s="45" t="str">
        <f aca="false">IF($R239="","",INDEX(Anforderungen!$C:$C,$R239))</f>
        <v>Bieterfragenkatalog</v>
      </c>
      <c r="C239" s="45" t="str">
        <f aca="false">IF($R239="","",INDEX(Anforderungen!$D:$D,$R239))</f>
        <v>Nr. 174 / S. 16</v>
      </c>
      <c r="D239" s="45" t="str">
        <f aca="false">IF($R239="","",INDEX(Anforderungen!$E:$E,$R239))</f>
        <v>Technik Ladeinfrastruktur</v>
      </c>
      <c r="E239" s="45" t="str">
        <f aca="false">IF($R239="","",INDEX(Anforderungen!$F:$F,$R239))</f>
        <v>Verneint: eine Abweichung von den Vorgaben aus der Vertragsanlage 02 ist nicht vorgesehen.</v>
      </c>
      <c r="F239" s="45" t="str">
        <f aca="false">IF($R239="","",INDEX(Anforderungen!$G:$G,$R239))</f>
        <v>Wäre es zulässig, über die angeforderte Anzahl an Ladepunkten hinaus weitere Anschlüsse oder Ladepunkte im Sinne der AFIR gleichen Typs an den Ladeplätzen vorzusehen, um so ggf. die Zuverlässigkeit zu erhöhen und Vertragsstrafen zu entgehen?</v>
      </c>
      <c r="G239" s="45" t="str">
        <f aca="false">IF($R239="","",INDEX(Anforderungen!$I:$I,$R239))</f>
        <v>Zuordnung prüfen</v>
      </c>
      <c r="H239" s="45" t="str">
        <f aca="false">IF($R239="","",INDEX(Anforderungen!$J:$J,$R239))</f>
        <v>Zuordnung prüfen</v>
      </c>
      <c r="I239" s="45" t="str">
        <f aca="false">IF($R239="","",INDEX(Anforderungen!$K:$K,$R239))</f>
        <v>trifft nicht zu</v>
      </c>
      <c r="J239" s="46" t="n">
        <f aca="false">IF($R239="","",INDEX(Anforderungen!$L:$L,$R239))</f>
        <v>0</v>
      </c>
      <c r="K239" s="45" t="str">
        <f aca="false">IF($R239="","",INDEX(Anforderungen!$M:$M,$R239))</f>
        <v>Automatisch ausgewertet: Außerhalb des betrachteten Leistungsumfangs (Schranken, Kennzeichenerfassung, dynamische Anzeige).</v>
      </c>
      <c r="R239" s="0" t="n">
        <f aca="false">IFERROR(MATCH(ROWS($A$14:$A239),$T$7:$T$2000,0)+6,"")</f>
        <v>232</v>
      </c>
      <c r="T239" s="0" t="n">
        <f aca="false">IF(Anforderungen!$B239="","",IF(AND(OR($B5="(alle)",Anforderungen!$K239=$B5),OR($E5="(alle)",Anforderungen!$C239=$E5),OR($H5="(alle)",Anforderungen!$E239=$H5),OR($B7="(alle)",ISNUMBER(SEARCH($B7,Anforderungen!$J239))),OR($E7="(alle)",ISNUMBER(SEARCH($E7,Anforderungen!$I239))),OR($H7="",ISNUMBER(SEARCH($H7,Anforderungen!$F239&amp;" "&amp;Anforderungen!$G239)))),COUNT($T$6:$T238)+1,""))</f>
        <v>233</v>
      </c>
    </row>
    <row r="240" customFormat="false" ht="30" hidden="false" customHeight="true" outlineLevel="0" collapsed="false">
      <c r="A240" s="45" t="str">
        <f aca="false">IF($R240="","",INDEX(Anforderungen!$B:$B,$R240))</f>
        <v>ANF-227</v>
      </c>
      <c r="B240" s="45" t="str">
        <f aca="false">IF($R240="","",INDEX(Anforderungen!$C:$C,$R240))</f>
        <v>Bieterfragenkatalog</v>
      </c>
      <c r="C240" s="45" t="str">
        <f aca="false">IF($R240="","",INDEX(Anforderungen!$D:$D,$R240))</f>
        <v>Nr. 175 / S. 16</v>
      </c>
      <c r="D240" s="45" t="str">
        <f aca="false">IF($R240="","",INDEX(Anforderungen!$E:$E,$R240))</f>
        <v>Technik Ladeinfrastruktur</v>
      </c>
      <c r="E240" s="45" t="str">
        <f aca="false">IF($R240="","",INDEX(Anforderungen!$F:$F,$R240))</f>
        <v>Klarstellung: Dieser Punkt kann zum Gegenstand der Vertragsverhandlungen gemacht werden.</v>
      </c>
      <c r="F240" s="45" t="str">
        <f aca="false">IF($R240="","",INDEX(Anforderungen!$G:$G,$R240))</f>
        <v>Wäre es denkbar, im weiteren Verfahren den Vertragsstrafenmodus derart abzuwandeln, dass nur dann Strafzahlungen erfolgen müssen, wenn eine NIchtverfügbarkeit von Ladepunkten auch tatsächlich dazu führt, dass Nutzer aufgrund von vollständiger Belegung der übrigen Ladeplätze nicht unmittelbar Zugang erhalten?</v>
      </c>
      <c r="G240" s="45" t="str">
        <f aca="false">IF($R240="","",INDEX(Anforderungen!$I:$I,$R240))</f>
        <v>Zuordnung prüfen</v>
      </c>
      <c r="H240" s="45" t="str">
        <f aca="false">IF($R240="","",INDEX(Anforderungen!$J:$J,$R240))</f>
        <v>Zuordnung prüfen</v>
      </c>
      <c r="I240" s="45" t="str">
        <f aca="false">IF($R240="","",INDEX(Anforderungen!$K:$K,$R240))</f>
        <v>trifft nicht zu</v>
      </c>
      <c r="J240" s="46" t="n">
        <f aca="false">IF($R240="","",INDEX(Anforderungen!$L:$L,$R240))</f>
        <v>0</v>
      </c>
      <c r="K240" s="45" t="str">
        <f aca="false">IF($R240="","",INDEX(Anforderungen!$M:$M,$R240))</f>
        <v>Automatisch ausgewertet: Außerhalb des betrachteten Leistungsumfangs (Schranken, Kennzeichenerfassung, dynamische Anzeige).</v>
      </c>
      <c r="R240" s="0" t="n">
        <f aca="false">IFERROR(MATCH(ROWS($A$14:$A240),$T$7:$T$2000,0)+6,"")</f>
        <v>233</v>
      </c>
      <c r="T240" s="0" t="n">
        <f aca="false">IF(Anforderungen!$B240="","",IF(AND(OR($B5="(alle)",Anforderungen!$K240=$B5),OR($E5="(alle)",Anforderungen!$C240=$E5),OR($H5="(alle)",Anforderungen!$E240=$H5),OR($B7="(alle)",ISNUMBER(SEARCH($B7,Anforderungen!$J240))),OR($E7="(alle)",ISNUMBER(SEARCH($E7,Anforderungen!$I240))),OR($H7="",ISNUMBER(SEARCH($H7,Anforderungen!$F240&amp;" "&amp;Anforderungen!$G240)))),COUNT($T$6:$T239)+1,""))</f>
        <v>234</v>
      </c>
    </row>
    <row r="241" customFormat="false" ht="30" hidden="false" customHeight="true" outlineLevel="0" collapsed="false">
      <c r="A241" s="45" t="str">
        <f aca="false">IF($R241="","",INDEX(Anforderungen!$B:$B,$R241))</f>
        <v>ANF-228</v>
      </c>
      <c r="B241" s="45" t="str">
        <f aca="false">IF($R241="","",INDEX(Anforderungen!$C:$C,$R241))</f>
        <v>Bieterfragenkatalog</v>
      </c>
      <c r="C241" s="45" t="str">
        <f aca="false">IF($R241="","",INDEX(Anforderungen!$D:$D,$R241))</f>
        <v>Nr. 176 / S. 16</v>
      </c>
      <c r="D241" s="45" t="str">
        <f aca="false">IF($R241="","",INDEX(Anforderungen!$E:$E,$R241))</f>
        <v>Technik Ladeinfrastruktur</v>
      </c>
      <c r="E241" s="45" t="str">
        <f aca="false">IF($R241="","",INDEX(Anforderungen!$F:$F,$R241))</f>
        <v>Klarstellung: Eine Anpassug der technischen Anforderungen ist aktuell nicht vorgesehen. Die Länge der CCS-Ladekabel muss ausreichend bemessen sein, um ggf. verschiedene fahrzeugseitige Positionen der CCS-Inlets unproblematisch bedienen zu …</v>
      </c>
      <c r="F241" s="45" t="str">
        <f aca="false">IF($R241="","",INDEX(Anforderungen!$G:$G,$R241))</f>
        <v>Könnten folgende Vorschläge zur Anpassung der technischen Anforderungen zur Umsetzung im weiteren Vergabeverfahren in Erwägung gezogen werden, die darauf abzielen die Komplexität bzw. Verwundbarkeit der Systemarchitektur zu senken und so die Zuverlässigkeit zu erhöhen: 1) Ladekabel am CCS Ladeplatz mit 3m Länge 2) Absenkung der der geforderten Dauerströme im Fall von CCS soweit, dass auf flüssigkeitsgekühlte Kabel verzichtet werden könnte</v>
      </c>
      <c r="G241" s="45" t="str">
        <f aca="false">IF($R241="","",INDEX(Anforderungen!$I:$I,$R241))</f>
        <v>Alpitronic</v>
      </c>
      <c r="H241" s="45" t="str">
        <f aca="false">IF($R241="","",INDEX(Anforderungen!$J:$J,$R241))</f>
        <v>Ladeeinrichtung</v>
      </c>
      <c r="I241" s="45" t="str">
        <f aca="false">IF($R241="","",INDEX(Anforderungen!$K:$K,$R241))</f>
        <v>trifft nicht zu</v>
      </c>
      <c r="J241" s="46" t="n">
        <f aca="false">IF($R241="","",INDEX(Anforderungen!$L:$L,$R241))</f>
        <v>0</v>
      </c>
      <c r="K241" s="45" t="str">
        <f aca="false">IF($R241="","",INDEX(Anforderungen!$M:$M,$R241))</f>
        <v>Automatisch ausgewertet: Außerhalb des betrachteten Leistungsumfangs (Schranken, Kennzeichenerfassung, dynamische Anzeige).</v>
      </c>
      <c r="R241" s="0" t="n">
        <f aca="false">IFERROR(MATCH(ROWS($A$14:$A241),$T$7:$T$2000,0)+6,"")</f>
        <v>234</v>
      </c>
      <c r="T241" s="0" t="n">
        <f aca="false">IF(Anforderungen!$B241="","",IF(AND(OR($B5="(alle)",Anforderungen!$K241=$B5),OR($E5="(alle)",Anforderungen!$C241=$E5),OR($H5="(alle)",Anforderungen!$E241=$H5),OR($B7="(alle)",ISNUMBER(SEARCH($B7,Anforderungen!$J241))),OR($E7="(alle)",ISNUMBER(SEARCH($E7,Anforderungen!$I241))),OR($H7="",ISNUMBER(SEARCH($H7,Anforderungen!$F241&amp;" "&amp;Anforderungen!$G241)))),COUNT($T$6:$T240)+1,""))</f>
        <v>235</v>
      </c>
    </row>
    <row r="242" customFormat="false" ht="30" hidden="false" customHeight="true" outlineLevel="0" collapsed="false">
      <c r="A242" s="45" t="str">
        <f aca="false">IF($R242="","",INDEX(Anforderungen!$B:$B,$R242))</f>
        <v>ANF-229</v>
      </c>
      <c r="B242" s="45" t="str">
        <f aca="false">IF($R242="","",INDEX(Anforderungen!$C:$C,$R242))</f>
        <v>Bieterfragenkatalog</v>
      </c>
      <c r="C242" s="45" t="str">
        <f aca="false">IF($R242="","",INDEX(Anforderungen!$D:$D,$R242))</f>
        <v>Nr. 177 / S. 16</v>
      </c>
      <c r="D242" s="45" t="str">
        <f aca="false">IF($R242="","",INDEX(Anforderungen!$E:$E,$R242))</f>
        <v>Vertrag &amp; Recht</v>
      </c>
      <c r="E242" s="45" t="str">
        <f aca="false">IF($R242="","",INDEX(Anforderungen!$F:$F,$R242))</f>
        <v>Klarstellung: Die Annahme ist insofern korrekt, dass den Bietern keine weiteren Unterlagen zur Verfügung gestellt werden.</v>
      </c>
      <c r="F242" s="45" t="str">
        <f aca="false">IF($R242="","",INDEX(Anforderungen!$G:$G,$R242))</f>
        <v>Gehen wir recht in der Annahme, dass außer den in Anlage 3 zusammengestellten Unterlagen keine weiteren Dokumente zur Verfügung gestellt werden, mit der Folge, dass der AN sämtliche Planungs- und Bestandsdokumente erstellt und bei der Angebotskalkulation berücksichtigt werden müssen?</v>
      </c>
      <c r="G242" s="45" t="str">
        <f aca="false">IF($R242="","",INDEX(Anforderungen!$I:$I,$R242))</f>
        <v>offen</v>
      </c>
      <c r="H242" s="45" t="str">
        <f aca="false">IF($R242="","",INDEX(Anforderungen!$J:$J,$R242))</f>
        <v>–</v>
      </c>
      <c r="I242" s="45" t="str">
        <f aca="false">IF($R242="","",INDEX(Anforderungen!$K:$K,$R242))</f>
        <v>trifft nicht zu</v>
      </c>
      <c r="J242" s="46" t="n">
        <f aca="false">IF($R242="","",INDEX(Anforderungen!$L:$L,$R242))</f>
        <v>0</v>
      </c>
      <c r="K242" s="45" t="str">
        <f aca="false">IF($R242="","",INDEX(Anforderungen!$M:$M,$R242))</f>
        <v>Automatisch ausgewertet: Außerhalb des betrachteten Leistungsumfangs (Schranken, Kennzeichenerfassung, dynamische Anzeige).</v>
      </c>
      <c r="R242" s="0" t="n">
        <f aca="false">IFERROR(MATCH(ROWS($A$14:$A242),$T$7:$T$2000,0)+6,"")</f>
        <v>235</v>
      </c>
      <c r="T242" s="0" t="n">
        <f aca="false">IF(Anforderungen!$B242="","",IF(AND(OR($B5="(alle)",Anforderungen!$K242=$B5),OR($E5="(alle)",Anforderungen!$C242=$E5),OR($H5="(alle)",Anforderungen!$E242=$H5),OR($B7="(alle)",ISNUMBER(SEARCH($B7,Anforderungen!$J242))),OR($E7="(alle)",ISNUMBER(SEARCH($E7,Anforderungen!$I242))),OR($H7="",ISNUMBER(SEARCH($H7,Anforderungen!$F242&amp;" "&amp;Anforderungen!$G242)))),COUNT($T$6:$T241)+1,""))</f>
        <v>236</v>
      </c>
    </row>
    <row r="243" customFormat="false" ht="30" hidden="false" customHeight="true" outlineLevel="0" collapsed="false">
      <c r="A243" s="45" t="str">
        <f aca="false">IF($R243="","",INDEX(Anforderungen!$B:$B,$R243))</f>
        <v>ANF-230</v>
      </c>
      <c r="B243" s="45" t="str">
        <f aca="false">IF($R243="","",INDEX(Anforderungen!$C:$C,$R243))</f>
        <v>Bieterfragenkatalog</v>
      </c>
      <c r="C243" s="45" t="str">
        <f aca="false">IF($R243="","",INDEX(Anforderungen!$D:$D,$R243))</f>
        <v>Nr. 178 / S. 16</v>
      </c>
      <c r="D243" s="45" t="str">
        <f aca="false">IF($R243="","",INDEX(Anforderungen!$E:$E,$R243))</f>
        <v>Bau &amp; Dokumentation</v>
      </c>
      <c r="E243" s="45" t="str">
        <f aca="false">IF($R243="","",INDEX(Anforderungen!$F:$F,$R243))</f>
        <v>Klarstellung: Ihre Annahme ist unzutreffend. Die allgemeinen Anforderungen inkl.</v>
      </c>
      <c r="F243" s="45" t="str">
        <f aca="false">IF($R243="","",INDEX(Anforderungen!$G:$G,$R243))</f>
        <v>Gehen wir recht in der Annahme, dass die allgemeinen Voraussetzungen für eine Bau- und Betriebsfreigabe durch die Zentrale der Autobahn GmbH als Maximalumfang definiert wird und die Niederlassungen keine strengeren oder zusätzlichen Anforderungen stellen dürfen?</v>
      </c>
      <c r="G243" s="45" t="str">
        <f aca="false">IF($R243="","",INDEX(Anforderungen!$I:$I,$R243))</f>
        <v>offen</v>
      </c>
      <c r="H243" s="45" t="str">
        <f aca="false">IF($R243="","",INDEX(Anforderungen!$J:$J,$R243))</f>
        <v>–</v>
      </c>
      <c r="I243" s="45" t="str">
        <f aca="false">IF($R243="","",INDEX(Anforderungen!$K:$K,$R243))</f>
        <v>trifft nicht zu</v>
      </c>
      <c r="J243" s="46" t="n">
        <f aca="false">IF($R243="","",INDEX(Anforderungen!$L:$L,$R243))</f>
        <v>0</v>
      </c>
      <c r="K243" s="45" t="str">
        <f aca="false">IF($R243="","",INDEX(Anforderungen!$M:$M,$R243))</f>
        <v>Automatisch ausgewertet: Außerhalb des betrachteten Leistungsumfangs (Schranken, Kennzeichenerfassung, dynamische Anzeige).</v>
      </c>
      <c r="R243" s="0" t="n">
        <f aca="false">IFERROR(MATCH(ROWS($A$14:$A243),$T$7:$T$2000,0)+6,"")</f>
        <v>236</v>
      </c>
      <c r="T243" s="0" t="n">
        <f aca="false">IF(Anforderungen!$B243="","",IF(AND(OR($B5="(alle)",Anforderungen!$K243=$B5),OR($E5="(alle)",Anforderungen!$C243=$E5),OR($H5="(alle)",Anforderungen!$E243=$H5),OR($B7="(alle)",ISNUMBER(SEARCH($B7,Anforderungen!$J243))),OR($E7="(alle)",ISNUMBER(SEARCH($E7,Anforderungen!$I243))),OR($H7="",ISNUMBER(SEARCH($H7,Anforderungen!$F243&amp;" "&amp;Anforderungen!$G243)))),COUNT($T$6:$T242)+1,""))</f>
        <v>237</v>
      </c>
    </row>
    <row r="244" customFormat="false" ht="30" hidden="false" customHeight="true" outlineLevel="0" collapsed="false">
      <c r="A244" s="45" t="str">
        <f aca="false">IF($R244="","",INDEX(Anforderungen!$B:$B,$R244))</f>
        <v>ANF-231</v>
      </c>
      <c r="B244" s="45" t="str">
        <f aca="false">IF($R244="","",INDEX(Anforderungen!$C:$C,$R244))</f>
        <v>Bieterfragenkatalog</v>
      </c>
      <c r="C244" s="45" t="str">
        <f aca="false">IF($R244="","",INDEX(Anforderungen!$D:$D,$R244))</f>
        <v>Nr. 179 / S. 16</v>
      </c>
      <c r="D244" s="45" t="str">
        <f aca="false">IF($R244="","",INDEX(Anforderungen!$E:$E,$R244))</f>
        <v>Zufahrt &amp; Schranke</v>
      </c>
      <c r="E244" s="45" t="str">
        <f aca="false">IF($R244="","",INDEX(Anforderungen!$F:$F,$R244))</f>
        <v>Verweis des Auftraggebers auf die Antwort zu Bieterfrage 33.</v>
      </c>
      <c r="F244" s="45" t="str">
        <f aca="false">IF($R244="","",INDEX(Anforderungen!$G:$G,$R244))</f>
        <v>Gehen wir recht in der Annahme, dass zur Durchsetzung des Nutzungsverbots der LIS für andere Fahrzeuge als e-LKW keine baulichen Maßnahmen (z.B. Schranken, Poller, etc.) erforderlich sind? Andernfalls, falls bauliche Maßnahmen vorgesehen sind, bitten wir um Konkrestisierung der Anforderungen, um eine Vergleichbarkeit der Angebote zu gewährleisten.</v>
      </c>
      <c r="G244" s="45" t="str">
        <f aca="false">IF($R244="","",INDEX(Anforderungen!$I:$I,$R244))</f>
        <v>SCS / tbd</v>
      </c>
      <c r="H244" s="45" t="str">
        <f aca="false">IF($R244="","",INDEX(Anforderungen!$J:$J,$R244))</f>
        <v>Schrankenanlage / Schrankensteuerung</v>
      </c>
      <c r="I244" s="45" t="str">
        <f aca="false">IF($R244="","",INDEX(Anforderungen!$K:$K,$R244))</f>
        <v>trifft nicht zu</v>
      </c>
      <c r="J244" s="46" t="n">
        <f aca="false">IF($R244="","",INDEX(Anforderungen!$L:$L,$R244))</f>
        <v>0</v>
      </c>
      <c r="K244" s="45" t="str">
        <f aca="false">IF($R244="","",INDEX(Anforderungen!$M:$M,$R244))</f>
        <v>Automatisch ausgewertet: Die Antwort des Auftraggebers verweist ausschließlich auf Bieterfrage 33. Keine eigenständige Anforderung – der Inhalt ist unter der dort erfassten Zeile nachzuhalten.</v>
      </c>
      <c r="R244" s="0" t="n">
        <f aca="false">IFERROR(MATCH(ROWS($A$14:$A244),$T$7:$T$2000,0)+6,"")</f>
        <v>237</v>
      </c>
      <c r="T244" s="0" t="n">
        <f aca="false">IF(Anforderungen!$B244="","",IF(AND(OR($B5="(alle)",Anforderungen!$K244=$B5),OR($E5="(alle)",Anforderungen!$C244=$E5),OR($H5="(alle)",Anforderungen!$E244=$H5),OR($B7="(alle)",ISNUMBER(SEARCH($B7,Anforderungen!$J244))),OR($E7="(alle)",ISNUMBER(SEARCH($E7,Anforderungen!$I244))),OR($H7="",ISNUMBER(SEARCH($H7,Anforderungen!$F244&amp;" "&amp;Anforderungen!$G244)))),COUNT($T$6:$T243)+1,""))</f>
        <v>238</v>
      </c>
    </row>
    <row r="245" customFormat="false" ht="30" hidden="false" customHeight="true" outlineLevel="0" collapsed="false">
      <c r="A245" s="45" t="str">
        <f aca="false">IF($R245="","",INDEX(Anforderungen!$B:$B,$R245))</f>
        <v>ANF-232</v>
      </c>
      <c r="B245" s="45" t="str">
        <f aca="false">IF($R245="","",INDEX(Anforderungen!$C:$C,$R245))</f>
        <v>Bieterfragenkatalog</v>
      </c>
      <c r="C245" s="45" t="str">
        <f aca="false">IF($R245="","",INDEX(Anforderungen!$D:$D,$R245))</f>
        <v>Nr. 180 / S. 16</v>
      </c>
      <c r="D245" s="45" t="str">
        <f aca="false">IF($R245="","",INDEX(Anforderungen!$E:$E,$R245))</f>
        <v>Netzanschluss &amp; Energie</v>
      </c>
      <c r="E245" s="45" t="str">
        <f aca="false">IF($R245="","",INDEX(Anforderungen!$F:$F,$R245))</f>
        <v>Klarstellung: zu a) Ja, der Auftragnehmer darf mit der Planung und Errichtung beginnen, auch bevor der Netzanschluss realisiert wurde. zu b) Die Zahlung des Errichtungsentgelts ohne Inbetriebnahme - etwa bei fehlendem Netzanschluss - richtet …</v>
      </c>
      <c r="F245" s="45" t="str">
        <f aca="false">IF($R245="","",INDEX(Anforderungen!$G:$G,$R245))</f>
        <v>Gehen wir bei einem verzögerten oder ausbleibenden Netzanschluss recht in der Annahme, dass a) der AN auch vor Realisierung der Netzanschlüsse mit der Planung und der Errichtung beginnen darf und b) der AN das Errichtungsentgelt erhält, sofern sich der Verzug während der Planungs- und Errichtungsphase einstellt.</v>
      </c>
      <c r="G245" s="45" t="str">
        <f aca="false">IF($R245="","",INDEX(Anforderungen!$I:$I,$R245))</f>
        <v>offen</v>
      </c>
      <c r="H245" s="45" t="str">
        <f aca="false">IF($R245="","",INDEX(Anforderungen!$J:$J,$R245))</f>
        <v>–</v>
      </c>
      <c r="I245" s="45" t="str">
        <f aca="false">IF($R245="","",INDEX(Anforderungen!$K:$K,$R245))</f>
        <v>trifft nicht zu</v>
      </c>
      <c r="J245" s="46" t="n">
        <f aca="false">IF($R245="","",INDEX(Anforderungen!$L:$L,$R245))</f>
        <v>0</v>
      </c>
      <c r="K245" s="45" t="str">
        <f aca="false">IF($R245="","",INDEX(Anforderungen!$M:$M,$R245))</f>
        <v>Automatisch ausgewertet: Außerhalb des betrachteten Leistungsumfangs (Schranken, Kennzeichenerfassung, dynamische Anzeige).</v>
      </c>
      <c r="R245" s="0" t="n">
        <f aca="false">IFERROR(MATCH(ROWS($A$14:$A245),$T$7:$T$2000,0)+6,"")</f>
        <v>238</v>
      </c>
      <c r="T245" s="0" t="n">
        <f aca="false">IF(Anforderungen!$B245="","",IF(AND(OR($B5="(alle)",Anforderungen!$K245=$B5),OR($E5="(alle)",Anforderungen!$C245=$E5),OR($H5="(alle)",Anforderungen!$E245=$H5),OR($B7="(alle)",ISNUMBER(SEARCH($B7,Anforderungen!$J245))),OR($E7="(alle)",ISNUMBER(SEARCH($E7,Anforderungen!$I245))),OR($H7="",ISNUMBER(SEARCH($H7,Anforderungen!$F245&amp;" "&amp;Anforderungen!$G245)))),COUNT($T$6:$T244)+1,""))</f>
        <v>239</v>
      </c>
    </row>
    <row r="246" customFormat="false" ht="30" hidden="false" customHeight="true" outlineLevel="0" collapsed="false">
      <c r="A246" s="45" t="str">
        <f aca="false">IF($R246="","",INDEX(Anforderungen!$B:$B,$R246))</f>
        <v>ANF-233</v>
      </c>
      <c r="B246" s="45" t="str">
        <f aca="false">IF($R246="","",INDEX(Anforderungen!$C:$C,$R246))</f>
        <v>Bieterfragenkatalog</v>
      </c>
      <c r="C246" s="45" t="str">
        <f aca="false">IF($R246="","",INDEX(Anforderungen!$D:$D,$R246))</f>
        <v>Nr. 181 / S. 16</v>
      </c>
      <c r="D246" s="45" t="str">
        <f aca="false">IF($R246="","",INDEX(Anforderungen!$E:$E,$R246))</f>
        <v>Netzanschluss &amp; Energie</v>
      </c>
      <c r="E246" s="45" t="str">
        <f aca="false">IF($R246="","",INDEX(Anforderungen!$F:$F,$R246))</f>
        <v>Bestätigt: die Beauftragung des Netzanschlusses obliegt dem Auftraggeber.</v>
      </c>
      <c r="F246" s="45" t="str">
        <f aca="false">IF($R246="","",INDEX(Anforderungen!$G:$G,$R246))</f>
        <v>Gehen wir recht in der Annahme, dass die Bereitstellungskosten auch sämtliche Aufwände für die Erstellung der Dokumentation und die Bereitstellung der Formvordrucke für den Netzbetreiber beinhalten?</v>
      </c>
      <c r="G246" s="45" t="str">
        <f aca="false">IF($R246="","",INDEX(Anforderungen!$I:$I,$R246))</f>
        <v>offen</v>
      </c>
      <c r="H246" s="45" t="str">
        <f aca="false">IF($R246="","",INDEX(Anforderungen!$J:$J,$R246))</f>
        <v>–</v>
      </c>
      <c r="I246" s="45" t="str">
        <f aca="false">IF($R246="","",INDEX(Anforderungen!$K:$K,$R246))</f>
        <v>trifft nicht zu</v>
      </c>
      <c r="J246" s="46" t="n">
        <f aca="false">IF($R246="","",INDEX(Anforderungen!$L:$L,$R246))</f>
        <v>0</v>
      </c>
      <c r="K246" s="45" t="str">
        <f aca="false">IF($R246="","",INDEX(Anforderungen!$M:$M,$R246))</f>
        <v>Automatisch ausgewertet: Außerhalb des betrachteten Leistungsumfangs (Schranken, Kennzeichenerfassung, dynamische Anzeige).</v>
      </c>
      <c r="R246" s="0" t="n">
        <f aca="false">IFERROR(MATCH(ROWS($A$14:$A246),$T$7:$T$2000,0)+6,"")</f>
        <v>239</v>
      </c>
      <c r="T246" s="0" t="n">
        <f aca="false">IF(Anforderungen!$B246="","",IF(AND(OR($B5="(alle)",Anforderungen!$K246=$B5),OR($E5="(alle)",Anforderungen!$C246=$E5),OR($H5="(alle)",Anforderungen!$E246=$H5),OR($B7="(alle)",ISNUMBER(SEARCH($B7,Anforderungen!$J246))),OR($E7="(alle)",ISNUMBER(SEARCH($E7,Anforderungen!$I246))),OR($H7="",ISNUMBER(SEARCH($H7,Anforderungen!$F246&amp;" "&amp;Anforderungen!$G246)))),COUNT($T$6:$T245)+1,""))</f>
        <v>240</v>
      </c>
    </row>
    <row r="247" customFormat="false" ht="30" hidden="false" customHeight="true" outlineLevel="0" collapsed="false">
      <c r="A247" s="45" t="str">
        <f aca="false">IF($R247="","",INDEX(Anforderungen!$B:$B,$R247))</f>
        <v>ANF-234</v>
      </c>
      <c r="B247" s="45" t="str">
        <f aca="false">IF($R247="","",INDEX(Anforderungen!$C:$C,$R247))</f>
        <v>Bieterfragenkatalog</v>
      </c>
      <c r="C247" s="45" t="str">
        <f aca="false">IF($R247="","",INDEX(Anforderungen!$D:$D,$R247))</f>
        <v>Nr. 182 / S. 16</v>
      </c>
      <c r="D247" s="45" t="str">
        <f aca="false">IF($R247="","",INDEX(Anforderungen!$E:$E,$R247))</f>
        <v>Technik Ladeinfrastruktur</v>
      </c>
      <c r="E247" s="45" t="str">
        <f aca="false">IF($R247="","",INDEX(Anforderungen!$F:$F,$R247))</f>
        <v>Bestätigt: die Ladeleistung soll nur einmal zur Verfügung gestellt werden.</v>
      </c>
      <c r="F247" s="45" t="str">
        <f aca="false">IF($R247="","",INDEX(Anforderungen!$G:$G,$R247))</f>
        <v>Gehen wir recht in der Annahme, dass in § 10 Abs. 1 die Möglichkeit der Anordnung von zwei Ladesteckern geregelt werden soll, also tatsächlich nicht zwei Ladepunkte (= 2x geforderte Ladeleistung) gemeint sind. Zusätzlich: Gehen wir recht in der Annahme, dass a) vor einer Anordnung die technische Machbarkeit in Abstimmung mit dem AN geprüft wird, b) die Mehrkosten für einen zusätzlich angeordneten Ladepunkt gesondert (nach § 35) vergütet werden, c) die Anordnung vor Beginn der Planungen gem. Rahmenterminplan erfolgt und d) sich durch den zusätzlichen Ladepunkt die Gesamtleistung am Standort nicht erhöht?</v>
      </c>
      <c r="G247" s="45" t="str">
        <f aca="false">IF($R247="","",INDEX(Anforderungen!$I:$I,$R247))</f>
        <v>Alpitronic</v>
      </c>
      <c r="H247" s="45" t="str">
        <f aca="false">IF($R247="","",INDEX(Anforderungen!$J:$J,$R247))</f>
        <v>Ladeeinrichtung</v>
      </c>
      <c r="I247" s="45" t="str">
        <f aca="false">IF($R247="","",INDEX(Anforderungen!$K:$K,$R247))</f>
        <v>trifft nicht zu</v>
      </c>
      <c r="J247" s="46" t="n">
        <f aca="false">IF($R247="","",INDEX(Anforderungen!$L:$L,$R247))</f>
        <v>0</v>
      </c>
      <c r="K247" s="45" t="str">
        <f aca="false">IF($R247="","",INDEX(Anforderungen!$M:$M,$R247))</f>
        <v>Automatisch ausgewertet: Außerhalb des betrachteten Leistungsumfangs (Schranken, Kennzeichenerfassung, dynamische Anzeige).</v>
      </c>
      <c r="R247" s="0" t="n">
        <f aca="false">IFERROR(MATCH(ROWS($A$14:$A247),$T$7:$T$2000,0)+6,"")</f>
        <v>240</v>
      </c>
      <c r="T247" s="0" t="n">
        <f aca="false">IF(Anforderungen!$B247="","",IF(AND(OR($B5="(alle)",Anforderungen!$K247=$B5),OR($E5="(alle)",Anforderungen!$C247=$E5),OR($H5="(alle)",Anforderungen!$E247=$H5),OR($B7="(alle)",ISNUMBER(SEARCH($B7,Anforderungen!$J247))),OR($E7="(alle)",ISNUMBER(SEARCH($E7,Anforderungen!$I247))),OR($H7="",ISNUMBER(SEARCH($H7,Anforderungen!$F247&amp;" "&amp;Anforderungen!$G247)))),COUNT($T$6:$T246)+1,""))</f>
        <v>241</v>
      </c>
    </row>
    <row r="248" customFormat="false" ht="30" hidden="false" customHeight="true" outlineLevel="0" collapsed="false">
      <c r="A248" s="45" t="str">
        <f aca="false">IF($R248="","",INDEX(Anforderungen!$B:$B,$R248))</f>
        <v>ANF-235</v>
      </c>
      <c r="B248" s="45" t="str">
        <f aca="false">IF($R248="","",INDEX(Anforderungen!$C:$C,$R248))</f>
        <v>Bieterfragenkatalog</v>
      </c>
      <c r="C248" s="45" t="str">
        <f aca="false">IF($R248="","",INDEX(Anforderungen!$D:$D,$R248))</f>
        <v>Nr. 183 / S. 17</v>
      </c>
      <c r="D248" s="45" t="str">
        <f aca="false">IF($R248="","",INDEX(Anforderungen!$E:$E,$R248))</f>
        <v>Bau &amp; Dokumentation</v>
      </c>
      <c r="E248" s="45" t="str">
        <f aca="false">IF($R248="","",INDEX(Anforderungen!$F:$F,$R248))</f>
        <v>Klarstellung: Die Frage ist für den AG nicht vollständig klar. Folgendes können wir mitteilen: Soweit dem Standard entsprechende Ladeeinrichtungen nicht verfügbar sind, ist dies in den Planungen zu berücksichtigen.</v>
      </c>
      <c r="F248" s="45" t="str">
        <f aca="false">IF($R248="","",INDEX(Anforderungen!$G:$G,$R248))</f>
        <v>Gehen wir recht in der Annahme, dass der AN zum Zeitpunkt des im Rahmenterminplanes avisierten Start der Planungen, die Ladeeinrichtungen, die den im Vertrag geforderten Standards nicht genügen, a) bei der Planung und Errichtung vorerst ausschließt, b) der AN, ab Verfügbarkeit der Hardware, die den geforderten Standards entsprechen, die Mehrkosten für die erneute Planung und Errichtung vom AG zusätzlich erstattet bekommt. Gehen wir ebenfalls recht in der Annahme, dass der AN das Errichtungsentgelt gem. der vertraglich vereinbarten Höhe bereits für die Ladeinfrastruktur abrechnen kann, für die die Betriebsfreigabe erfolgt ist und eine Betriebsfreigabe aus den geschilderten Gründen und dem geschilderten Fall nicht verweigert werden kann? Gehen wir zudem recht in der Annahme, dass mit der technischen Inbetriebnahme gemäß § 13 7. auch eine Betriebsfreigabe erfolgt?</v>
      </c>
      <c r="G248" s="45" t="str">
        <f aca="false">IF($R248="","",INDEX(Anforderungen!$I:$I,$R248))</f>
        <v>Alpitronic</v>
      </c>
      <c r="H248" s="45" t="str">
        <f aca="false">IF($R248="","",INDEX(Anforderungen!$J:$J,$R248))</f>
        <v>Ladeeinrichtung</v>
      </c>
      <c r="I248" s="45" t="str">
        <f aca="false">IF($R248="","",INDEX(Anforderungen!$K:$K,$R248))</f>
        <v>trifft nicht zu</v>
      </c>
      <c r="J248" s="46" t="n">
        <f aca="false">IF($R248="","",INDEX(Anforderungen!$L:$L,$R248))</f>
        <v>0</v>
      </c>
      <c r="K248" s="45" t="str">
        <f aca="false">IF($R248="","",INDEX(Anforderungen!$M:$M,$R248))</f>
        <v>Automatisch ausgewertet: Außerhalb des betrachteten Leistungsumfangs (Schranken, Kennzeichenerfassung, dynamische Anzeige).</v>
      </c>
      <c r="R248" s="0" t="n">
        <f aca="false">IFERROR(MATCH(ROWS($A$14:$A248),$T$7:$T$2000,0)+6,"")</f>
        <v>241</v>
      </c>
      <c r="T248" s="0" t="n">
        <f aca="false">IF(Anforderungen!$B248="","",IF(AND(OR($B5="(alle)",Anforderungen!$K248=$B5),OR($E5="(alle)",Anforderungen!$C248=$E5),OR($H5="(alle)",Anforderungen!$E248=$H5),OR($B7="(alle)",ISNUMBER(SEARCH($B7,Anforderungen!$J248))),OR($E7="(alle)",ISNUMBER(SEARCH($E7,Anforderungen!$I248))),OR($H7="",ISNUMBER(SEARCH($H7,Anforderungen!$F248&amp;" "&amp;Anforderungen!$G248)))),COUNT($T$6:$T247)+1,""))</f>
        <v>242</v>
      </c>
    </row>
    <row r="249" customFormat="false" ht="30" hidden="false" customHeight="true" outlineLevel="0" collapsed="false">
      <c r="A249" s="45" t="str">
        <f aca="false">IF($R249="","",INDEX(Anforderungen!$B:$B,$R249))</f>
        <v>ANF-236</v>
      </c>
      <c r="B249" s="45" t="str">
        <f aca="false">IF($R249="","",INDEX(Anforderungen!$C:$C,$R249))</f>
        <v>Bieterfragenkatalog</v>
      </c>
      <c r="C249" s="45" t="str">
        <f aca="false">IF($R249="","",INDEX(Anforderungen!$D:$D,$R249))</f>
        <v>Nr. 184 / S. 17</v>
      </c>
      <c r="D249" s="45" t="str">
        <f aca="false">IF($R249="","",INDEX(Anforderungen!$E:$E,$R249))</f>
        <v>Reservierung</v>
      </c>
      <c r="E249" s="45" t="str">
        <f aca="false">IF($R249="","",INDEX(Anforderungen!$F:$F,$R249))</f>
        <v>Klarstellung: Die Annahme, dass in den genannten Fällen die Betriebsfreigabe erfolgen kann, kann nicht pauschal bestätigt werden.</v>
      </c>
      <c r="F249" s="45" t="str">
        <f aca="false">IF($R249="","",INDEX(Anforderungen!$G:$G,$R249))</f>
        <v>Wir bitten um Klarstellung, bei Vorlage welcher Voraussetzungen davon ausgegangen werden kann, dass die technische Betriebsbereitschaft vorliegt. Gehen wir recht in der Annahme, dass der Betriebsfreigabe nicht entgegensteht, wenn z.B. das Trailerladen, die Reservierungsfunktion oder ähnliche Funktionen noch nicht gewährleistet werden können? Dürfen wir davon ausgehen, dass im Falle einer Betriebsfreigabe eine Auszahlung des Errichtungsentgeltes nach Maßgabe von § 39 für die fertiggestellten Gewerke bereits vollständig erfolgt?</v>
      </c>
      <c r="G249" s="45" t="str">
        <f aca="false">IF($R249="","",INDEX(Anforderungen!$I:$I,$R249))</f>
        <v>eRound</v>
      </c>
      <c r="H249" s="45" t="str">
        <f aca="false">IF($R249="","",INDEX(Anforderungen!$J:$J,$R249))</f>
        <v>OCPI Buchungskalender</v>
      </c>
      <c r="I249" s="45" t="str">
        <f aca="false">IF($R249="","",INDEX(Anforderungen!$K:$K,$R249))</f>
        <v>trifft nicht zu</v>
      </c>
      <c r="J249" s="46" t="n">
        <f aca="false">IF($R249="","",INDEX(Anforderungen!$L:$L,$R249))</f>
        <v>0</v>
      </c>
      <c r="K249" s="45" t="str">
        <f aca="false">IF($R249="","",INDEX(Anforderungen!$M:$M,$R249))</f>
        <v>Automatisch ausgewertet: Außerhalb des betrachteten Leistungsumfangs (Schranken, Kennzeichenerfassung, dynamische Anzeige).</v>
      </c>
      <c r="R249" s="0" t="n">
        <f aca="false">IFERROR(MATCH(ROWS($A$14:$A249),$T$7:$T$2000,0)+6,"")</f>
        <v>242</v>
      </c>
      <c r="T249" s="0" t="n">
        <f aca="false">IF(Anforderungen!$B249="","",IF(AND(OR($B5="(alle)",Anforderungen!$K249=$B5),OR($E5="(alle)",Anforderungen!$C249=$E5),OR($H5="(alle)",Anforderungen!$E249=$H5),OR($B7="(alle)",ISNUMBER(SEARCH($B7,Anforderungen!$J249))),OR($E7="(alle)",ISNUMBER(SEARCH($E7,Anforderungen!$I249))),OR($H7="",ISNUMBER(SEARCH($H7,Anforderungen!$F249&amp;" "&amp;Anforderungen!$G249)))),COUNT($T$6:$T248)+1,""))</f>
        <v>243</v>
      </c>
    </row>
    <row r="250" customFormat="false" ht="30" hidden="false" customHeight="true" outlineLevel="0" collapsed="false">
      <c r="A250" s="45" t="str">
        <f aca="false">IF($R250="","",INDEX(Anforderungen!$B:$B,$R250))</f>
        <v>ANF-237</v>
      </c>
      <c r="B250" s="45" t="str">
        <f aca="false">IF($R250="","",INDEX(Anforderungen!$C:$C,$R250))</f>
        <v>Bieterfragenkatalog</v>
      </c>
      <c r="C250" s="45" t="str">
        <f aca="false">IF($R250="","",INDEX(Anforderungen!$D:$D,$R250))</f>
        <v>Nr. 185 / S. 17</v>
      </c>
      <c r="D250" s="45" t="str">
        <f aca="false">IF($R250="","",INDEX(Anforderungen!$E:$E,$R250))</f>
        <v>Netzanschluss &amp; Energie</v>
      </c>
      <c r="E250" s="45" t="str">
        <f aca="false">IF($R250="","",INDEX(Anforderungen!$F:$F,$R250))</f>
        <v>Klarstellung: Es wird auf die Kostenerstattungsregelung in §44 Abs. 2 des Vertrages verwiesen.</v>
      </c>
      <c r="F250" s="45" t="str">
        <f aca="false">IF($R250="","",INDEX(Anforderungen!$G:$G,$R250))</f>
        <v>Im Falle, dass der AN die Instandhaltung eines Speichers übernehmen soll, bitten wir um eine vertragliche Konkretisierung über den Umfang der Instandhaltungsverpflichtungen sowie die Verantwortung für Leistungsverluste.</v>
      </c>
      <c r="G250" s="45" t="str">
        <f aca="false">IF($R250="","",INDEX(Anforderungen!$I:$I,$R250))</f>
        <v>offen</v>
      </c>
      <c r="H250" s="45" t="str">
        <f aca="false">IF($R250="","",INDEX(Anforderungen!$J:$J,$R250))</f>
        <v>–</v>
      </c>
      <c r="I250" s="45" t="str">
        <f aca="false">IF($R250="","",INDEX(Anforderungen!$K:$K,$R250))</f>
        <v>trifft nicht zu</v>
      </c>
      <c r="J250" s="46" t="n">
        <f aca="false">IF($R250="","",INDEX(Anforderungen!$L:$L,$R250))</f>
        <v>0</v>
      </c>
      <c r="K250" s="45" t="str">
        <f aca="false">IF($R250="","",INDEX(Anforderungen!$M:$M,$R250))</f>
        <v>Automatisch ausgewertet: Außerhalb des betrachteten Leistungsumfangs (Schranken, Kennzeichenerfassung, dynamische Anzeige).</v>
      </c>
      <c r="R250" s="0" t="n">
        <f aca="false">IFERROR(MATCH(ROWS($A$14:$A250),$T$7:$T$2000,0)+6,"")</f>
        <v>243</v>
      </c>
      <c r="T250" s="0" t="n">
        <f aca="false">IF(Anforderungen!$B250="","",IF(AND(OR($B5="(alle)",Anforderungen!$K250=$B5),OR($E5="(alle)",Anforderungen!$C250=$E5),OR($H5="(alle)",Anforderungen!$E250=$H5),OR($B7="(alle)",ISNUMBER(SEARCH($B7,Anforderungen!$J250))),OR($E7="(alle)",ISNUMBER(SEARCH($E7,Anforderungen!$I250))),OR($H7="",ISNUMBER(SEARCH($H7,Anforderungen!$F250&amp;" "&amp;Anforderungen!$G250)))),COUNT($T$6:$T249)+1,""))</f>
        <v>244</v>
      </c>
    </row>
    <row r="251" customFormat="false" ht="30" hidden="false" customHeight="true" outlineLevel="0" collapsed="false">
      <c r="A251" s="45" t="str">
        <f aca="false">IF($R251="","",INDEX(Anforderungen!$B:$B,$R251))</f>
        <v>ANF-238</v>
      </c>
      <c r="B251" s="45" t="str">
        <f aca="false">IF($R251="","",INDEX(Anforderungen!$C:$C,$R251))</f>
        <v>Bieterfragenkatalog</v>
      </c>
      <c r="C251" s="45" t="str">
        <f aca="false">IF($R251="","",INDEX(Anforderungen!$D:$D,$R251))</f>
        <v>Nr. 186 / S. 17</v>
      </c>
      <c r="D251" s="45" t="str">
        <f aca="false">IF($R251="","",INDEX(Anforderungen!$E:$E,$R251))</f>
        <v>Reservierung</v>
      </c>
      <c r="E251" s="45" t="str">
        <f aca="false">IF($R251="","",INDEX(Anforderungen!$F:$F,$R251))</f>
        <v>Klarstellung: Die Umsetzung der OCPI-Schnittstelle muss spätestens erfolgt sein, wenn entsprechende Reservierungsdienstleistungen über Reservierungsplattformen bzw. von Roaminganbietern zentral ermöglicht und angeboten werden.</v>
      </c>
      <c r="F251" s="45" t="str">
        <f aca="false">IF($R251="","",INDEX(Anforderungen!$G:$G,$R251))</f>
        <v>Bitte spezifizieren Sie die Frist zur Umsetzung der OCPI-Schnittstelle für die Reservierungsfunktion.</v>
      </c>
      <c r="G251" s="45" t="str">
        <f aca="false">IF($R251="","",INDEX(Anforderungen!$I:$I,$R251))</f>
        <v>eRound / Reservierungsplattform</v>
      </c>
      <c r="H251" s="45" t="str">
        <f aca="false">IF($R251="","",INDEX(Anforderungen!$J:$J,$R251))</f>
        <v>OCPI Buchungskalender / Reservierungsplattform</v>
      </c>
      <c r="I251" s="45" t="str">
        <f aca="false">IF($R251="","",INDEX(Anforderungen!$K:$K,$R251))</f>
        <v>trifft nicht zu</v>
      </c>
      <c r="J251" s="46" t="n">
        <f aca="false">IF($R251="","",INDEX(Anforderungen!$L:$L,$R251))</f>
        <v>0</v>
      </c>
      <c r="K251" s="45" t="str">
        <f aca="false">IF($R251="","",INDEX(Anforderungen!$M:$M,$R251))</f>
        <v>Automatisch ausgewertet: Außerhalb des betrachteten Leistungsumfangs (Schranken, Kennzeichenerfassung, dynamische Anzeige).</v>
      </c>
      <c r="R251" s="0" t="n">
        <f aca="false">IFERROR(MATCH(ROWS($A$14:$A251),$T$7:$T$2000,0)+6,"")</f>
        <v>244</v>
      </c>
      <c r="T251" s="0" t="n">
        <f aca="false">IF(Anforderungen!$B251="","",IF(AND(OR($B5="(alle)",Anforderungen!$K251=$B5),OR($E5="(alle)",Anforderungen!$C251=$E5),OR($H5="(alle)",Anforderungen!$E251=$H5),OR($B7="(alle)",ISNUMBER(SEARCH($B7,Anforderungen!$J251))),OR($E7="(alle)",ISNUMBER(SEARCH($E7,Anforderungen!$I251))),OR($H7="",ISNUMBER(SEARCH($H7,Anforderungen!$F251&amp;" "&amp;Anforderungen!$G251)))),COUNT($T$6:$T250)+1,""))</f>
        <v>245</v>
      </c>
    </row>
    <row r="252" customFormat="false" ht="30" hidden="false" customHeight="true" outlineLevel="0" collapsed="false">
      <c r="A252" s="45" t="str">
        <f aca="false">IF($R252="","",INDEX(Anforderungen!$B:$B,$R252))</f>
        <v>ANF-239</v>
      </c>
      <c r="B252" s="45" t="str">
        <f aca="false">IF($R252="","",INDEX(Anforderungen!$C:$C,$R252))</f>
        <v>Bieterfragenkatalog</v>
      </c>
      <c r="C252" s="45" t="str">
        <f aca="false">IF($R252="","",INDEX(Anforderungen!$D:$D,$R252))</f>
        <v>Nr. 187 / S. 17</v>
      </c>
      <c r="D252" s="45" t="str">
        <f aca="false">IF($R252="","",INDEX(Anforderungen!$E:$E,$R252))</f>
        <v>Netzanschluss &amp; Energie</v>
      </c>
      <c r="E252" s="45" t="str">
        <f aca="false">IF($R252="","",INDEX(Anforderungen!$F:$F,$R252))</f>
        <v>Bestätigt: die THG-Quoten generiert nach aktueller Rechtslage der Auftragnehmer als CPO.</v>
      </c>
      <c r="F252" s="45" t="str">
        <f aca="false">IF($R252="","",INDEX(Anforderungen!$G:$G,$R252))</f>
        <v>Gehen wir recht in der Annahme, dass die Treibhausgas-Minderungsquote im Sinne der Vorschriften des BImSchG ("THG-Quoten") ebenso für geladene Mengen im Rahmen des Durchleitungsmodells für den AN anrechenbar sind?</v>
      </c>
      <c r="G252" s="45" t="str">
        <f aca="false">IF($R252="","",INDEX(Anforderungen!$I:$I,$R252))</f>
        <v>offen</v>
      </c>
      <c r="H252" s="45" t="str">
        <f aca="false">IF($R252="","",INDEX(Anforderungen!$J:$J,$R252))</f>
        <v>–</v>
      </c>
      <c r="I252" s="45" t="str">
        <f aca="false">IF($R252="","",INDEX(Anforderungen!$K:$K,$R252))</f>
        <v>trifft nicht zu</v>
      </c>
      <c r="J252" s="46" t="n">
        <f aca="false">IF($R252="","",INDEX(Anforderungen!$L:$L,$R252))</f>
        <v>0</v>
      </c>
      <c r="K252" s="45" t="str">
        <f aca="false">IF($R252="","",INDEX(Anforderungen!$M:$M,$R252))</f>
        <v>Automatisch ausgewertet: Außerhalb des betrachteten Leistungsumfangs (Schranken, Kennzeichenerfassung, dynamische Anzeige).</v>
      </c>
      <c r="R252" s="0" t="n">
        <f aca="false">IFERROR(MATCH(ROWS($A$14:$A252),$T$7:$T$2000,0)+6,"")</f>
        <v>245</v>
      </c>
      <c r="T252" s="0" t="n">
        <f aca="false">IF(Anforderungen!$B252="","",IF(AND(OR($B5="(alle)",Anforderungen!$K252=$B5),OR($E5="(alle)",Anforderungen!$C252=$E5),OR($H5="(alle)",Anforderungen!$E252=$H5),OR($B7="(alle)",ISNUMBER(SEARCH($B7,Anforderungen!$J252))),OR($E7="(alle)",ISNUMBER(SEARCH($E7,Anforderungen!$I252))),OR($H7="",ISNUMBER(SEARCH($H7,Anforderungen!$F252&amp;" "&amp;Anforderungen!$G252)))),COUNT($T$6:$T251)+1,""))</f>
        <v>246</v>
      </c>
    </row>
    <row r="253" customFormat="false" ht="30" hidden="false" customHeight="true" outlineLevel="0" collapsed="false">
      <c r="A253" s="45" t="str">
        <f aca="false">IF($R253="","",INDEX(Anforderungen!$B:$B,$R253))</f>
        <v>ANF-240</v>
      </c>
      <c r="B253" s="45" t="str">
        <f aca="false">IF($R253="","",INDEX(Anforderungen!$C:$C,$R253))</f>
        <v>Bieterfragenkatalog</v>
      </c>
      <c r="C253" s="45" t="str">
        <f aca="false">IF($R253="","",INDEX(Anforderungen!$D:$D,$R253))</f>
        <v>Nr. 188 / S. 17</v>
      </c>
      <c r="D253" s="45" t="str">
        <f aca="false">IF($R253="","",INDEX(Anforderungen!$E:$E,$R253))</f>
        <v>Netzanschluss &amp; Energie</v>
      </c>
      <c r="E253" s="45" t="str">
        <f aca="false">IF($R253="","",INDEX(Anforderungen!$F:$F,$R253))</f>
        <v>Klarstellung: Der Vertragsschluss ist vom MSP diskriminierungsfrei anzubieten. Es steht den Parteien frei, Abweichungen zu vereinbaren, die der Auftragnehmer dritten MSP dann ebenfalls diskriminierungsfrei anbieten muss.</v>
      </c>
      <c r="F253" s="45" t="str">
        <f aca="false">IF($R253="","",INDEX(Anforderungen!$G:$G,$R253))</f>
        <v>Gehen wir recht in der Annahme, dass der Vertragsschluss zwischen dem MSP und dem AN vom Mobilitätsdienstleister vorangetrieben wird und inwiefern ist Anlage 14 unverhandelbar abzuschließen? Davon ausgehend, dass die rechnerische Verlustquote über die Mengen des Durchleitungsmodells beim Mobilitätsdienstleister abgerechnet werden dürfen, wäre zusätzlich eine Konkretisierung im Betreibervertrag bzw. in Anlage 14 hierzu zweckdienlich.</v>
      </c>
      <c r="G253" s="45" t="str">
        <f aca="false">IF($R253="","",INDEX(Anforderungen!$I:$I,$R253))</f>
        <v>offen</v>
      </c>
      <c r="H253" s="45" t="str">
        <f aca="false">IF($R253="","",INDEX(Anforderungen!$J:$J,$R253))</f>
        <v>–</v>
      </c>
      <c r="I253" s="45" t="str">
        <f aca="false">IF($R253="","",INDEX(Anforderungen!$K:$K,$R253))</f>
        <v>trifft nicht zu</v>
      </c>
      <c r="J253" s="46" t="n">
        <f aca="false">IF($R253="","",INDEX(Anforderungen!$L:$L,$R253))</f>
        <v>0</v>
      </c>
      <c r="K253" s="45" t="str">
        <f aca="false">IF($R253="","",INDEX(Anforderungen!$M:$M,$R253))</f>
        <v>Automatisch ausgewertet: Außerhalb des betrachteten Leistungsumfangs (Schranken, Kennzeichenerfassung, dynamische Anzeige).</v>
      </c>
      <c r="R253" s="0" t="n">
        <f aca="false">IFERROR(MATCH(ROWS($A$14:$A253),$T$7:$T$2000,0)+6,"")</f>
        <v>246</v>
      </c>
      <c r="T253" s="0" t="n">
        <f aca="false">IF(Anforderungen!$B253="","",IF(AND(OR($B5="(alle)",Anforderungen!$K253=$B5),OR($E5="(alle)",Anforderungen!$C253=$E5),OR($H5="(alle)",Anforderungen!$E253=$H5),OR($B7="(alle)",ISNUMBER(SEARCH($B7,Anforderungen!$J253))),OR($E7="(alle)",ISNUMBER(SEARCH($E7,Anforderungen!$I253))),OR($H7="",ISNUMBER(SEARCH($H7,Anforderungen!$F253&amp;" "&amp;Anforderungen!$G253)))),COUNT($T$6:$T252)+1,""))</f>
        <v>247</v>
      </c>
    </row>
    <row r="254" customFormat="false" ht="30" hidden="false" customHeight="true" outlineLevel="0" collapsed="false">
      <c r="A254" s="45" t="str">
        <f aca="false">IF($R254="","",INDEX(Anforderungen!$B:$B,$R254))</f>
        <v>ANF-241</v>
      </c>
      <c r="B254" s="45" t="str">
        <f aca="false">IF($R254="","",INDEX(Anforderungen!$C:$C,$R254))</f>
        <v>Bieterfragenkatalog</v>
      </c>
      <c r="C254" s="45" t="str">
        <f aca="false">IF($R254="","",INDEX(Anforderungen!$D:$D,$R254))</f>
        <v>Nr. 189 / S. 17</v>
      </c>
      <c r="D254" s="45" t="str">
        <f aca="false">IF($R254="","",INDEX(Anforderungen!$E:$E,$R254))</f>
        <v>Betrieb &amp; Auslastung</v>
      </c>
      <c r="E254" s="45" t="str">
        <f aca="false">IF($R254="","",INDEX(Anforderungen!$F:$F,$R254))</f>
        <v>Klarstellung: Der AG plant keine separate Schnittstelle, die die vom Endnutzer an den AG übermittelten Störungsmeldungen an den AN weitersendet.</v>
      </c>
      <c r="F254" s="45" t="str">
        <f aca="false">IF($R254="","",INDEX(Anforderungen!$G:$G,$R254))</f>
        <v>Gehen wir recht in der Annahme, dass nach Anbringung eines potentiellen weiteren QR-Codes der AG eine Schnittstelle zum AN herstellt, sodass die Störungsmeldung nicht ausschließlich beim AG angezeigt wird, sondern ebenso beim AN verzeichnet wird? Erklärung: Es ist nicht davon auszugehen, dass der Kunde über zwei Meldungswege die Störungen bekanntmachen wird.</v>
      </c>
      <c r="G254" s="45" t="str">
        <f aca="false">IF($R254="","",INDEX(Anforderungen!$I:$I,$R254))</f>
        <v>eRound</v>
      </c>
      <c r="H254" s="45" t="str">
        <f aca="false">IF($R254="","",INDEX(Anforderungen!$J:$J,$R254))</f>
        <v>Monitoring</v>
      </c>
      <c r="I254" s="45" t="str">
        <f aca="false">IF($R254="","",INDEX(Anforderungen!$K:$K,$R254))</f>
        <v>trifft nicht zu</v>
      </c>
      <c r="J254" s="46" t="n">
        <f aca="false">IF($R254="","",INDEX(Anforderungen!$L:$L,$R254))</f>
        <v>0</v>
      </c>
      <c r="K254" s="45" t="str">
        <f aca="false">IF($R254="","",INDEX(Anforderungen!$M:$M,$R254))</f>
        <v>Automatisch ausgewertet: Außerhalb des betrachteten Leistungsumfangs (Schranken, Kennzeichenerfassung, dynamische Anzeige).</v>
      </c>
      <c r="R254" s="0" t="n">
        <f aca="false">IFERROR(MATCH(ROWS($A$14:$A254),$T$7:$T$2000,0)+6,"")</f>
        <v>247</v>
      </c>
      <c r="T254" s="0" t="n">
        <f aca="false">IF(Anforderungen!$B254="","",IF(AND(OR($B5="(alle)",Anforderungen!$K254=$B5),OR($E5="(alle)",Anforderungen!$C254=$E5),OR($H5="(alle)",Anforderungen!$E254=$H5),OR($B7="(alle)",ISNUMBER(SEARCH($B7,Anforderungen!$J254))),OR($E7="(alle)",ISNUMBER(SEARCH($E7,Anforderungen!$I254))),OR($H7="",ISNUMBER(SEARCH($H7,Anforderungen!$F254&amp;" "&amp;Anforderungen!$G254)))),COUNT($T$6:$T253)+1,""))</f>
        <v>248</v>
      </c>
    </row>
    <row r="255" customFormat="false" ht="30" hidden="false" customHeight="true" outlineLevel="0" collapsed="false">
      <c r="A255" s="45" t="str">
        <f aca="false">IF($R255="","",INDEX(Anforderungen!$B:$B,$R255))</f>
        <v>ANF-242</v>
      </c>
      <c r="B255" s="45" t="str">
        <f aca="false">IF($R255="","",INDEX(Anforderungen!$C:$C,$R255))</f>
        <v>Bieterfragenkatalog</v>
      </c>
      <c r="C255" s="45" t="str">
        <f aca="false">IF($R255="","",INDEX(Anforderungen!$D:$D,$R255))</f>
        <v>Nr. 190 / S. 17</v>
      </c>
      <c r="D255" s="45" t="str">
        <f aca="false">IF($R255="","",INDEX(Anforderungen!$E:$E,$R255))</f>
        <v>Authentifizierung &amp; Zugang</v>
      </c>
      <c r="E255" s="45" t="str">
        <f aca="false">IF($R255="","",INDEX(Anforderungen!$F:$F,$R255))</f>
        <v>Klarstellung: Die genannte Frist beginnt mit Inkrafttreten des verbindlichen Standards.</v>
      </c>
      <c r="F255" s="45" t="str">
        <f aca="false">IF($R255="","",INDEX(Anforderungen!$G:$G,$R255))</f>
        <v>Gehen wir recht in der Annahme, dass die genannte Frist mit Verabschiedung eines Gesetzes bzw. einer Verordnung beginnt, welche die Verbindlichkeit des Standards zur Authentifizierung vorgibt?</v>
      </c>
      <c r="G255" s="45" t="str">
        <f aca="false">IF($R255="","",INDEX(Anforderungen!$I:$I,$R255))</f>
        <v>eRound</v>
      </c>
      <c r="H255" s="45" t="str">
        <f aca="false">IF($R255="","",INDEX(Anforderungen!$J:$J,$R255))</f>
        <v>Authentifizierungskomponente</v>
      </c>
      <c r="I255" s="45" t="str">
        <f aca="false">IF($R255="","",INDEX(Anforderungen!$K:$K,$R255))</f>
        <v>trifft nicht zu</v>
      </c>
      <c r="J255" s="46" t="n">
        <f aca="false">IF($R255="","",INDEX(Anforderungen!$L:$L,$R255))</f>
        <v>0</v>
      </c>
      <c r="K255" s="45" t="str">
        <f aca="false">IF($R255="","",INDEX(Anforderungen!$M:$M,$R255))</f>
        <v>Automatisch ausgewertet: Außerhalb des betrachteten Leistungsumfangs (Schranken, Kennzeichenerfassung, dynamische Anzeige).</v>
      </c>
      <c r="R255" s="0" t="n">
        <f aca="false">IFERROR(MATCH(ROWS($A$14:$A255),$T$7:$T$2000,0)+6,"")</f>
        <v>248</v>
      </c>
      <c r="T255" s="0" t="n">
        <f aca="false">IF(Anforderungen!$B255="","",IF(AND(OR($B5="(alle)",Anforderungen!$K255=$B5),OR($E5="(alle)",Anforderungen!$C255=$E5),OR($H5="(alle)",Anforderungen!$E255=$H5),OR($B7="(alle)",ISNUMBER(SEARCH($B7,Anforderungen!$J255))),OR($E7="(alle)",ISNUMBER(SEARCH($E7,Anforderungen!$I255))),OR($H7="",ISNUMBER(SEARCH($H7,Anforderungen!$F255&amp;" "&amp;Anforderungen!$G255)))),COUNT($T$6:$T254)+1,""))</f>
        <v>249</v>
      </c>
    </row>
    <row r="256" customFormat="false" ht="30" hidden="false" customHeight="true" outlineLevel="0" collapsed="false">
      <c r="A256" s="45" t="str">
        <f aca="false">IF($R256="","",INDEX(Anforderungen!$B:$B,$R256))</f>
        <v>ANF-243</v>
      </c>
      <c r="B256" s="45" t="str">
        <f aca="false">IF($R256="","",INDEX(Anforderungen!$C:$C,$R256))</f>
        <v>Bieterfragenkatalog</v>
      </c>
      <c r="C256" s="45" t="str">
        <f aca="false">IF($R256="","",INDEX(Anforderungen!$D:$D,$R256))</f>
        <v>Nr. 191 / S. 17</v>
      </c>
      <c r="D256" s="45" t="str">
        <f aca="false">IF($R256="","",INDEX(Anforderungen!$E:$E,$R256))</f>
        <v>Vergabeverfahren &amp; Angebot</v>
      </c>
      <c r="E256" s="45" t="str">
        <f aca="false">IF($R256="","",INDEX(Anforderungen!$F:$F,$R256))</f>
        <v>Klarstellung: Soweit ein Bieter Verhandlungsbedarfe hat, bitten wir darum, das Formblatt A6 zu verwenden und dieses mit dem Erstangebot einzureichen.</v>
      </c>
      <c r="F256" s="45" t="str">
        <f aca="false">IF($R256="","",INDEX(Anforderungen!$G:$G,$R256))</f>
        <v>Das Formblatt A6 - Verhandlungsbedarf ist nicht mehr Bestandteil der erforderlichen Unterlagen im Angebotsschreiben. Bitte teilen Sie uns mit, ob der AN das Formblatt A6 - Verhandlungsbedarf weiterhin mit Abgabe des Erstangebotes einreichen soll oder ob der Bedarf auf anderem Wege zu übermitteln ist?</v>
      </c>
      <c r="G256" s="45" t="str">
        <f aca="false">IF($R256="","",INDEX(Anforderungen!$I:$I,$R256))</f>
        <v>offen</v>
      </c>
      <c r="H256" s="45" t="str">
        <f aca="false">IF($R256="","",INDEX(Anforderungen!$J:$J,$R256))</f>
        <v>–</v>
      </c>
      <c r="I256" s="45" t="str">
        <f aca="false">IF($R256="","",INDEX(Anforderungen!$K:$K,$R256))</f>
        <v>trifft nicht zu</v>
      </c>
      <c r="J256" s="46" t="n">
        <f aca="false">IF($R256="","",INDEX(Anforderungen!$L:$L,$R256))</f>
        <v>0</v>
      </c>
      <c r="K256" s="45" t="str">
        <f aca="false">IF($R256="","",INDEX(Anforderungen!$M:$M,$R256))</f>
        <v>Automatisch ausgewertet: Betrifft das Vergabeverfahren (Angebot, Wertung, Unterlagen), nicht die zu erbringende Leistung. Keiner Komponente zugeordnet.</v>
      </c>
      <c r="R256" s="0" t="n">
        <f aca="false">IFERROR(MATCH(ROWS($A$14:$A256),$T$7:$T$2000,0)+6,"")</f>
        <v>249</v>
      </c>
      <c r="T256" s="0" t="n">
        <f aca="false">IF(Anforderungen!$B256="","",IF(AND(OR($B5="(alle)",Anforderungen!$K256=$B5),OR($E5="(alle)",Anforderungen!$C256=$E5),OR($H5="(alle)",Anforderungen!$E256=$H5),OR($B7="(alle)",ISNUMBER(SEARCH($B7,Anforderungen!$J256))),OR($E7="(alle)",ISNUMBER(SEARCH($E7,Anforderungen!$I256))),OR($H7="",ISNUMBER(SEARCH($H7,Anforderungen!$F256&amp;" "&amp;Anforderungen!$G256)))),COUNT($T$6:$T255)+1,""))</f>
        <v>250</v>
      </c>
    </row>
    <row r="257" customFormat="false" ht="30" hidden="false" customHeight="true" outlineLevel="0" collapsed="false">
      <c r="A257" s="45" t="str">
        <f aca="false">IF($R257="","",INDEX(Anforderungen!$B:$B,$R257))</f>
        <v>ANF-244</v>
      </c>
      <c r="B257" s="45" t="str">
        <f aca="false">IF($R257="","",INDEX(Anforderungen!$C:$C,$R257))</f>
        <v>Bieterfragenkatalog</v>
      </c>
      <c r="C257" s="45" t="str">
        <f aca="false">IF($R257="","",INDEX(Anforderungen!$D:$D,$R257))</f>
        <v>Nr. 192 / S. 17</v>
      </c>
      <c r="D257" s="45" t="str">
        <f aca="false">IF($R257="","",INDEX(Anforderungen!$E:$E,$R257))</f>
        <v>Technik Ladeinfrastruktur</v>
      </c>
      <c r="E257" s="45" t="str">
        <f aca="false">IF($R257="","",INDEX(Anforderungen!$F:$F,$R257))</f>
        <v>Klarstellung: Ihre Annahme ist zutreffend. Maßgeblich sind die Anforderungen an die Ladeeinrichtungen, wie sie sich aus Vertragsanlage 6 ergeben.</v>
      </c>
      <c r="F257" s="45" t="str">
        <f aca="false">IF($R257="","",INDEX(Anforderungen!$G:$G,$R257))</f>
        <v>Gehen wir recht in der Annahme, dass es seitens der AG keine Ausschlusskriterien zu Hardwareherstellern gibt, basierend auf dem Herstellerland, solange die Anforderungen zur Ladeeinrichtung gewährleistet sind?</v>
      </c>
      <c r="G257" s="45" t="str">
        <f aca="false">IF($R257="","",INDEX(Anforderungen!$I:$I,$R257))</f>
        <v>Alpitronic</v>
      </c>
      <c r="H257" s="45" t="str">
        <f aca="false">IF($R257="","",INDEX(Anforderungen!$J:$J,$R257))</f>
        <v>Ladeeinrichtung</v>
      </c>
      <c r="I257" s="45" t="str">
        <f aca="false">IF($R257="","",INDEX(Anforderungen!$K:$K,$R257))</f>
        <v>trifft nicht zu</v>
      </c>
      <c r="J257" s="46" t="n">
        <f aca="false">IF($R257="","",INDEX(Anforderungen!$L:$L,$R257))</f>
        <v>0</v>
      </c>
      <c r="K257" s="45" t="str">
        <f aca="false">IF($R257="","",INDEX(Anforderungen!$M:$M,$R257))</f>
        <v>Automatisch ausgewertet: Außerhalb des betrachteten Leistungsumfangs (Schranken, Kennzeichenerfassung, dynamische Anzeige).</v>
      </c>
      <c r="R257" s="0" t="n">
        <f aca="false">IFERROR(MATCH(ROWS($A$14:$A257),$T$7:$T$2000,0)+6,"")</f>
        <v>250</v>
      </c>
      <c r="T257" s="0" t="n">
        <f aca="false">IF(Anforderungen!$B257="","",IF(AND(OR($B5="(alle)",Anforderungen!$K257=$B5),OR($E5="(alle)",Anforderungen!$C257=$E5),OR($H5="(alle)",Anforderungen!$E257=$H5),OR($B7="(alle)",ISNUMBER(SEARCH($B7,Anforderungen!$J257))),OR($E7="(alle)",ISNUMBER(SEARCH($E7,Anforderungen!$I257))),OR($H7="",ISNUMBER(SEARCH($H7,Anforderungen!$F257&amp;" "&amp;Anforderungen!$G257)))),COUNT($T$6:$T256)+1,""))</f>
        <v>251</v>
      </c>
    </row>
    <row r="258" customFormat="false" ht="30" hidden="false" customHeight="true" outlineLevel="0" collapsed="false">
      <c r="A258" s="45" t="str">
        <f aca="false">IF($R258="","",INDEX(Anforderungen!$B:$B,$R258))</f>
        <v>ANF-245</v>
      </c>
      <c r="B258" s="45" t="str">
        <f aca="false">IF($R258="","",INDEX(Anforderungen!$C:$C,$R258))</f>
        <v>Bieterfragenkatalog</v>
      </c>
      <c r="C258" s="45" t="str">
        <f aca="false">IF($R258="","",INDEX(Anforderungen!$D:$D,$R258))</f>
        <v>Nr. 193 / S. 17</v>
      </c>
      <c r="D258" s="45" t="str">
        <f aca="false">IF($R258="","",INDEX(Anforderungen!$E:$E,$R258))</f>
        <v>Bau &amp; Dokumentation</v>
      </c>
      <c r="E258" s="45" t="str">
        <f aca="false">IF($R258="","",INDEX(Anforderungen!$F:$F,$R258))</f>
        <v>Klarstellung: Ihre Annahme ist nicht zutreffend. Grundsätzlich trägt der AN dafür Sorge, dass Baustrom- und Bauwasser vor Ort sichergestellt ist.</v>
      </c>
      <c r="F258" s="45" t="str">
        <f aca="false">IF($R258="","",INDEX(Anforderungen!$G:$G,$R258))</f>
        <v>Gehen wir recht in der Annahme, dass an jedem Standort Wasser- und Stromanschlüsse sichergestellt sind, auf die der AN im Rahmen der Baustelleneinrichtung zugreifen kann?</v>
      </c>
      <c r="G258" s="45" t="str">
        <f aca="false">IF($R258="","",INDEX(Anforderungen!$I:$I,$R258))</f>
        <v>offen</v>
      </c>
      <c r="H258" s="45" t="str">
        <f aca="false">IF($R258="","",INDEX(Anforderungen!$J:$J,$R258))</f>
        <v>–</v>
      </c>
      <c r="I258" s="45" t="str">
        <f aca="false">IF($R258="","",INDEX(Anforderungen!$K:$K,$R258))</f>
        <v>trifft nicht zu</v>
      </c>
      <c r="J258" s="46" t="n">
        <f aca="false">IF($R258="","",INDEX(Anforderungen!$L:$L,$R258))</f>
        <v>0</v>
      </c>
      <c r="K258" s="45" t="str">
        <f aca="false">IF($R258="","",INDEX(Anforderungen!$M:$M,$R258))</f>
        <v>Automatisch ausgewertet: Außerhalb des betrachteten Leistungsumfangs (Schranken, Kennzeichenerfassung, dynamische Anzeige).</v>
      </c>
      <c r="R258" s="0" t="n">
        <f aca="false">IFERROR(MATCH(ROWS($A$14:$A258),$T$7:$T$2000,0)+6,"")</f>
        <v>251</v>
      </c>
      <c r="T258" s="0" t="n">
        <f aca="false">IF(Anforderungen!$B258="","",IF(AND(OR($B5="(alle)",Anforderungen!$K258=$B5),OR($E5="(alle)",Anforderungen!$C258=$E5),OR($H5="(alle)",Anforderungen!$E258=$H5),OR($B7="(alle)",ISNUMBER(SEARCH($B7,Anforderungen!$J258))),OR($E7="(alle)",ISNUMBER(SEARCH($E7,Anforderungen!$I258))),OR($H7="",ISNUMBER(SEARCH($H7,Anforderungen!$F258&amp;" "&amp;Anforderungen!$G258)))),COUNT($T$6:$T257)+1,""))</f>
        <v>252</v>
      </c>
    </row>
    <row r="259" customFormat="false" ht="30" hidden="false" customHeight="true" outlineLevel="0" collapsed="false">
      <c r="A259" s="45" t="str">
        <f aca="false">IF($R259="","",INDEX(Anforderungen!$B:$B,$R259))</f>
        <v>ANF-246</v>
      </c>
      <c r="B259" s="45" t="str">
        <f aca="false">IF($R259="","",INDEX(Anforderungen!$C:$C,$R259))</f>
        <v>Bieterfragenkatalog</v>
      </c>
      <c r="C259" s="45" t="str">
        <f aca="false">IF($R259="","",INDEX(Anforderungen!$D:$D,$R259))</f>
        <v>Nr. 194 / S. 18</v>
      </c>
      <c r="D259" s="45" t="str">
        <f aca="false">IF($R259="","",INDEX(Anforderungen!$E:$E,$R259))</f>
        <v>Flächen &amp; Genehmigungen</v>
      </c>
      <c r="E259" s="45" t="str">
        <f aca="false">IF($R259="","",INDEX(Anforderungen!$F:$F,$R259))</f>
        <v>Klarstellung: Die Leistungseinheiten sind als Teil der Ladetechnik und Teil der Rastanlage zu verstehen.</v>
      </c>
      <c r="F259" s="45" t="str">
        <f aca="false">IF($R259="","",INDEX(Anforderungen!$G:$G,$R259))</f>
        <v>Sehen die AG vor, dass der AN eine externe Beleuchtung für die Leistungseinheiten je Standort installiert?</v>
      </c>
      <c r="G259" s="45" t="str">
        <f aca="false">IF($R259="","",INDEX(Anforderungen!$I:$I,$R259))</f>
        <v>Alpitronic</v>
      </c>
      <c r="H259" s="45" t="str">
        <f aca="false">IF($R259="","",INDEX(Anforderungen!$J:$J,$R259))</f>
        <v>Ladeeinrichtung</v>
      </c>
      <c r="I259" s="45" t="str">
        <f aca="false">IF($R259="","",INDEX(Anforderungen!$K:$K,$R259))</f>
        <v>trifft nicht zu</v>
      </c>
      <c r="J259" s="46" t="n">
        <f aca="false">IF($R259="","",INDEX(Anforderungen!$L:$L,$R259))</f>
        <v>0</v>
      </c>
      <c r="K259" s="45" t="str">
        <f aca="false">IF($R259="","",INDEX(Anforderungen!$M:$M,$R259))</f>
        <v>Automatisch ausgewertet: Außerhalb des betrachteten Leistungsumfangs (Schranken, Kennzeichenerfassung, dynamische Anzeige).</v>
      </c>
      <c r="R259" s="0" t="n">
        <f aca="false">IFERROR(MATCH(ROWS($A$14:$A259),$T$7:$T$2000,0)+6,"")</f>
        <v>252</v>
      </c>
      <c r="T259" s="0" t="n">
        <f aca="false">IF(Anforderungen!$B259="","",IF(AND(OR($B5="(alle)",Anforderungen!$K259=$B5),OR($E5="(alle)",Anforderungen!$C259=$E5),OR($H5="(alle)",Anforderungen!$E259=$H5),OR($B7="(alle)",ISNUMBER(SEARCH($B7,Anforderungen!$J259))),OR($E7="(alle)",ISNUMBER(SEARCH($E7,Anforderungen!$I259))),OR($H7="",ISNUMBER(SEARCH($H7,Anforderungen!$F259&amp;" "&amp;Anforderungen!$G259)))),COUNT($T$6:$T258)+1,""))</f>
        <v>253</v>
      </c>
    </row>
    <row r="260" customFormat="false" ht="30" hidden="false" customHeight="true" outlineLevel="0" collapsed="false">
      <c r="A260" s="45" t="str">
        <f aca="false">IF($R260="","",INDEX(Anforderungen!$B:$B,$R260))</f>
        <v>ANF-247</v>
      </c>
      <c r="B260" s="45" t="str">
        <f aca="false">IF($R260="","",INDEX(Anforderungen!$C:$C,$R260))</f>
        <v>Bieterfragenkatalog</v>
      </c>
      <c r="C260" s="45" t="str">
        <f aca="false">IF($R260="","",INDEX(Anforderungen!$D:$D,$R260))</f>
        <v>Nr. 195 / S. 18</v>
      </c>
      <c r="D260" s="45" t="str">
        <f aca="false">IF($R260="","",INDEX(Anforderungen!$E:$E,$R260))</f>
        <v>Flächen &amp; Genehmigungen</v>
      </c>
      <c r="E260" s="45" t="str">
        <f aca="false">IF($R260="","",INDEX(Anforderungen!$F:$F,$R260))</f>
        <v>Klarstellung: Ihre Annahme ist unzutreffend. Im Leistungsumfang ist die gesamte unterirdische Vermessung (einschl.</v>
      </c>
      <c r="F260" s="45" t="str">
        <f aca="false">IF($R260="","",INDEX(Anforderungen!$G:$G,$R260))</f>
        <v>Gehen wir recht in der Annahme, dass der AG je Standort eine Bestands- und Regenwasserberechnung zur Verfügung stellen wird? Sollten sich umfangreiche Anpassungsmaßnahmen aus der Berechnung der zusätzlich versiegelten Flächen ergeben, gehen wir recht in der Annahme, dass die Umsetzung der notwendigen Maßnahmen a) als zusätzliche Leistung gemäß der Regelung in § 35 gelten oder b) anderweitig angemessen vergütet werden.</v>
      </c>
      <c r="G260" s="45" t="str">
        <f aca="false">IF($R260="","",INDEX(Anforderungen!$I:$I,$R260))</f>
        <v>offen</v>
      </c>
      <c r="H260" s="45" t="str">
        <f aca="false">IF($R260="","",INDEX(Anforderungen!$J:$J,$R260))</f>
        <v>–</v>
      </c>
      <c r="I260" s="45" t="str">
        <f aca="false">IF($R260="","",INDEX(Anforderungen!$K:$K,$R260))</f>
        <v>trifft nicht zu</v>
      </c>
      <c r="J260" s="46" t="n">
        <f aca="false">IF($R260="","",INDEX(Anforderungen!$L:$L,$R260))</f>
        <v>0</v>
      </c>
      <c r="K260" s="45" t="str">
        <f aca="false">IF($R260="","",INDEX(Anforderungen!$M:$M,$R260))</f>
        <v>Automatisch ausgewertet: Außerhalb des betrachteten Leistungsumfangs (Schranken, Kennzeichenerfassung, dynamische Anzeige).</v>
      </c>
      <c r="R260" s="0" t="n">
        <f aca="false">IFERROR(MATCH(ROWS($A$14:$A260),$T$7:$T$2000,0)+6,"")</f>
        <v>253</v>
      </c>
      <c r="T260" s="0" t="n">
        <f aca="false">IF(Anforderungen!$B260="","",IF(AND(OR($B5="(alle)",Anforderungen!$K260=$B5),OR($E5="(alle)",Anforderungen!$C260=$E5),OR($H5="(alle)",Anforderungen!$E260=$H5),OR($B7="(alle)",ISNUMBER(SEARCH($B7,Anforderungen!$J260))),OR($E7="(alle)",ISNUMBER(SEARCH($E7,Anforderungen!$I260))),OR($H7="",ISNUMBER(SEARCH($H7,Anforderungen!$F260&amp;" "&amp;Anforderungen!$G260)))),COUNT($T$6:$T259)+1,""))</f>
        <v>254</v>
      </c>
    </row>
    <row r="261" customFormat="false" ht="30" hidden="false" customHeight="true" outlineLevel="0" collapsed="false">
      <c r="A261" s="45" t="str">
        <f aca="false">IF($R261="","",INDEX(Anforderungen!$B:$B,$R261))</f>
        <v>ANF-248</v>
      </c>
      <c r="B261" s="45" t="str">
        <f aca="false">IF($R261="","",INDEX(Anforderungen!$C:$C,$R261))</f>
        <v>Bieterfragenkatalog</v>
      </c>
      <c r="C261" s="45" t="str">
        <f aca="false">IF($R261="","",INDEX(Anforderungen!$D:$D,$R261))</f>
        <v>Nr. 196 / S. 18</v>
      </c>
      <c r="D261" s="45" t="str">
        <f aca="false">IF($R261="","",INDEX(Anforderungen!$E:$E,$R261))</f>
        <v>Netzanschluss &amp; Energie</v>
      </c>
      <c r="E261" s="45" t="str">
        <f aca="false">IF($R261="","",INDEX(Anforderungen!$F:$F,$R261))</f>
        <v>Klarstellung: Jede Rastanlage soll über einen eigenen Netzanschluss angeschlossen werden.</v>
      </c>
      <c r="F261" s="45" t="str">
        <f aca="false">IF($R261="","",INDEX(Anforderungen!$G:$G,$R261))</f>
        <v>Gehen wir recht in der Annahme, dass je Standort (auch bei gegenüberliegenden Rastanlagen) ein eigener Netzanschluss hergestellt wird?</v>
      </c>
      <c r="G261" s="45" t="str">
        <f aca="false">IF($R261="","",INDEX(Anforderungen!$I:$I,$R261))</f>
        <v>offen</v>
      </c>
      <c r="H261" s="45" t="str">
        <f aca="false">IF($R261="","",INDEX(Anforderungen!$J:$J,$R261))</f>
        <v>–</v>
      </c>
      <c r="I261" s="45" t="str">
        <f aca="false">IF($R261="","",INDEX(Anforderungen!$K:$K,$R261))</f>
        <v>trifft nicht zu</v>
      </c>
      <c r="J261" s="46" t="n">
        <f aca="false">IF($R261="","",INDEX(Anforderungen!$L:$L,$R261))</f>
        <v>0</v>
      </c>
      <c r="K261" s="45" t="str">
        <f aca="false">IF($R261="","",INDEX(Anforderungen!$M:$M,$R261))</f>
        <v>Automatisch ausgewertet: Außerhalb des betrachteten Leistungsumfangs (Schranken, Kennzeichenerfassung, dynamische Anzeige).</v>
      </c>
      <c r="R261" s="0" t="n">
        <f aca="false">IFERROR(MATCH(ROWS($A$14:$A261),$T$7:$T$2000,0)+6,"")</f>
        <v>254</v>
      </c>
      <c r="T261" s="0" t="n">
        <f aca="false">IF(Anforderungen!$B261="","",IF(AND(OR($B5="(alle)",Anforderungen!$K261=$B5),OR($E5="(alle)",Anforderungen!$C261=$E5),OR($H5="(alle)",Anforderungen!$E261=$H5),OR($B7="(alle)",ISNUMBER(SEARCH($B7,Anforderungen!$J261))),OR($E7="(alle)",ISNUMBER(SEARCH($E7,Anforderungen!$I261))),OR($H7="",ISNUMBER(SEARCH($H7,Anforderungen!$F261&amp;" "&amp;Anforderungen!$G261)))),COUNT($T$6:$T260)+1,""))</f>
        <v>255</v>
      </c>
    </row>
    <row r="262" customFormat="false" ht="30" hidden="false" customHeight="true" outlineLevel="0" collapsed="false">
      <c r="A262" s="45" t="str">
        <f aca="false">IF($R262="","",INDEX(Anforderungen!$B:$B,$R262))</f>
        <v>ANF-249</v>
      </c>
      <c r="B262" s="45" t="str">
        <f aca="false">IF($R262="","",INDEX(Anforderungen!$C:$C,$R262))</f>
        <v>Bieterfragenkatalog</v>
      </c>
      <c r="C262" s="45" t="str">
        <f aca="false">IF($R262="","",INDEX(Anforderungen!$D:$D,$R262))</f>
        <v>Hinweis des AG / S. 18</v>
      </c>
      <c r="D262" s="45" t="str">
        <f aca="false">IF($R262="","",INDEX(Anforderungen!$E:$E,$R262))</f>
        <v>Vergabeverfahren &amp; Angebot</v>
      </c>
      <c r="E262" s="45" t="str">
        <f aca="false">IF($R262="","",INDEX(Anforderungen!$F:$F,$R262))</f>
        <v>Klarstellung: Wir bitten alle beteiligten Bieter Ihre Fragen in diesem Verfahren ausschließlich über die Vergabeplattform einzureichen.</v>
      </c>
      <c r="F262" s="45" t="str">
        <f aca="false">IF($R262="","",INDEX(Anforderungen!$G:$G,$R262))</f>
        <v>Hinweis des AG</v>
      </c>
      <c r="G262" s="45" t="str">
        <f aca="false">IF($R262="","",INDEX(Anforderungen!$I:$I,$R262))</f>
        <v>offen</v>
      </c>
      <c r="H262" s="45" t="str">
        <f aca="false">IF($R262="","",INDEX(Anforderungen!$J:$J,$R262))</f>
        <v>–</v>
      </c>
      <c r="I262" s="45" t="str">
        <f aca="false">IF($R262="","",INDEX(Anforderungen!$K:$K,$R262))</f>
        <v>trifft nicht zu</v>
      </c>
      <c r="J262" s="46" t="n">
        <f aca="false">IF($R262="","",INDEX(Anforderungen!$L:$L,$R262))</f>
        <v>0</v>
      </c>
      <c r="K262" s="45" t="str">
        <f aca="false">IF($R262="","",INDEX(Anforderungen!$M:$M,$R262))</f>
        <v>Automatisch ausgewertet: Betrifft das Vergabeverfahren (Angebot, Wertung, Unterlagen), nicht die zu erbringende Leistung. Keiner Komponente zugeordnet.</v>
      </c>
      <c r="R262" s="0" t="n">
        <f aca="false">IFERROR(MATCH(ROWS($A$14:$A262),$T$7:$T$2000,0)+6,"")</f>
        <v>255</v>
      </c>
      <c r="T262" s="0" t="n">
        <f aca="false">IF(Anforderungen!$B262="","",IF(AND(OR($B5="(alle)",Anforderungen!$K262=$B5),OR($E5="(alle)",Anforderungen!$C262=$E5),OR($H5="(alle)",Anforderungen!$E262=$H5),OR($B7="(alle)",ISNUMBER(SEARCH($B7,Anforderungen!$J262))),OR($E7="(alle)",ISNUMBER(SEARCH($E7,Anforderungen!$I262))),OR($H7="",ISNUMBER(SEARCH($H7,Anforderungen!$F262&amp;" "&amp;Anforderungen!$G262)))),COUNT($T$6:$T261)+1,""))</f>
        <v>256</v>
      </c>
    </row>
    <row r="263" customFormat="false" ht="30" hidden="false" customHeight="true" outlineLevel="0" collapsed="false">
      <c r="A263" s="45" t="str">
        <f aca="false">IF($R263="","",INDEX(Anforderungen!$B:$B,$R263))</f>
        <v>ANF-250</v>
      </c>
      <c r="B263" s="45" t="str">
        <f aca="false">IF($R263="","",INDEX(Anforderungen!$C:$C,$R263))</f>
        <v>Bieterfragenkatalog</v>
      </c>
      <c r="C263" s="45" t="str">
        <f aca="false">IF($R263="","",INDEX(Anforderungen!$D:$D,$R263))</f>
        <v>Nr. 197 / S. 18</v>
      </c>
      <c r="D263" s="45" t="str">
        <f aca="false">IF($R263="","",INDEX(Anforderungen!$E:$E,$R263))</f>
        <v>Authentifizierung &amp; Zugang</v>
      </c>
      <c r="E263" s="45" t="str">
        <f aca="false">IF($R263="","",INDEX(Anforderungen!$F:$F,$R263))</f>
        <v>Klarstellung: Der AG macht keine Vorgaben zur Höhe der Ladepreise gegenüber Endkunden. Der AG legt insbesondere zwei Faktoren fest, die sich auf die Kalkulation der Endkundenladepreise auswirken können: die Höhe des Infrastrukturentgelts und …</v>
      </c>
      <c r="F263" s="45" t="str">
        <f aca="false">IF($R263="","",INDEX(Anforderungen!$G:$G,$R263))</f>
        <v>Gehen wir recht in der Annahme, dass der AN zwischen den verschiedenen Use Cases für das Ad-hoc Laden (Übernachtladen/CCS-Zwischenladen, MCS-Zwischenladen) unterschiedliche Ladepreise festlegen darf, oder muss es für die gewählte Ladeart (also EMP/Ad-hoc) einen fixen Preis geben, unabhängig vom gewählten Lade-Use-Case (also z.B. MCS oder CCS)?</v>
      </c>
      <c r="G263" s="45" t="str">
        <f aca="false">IF($R263="","",INDEX(Anforderungen!$I:$I,$R263))</f>
        <v>eRound</v>
      </c>
      <c r="H263" s="45" t="str">
        <f aca="false">IF($R263="","",INDEX(Anforderungen!$J:$J,$R263))</f>
        <v>Authentifizierungskomponente</v>
      </c>
      <c r="I263" s="45" t="str">
        <f aca="false">IF($R263="","",INDEX(Anforderungen!$K:$K,$R263))</f>
        <v>trifft nicht zu</v>
      </c>
      <c r="J263" s="46" t="n">
        <f aca="false">IF($R263="","",INDEX(Anforderungen!$L:$L,$R263))</f>
        <v>0</v>
      </c>
      <c r="K263" s="45" t="str">
        <f aca="false">IF($R263="","",INDEX(Anforderungen!$M:$M,$R263))</f>
        <v>Automatisch ausgewertet: Außerhalb des betrachteten Leistungsumfangs (Schranken, Kennzeichenerfassung, dynamische Anzeige).</v>
      </c>
      <c r="R263" s="0" t="n">
        <f aca="false">IFERROR(MATCH(ROWS($A$14:$A263),$T$7:$T$2000,0)+6,"")</f>
        <v>256</v>
      </c>
      <c r="T263" s="0" t="n">
        <f aca="false">IF(Anforderungen!$B263="","",IF(AND(OR($B5="(alle)",Anforderungen!$K263=$B5),OR($E5="(alle)",Anforderungen!$C263=$E5),OR($H5="(alle)",Anforderungen!$E263=$H5),OR($B7="(alle)",ISNUMBER(SEARCH($B7,Anforderungen!$J263))),OR($E7="(alle)",ISNUMBER(SEARCH($E7,Anforderungen!$I263))),OR($H7="",ISNUMBER(SEARCH($H7,Anforderungen!$F263&amp;" "&amp;Anforderungen!$G263)))),COUNT($T$6:$T262)+1,""))</f>
        <v>257</v>
      </c>
    </row>
    <row r="264" customFormat="false" ht="30" hidden="false" customHeight="true" outlineLevel="0" collapsed="false">
      <c r="A264" s="45" t="str">
        <f aca="false">IF($R264="","",INDEX(Anforderungen!$B:$B,$R264))</f>
        <v>ANF-251</v>
      </c>
      <c r="B264" s="45" t="str">
        <f aca="false">IF($R264="","",INDEX(Anforderungen!$C:$C,$R264))</f>
        <v>Bieterfragenkatalog</v>
      </c>
      <c r="C264" s="45" t="str">
        <f aca="false">IF($R264="","",INDEX(Anforderungen!$D:$D,$R264))</f>
        <v>Nr. 198 / S. 18</v>
      </c>
      <c r="D264" s="45" t="str">
        <f aca="false">IF($R264="","",INDEX(Anforderungen!$E:$E,$R264))</f>
        <v>Reservierung</v>
      </c>
      <c r="E264" s="45" t="str">
        <f aca="false">IF($R264="","",INDEX(Anforderungen!$F:$F,$R264))</f>
        <v>Klarstellung: Siehe Antworten auf die Bieterfragen 25, 33, 83 und 102. Etwaiger darüber hinaus gehender Verhandlungsbedarf kann angemeldet werden.</v>
      </c>
      <c r="F264" s="45" t="str">
        <f aca="false">IF($R264="","",INDEX(Anforderungen!$G:$G,$R264))</f>
        <v>Wenn durch ein Schrankensystem das Falschparken von Diesel LKWs verhindert werden kann und eine Reservierung ermöglicht wird, dann kann ein spontaner Ladevorgang nur durch eine spontane Reservierung des Ladeplatzes ermöglicht werden. Folglich fallen auch bei spontanen Ladevorgängen Reservierungsentgelte an. Ist dies von Seiten des AG gebilligt?</v>
      </c>
      <c r="G264" s="45" t="str">
        <f aca="false">IF($R264="","",INDEX(Anforderungen!$I:$I,$R264))</f>
        <v>eRound / SCS</v>
      </c>
      <c r="H264" s="45" t="str">
        <f aca="false">IF($R264="","",INDEX(Anforderungen!$J:$J,$R264))</f>
        <v>OCPI Buchungskalender / Pönalisierungssystem</v>
      </c>
      <c r="I264" s="45" t="str">
        <f aca="false">IF($R264="","",INDEX(Anforderungen!$K:$K,$R264))</f>
        <v>erfasst</v>
      </c>
      <c r="J264" s="46" t="n">
        <f aca="false">IF($R264="","",INDEX(Anforderungen!$L:$L,$R264))</f>
        <v>0</v>
      </c>
      <c r="K264" s="45" t="n">
        <f aca="false">IF($R264="","",INDEX(Anforderungen!$M:$M,$R264))</f>
        <v>0</v>
      </c>
      <c r="R264" s="0" t="n">
        <f aca="false">IFERROR(MATCH(ROWS($A$14:$A264),$T$7:$T$2000,0)+6,"")</f>
        <v>257</v>
      </c>
      <c r="T264" s="0" t="n">
        <f aca="false">IF(Anforderungen!$B264="","",IF(AND(OR($B5="(alle)",Anforderungen!$K264=$B5),OR($E5="(alle)",Anforderungen!$C264=$E5),OR($H5="(alle)",Anforderungen!$E264=$H5),OR($B7="(alle)",ISNUMBER(SEARCH($B7,Anforderungen!$J264))),OR($E7="(alle)",ISNUMBER(SEARCH($E7,Anforderungen!$I264))),OR($H7="",ISNUMBER(SEARCH($H7,Anforderungen!$F264&amp;" "&amp;Anforderungen!$G264)))),COUNT($T$6:$T263)+1,""))</f>
        <v>258</v>
      </c>
    </row>
    <row r="265" customFormat="false" ht="30" hidden="false" customHeight="true" outlineLevel="0" collapsed="false">
      <c r="A265" s="45" t="str">
        <f aca="false">IF($R265="","",INDEX(Anforderungen!$B:$B,$R265))</f>
        <v>ANF-252</v>
      </c>
      <c r="B265" s="45" t="str">
        <f aca="false">IF($R265="","",INDEX(Anforderungen!$C:$C,$R265))</f>
        <v>Bieterfragenkatalog</v>
      </c>
      <c r="C265" s="45" t="str">
        <f aca="false">IF($R265="","",INDEX(Anforderungen!$D:$D,$R265))</f>
        <v>Nr. 199 / S. 18</v>
      </c>
      <c r="D265" s="45" t="str">
        <f aca="false">IF($R265="","",INDEX(Anforderungen!$E:$E,$R265))</f>
        <v>Vergabeverfahren &amp; Angebot</v>
      </c>
      <c r="E265" s="45" t="str">
        <f aca="false">IF($R265="","",INDEX(Anforderungen!$F:$F,$R265))</f>
        <v>Klarstellung: Der AG wird mit der Einladung zu den Bieterverhandlungen eine Agenda für das Gespräch übersenden, um die Bieter über den Ablauf der Verhandlungen im Einzelnen zu informieren.</v>
      </c>
      <c r="F265" s="45" t="str">
        <f aca="false">IF($R265="","",INDEX(Anforderungen!$G:$G,$R265))</f>
        <v>Wie läuft die Verhandlungsphase ab? Wer ist von Seiten der Auftraggeber anwesend? Was wird von den Bietern erwartet? Dürfen Berater oder Unterauftragnehmer Teil des Verhandlungsteams sein? Wird ein Übersetzer für nicht-deutschsprachige Kollegen vor Ort sein dürfen?</v>
      </c>
      <c r="G265" s="45" t="str">
        <f aca="false">IF($R265="","",INDEX(Anforderungen!$I:$I,$R265))</f>
        <v>offen</v>
      </c>
      <c r="H265" s="45" t="str">
        <f aca="false">IF($R265="","",INDEX(Anforderungen!$J:$J,$R265))</f>
        <v>–</v>
      </c>
      <c r="I265" s="45" t="str">
        <f aca="false">IF($R265="","",INDEX(Anforderungen!$K:$K,$R265))</f>
        <v>trifft nicht zu</v>
      </c>
      <c r="J265" s="46" t="n">
        <f aca="false">IF($R265="","",INDEX(Anforderungen!$L:$L,$R265))</f>
        <v>0</v>
      </c>
      <c r="K265" s="45" t="str">
        <f aca="false">IF($R265="","",INDEX(Anforderungen!$M:$M,$R265))</f>
        <v>Automatisch ausgewertet: Betrifft das Vergabeverfahren (Angebot, Wertung, Unterlagen), nicht die zu erbringende Leistung. Keiner Komponente zugeordnet.</v>
      </c>
      <c r="R265" s="0" t="n">
        <f aca="false">IFERROR(MATCH(ROWS($A$14:$A265),$T$7:$T$2000,0)+6,"")</f>
        <v>258</v>
      </c>
      <c r="T265" s="0" t="n">
        <f aca="false">IF(Anforderungen!$B265="","",IF(AND(OR($B5="(alle)",Anforderungen!$K265=$B5),OR($E5="(alle)",Anforderungen!$C265=$E5),OR($H5="(alle)",Anforderungen!$E265=$H5),OR($B7="(alle)",ISNUMBER(SEARCH($B7,Anforderungen!$J265))),OR($E7="(alle)",ISNUMBER(SEARCH($E7,Anforderungen!$I265))),OR($H7="",ISNUMBER(SEARCH($H7,Anforderungen!$F265&amp;" "&amp;Anforderungen!$G265)))),COUNT($T$6:$T264)+1,""))</f>
        <v>259</v>
      </c>
    </row>
    <row r="266" customFormat="false" ht="30" hidden="false" customHeight="true" outlineLevel="0" collapsed="false">
      <c r="A266" s="45" t="str">
        <f aca="false">IF($R266="","",INDEX(Anforderungen!$B:$B,$R266))</f>
        <v>ANF-253</v>
      </c>
      <c r="B266" s="45" t="str">
        <f aca="false">IF($R266="","",INDEX(Anforderungen!$C:$C,$R266))</f>
        <v>Bieterfragenkatalog</v>
      </c>
      <c r="C266" s="45" t="str">
        <f aca="false">IF($R266="","",INDEX(Anforderungen!$D:$D,$R266))</f>
        <v>Nr. 200 / S. 18</v>
      </c>
      <c r="D266" s="45" t="str">
        <f aca="false">IF($R266="","",INDEX(Anforderungen!$E:$E,$R266))</f>
        <v>Vertrag &amp; Recht</v>
      </c>
      <c r="E266" s="45" t="str">
        <f aca="false">IF($R266="","",INDEX(Anforderungen!$F:$F,$R266))</f>
        <v>Klarstellung: Der relevante Index ist im Vertrag definiert. Wir bitten darum, diesen zu verwenden.</v>
      </c>
      <c r="F266" s="45" t="str">
        <f aca="false">IF($R266="","",INDEX(Anforderungen!$G:$G,$R266))</f>
        <v>Könnten wir bitte die Werte der Inflationsindizes erhalten, die zur Berechnung der Werte von L0 und M0 in der Formel für das Betreiberentgelt verwendet werden? Bitte bestätigen Sie die aktuellen (bzw. neuesten) Werte.</v>
      </c>
      <c r="G266" s="45" t="str">
        <f aca="false">IF($R266="","",INDEX(Anforderungen!$I:$I,$R266))</f>
        <v>offen</v>
      </c>
      <c r="H266" s="45" t="str">
        <f aca="false">IF($R266="","",INDEX(Anforderungen!$J:$J,$R266))</f>
        <v>–</v>
      </c>
      <c r="I266" s="45" t="str">
        <f aca="false">IF($R266="","",INDEX(Anforderungen!$K:$K,$R266))</f>
        <v>trifft nicht zu</v>
      </c>
      <c r="J266" s="46" t="n">
        <f aca="false">IF($R266="","",INDEX(Anforderungen!$L:$L,$R266))</f>
        <v>0</v>
      </c>
      <c r="K266" s="45" t="str">
        <f aca="false">IF($R266="","",INDEX(Anforderungen!$M:$M,$R266))</f>
        <v>Automatisch ausgewertet: Außerhalb des betrachteten Leistungsumfangs (Schranken, Kennzeichenerfassung, dynamische Anzeige).</v>
      </c>
      <c r="R266" s="0" t="n">
        <f aca="false">IFERROR(MATCH(ROWS($A$14:$A266),$T$7:$T$2000,0)+6,"")</f>
        <v>259</v>
      </c>
      <c r="T266" s="0" t="n">
        <f aca="false">IF(Anforderungen!$B266="","",IF(AND(OR($B5="(alle)",Anforderungen!$K266=$B5),OR($E5="(alle)",Anforderungen!$C266=$E5),OR($H5="(alle)",Anforderungen!$E266=$H5),OR($B7="(alle)",ISNUMBER(SEARCH($B7,Anforderungen!$J266))),OR($E7="(alle)",ISNUMBER(SEARCH($E7,Anforderungen!$I266))),OR($H7="",ISNUMBER(SEARCH($H7,Anforderungen!$F266&amp;" "&amp;Anforderungen!$G266)))),COUNT($T$6:$T265)+1,""))</f>
        <v>260</v>
      </c>
    </row>
    <row r="267" customFormat="false" ht="30" hidden="false" customHeight="true" outlineLevel="0" collapsed="false">
      <c r="A267" s="45" t="str">
        <f aca="false">IF($R267="","",INDEX(Anforderungen!$B:$B,$R267))</f>
        <v>ANF-254</v>
      </c>
      <c r="B267" s="45" t="str">
        <f aca="false">IF($R267="","",INDEX(Anforderungen!$C:$C,$R267))</f>
        <v>Bieterfragenkatalog</v>
      </c>
      <c r="C267" s="45" t="str">
        <f aca="false">IF($R267="","",INDEX(Anforderungen!$D:$D,$R267))</f>
        <v>Nr. 201 / S. 18</v>
      </c>
      <c r="D267" s="45" t="str">
        <f aca="false">IF($R267="","",INDEX(Anforderungen!$E:$E,$R267))</f>
        <v>Technik Ladeinfrastruktur</v>
      </c>
      <c r="E267" s="45" t="str">
        <f aca="false">IF($R267="","",INDEX(Anforderungen!$F:$F,$R267))</f>
        <v>Klarstellung: Es ist aktuell nicht vorgesehen eine wie von Ihnen angefragte Toleranz einzuräumen. Wir verweisen auf die Vertragsanlage 6 „Anforderungen an die Ladeeinrichtungen", Abs.</v>
      </c>
      <c r="F267" s="45" t="str">
        <f aca="false">IF($R267="","",INDEX(Anforderungen!$G:$G,$R267))</f>
        <v>Gemäß Abschnitt 2, Vertragsanlage 6 "Anforderungen an die Ladeeinrichtung" ist eine dauerhafte Ladeleistung von 800 kW für MCS und 400 kW für CCS-Zwischenladen vorzuhalten. Der marktführende Hersteller Alpitronic bietet eine Leistungseinheit mit einer Gesamtleistung von 2 MW an, die in Schaltstufen von 62,5 kW granular steuerbar ist. Unter diesen technischen Rahmenbedingungen stünden neben zwei MCS-Ladepunkten noch 375 kW für einen CCS-Zwischenladepunkt zur Verfügung. Vor diesem Hintergrund wird um Klarstellung gebeten, ob im Rahmen der Leistungsanforderungen eine Toleranz von 10 % auf die garantierte Ladeleistung für CCS-Zwischenladepunkte eingeräumt werden kann, um eine optimierte Systemauslastung zu ermöglichen.</v>
      </c>
      <c r="G267" s="45" t="str">
        <f aca="false">IF($R267="","",INDEX(Anforderungen!$I:$I,$R267))</f>
        <v>Alpitronic</v>
      </c>
      <c r="H267" s="45" t="str">
        <f aca="false">IF($R267="","",INDEX(Anforderungen!$J:$J,$R267))</f>
        <v>Ladeeinrichtung</v>
      </c>
      <c r="I267" s="45" t="str">
        <f aca="false">IF($R267="","",INDEX(Anforderungen!$K:$K,$R267))</f>
        <v>trifft nicht zu</v>
      </c>
      <c r="J267" s="46" t="n">
        <f aca="false">IF($R267="","",INDEX(Anforderungen!$L:$L,$R267))</f>
        <v>0</v>
      </c>
      <c r="K267" s="45" t="str">
        <f aca="false">IF($R267="","",INDEX(Anforderungen!$M:$M,$R267))</f>
        <v>Automatisch ausgewertet: Außerhalb des betrachteten Leistungsumfangs (Schranken, Kennzeichenerfassung, dynamische Anzeige).</v>
      </c>
      <c r="R267" s="0" t="n">
        <f aca="false">IFERROR(MATCH(ROWS($A$14:$A267),$T$7:$T$2000,0)+6,"")</f>
        <v>260</v>
      </c>
      <c r="T267" s="0" t="n">
        <f aca="false">IF(Anforderungen!$B267="","",IF(AND(OR($B5="(alle)",Anforderungen!$K267=$B5),OR($E5="(alle)",Anforderungen!$C267=$E5),OR($H5="(alle)",Anforderungen!$E267=$H5),OR($B7="(alle)",ISNUMBER(SEARCH($B7,Anforderungen!$J267))),OR($E7="(alle)",ISNUMBER(SEARCH($E7,Anforderungen!$I267))),OR($H7="",ISNUMBER(SEARCH($H7,Anforderungen!$F267&amp;" "&amp;Anforderungen!$G267)))),COUNT($T$6:$T266)+1,""))</f>
        <v>261</v>
      </c>
    </row>
    <row r="268" customFormat="false" ht="30" hidden="false" customHeight="true" outlineLevel="0" collapsed="false">
      <c r="A268" s="45" t="str">
        <f aca="false">IF($R268="","",INDEX(Anforderungen!$B:$B,$R268))</f>
        <v>ANF-255</v>
      </c>
      <c r="B268" s="45" t="str">
        <f aca="false">IF($R268="","",INDEX(Anforderungen!$C:$C,$R268))</f>
        <v>Bieterfragenkatalog</v>
      </c>
      <c r="C268" s="45" t="str">
        <f aca="false">IF($R268="","",INDEX(Anforderungen!$D:$D,$R268))</f>
        <v>Nr. 202 / S. 18</v>
      </c>
      <c r="D268" s="45" t="str">
        <f aca="false">IF($R268="","",INDEX(Anforderungen!$E:$E,$R268))</f>
        <v>Technik Ladeinfrastruktur</v>
      </c>
      <c r="E268" s="45" t="str">
        <f aca="false">IF($R268="","",INDEX(Anforderungen!$F:$F,$R268))</f>
        <v>Klarstellung: Trailer mit Zugfahrzeugen mit Verbrennungsmotor sind von der Regelung zum Trailerladen nicht adressiert.</v>
      </c>
      <c r="F268" s="45" t="str">
        <f aca="false">IF($R268="","",INDEX(Anforderungen!$G:$G,$R268))</f>
        <v>Der § 3 Nr. 25 EnWG legt fest, dass der Strombezug der Ladepunkte für Elektromobile dem Letztverbrauch gemäß EnWG gleichsteht. Im Sinne der LSV ist nach § 2 Nr. 1 ein Elektromobil ein reines Batterieelektrofahrzeug oder ein von außen aufladbares Hybridelektrofahrzeug der Klassen M1 und N1 i.S.d. Anhangs II Teil A der RL 2007/46/EG (BerlKommEnergieR/Boesche EnWG § 3 Rn. 152). Trailer mit Zugfahrzeug mit Verbrennungsmotor fallen nicht unter diese Definition und sind somit keine Elektromobile i.S.d. LSV. Das würde dazu führen, dass der Betreiber von Ladepunkten für Trailer als Energieversorgungsunternehmen im Sinne des EnWG eingestuft wird. Dies hätte zur Folge, dass Betreiber von Ladepunkten die gleichen rechtlichen Pflichten wie Energieversorger erfüllen müssten, was die Komplexität der Betreiberpflichten erheblich erhöhen würde und dem Betreiber nicht zumutbar wäre. Da die Ergänzung in § 3 Nr. 25 EnWG auf den Strombezug der Ladepunkte für Elektromobile den Sinn und Zweck hat, eine solche Einstufung zu vermeiden, möchten wir daher fragen, ob das wirklich so gewollt ist.</v>
      </c>
      <c r="G268" s="45" t="str">
        <f aca="false">IF($R268="","",INDEX(Anforderungen!$I:$I,$R268))</f>
        <v>Zuordnung prüfen</v>
      </c>
      <c r="H268" s="45" t="str">
        <f aca="false">IF($R268="","",INDEX(Anforderungen!$J:$J,$R268))</f>
        <v>Zuordnung prüfen</v>
      </c>
      <c r="I268" s="45" t="str">
        <f aca="false">IF($R268="","",INDEX(Anforderungen!$K:$K,$R268))</f>
        <v>trifft nicht zu</v>
      </c>
      <c r="J268" s="46" t="n">
        <f aca="false">IF($R268="","",INDEX(Anforderungen!$L:$L,$R268))</f>
        <v>0</v>
      </c>
      <c r="K268" s="45" t="str">
        <f aca="false">IF($R268="","",INDEX(Anforderungen!$M:$M,$R268))</f>
        <v>Automatisch ausgewertet: Außerhalb des betrachteten Leistungsumfangs (Schranken, Kennzeichenerfassung, dynamische Anzeige).</v>
      </c>
      <c r="R268" s="0" t="n">
        <f aca="false">IFERROR(MATCH(ROWS($A$14:$A268),$T$7:$T$2000,0)+6,"")</f>
        <v>261</v>
      </c>
      <c r="T268" s="0" t="n">
        <f aca="false">IF(Anforderungen!$B268="","",IF(AND(OR($B5="(alle)",Anforderungen!$K268=$B5),OR($E5="(alle)",Anforderungen!$C268=$E5),OR($H5="(alle)",Anforderungen!$E268=$H5),OR($B7="(alle)",ISNUMBER(SEARCH($B7,Anforderungen!$J268))),OR($E7="(alle)",ISNUMBER(SEARCH($E7,Anforderungen!$I268))),OR($H7="",ISNUMBER(SEARCH($H7,Anforderungen!$F268&amp;" "&amp;Anforderungen!$G268)))),COUNT($T$6:$T267)+1,""))</f>
        <v>262</v>
      </c>
    </row>
    <row r="269" customFormat="false" ht="30" hidden="false" customHeight="true" outlineLevel="0" collapsed="false">
      <c r="A269" s="45" t="str">
        <f aca="false">IF($R269="","",INDEX(Anforderungen!$B:$B,$R269))</f>
        <v>ANF-256</v>
      </c>
      <c r="B269" s="45" t="str">
        <f aca="false">IF($R269="","",INDEX(Anforderungen!$C:$C,$R269))</f>
        <v>Bieterfragenkatalog</v>
      </c>
      <c r="C269" s="45" t="str">
        <f aca="false">IF($R269="","",INDEX(Anforderungen!$D:$D,$R269))</f>
        <v>Nr. 203 / S. 19</v>
      </c>
      <c r="D269" s="45" t="str">
        <f aca="false">IF($R269="","",INDEX(Anforderungen!$E:$E,$R269))</f>
        <v>Vertrag &amp; Recht</v>
      </c>
      <c r="E269" s="45" t="str">
        <f aca="false">IF($R269="","",INDEX(Anforderungen!$F:$F,$R269))</f>
        <v>Klarstellung: Zu a) Nein, diese Annahme ist falsch. Im Rahmen des Angebots sollen als Teil des Personalkonzepts personalisierte Profile des für die Auftragsausführung vorgesehenen Personals, also konkreter Mitarbeiter*innen, eingereicht werden.</v>
      </c>
      <c r="F269" s="45" t="str">
        <f aca="false">IF($R269="","",INDEX(Anforderungen!$G:$G,$R269))</f>
        <v>Im Rahmen des Errichtungskonzepts sind personalisierte Profile des für die Auftragsausführung vorgesehenen Personals einzureichen. a) Gehen wir richtig in der Annahme, dass es ausreichend ist, das Personalkonzept so zu gestalten, dass der Auftragsausführung laufend die notwendigen qualifizierten Bauingenieure mit relevanter Erfahrung zur Verfügung stehen? Oder müssen die Daten der einzelnen Mitarbeiter offengelegt werden (Stichwort: Datenschutz)? b) Es kann keine Garantie dafür gegeben werden, dass der im Personalkonzept genannte Mitarbeiter (soweit man wirklich den genauen Mitarbeiter benennen muss) während der gesamten Errichtungsphase beim Auftragnehmer tätig ist. Wie wird mit dieser Situation umgegangen? c) Ist der namentlich zu nennende Gesamtprojektleiter (Ansprechpartner) nach Vertragsanlage 04 Ziffer 2.4. auch bereits im Errichtungskonzept des Erstangebots und/oder finalen Angebot zu benennen oder gehen wir richtig der Annahme, dass dieser erst wie in Ziff. 2.4. geschrieben, mit Zuschlagserteilung zu benennen ist?</v>
      </c>
      <c r="G269" s="45" t="str">
        <f aca="false">IF($R269="","",INDEX(Anforderungen!$I:$I,$R269))</f>
        <v>offen</v>
      </c>
      <c r="H269" s="45" t="str">
        <f aca="false">IF($R269="","",INDEX(Anforderungen!$J:$J,$R269))</f>
        <v>–</v>
      </c>
      <c r="I269" s="45" t="str">
        <f aca="false">IF($R269="","",INDEX(Anforderungen!$K:$K,$R269))</f>
        <v>trifft nicht zu</v>
      </c>
      <c r="J269" s="46" t="n">
        <f aca="false">IF($R269="","",INDEX(Anforderungen!$L:$L,$R269))</f>
        <v>0</v>
      </c>
      <c r="K269" s="45" t="str">
        <f aca="false">IF($R269="","",INDEX(Anforderungen!$M:$M,$R269))</f>
        <v>Automatisch ausgewertet: Außerhalb des betrachteten Leistungsumfangs (Schranken, Kennzeichenerfassung, dynamische Anzeige).</v>
      </c>
      <c r="R269" s="0" t="n">
        <f aca="false">IFERROR(MATCH(ROWS($A$14:$A269),$T$7:$T$2000,0)+6,"")</f>
        <v>262</v>
      </c>
      <c r="T269" s="0" t="n">
        <f aca="false">IF(Anforderungen!$B269="","",IF(AND(OR($B5="(alle)",Anforderungen!$K269=$B5),OR($E5="(alle)",Anforderungen!$C269=$E5),OR($H5="(alle)",Anforderungen!$E269=$H5),OR($B7="(alle)",ISNUMBER(SEARCH($B7,Anforderungen!$J269))),OR($E7="(alle)",ISNUMBER(SEARCH($E7,Anforderungen!$I269))),OR($H7="",ISNUMBER(SEARCH($H7,Anforderungen!$F269&amp;" "&amp;Anforderungen!$G269)))),COUNT($T$6:$T268)+1,""))</f>
        <v>263</v>
      </c>
    </row>
    <row r="270" customFormat="false" ht="30" hidden="false" customHeight="true" outlineLevel="0" collapsed="false">
      <c r="A270" s="45" t="str">
        <f aca="false">IF($R270="","",INDEX(Anforderungen!$B:$B,$R270))</f>
        <v>ANF-257</v>
      </c>
      <c r="B270" s="45" t="str">
        <f aca="false">IF($R270="","",INDEX(Anforderungen!$C:$C,$R270))</f>
        <v>Bieterfragenkatalog</v>
      </c>
      <c r="C270" s="45" t="str">
        <f aca="false">IF($R270="","",INDEX(Anforderungen!$D:$D,$R270))</f>
        <v>Nr. 204 / S. 19</v>
      </c>
      <c r="D270" s="45" t="str">
        <f aca="false">IF($R270="","",INDEX(Anforderungen!$E:$E,$R270))</f>
        <v>Reservierung</v>
      </c>
      <c r="E270" s="45" t="str">
        <f aca="false">IF($R270="","",INDEX(Anforderungen!$F:$F,$R270))</f>
        <v>Klarstellung: Grundsätzlich basiert die Schnittstellenspezifikation auf dem OCPI-Standard. Es gibt jedoch einzelne Abweichungen, die aufgrund der konkreten Vertragsgestaltung mit individuellen Datenfeldern abgedeckt werden müssen.</v>
      </c>
      <c r="F270" s="45" t="str">
        <f aca="false">IF($R270="","",INDEX(Anforderungen!$G:$G,$R270))</f>
        <v>Hier wird das Datenfeld 'ab_minimum_rated_power' (Mindestnennleistung in Watt [W]) gefordert. Dieses Feld ist nicht im OCPI-Standard enthalten und weicht von den Anforderungen der PWC-Ausschreibung ab. Wäre es möglich, diese Anforderung zu streichen, um eine bessere Kompatibilität mit dem OCPI-Standard und Konsistenz mit der PWC-PKW Autobahnlos Ausschreibung zu gewährleisten?</v>
      </c>
      <c r="G270" s="45" t="str">
        <f aca="false">IF($R270="","",INDEX(Anforderungen!$I:$I,$R270))</f>
        <v>eRound</v>
      </c>
      <c r="H270" s="45" t="str">
        <f aca="false">IF($R270="","",INDEX(Anforderungen!$J:$J,$R270))</f>
        <v>OCPI Buchungskalender</v>
      </c>
      <c r="I270" s="45" t="str">
        <f aca="false">IF($R270="","",INDEX(Anforderungen!$K:$K,$R270))</f>
        <v>trifft nicht zu</v>
      </c>
      <c r="J270" s="46" t="n">
        <f aca="false">IF($R270="","",INDEX(Anforderungen!$L:$L,$R270))</f>
        <v>0</v>
      </c>
      <c r="K270" s="45" t="str">
        <f aca="false">IF($R270="","",INDEX(Anforderungen!$M:$M,$R270))</f>
        <v>Automatisch ausgewertet: Außerhalb des betrachteten Leistungsumfangs (Schranken, Kennzeichenerfassung, dynamische Anzeige).</v>
      </c>
      <c r="R270" s="0" t="n">
        <f aca="false">IFERROR(MATCH(ROWS($A$14:$A270),$T$7:$T$2000,0)+6,"")</f>
        <v>263</v>
      </c>
      <c r="T270" s="0" t="n">
        <f aca="false">IF(Anforderungen!$B270="","",IF(AND(OR($B5="(alle)",Anforderungen!$K270=$B5),OR($E5="(alle)",Anforderungen!$C270=$E5),OR($H5="(alle)",Anforderungen!$E270=$H5),OR($B7="(alle)",ISNUMBER(SEARCH($B7,Anforderungen!$J270))),OR($E7="(alle)",ISNUMBER(SEARCH($E7,Anforderungen!$I270))),OR($H7="",ISNUMBER(SEARCH($H7,Anforderungen!$F270&amp;" "&amp;Anforderungen!$G270)))),COUNT($T$6:$T269)+1,""))</f>
        <v>264</v>
      </c>
    </row>
    <row r="271" customFormat="false" ht="30" hidden="false" customHeight="true" outlineLevel="0" collapsed="false">
      <c r="A271" s="45" t="str">
        <f aca="false">IF($R271="","",INDEX(Anforderungen!$B:$B,$R271))</f>
        <v>ANF-258</v>
      </c>
      <c r="B271" s="45" t="str">
        <f aca="false">IF($R271="","",INDEX(Anforderungen!$C:$C,$R271))</f>
        <v>Bieterfragenkatalog</v>
      </c>
      <c r="C271" s="45" t="str">
        <f aca="false">IF($R271="","",INDEX(Anforderungen!$D:$D,$R271))</f>
        <v>Nr. 205 / S. 19</v>
      </c>
      <c r="D271" s="45" t="str">
        <f aca="false">IF($R271="","",INDEX(Anforderungen!$E:$E,$R271))</f>
        <v>Reservierung</v>
      </c>
      <c r="E271" s="45" t="str">
        <f aca="false">IF($R271="","",INDEX(Anforderungen!$F:$F,$R271))</f>
        <v>Klarstellung: Dieser Punkt kann zum Gegenstand der Vertragsverhandlungen gemacht werden. Der AG bittet um Verwendung der mit dem Erstangebot einzureichenden Verhandlungsbedarfsliste.</v>
      </c>
      <c r="F271" s="45" t="str">
        <f aca="false">IF($R271="","",INDEX(Anforderungen!$G:$G,$R271))</f>
        <v>Hier werden die Felder 'ab_automatic_restart_timestamp' und 'ab_automatic_restart_count' gefordert. Diese Felder sind weder im OCPI-Standard enthalten noch in der PWC-PKW Autobahnlos-Ausschreibung vorgesehen. Eine Abweichung vom OCPI-Standard sowie von der PWC- Ausschreibung erschwert die technische Implementierung erheblich. Da zudem die technische Unterscheidung zwischen manuellen und automatischen Neustarts komplex ist, möchten wir anregen, diese Felder als optional zu definieren oder zu streichen.</v>
      </c>
      <c r="G271" s="45" t="str">
        <f aca="false">IF($R271="","",INDEX(Anforderungen!$I:$I,$R271))</f>
        <v>eRound</v>
      </c>
      <c r="H271" s="45" t="str">
        <f aca="false">IF($R271="","",INDEX(Anforderungen!$J:$J,$R271))</f>
        <v>OCPI Buchungskalender / Monitoring</v>
      </c>
      <c r="I271" s="45" t="str">
        <f aca="false">IF($R271="","",INDEX(Anforderungen!$K:$K,$R271))</f>
        <v>trifft nicht zu</v>
      </c>
      <c r="J271" s="46" t="n">
        <f aca="false">IF($R271="","",INDEX(Anforderungen!$L:$L,$R271))</f>
        <v>0</v>
      </c>
      <c r="K271" s="45" t="str">
        <f aca="false">IF($R271="","",INDEX(Anforderungen!$M:$M,$R271))</f>
        <v>Automatisch ausgewertet: Außerhalb des betrachteten Leistungsumfangs (Schranken, Kennzeichenerfassung, dynamische Anzeige).</v>
      </c>
      <c r="R271" s="0" t="n">
        <f aca="false">IFERROR(MATCH(ROWS($A$14:$A271),$T$7:$T$2000,0)+6,"")</f>
        <v>264</v>
      </c>
      <c r="T271" s="0" t="n">
        <f aca="false">IF(Anforderungen!$B271="","",IF(AND(OR($B5="(alle)",Anforderungen!$K271=$B5),OR($E5="(alle)",Anforderungen!$C271=$E5),OR($H5="(alle)",Anforderungen!$E271=$H5),OR($B7="(alle)",ISNUMBER(SEARCH($B7,Anforderungen!$J271))),OR($E7="(alle)",ISNUMBER(SEARCH($E7,Anforderungen!$I271))),OR($H7="",ISNUMBER(SEARCH($H7,Anforderungen!$F271&amp;" "&amp;Anforderungen!$G271)))),COUNT($T$6:$T270)+1,""))</f>
        <v>265</v>
      </c>
    </row>
    <row r="272" customFormat="false" ht="30" hidden="false" customHeight="true" outlineLevel="0" collapsed="false">
      <c r="A272" s="45" t="str">
        <f aca="false">IF($R272="","",INDEX(Anforderungen!$B:$B,$R272))</f>
        <v>ANF-259</v>
      </c>
      <c r="B272" s="45" t="str">
        <f aca="false">IF($R272="","",INDEX(Anforderungen!$C:$C,$R272))</f>
        <v>Bieterfragenkatalog</v>
      </c>
      <c r="C272" s="45" t="str">
        <f aca="false">IF($R272="","",INDEX(Anforderungen!$D:$D,$R272))</f>
        <v>Nr. 206 / S. 19</v>
      </c>
      <c r="D272" s="45" t="str">
        <f aca="false">IF($R272="","",INDEX(Anforderungen!$E:$E,$R272))</f>
        <v>Betrieb &amp; Auslastung</v>
      </c>
      <c r="E272" s="45" t="str">
        <f aca="false">IF($R272="","",INDEX(Anforderungen!$F:$F,$R272))</f>
        <v>Klarstellung: Eine Hohe Verfügbarkeit der Ladepunkte ist von höchster Relevanz. Daher sind Zeiten, in denen der Ladepunkt durch ein nicht-ladendes Fahrzeug blockiert wird zu vermeiden.</v>
      </c>
      <c r="F272" s="45" t="str">
        <f aca="false">IF($R272="","",INDEX(Anforderungen!$G:$G,$R272))</f>
        <v>Hier wird zur Verfügbarkeit der Status 'BLOCKED' als Ausfallzeit gewertet. Dieser Status wird jedoch standardmäßig verwendet, wenn ein Fahrzeug den Ladeplatz blockiert, ohne zu laden (z.B. durch Parkplatz-Sensorik erkannt, wie es auch bei uns implementiert ist). Wäre es möglich, den Status 'BLOCKED' von der Definition der Ausfallzeit auszunehmen?</v>
      </c>
      <c r="G272" s="45" t="str">
        <f aca="false">IF($R272="","",INDEX(Anforderungen!$I:$I,$R272))</f>
        <v>Zuordnung prüfen</v>
      </c>
      <c r="H272" s="45" t="str">
        <f aca="false">IF($R272="","",INDEX(Anforderungen!$J:$J,$R272))</f>
        <v>Zuordnung prüfen</v>
      </c>
      <c r="I272" s="45" t="str">
        <f aca="false">IF($R272="","",INDEX(Anforderungen!$K:$K,$R272))</f>
        <v>trifft nicht zu</v>
      </c>
      <c r="J272" s="46" t="n">
        <f aca="false">IF($R272="","",INDEX(Anforderungen!$L:$L,$R272))</f>
        <v>0</v>
      </c>
      <c r="K272" s="45" t="str">
        <f aca="false">IF($R272="","",INDEX(Anforderungen!$M:$M,$R272))</f>
        <v>Automatisch ausgewertet: Außerhalb des betrachteten Leistungsumfangs (Schranken, Kennzeichenerfassung, dynamische Anzeige).</v>
      </c>
      <c r="R272" s="0" t="n">
        <f aca="false">IFERROR(MATCH(ROWS($A$14:$A272),$T$7:$T$2000,0)+6,"")</f>
        <v>265</v>
      </c>
      <c r="T272" s="0" t="n">
        <f aca="false">IF(Anforderungen!$B272="","",IF(AND(OR($B5="(alle)",Anforderungen!$K272=$B5),OR($E5="(alle)",Anforderungen!$C272=$E5),OR($H5="(alle)",Anforderungen!$E272=$H5),OR($B7="(alle)",ISNUMBER(SEARCH($B7,Anforderungen!$J272))),OR($E7="(alle)",ISNUMBER(SEARCH($E7,Anforderungen!$I272))),OR($H7="",ISNUMBER(SEARCH($H7,Anforderungen!$F272&amp;" "&amp;Anforderungen!$G272)))),COUNT($T$6:$T271)+1,""))</f>
        <v>266</v>
      </c>
    </row>
    <row r="273" customFormat="false" ht="30" hidden="false" customHeight="true" outlineLevel="0" collapsed="false">
      <c r="A273" s="45" t="str">
        <f aca="false">IF($R273="","",INDEX(Anforderungen!$B:$B,$R273))</f>
        <v>ANF-260</v>
      </c>
      <c r="B273" s="45" t="str">
        <f aca="false">IF($R273="","",INDEX(Anforderungen!$C:$C,$R273))</f>
        <v>Bieterfragenkatalog</v>
      </c>
      <c r="C273" s="45" t="str">
        <f aca="false">IF($R273="","",INDEX(Anforderungen!$D:$D,$R273))</f>
        <v>Nr. 207 / S. 19</v>
      </c>
      <c r="D273" s="45" t="str">
        <f aca="false">IF($R273="","",INDEX(Anforderungen!$E:$E,$R273))</f>
        <v>Netzanschluss &amp; Energie</v>
      </c>
      <c r="E273" s="45" t="str">
        <f aca="false">IF($R273="","",INDEX(Anforderungen!$F:$F,$R273))</f>
        <v>Klarstellung: Die Position 3.7 bezieht sich auf die Kosten für die folgenden Komponenten: Trafo, Schaltanlage, Ladetechnik.</v>
      </c>
      <c r="F273" s="45" t="str">
        <f aca="false">IF($R273="","",INDEX(Anforderungen!$G:$G,$R273))</f>
        <v>Inwiefern unterscheiden sich die Positionen 3.7 und 3.9 bzw. insbesondere die Kostenpositionen Ladetechnik in 3.7 vs. Ladebetriebstechnik in 3.9? Welche Kosten sollen jeweils ausgewiesen werden?</v>
      </c>
      <c r="G273" s="45" t="str">
        <f aca="false">IF($R273="","",INDEX(Anforderungen!$I:$I,$R273))</f>
        <v>offen</v>
      </c>
      <c r="H273" s="45" t="str">
        <f aca="false">IF($R273="","",INDEX(Anforderungen!$J:$J,$R273))</f>
        <v>–</v>
      </c>
      <c r="I273" s="45" t="str">
        <f aca="false">IF($R273="","",INDEX(Anforderungen!$K:$K,$R273))</f>
        <v>trifft nicht zu</v>
      </c>
      <c r="J273" s="46" t="n">
        <f aca="false">IF($R273="","",INDEX(Anforderungen!$L:$L,$R273))</f>
        <v>0</v>
      </c>
      <c r="K273" s="45" t="str">
        <f aca="false">IF($R273="","",INDEX(Anforderungen!$M:$M,$R273))</f>
        <v>Automatisch ausgewertet: Außerhalb des betrachteten Leistungsumfangs (Schranken, Kennzeichenerfassung, dynamische Anzeige).</v>
      </c>
      <c r="R273" s="0" t="n">
        <f aca="false">IFERROR(MATCH(ROWS($A$14:$A273),$T$7:$T$2000,0)+6,"")</f>
        <v>266</v>
      </c>
      <c r="T273" s="0" t="n">
        <f aca="false">IF(Anforderungen!$B273="","",IF(AND(OR($B5="(alle)",Anforderungen!$K273=$B5),OR($E5="(alle)",Anforderungen!$C273=$E5),OR($H5="(alle)",Anforderungen!$E273=$H5),OR($B7="(alle)",ISNUMBER(SEARCH($B7,Anforderungen!$J273))),OR($E7="(alle)",ISNUMBER(SEARCH($E7,Anforderungen!$I273))),OR($H7="",ISNUMBER(SEARCH($H7,Anforderungen!$F273&amp;" "&amp;Anforderungen!$G273)))),COUNT($T$6:$T272)+1,""))</f>
        <v>267</v>
      </c>
    </row>
    <row r="274" customFormat="false" ht="30" hidden="false" customHeight="true" outlineLevel="0" collapsed="false">
      <c r="A274" s="45" t="str">
        <f aca="false">IF($R274="","",INDEX(Anforderungen!$B:$B,$R274))</f>
        <v>ANF-261</v>
      </c>
      <c r="B274" s="45" t="str">
        <f aca="false">IF($R274="","",INDEX(Anforderungen!$C:$C,$R274))</f>
        <v>Bieterfragenkatalog</v>
      </c>
      <c r="C274" s="45" t="str">
        <f aca="false">IF($R274="","",INDEX(Anforderungen!$D:$D,$R274))</f>
        <v>Nr. 208 / S. 19</v>
      </c>
      <c r="D274" s="45" t="str">
        <f aca="false">IF($R274="","",INDEX(Anforderungen!$E:$E,$R274))</f>
        <v>Netzanschluss &amp; Energie</v>
      </c>
      <c r="E274" s="45" t="str">
        <f aca="false">IF($R274="","",INDEX(Anforderungen!$F:$F,$R274))</f>
        <v>Verweis des Auftraggebers auf die Antwort zu Bieterfrage 111.</v>
      </c>
      <c r="F274" s="45" t="str">
        <f aca="false">IF($R274="","",INDEX(Anforderungen!$G:$G,$R274))</f>
        <v>Bezieht sich diese Leistung ausschließlich auf das Dach der zu errichtenden Übergabe-/Trafostation oder ist der Aufbau weiterer Dächer geplant?</v>
      </c>
      <c r="G274" s="45" t="str">
        <f aca="false">IF($R274="","",INDEX(Anforderungen!$I:$I,$R274))</f>
        <v>offen</v>
      </c>
      <c r="H274" s="45" t="str">
        <f aca="false">IF($R274="","",INDEX(Anforderungen!$J:$J,$R274))</f>
        <v>–</v>
      </c>
      <c r="I274" s="45" t="str">
        <f aca="false">IF($R274="","",INDEX(Anforderungen!$K:$K,$R274))</f>
        <v>trifft nicht zu</v>
      </c>
      <c r="J274" s="46" t="n">
        <f aca="false">IF($R274="","",INDEX(Anforderungen!$L:$L,$R274))</f>
        <v>0</v>
      </c>
      <c r="K274" s="45" t="str">
        <f aca="false">IF($R274="","",INDEX(Anforderungen!$M:$M,$R274))</f>
        <v>Automatisch ausgewertet: Die Antwort des Auftraggebers verweist ausschließlich auf Bieterfrage 111. Keine eigenständige Anforderung – der Inhalt ist unter der dort erfassten Zeile nachzuhalten.</v>
      </c>
      <c r="R274" s="0" t="n">
        <f aca="false">IFERROR(MATCH(ROWS($A$14:$A274),$T$7:$T$2000,0)+6,"")</f>
        <v>267</v>
      </c>
      <c r="T274" s="0" t="n">
        <f aca="false">IF(Anforderungen!$B274="","",IF(AND(OR($B5="(alle)",Anforderungen!$K274=$B5),OR($E5="(alle)",Anforderungen!$C274=$E5),OR($H5="(alle)",Anforderungen!$E274=$H5),OR($B7="(alle)",ISNUMBER(SEARCH($B7,Anforderungen!$J274))),OR($E7="(alle)",ISNUMBER(SEARCH($E7,Anforderungen!$I274))),OR($H7="",ISNUMBER(SEARCH($H7,Anforderungen!$F274&amp;" "&amp;Anforderungen!$G274)))),COUNT($T$6:$T273)+1,""))</f>
        <v>268</v>
      </c>
    </row>
    <row r="275" customFormat="false" ht="30" hidden="false" customHeight="true" outlineLevel="0" collapsed="false">
      <c r="A275" s="45" t="str">
        <f aca="false">IF($R275="","",INDEX(Anforderungen!$B:$B,$R275))</f>
        <v>ANF-262</v>
      </c>
      <c r="B275" s="45" t="str">
        <f aca="false">IF($R275="","",INDEX(Anforderungen!$C:$C,$R275))</f>
        <v>Bieterfragenkatalog</v>
      </c>
      <c r="C275" s="45" t="str">
        <f aca="false">IF($R275="","",INDEX(Anforderungen!$D:$D,$R275))</f>
        <v>Nr. 209 / S. 19</v>
      </c>
      <c r="D275" s="45" t="str">
        <f aca="false">IF($R275="","",INDEX(Anforderungen!$E:$E,$R275))</f>
        <v>Betrieb &amp; Auslastung</v>
      </c>
      <c r="E275" s="45" t="str">
        <f aca="false">IF($R275="","",INDEX(Anforderungen!$F:$F,$R275))</f>
        <v>Klarstellung: Ihre Annahme ist unzutreffend. Die Zuständigkeit liegt während der Vertragslaufzeit bei dem AN.</v>
      </c>
      <c r="F275" s="45" t="str">
        <f aca="false">IF($R275="","",INDEX(Anforderungen!$G:$G,$R275))</f>
        <v>Gehen wir richtig in der Annahme, dass Ladeparkplätze, Geh- und Fahrwege etc., deren Oberflächen vom Auftragnehmer im Zuge der Errichtungsarbeiten neu hergestellt/wiederherstellt werden, nicht durch den Auftragnehmer während der Vertragslaufzeit zu warten und instandzuhalten? (z.B. Schäden an den Oberflächen beseitigen, kehren, von Müll/Unrat befreien, Winterdienst, Verkehrssicherung)</v>
      </c>
      <c r="G275" s="45" t="str">
        <f aca="false">IF($R275="","",INDEX(Anforderungen!$I:$I,$R275))</f>
        <v>Zuordnung prüfen</v>
      </c>
      <c r="H275" s="45" t="str">
        <f aca="false">IF($R275="","",INDEX(Anforderungen!$J:$J,$R275))</f>
        <v>Zuordnung prüfen</v>
      </c>
      <c r="I275" s="45" t="str">
        <f aca="false">IF($R275="","",INDEX(Anforderungen!$K:$K,$R275))</f>
        <v>trifft nicht zu</v>
      </c>
      <c r="J275" s="46" t="n">
        <f aca="false">IF($R275="","",INDEX(Anforderungen!$L:$L,$R275))</f>
        <v>0</v>
      </c>
      <c r="K275" s="45" t="str">
        <f aca="false">IF($R275="","",INDEX(Anforderungen!$M:$M,$R275))</f>
        <v>Automatisch ausgewertet: Außerhalb des betrachteten Leistungsumfangs (Schranken, Kennzeichenerfassung, dynamische Anzeige).</v>
      </c>
      <c r="R275" s="0" t="n">
        <f aca="false">IFERROR(MATCH(ROWS($A$14:$A275),$T$7:$T$2000,0)+6,"")</f>
        <v>268</v>
      </c>
      <c r="T275" s="0" t="n">
        <f aca="false">IF(Anforderungen!$B275="","",IF(AND(OR($B5="(alle)",Anforderungen!$K275=$B5),OR($E5="(alle)",Anforderungen!$C275=$E5),OR($H5="(alle)",Anforderungen!$E275=$H5),OR($B7="(alle)",ISNUMBER(SEARCH($B7,Anforderungen!$J275))),OR($E7="(alle)",ISNUMBER(SEARCH($E7,Anforderungen!$I275))),OR($H7="",ISNUMBER(SEARCH($H7,Anforderungen!$F275&amp;" "&amp;Anforderungen!$G275)))),COUNT($T$6:$T274)+1,""))</f>
        <v>269</v>
      </c>
    </row>
    <row r="276" customFormat="false" ht="30" hidden="false" customHeight="true" outlineLevel="0" collapsed="false">
      <c r="A276" s="45" t="str">
        <f aca="false">IF($R276="","",INDEX(Anforderungen!$B:$B,$R276))</f>
        <v>ANF-263</v>
      </c>
      <c r="B276" s="45" t="str">
        <f aca="false">IF($R276="","",INDEX(Anforderungen!$C:$C,$R276))</f>
        <v>Bieterfragenkatalog</v>
      </c>
      <c r="C276" s="45" t="str">
        <f aca="false">IF($R276="","",INDEX(Anforderungen!$D:$D,$R276))</f>
        <v>Nr. 210 / S. 19</v>
      </c>
      <c r="D276" s="45" t="str">
        <f aca="false">IF($R276="","",INDEX(Anforderungen!$E:$E,$R276))</f>
        <v>Netzanschluss &amp; Energie</v>
      </c>
      <c r="E276" s="45" t="str">
        <f aca="false">IF($R276="","",INDEX(Anforderungen!$F:$F,$R276))</f>
        <v>Klarstellung: Es ist grundsätzlich keine Gleichzeitigkeit festgelegt. Sie ergibt sich aus den Anforderungen der technischen Spezifikationen aus Anlage 6.</v>
      </c>
      <c r="F276" s="45" t="str">
        <f aca="false">IF($R276="","",INDEX(Anforderungen!$G:$G,$R276))</f>
        <v>Mit welcher Gleichzeitigkeit sollen bzw. können die Standorte ausgelegt werden? Eine Gleichzeitigkeit von 1 führt ggf. zu einer (unnötigen) Überdimensionierung der elektrischen Infrastruktur, insb. der Übergabe- und Trafostationen.</v>
      </c>
      <c r="G276" s="45" t="str">
        <f aca="false">IF($R276="","",INDEX(Anforderungen!$I:$I,$R276))</f>
        <v>offen</v>
      </c>
      <c r="H276" s="45" t="str">
        <f aca="false">IF($R276="","",INDEX(Anforderungen!$J:$J,$R276))</f>
        <v>–</v>
      </c>
      <c r="I276" s="45" t="str">
        <f aca="false">IF($R276="","",INDEX(Anforderungen!$K:$K,$R276))</f>
        <v>trifft nicht zu</v>
      </c>
      <c r="J276" s="46" t="n">
        <f aca="false">IF($R276="","",INDEX(Anforderungen!$L:$L,$R276))</f>
        <v>0</v>
      </c>
      <c r="K276" s="45" t="str">
        <f aca="false">IF($R276="","",INDEX(Anforderungen!$M:$M,$R276))</f>
        <v>Automatisch ausgewertet: Außerhalb des betrachteten Leistungsumfangs (Schranken, Kennzeichenerfassung, dynamische Anzeige).</v>
      </c>
      <c r="R276" s="0" t="n">
        <f aca="false">IFERROR(MATCH(ROWS($A$14:$A276),$T$7:$T$2000,0)+6,"")</f>
        <v>269</v>
      </c>
      <c r="T276" s="0" t="n">
        <f aca="false">IF(Anforderungen!$B276="","",IF(AND(OR($B5="(alle)",Anforderungen!$K276=$B5),OR($E5="(alle)",Anforderungen!$C276=$E5),OR($H5="(alle)",Anforderungen!$E276=$H5),OR($B7="(alle)",ISNUMBER(SEARCH($B7,Anforderungen!$J276))),OR($E7="(alle)",ISNUMBER(SEARCH($E7,Anforderungen!$I276))),OR($H7="",ISNUMBER(SEARCH($H7,Anforderungen!$F276&amp;" "&amp;Anforderungen!$G276)))),COUNT($T$6:$T275)+1,""))</f>
        <v>270</v>
      </c>
    </row>
    <row r="277" customFormat="false" ht="30" hidden="false" customHeight="true" outlineLevel="0" collapsed="false">
      <c r="A277" s="45" t="str">
        <f aca="false">IF($R277="","",INDEX(Anforderungen!$B:$B,$R277))</f>
        <v>ANF-264</v>
      </c>
      <c r="B277" s="45" t="str">
        <f aca="false">IF($R277="","",INDEX(Anforderungen!$C:$C,$R277))</f>
        <v>Bieterfragenkatalog</v>
      </c>
      <c r="C277" s="45" t="str">
        <f aca="false">IF($R277="","",INDEX(Anforderungen!$D:$D,$R277))</f>
        <v>Nr. 211 / S. 19</v>
      </c>
      <c r="D277" s="45" t="str">
        <f aca="false">IF($R277="","",INDEX(Anforderungen!$E:$E,$R277))</f>
        <v>Netzanschluss &amp; Energie</v>
      </c>
      <c r="E277" s="45" t="str">
        <f aca="false">IF($R277="","",INDEX(Anforderungen!$F:$F,$R277))</f>
        <v>Klarstellung: Eine begrenzte Kapazität ist diskriminierungsfrei zu verteilen, d.h. unabhängig vom Anwendingsfall "Durchleitung".</v>
      </c>
      <c r="F277" s="45" t="str">
        <f aca="false">IF($R277="","",INDEX(Anforderungen!$G:$G,$R277))</f>
        <v>§ 44 des Betreibervertrages führt aus, dass der AG zur Überbrückung von Engpässen bei der Anschlusskapazität Speicher aufstellen und dem AN zum Betrieb übergeben kann. Welche Regeln gelten in diesem Fall für die Verteilung der begrenzten Anschlusskapazität im Falle der Durchleitung und welche Regen gelten für die Bepreisung des aus dem Speicher zur Verfügung gestellten Stroms? Welche Vorstellungen hat der AG für den ggf. notwendigen Informationsfluss zur Fahrplananmeldung der betroffenen Akteure?</v>
      </c>
      <c r="G277" s="45" t="str">
        <f aca="false">IF($R277="","",INDEX(Anforderungen!$I:$I,$R277))</f>
        <v>offen</v>
      </c>
      <c r="H277" s="45" t="str">
        <f aca="false">IF($R277="","",INDEX(Anforderungen!$J:$J,$R277))</f>
        <v>–</v>
      </c>
      <c r="I277" s="45" t="str">
        <f aca="false">IF($R277="","",INDEX(Anforderungen!$K:$K,$R277))</f>
        <v>trifft nicht zu</v>
      </c>
      <c r="J277" s="46" t="n">
        <f aca="false">IF($R277="","",INDEX(Anforderungen!$L:$L,$R277))</f>
        <v>0</v>
      </c>
      <c r="K277" s="45" t="str">
        <f aca="false">IF($R277="","",INDEX(Anforderungen!$M:$M,$R277))</f>
        <v>Automatisch ausgewertet: Außerhalb des betrachteten Leistungsumfangs (Schranken, Kennzeichenerfassung, dynamische Anzeige).</v>
      </c>
      <c r="R277" s="0" t="n">
        <f aca="false">IFERROR(MATCH(ROWS($A$14:$A277),$T$7:$T$2000,0)+6,"")</f>
        <v>270</v>
      </c>
      <c r="T277" s="0" t="n">
        <f aca="false">IF(Anforderungen!$B277="","",IF(AND(OR($B5="(alle)",Anforderungen!$K277=$B5),OR($E5="(alle)",Anforderungen!$C277=$E5),OR($H5="(alle)",Anforderungen!$E277=$H5),OR($B7="(alle)",ISNUMBER(SEARCH($B7,Anforderungen!$J277))),OR($E7="(alle)",ISNUMBER(SEARCH($E7,Anforderungen!$I277))),OR($H7="",ISNUMBER(SEARCH($H7,Anforderungen!$F277&amp;" "&amp;Anforderungen!$G277)))),COUNT($T$6:$T276)+1,""))</f>
        <v>271</v>
      </c>
    </row>
    <row r="278" customFormat="false" ht="30" hidden="false" customHeight="true" outlineLevel="0" collapsed="false">
      <c r="A278" s="45" t="str">
        <f aca="false">IF($R278="","",INDEX(Anforderungen!$B:$B,$R278))</f>
        <v>ANF-265</v>
      </c>
      <c r="B278" s="45" t="str">
        <f aca="false">IF($R278="","",INDEX(Anforderungen!$C:$C,$R278))</f>
        <v>Bieterfragenkatalog</v>
      </c>
      <c r="C278" s="45" t="str">
        <f aca="false">IF($R278="","",INDEX(Anforderungen!$D:$D,$R278))</f>
        <v>Nr. 212 / S. 19</v>
      </c>
      <c r="D278" s="45" t="str">
        <f aca="false">IF($R278="","",INDEX(Anforderungen!$E:$E,$R278))</f>
        <v>Technik Ladeinfrastruktur</v>
      </c>
      <c r="E278" s="45" t="str">
        <f aca="false">IF($R278="","",INDEX(Anforderungen!$F:$F,$R278))</f>
        <v>Klarstellung: Es besteht keine Verpflichtung des AN ,die Stromversorgung für Trailer AFIR konform zu gestalten.</v>
      </c>
      <c r="F278" s="45" t="str">
        <f aca="false">IF($R278="","",INDEX(Anforderungen!$G:$G,$R278))</f>
        <v>Nach Artikel 2 Nr. 48 AFIR bezeichnet ein „Ladepunkt“ eine feste oder mobile, netzgebundene oder netzunabhängige Schnittstelle für die Übertragung von Strom auf ein Elektrofahrzeug. Ein Trailer mit Zugfahrzeug mit Verbrennungsmotor ist kein Elektrofahrzeug. Die AFIR wäre in dem Fall nicht anwendbar. Gehen wir richtig der Annahme, dass § 8 Nr. 3 Betreibervertrag bzgl. der Verpflichtung die Errichtung AFIR konform zu gestalten, den Ladepunkt für Trailerladen ausnimmt?</v>
      </c>
      <c r="G278" s="45" t="str">
        <f aca="false">IF($R278="","",INDEX(Anforderungen!$I:$I,$R278))</f>
        <v>Zuordnung prüfen</v>
      </c>
      <c r="H278" s="45" t="str">
        <f aca="false">IF($R278="","",INDEX(Anforderungen!$J:$J,$R278))</f>
        <v>Zuordnung prüfen</v>
      </c>
      <c r="I278" s="45" t="str">
        <f aca="false">IF($R278="","",INDEX(Anforderungen!$K:$K,$R278))</f>
        <v>trifft nicht zu</v>
      </c>
      <c r="J278" s="46" t="n">
        <f aca="false">IF($R278="","",INDEX(Anforderungen!$L:$L,$R278))</f>
        <v>0</v>
      </c>
      <c r="K278" s="45" t="str">
        <f aca="false">IF($R278="","",INDEX(Anforderungen!$M:$M,$R278))</f>
        <v>Automatisch ausgewertet: Außerhalb des betrachteten Leistungsumfangs (Schranken, Kennzeichenerfassung, dynamische Anzeige).</v>
      </c>
      <c r="R278" s="0" t="n">
        <f aca="false">IFERROR(MATCH(ROWS($A$14:$A278),$T$7:$T$2000,0)+6,"")</f>
        <v>271</v>
      </c>
      <c r="T278" s="0" t="n">
        <f aca="false">IF(Anforderungen!$B278="","",IF(AND(OR($B5="(alle)",Anforderungen!$K278=$B5),OR($E5="(alle)",Anforderungen!$C278=$E5),OR($H5="(alle)",Anforderungen!$E278=$H5),OR($B7="(alle)",ISNUMBER(SEARCH($B7,Anforderungen!$J278))),OR($E7="(alle)",ISNUMBER(SEARCH($E7,Anforderungen!$I278))),OR($H7="",ISNUMBER(SEARCH($H7,Anforderungen!$F278&amp;" "&amp;Anforderungen!$G278)))),COUNT($T$6:$T277)+1,""))</f>
        <v>272</v>
      </c>
    </row>
    <row r="279" customFormat="false" ht="30" hidden="false" customHeight="true" outlineLevel="0" collapsed="false">
      <c r="A279" s="45" t="str">
        <f aca="false">IF($R279="","",INDEX(Anforderungen!$B:$B,$R279))</f>
        <v>ANF-266</v>
      </c>
      <c r="B279" s="45" t="str">
        <f aca="false">IF($R279="","",INDEX(Anforderungen!$C:$C,$R279))</f>
        <v>Bieterfragenkatalog</v>
      </c>
      <c r="C279" s="45" t="str">
        <f aca="false">IF($R279="","",INDEX(Anforderungen!$D:$D,$R279))</f>
        <v>Nr. 213 / S. 20</v>
      </c>
      <c r="D279" s="45" t="str">
        <f aca="false">IF($R279="","",INDEX(Anforderungen!$E:$E,$R279))</f>
        <v>Netzanschluss &amp; Energie</v>
      </c>
      <c r="E279" s="45" t="str">
        <f aca="false">IF($R279="","",INDEX(Anforderungen!$F:$F,$R279))</f>
        <v>Klarstellung: Aktuell ist das Durchleitungsmodell für das Trailerladen nicht vorzusehen. Zur Frage der Anwendbarkeit des § 3 Nr.</v>
      </c>
      <c r="F279" s="45" t="str">
        <f aca="false">IF($R279="","",INDEX(Anforderungen!$G:$G,$R279))</f>
        <v>Inwiefern ist der Ladepunkt bzw. die Ladeeinrichtung für Trailer für ein Durchleitungsmodell vorzusehen, obwohl der rechtliche Rahmen hierfür ggf. nicht gegeben ist? Hier bitten wir um eine rechtliche Einschätzung und Klarstellung, inwiefern der Trailer-Ladepunkt als Letztverbraucher im Sinne des EnWG anzusehen ist.</v>
      </c>
      <c r="G279" s="45" t="str">
        <f aca="false">IF($R279="","",INDEX(Anforderungen!$I:$I,$R279))</f>
        <v>Alpitronic</v>
      </c>
      <c r="H279" s="45" t="str">
        <f aca="false">IF($R279="","",INDEX(Anforderungen!$J:$J,$R279))</f>
        <v>Ladeeinrichtung</v>
      </c>
      <c r="I279" s="45" t="str">
        <f aca="false">IF($R279="","",INDEX(Anforderungen!$K:$K,$R279))</f>
        <v>trifft nicht zu</v>
      </c>
      <c r="J279" s="46" t="n">
        <f aca="false">IF($R279="","",INDEX(Anforderungen!$L:$L,$R279))</f>
        <v>0</v>
      </c>
      <c r="K279" s="45" t="str">
        <f aca="false">IF($R279="","",INDEX(Anforderungen!$M:$M,$R279))</f>
        <v>Automatisch ausgewertet: Außerhalb des betrachteten Leistungsumfangs (Schranken, Kennzeichenerfassung, dynamische Anzeige).</v>
      </c>
      <c r="R279" s="0" t="n">
        <f aca="false">IFERROR(MATCH(ROWS($A$14:$A279),$T$7:$T$2000,0)+6,"")</f>
        <v>272</v>
      </c>
      <c r="T279" s="0" t="n">
        <f aca="false">IF(Anforderungen!$B279="","",IF(AND(OR($B5="(alle)",Anforderungen!$K279=$B5),OR($E5="(alle)",Anforderungen!$C279=$E5),OR($H5="(alle)",Anforderungen!$E279=$H5),OR($B7="(alle)",ISNUMBER(SEARCH($B7,Anforderungen!$J279))),OR($E7="(alle)",ISNUMBER(SEARCH($E7,Anforderungen!$I279))),OR($H7="",ISNUMBER(SEARCH($H7,Anforderungen!$F279&amp;" "&amp;Anforderungen!$G279)))),COUNT($T$6:$T278)+1,""))</f>
        <v>273</v>
      </c>
    </row>
    <row r="280" customFormat="false" ht="30" hidden="false" customHeight="true" outlineLevel="0" collapsed="false">
      <c r="A280" s="45" t="str">
        <f aca="false">IF($R280="","",INDEX(Anforderungen!$B:$B,$R280))</f>
        <v>ANF-267</v>
      </c>
      <c r="B280" s="45" t="str">
        <f aca="false">IF($R280="","",INDEX(Anforderungen!$C:$C,$R280))</f>
        <v>Bieterfragenkatalog</v>
      </c>
      <c r="C280" s="45" t="str">
        <f aca="false">IF($R280="","",INDEX(Anforderungen!$D:$D,$R280))</f>
        <v>Nr. 214 / S. 20</v>
      </c>
      <c r="D280" s="45" t="str">
        <f aca="false">IF($R280="","",INDEX(Anforderungen!$E:$E,$R280))</f>
        <v>Technik Ladeinfrastruktur</v>
      </c>
      <c r="E280" s="45" t="str">
        <f aca="false">IF($R280="","",INDEX(Anforderungen!$F:$F,$R280))</f>
        <v>Klarstellung: Die externe Stromversorgung für Trailer mittels CEE-Standard muss den jeweils gültigen Richtlinien und anerkannten Regeln der Technik entsprechen.</v>
      </c>
      <c r="F280" s="45" t="str">
        <f aca="false">IF($R280="","",INDEX(Anforderungen!$G:$G,$R280))</f>
        <v>Erfüllt eine Ladeeinrichtung für Trailer mit CEE-Steckdose die Schutzziele der anwendbaren und gültigen EU-Richtlinien, bspw. LVD 2024/35/EU, obwohl für Ladeeinrichtungen die entsprechenden harmonisierten Produktnormenreihen wie IEC EN 61851 und IEC EN 62196 anzuwenden sind, die erst eine CE- Konformitätsvermutung ggf. zulassen?</v>
      </c>
      <c r="G280" s="45" t="str">
        <f aca="false">IF($R280="","",INDEX(Anforderungen!$I:$I,$R280))</f>
        <v>Alpitronic</v>
      </c>
      <c r="H280" s="45" t="str">
        <f aca="false">IF($R280="","",INDEX(Anforderungen!$J:$J,$R280))</f>
        <v>Ladeeinrichtung</v>
      </c>
      <c r="I280" s="45" t="str">
        <f aca="false">IF($R280="","",INDEX(Anforderungen!$K:$K,$R280))</f>
        <v>trifft nicht zu</v>
      </c>
      <c r="J280" s="46" t="n">
        <f aca="false">IF($R280="","",INDEX(Anforderungen!$L:$L,$R280))</f>
        <v>0</v>
      </c>
      <c r="K280" s="45" t="str">
        <f aca="false">IF($R280="","",INDEX(Anforderungen!$M:$M,$R280))</f>
        <v>Automatisch ausgewertet: Außerhalb des betrachteten Leistungsumfangs (Schranken, Kennzeichenerfassung, dynamische Anzeige).</v>
      </c>
      <c r="R280" s="0" t="n">
        <f aca="false">IFERROR(MATCH(ROWS($A$14:$A280),$T$7:$T$2000,0)+6,"")</f>
        <v>273</v>
      </c>
      <c r="T280" s="0" t="n">
        <f aca="false">IF(Anforderungen!$B280="","",IF(AND(OR($B5="(alle)",Anforderungen!$K280=$B5),OR($E5="(alle)",Anforderungen!$C280=$E5),OR($H5="(alle)",Anforderungen!$E280=$H5),OR($B7="(alle)",ISNUMBER(SEARCH($B7,Anforderungen!$J280))),OR($E7="(alle)",ISNUMBER(SEARCH($E7,Anforderungen!$I280))),OR($H7="",ISNUMBER(SEARCH($H7,Anforderungen!$F280&amp;" "&amp;Anforderungen!$G280)))),COUNT($T$6:$T279)+1,""))</f>
        <v>274</v>
      </c>
    </row>
    <row r="281" customFormat="false" ht="30" hidden="false" customHeight="true" outlineLevel="0" collapsed="false">
      <c r="A281" s="45" t="str">
        <f aca="false">IF($R281="","",INDEX(Anforderungen!$B:$B,$R281))</f>
        <v>ANF-268</v>
      </c>
      <c r="B281" s="45" t="str">
        <f aca="false">IF($R281="","",INDEX(Anforderungen!$C:$C,$R281))</f>
        <v>Bieterfragenkatalog</v>
      </c>
      <c r="C281" s="45" t="str">
        <f aca="false">IF($R281="","",INDEX(Anforderungen!$D:$D,$R281))</f>
        <v>Nr. 215 / S. 20</v>
      </c>
      <c r="D281" s="45" t="str">
        <f aca="false">IF($R281="","",INDEX(Anforderungen!$E:$E,$R281))</f>
        <v>Netzanschluss &amp; Energie</v>
      </c>
      <c r="E281" s="45" t="str">
        <f aca="false">IF($R281="","",INDEX(Anforderungen!$F:$F,$R281))</f>
        <v>Klarstellung: Die Eingangsmittelspannungsebene, an welcher Standorte angebunden werden, kann zum jetzigen Zeitpunkt nicht final benannt werden.</v>
      </c>
      <c r="F281" s="45" t="str">
        <f aca="false">IF($R281="","",INDEX(Anforderungen!$G:$G,$R281))</f>
        <v>Da die Netzspannung auf MS-Ebene an den Standorten derzeit noch unklar ist, diese jedoch einen signifikanten Einfluss u.a. auf die Auslegung und Kosten der MS-Schaltanlage hat, stellt sich die Frage: Mit welcher Netzspannung soll die elektrische Infrastruktur, insbesondere die Übergabe- und die Trafostation(en) sowie Übertragungskomponenten, technisch ausgelegt und für die Kostenkalkulation gerechnet werden?</v>
      </c>
      <c r="G281" s="45" t="str">
        <f aca="false">IF($R281="","",INDEX(Anforderungen!$I:$I,$R281))</f>
        <v>offen</v>
      </c>
      <c r="H281" s="45" t="str">
        <f aca="false">IF($R281="","",INDEX(Anforderungen!$J:$J,$R281))</f>
        <v>–</v>
      </c>
      <c r="I281" s="45" t="str">
        <f aca="false">IF($R281="","",INDEX(Anforderungen!$K:$K,$R281))</f>
        <v>trifft nicht zu</v>
      </c>
      <c r="J281" s="46" t="n">
        <f aca="false">IF($R281="","",INDEX(Anforderungen!$L:$L,$R281))</f>
        <v>0</v>
      </c>
      <c r="K281" s="45" t="str">
        <f aca="false">IF($R281="","",INDEX(Anforderungen!$M:$M,$R281))</f>
        <v>Automatisch ausgewertet: Außerhalb des betrachteten Leistungsumfangs (Schranken, Kennzeichenerfassung, dynamische Anzeige).</v>
      </c>
      <c r="R281" s="0" t="n">
        <f aca="false">IFERROR(MATCH(ROWS($A$14:$A281),$T$7:$T$2000,0)+6,"")</f>
        <v>274</v>
      </c>
      <c r="T281" s="0" t="n">
        <f aca="false">IF(Anforderungen!$B281="","",IF(AND(OR($B5="(alle)",Anforderungen!$K281=$B5),OR($E5="(alle)",Anforderungen!$C281=$E5),OR($H5="(alle)",Anforderungen!$E281=$H5),OR($B7="(alle)",ISNUMBER(SEARCH($B7,Anforderungen!$J281))),OR($E7="(alle)",ISNUMBER(SEARCH($E7,Anforderungen!$I281))),OR($H7="",ISNUMBER(SEARCH($H7,Anforderungen!$F281&amp;" "&amp;Anforderungen!$G281)))),COUNT($T$6:$T280)+1,""))</f>
        <v>275</v>
      </c>
    </row>
    <row r="282" customFormat="false" ht="30" hidden="false" customHeight="true" outlineLevel="0" collapsed="false">
      <c r="A282" s="45" t="str">
        <f aca="false">IF($R282="","",INDEX(Anforderungen!$B:$B,$R282))</f>
        <v>ANF-269</v>
      </c>
      <c r="B282" s="45" t="str">
        <f aca="false">IF($R282="","",INDEX(Anforderungen!$C:$C,$R282))</f>
        <v>Bieterfragenkatalog</v>
      </c>
      <c r="C282" s="45" t="str">
        <f aca="false">IF($R282="","",INDEX(Anforderungen!$D:$D,$R282))</f>
        <v>Nr. 216 / S. 20</v>
      </c>
      <c r="D282" s="45" t="str">
        <f aca="false">IF($R282="","",INDEX(Anforderungen!$E:$E,$R282))</f>
        <v>Betrieb &amp; Auslastung</v>
      </c>
      <c r="E282" s="45" t="str">
        <f aca="false">IF($R282="","",INDEX(Anforderungen!$F:$F,$R282))</f>
        <v>Klarstellung: Grundsätzlich regelt § 23 die Instandhaltung, Wiederherstellung und Erneuerung der Ladeinfrastruktur.</v>
      </c>
      <c r="F282" s="45" t="str">
        <f aca="false">IF($R282="","",INDEX(Anforderungen!$G:$G,$R282))</f>
        <v>Wie sind Ersatzinvestitionen der Ladehardware bei Inkrafttreten der 4 Jahres Laufzeitoption zu handhaben?</v>
      </c>
      <c r="G282" s="45" t="str">
        <f aca="false">IF($R282="","",INDEX(Anforderungen!$I:$I,$R282))</f>
        <v>Alpitronic</v>
      </c>
      <c r="H282" s="45" t="str">
        <f aca="false">IF($R282="","",INDEX(Anforderungen!$J:$J,$R282))</f>
        <v>Ladeeinrichtung</v>
      </c>
      <c r="I282" s="45" t="str">
        <f aca="false">IF($R282="","",INDEX(Anforderungen!$K:$K,$R282))</f>
        <v>trifft nicht zu</v>
      </c>
      <c r="J282" s="46" t="n">
        <f aca="false">IF($R282="","",INDEX(Anforderungen!$L:$L,$R282))</f>
        <v>0</v>
      </c>
      <c r="K282" s="45" t="str">
        <f aca="false">IF($R282="","",INDEX(Anforderungen!$M:$M,$R282))</f>
        <v>Automatisch ausgewertet: Außerhalb des betrachteten Leistungsumfangs (Schranken, Kennzeichenerfassung, dynamische Anzeige).</v>
      </c>
      <c r="R282" s="0" t="n">
        <f aca="false">IFERROR(MATCH(ROWS($A$14:$A282),$T$7:$T$2000,0)+6,"")</f>
        <v>275</v>
      </c>
      <c r="T282" s="0" t="n">
        <f aca="false">IF(Anforderungen!$B282="","",IF(AND(OR($B5="(alle)",Anforderungen!$K282=$B5),OR($E5="(alle)",Anforderungen!$C282=$E5),OR($H5="(alle)",Anforderungen!$E282=$H5),OR($B7="(alle)",ISNUMBER(SEARCH($B7,Anforderungen!$J282))),OR($E7="(alle)",ISNUMBER(SEARCH($E7,Anforderungen!$I282))),OR($H7="",ISNUMBER(SEARCH($H7,Anforderungen!$F282&amp;" "&amp;Anforderungen!$G282)))),COUNT($T$6:$T281)+1,""))</f>
        <v>276</v>
      </c>
    </row>
    <row r="283" customFormat="false" ht="30" hidden="false" customHeight="true" outlineLevel="0" collapsed="false">
      <c r="A283" s="45" t="str">
        <f aca="false">IF($R283="","",INDEX(Anforderungen!$B:$B,$R283))</f>
        <v>ANF-270</v>
      </c>
      <c r="B283" s="45" t="str">
        <f aca="false">IF($R283="","",INDEX(Anforderungen!$C:$C,$R283))</f>
        <v>Bieterfragenkatalog</v>
      </c>
      <c r="C283" s="45" t="str">
        <f aca="false">IF($R283="","",INDEX(Anforderungen!$D:$D,$R283))</f>
        <v>Nr. 217 / S. 20</v>
      </c>
      <c r="D283" s="45" t="str">
        <f aca="false">IF($R283="","",INDEX(Anforderungen!$E:$E,$R283))</f>
        <v>Technik Ladeinfrastruktur</v>
      </c>
      <c r="E283" s="45" t="str">
        <f aca="false">IF($R283="","",INDEX(Anforderungen!$F:$F,$R283))</f>
        <v>Klarstellung: Zum aktuellen Zeitpunkt geht der AG nicht davon aus, dass bei der Umwandlung der Ladeplätze von CCS in MCS die Breiten anzupassen sind.</v>
      </c>
      <c r="F283" s="45" t="str">
        <f aca="false">IF($R283="","",INDEX(Anforderungen!$G:$G,$R283))</f>
        <v>Im Rahmen des Ausbauschrittes 2035 ist auch die Umrüstung von CCS- Ladepunkten zu MCS-Ladepunkten vorgesehen. Es stellt sich die Frage, wie bei der Umwandlung eines CCS-Ladepunktes in einen MCS-Ladepunkt mit den unterschiedlichen Ladeplatzmaßen (3,5 m für CCS und 4 m für MCS) umgegangen werden soll. Gehen wir recht der Annahme, dass in diesem Fall eine Ausnahme der 4 Meter Maße gemacht werden kann?</v>
      </c>
      <c r="G283" s="45" t="str">
        <f aca="false">IF($R283="","",INDEX(Anforderungen!$I:$I,$R283))</f>
        <v>Zuordnung prüfen</v>
      </c>
      <c r="H283" s="45" t="str">
        <f aca="false">IF($R283="","",INDEX(Anforderungen!$J:$J,$R283))</f>
        <v>Zuordnung prüfen</v>
      </c>
      <c r="I283" s="45" t="str">
        <f aca="false">IF($R283="","",INDEX(Anforderungen!$K:$K,$R283))</f>
        <v>trifft nicht zu</v>
      </c>
      <c r="J283" s="46" t="n">
        <f aca="false">IF($R283="","",INDEX(Anforderungen!$L:$L,$R283))</f>
        <v>0</v>
      </c>
      <c r="K283" s="45" t="str">
        <f aca="false">IF($R283="","",INDEX(Anforderungen!$M:$M,$R283))</f>
        <v>Automatisch ausgewertet: Außerhalb des betrachteten Leistungsumfangs (Schranken, Kennzeichenerfassung, dynamische Anzeige).</v>
      </c>
      <c r="R283" s="0" t="n">
        <f aca="false">IFERROR(MATCH(ROWS($A$14:$A283),$T$7:$T$2000,0)+6,"")</f>
        <v>276</v>
      </c>
      <c r="T283" s="0" t="n">
        <f aca="false">IF(Anforderungen!$B283="","",IF(AND(OR($B5="(alle)",Anforderungen!$K283=$B5),OR($E5="(alle)",Anforderungen!$C283=$E5),OR($H5="(alle)",Anforderungen!$E283=$H5),OR($B7="(alle)",ISNUMBER(SEARCH($B7,Anforderungen!$J283))),OR($E7="(alle)",ISNUMBER(SEARCH($E7,Anforderungen!$I283))),OR($H7="",ISNUMBER(SEARCH($H7,Anforderungen!$F283&amp;" "&amp;Anforderungen!$G283)))),COUNT($T$6:$T282)+1,""))</f>
        <v>277</v>
      </c>
    </row>
    <row r="284" customFormat="false" ht="30" hidden="false" customHeight="true" outlineLevel="0" collapsed="false">
      <c r="A284" s="45" t="str">
        <f aca="false">IF($R284="","",INDEX(Anforderungen!$B:$B,$R284))</f>
        <v>ANF-271</v>
      </c>
      <c r="B284" s="45" t="str">
        <f aca="false">IF($R284="","",INDEX(Anforderungen!$C:$C,$R284))</f>
        <v>Bieterfragenkatalog</v>
      </c>
      <c r="C284" s="45" t="str">
        <f aca="false">IF($R284="","",INDEX(Anforderungen!$D:$D,$R284))</f>
        <v>Nr. 218 / S. 20</v>
      </c>
      <c r="D284" s="45" t="str">
        <f aca="false">IF($R284="","",INDEX(Anforderungen!$E:$E,$R284))</f>
        <v>Vertrag &amp; Recht</v>
      </c>
      <c r="E284" s="45" t="str">
        <f aca="false">IF($R284="","",INDEX(Anforderungen!$F:$F,$R284))</f>
        <v>Klarstellung: Es ist wie in der Vertragsanlage 4, Abs. 4.11.1 beschrieben, eine "Ökobilanz gemäß DIN EN ISO 14040 und DIN EN ISO 14044 aufzustellen und vorzulegen".</v>
      </c>
      <c r="F284" s="45" t="str">
        <f aca="false">IF($R284="","",INDEX(Anforderungen!$G:$G,$R284))</f>
        <v>Es ist eine Ökobilanz von allen Lieferbaustoffen vorgeschrieben. Es gibt für meisten Baustoffe verfügbare Ökobilanzen in den einschlägigen Datenbanken. Inwieweit dürfen diese Bilanzen hierfür 1:1 genutzt werden oder erwartet der AG aktualisierte und ggf. gar auf den spezifischen Standort und die Baustofflieferanten bezogene Ökobilanzen?</v>
      </c>
      <c r="G284" s="45" t="str">
        <f aca="false">IF($R284="","",INDEX(Anforderungen!$I:$I,$R284))</f>
        <v>offen</v>
      </c>
      <c r="H284" s="45" t="str">
        <f aca="false">IF($R284="","",INDEX(Anforderungen!$J:$J,$R284))</f>
        <v>–</v>
      </c>
      <c r="I284" s="45" t="str">
        <f aca="false">IF($R284="","",INDEX(Anforderungen!$K:$K,$R284))</f>
        <v>trifft nicht zu</v>
      </c>
      <c r="J284" s="46" t="n">
        <f aca="false">IF($R284="","",INDEX(Anforderungen!$L:$L,$R284))</f>
        <v>0</v>
      </c>
      <c r="K284" s="45" t="str">
        <f aca="false">IF($R284="","",INDEX(Anforderungen!$M:$M,$R284))</f>
        <v>Automatisch ausgewertet: Außerhalb des betrachteten Leistungsumfangs (Schranken, Kennzeichenerfassung, dynamische Anzeige).</v>
      </c>
      <c r="R284" s="0" t="n">
        <f aca="false">IFERROR(MATCH(ROWS($A$14:$A284),$T$7:$T$2000,0)+6,"")</f>
        <v>277</v>
      </c>
      <c r="T284" s="0" t="n">
        <f aca="false">IF(Anforderungen!$B284="","",IF(AND(OR($B5="(alle)",Anforderungen!$K284=$B5),OR($E5="(alle)",Anforderungen!$C284=$E5),OR($H5="(alle)",Anforderungen!$E284=$H5),OR($B7="(alle)",ISNUMBER(SEARCH($B7,Anforderungen!$J284))),OR($E7="(alle)",ISNUMBER(SEARCH($E7,Anforderungen!$I284))),OR($H7="",ISNUMBER(SEARCH($H7,Anforderungen!$F284&amp;" "&amp;Anforderungen!$G284)))),COUNT($T$6:$T283)+1,""))</f>
        <v>278</v>
      </c>
    </row>
    <row r="285" customFormat="false" ht="30" hidden="false" customHeight="true" outlineLevel="0" collapsed="false">
      <c r="A285" s="45" t="str">
        <f aca="false">IF($R285="","",INDEX(Anforderungen!$B:$B,$R285))</f>
        <v>ANF-272</v>
      </c>
      <c r="B285" s="45" t="str">
        <f aca="false">IF($R285="","",INDEX(Anforderungen!$C:$C,$R285))</f>
        <v>Bieterfragenkatalog</v>
      </c>
      <c r="C285" s="45" t="str">
        <f aca="false">IF($R285="","",INDEX(Anforderungen!$D:$D,$R285))</f>
        <v>Nr. 219 / S. 20</v>
      </c>
      <c r="D285" s="45" t="str">
        <f aca="false">IF($R285="","",INDEX(Anforderungen!$E:$E,$R285))</f>
        <v>Reservierung</v>
      </c>
      <c r="E285" s="45" t="str">
        <f aca="false">IF($R285="","",INDEX(Anforderungen!$F:$F,$R285))</f>
        <v>Klarstellung: Die Platzreserve von 20% bezieht sich auf die gesamte Kabeltrasse. Die Planung der erforderlichen Kabeltrasse und der Einsatz von Kabelzugrohren obliegt dem AN.</v>
      </c>
      <c r="F285" s="45" t="str">
        <f aca="false">IF($R285="","",INDEX(Anforderungen!$G:$G,$R285))</f>
        <v>Wie ist eine Platzreserve von 20% bei Kabelzugrohren zu verstehen? In der Regel füllen die Kabel deutlich weniger als 80% des Volumens eines Zugrohrs, wenn in dieses bereits keine weiteren Kabel mehr eingezogen werden können. Für welche Kabel (Größe) soll Platz reserviert werden?</v>
      </c>
      <c r="G285" s="45" t="str">
        <f aca="false">IF($R285="","",INDEX(Anforderungen!$I:$I,$R285))</f>
        <v>eRound</v>
      </c>
      <c r="H285" s="45" t="str">
        <f aca="false">IF($R285="","",INDEX(Anforderungen!$J:$J,$R285))</f>
        <v>OCPI Buchungskalender</v>
      </c>
      <c r="I285" s="45" t="str">
        <f aca="false">IF($R285="","",INDEX(Anforderungen!$K:$K,$R285))</f>
        <v>trifft nicht zu</v>
      </c>
      <c r="J285" s="46" t="n">
        <f aca="false">IF($R285="","",INDEX(Anforderungen!$L:$L,$R285))</f>
        <v>0</v>
      </c>
      <c r="K285" s="45" t="str">
        <f aca="false">IF($R285="","",INDEX(Anforderungen!$M:$M,$R285))</f>
        <v>Automatisch ausgewertet: Außerhalb des betrachteten Leistungsumfangs (Schranken, Kennzeichenerfassung, dynamische Anzeige).</v>
      </c>
      <c r="R285" s="0" t="n">
        <f aca="false">IFERROR(MATCH(ROWS($A$14:$A285),$T$7:$T$2000,0)+6,"")</f>
        <v>278</v>
      </c>
      <c r="T285" s="0" t="n">
        <f aca="false">IF(Anforderungen!$B285="","",IF(AND(OR($B5="(alle)",Anforderungen!$K285=$B5),OR($E5="(alle)",Anforderungen!$C285=$E5),OR($H5="(alle)",Anforderungen!$E285=$H5),OR($B7="(alle)",ISNUMBER(SEARCH($B7,Anforderungen!$J285))),OR($E7="(alle)",ISNUMBER(SEARCH($E7,Anforderungen!$I285))),OR($H7="",ISNUMBER(SEARCH($H7,Anforderungen!$F285&amp;" "&amp;Anforderungen!$G285)))),COUNT($T$6:$T284)+1,""))</f>
        <v>279</v>
      </c>
    </row>
    <row r="286" customFormat="false" ht="30" hidden="false" customHeight="true" outlineLevel="0" collapsed="false">
      <c r="A286" s="45" t="str">
        <f aca="false">IF($R286="","",INDEX(Anforderungen!$B:$B,$R286))</f>
        <v>ANF-273</v>
      </c>
      <c r="B286" s="45" t="str">
        <f aca="false">IF($R286="","",INDEX(Anforderungen!$C:$C,$R286))</f>
        <v>Bieterfragenkatalog</v>
      </c>
      <c r="C286" s="45" t="str">
        <f aca="false">IF($R286="","",INDEX(Anforderungen!$D:$D,$R286))</f>
        <v>Nr. 220 / S. 20</v>
      </c>
      <c r="D286" s="45" t="str">
        <f aca="false">IF($R286="","",INDEX(Anforderungen!$E:$E,$R286))</f>
        <v>Flächen &amp; Genehmigungen</v>
      </c>
      <c r="E286" s="45" t="str">
        <f aca="false">IF($R286="","",INDEX(Anforderungen!$F:$F,$R286))</f>
        <v>Klarstellung: Wir verweisen auf die Vertragsanlage 6 „Anforderungen an die Ladeeinrichtung" Kapitel 3: "Der CCS-Ladepunkt befindet sich links neben dem Fahrzeug, so dass Fahrzeuge mit der Ladebuchse auf der linken Fahrzeugseite grundsätzlich …</v>
      </c>
      <c r="F286" s="45" t="str">
        <f aca="false">IF($R286="","",INDEX(Anforderungen!$G:$G,$R286))</f>
        <v>Das Referenzlayout sieht für CCS-Ladepunkte eine Kabellänge von 5m auch für Standorte mit Ladepunkten linksseitig entlang eines Parkstreifen vor. Damit ist ein auf der Beifahrerseite befindlicher CCS-Anschluss nicht erreichbar. Sind in diesem Fällen auch Lösungen mit mehr als 5m langen Kabeln zulässig?</v>
      </c>
      <c r="G286" s="45" t="str">
        <f aca="false">IF($R286="","",INDEX(Anforderungen!$I:$I,$R286))</f>
        <v>Alpitronic</v>
      </c>
      <c r="H286" s="45" t="str">
        <f aca="false">IF($R286="","",INDEX(Anforderungen!$J:$J,$R286))</f>
        <v>Ladeeinrichtung</v>
      </c>
      <c r="I286" s="45" t="str">
        <f aca="false">IF($R286="","",INDEX(Anforderungen!$K:$K,$R286))</f>
        <v>trifft nicht zu</v>
      </c>
      <c r="J286" s="46" t="n">
        <f aca="false">IF($R286="","",INDEX(Anforderungen!$L:$L,$R286))</f>
        <v>0</v>
      </c>
      <c r="K286" s="45" t="str">
        <f aca="false">IF($R286="","",INDEX(Anforderungen!$M:$M,$R286))</f>
        <v>Automatisch ausgewertet: Außerhalb des betrachteten Leistungsumfangs (Schranken, Kennzeichenerfassung, dynamische Anzeige).</v>
      </c>
      <c r="R286" s="0" t="n">
        <f aca="false">IFERROR(MATCH(ROWS($A$14:$A286),$T$7:$T$2000,0)+6,"")</f>
        <v>279</v>
      </c>
      <c r="T286" s="0" t="n">
        <f aca="false">IF(Anforderungen!$B286="","",IF(AND(OR($B5="(alle)",Anforderungen!$K286=$B5),OR($E5="(alle)",Anforderungen!$C286=$E5),OR($H5="(alle)",Anforderungen!$E286=$H5),OR($B7="(alle)",ISNUMBER(SEARCH($B7,Anforderungen!$J286))),OR($E7="(alle)",ISNUMBER(SEARCH($E7,Anforderungen!$I286))),OR($H7="",ISNUMBER(SEARCH($H7,Anforderungen!$F286&amp;" "&amp;Anforderungen!$G286)))),COUNT($T$6:$T285)+1,""))</f>
        <v>280</v>
      </c>
    </row>
    <row r="287" customFormat="false" ht="30" hidden="false" customHeight="true" outlineLevel="0" collapsed="false">
      <c r="A287" s="45" t="str">
        <f aca="false">IF($R287="","",INDEX(Anforderungen!$B:$B,$R287))</f>
        <v>ANF-274</v>
      </c>
      <c r="B287" s="45" t="str">
        <f aca="false">IF($R287="","",INDEX(Anforderungen!$C:$C,$R287))</f>
        <v>Bieterfragenkatalog</v>
      </c>
      <c r="C287" s="45" t="str">
        <f aca="false">IF($R287="","",INDEX(Anforderungen!$D:$D,$R287))</f>
        <v>Nr. 221 / S. 20</v>
      </c>
      <c r="D287" s="45" t="str">
        <f aca="false">IF($R287="","",INDEX(Anforderungen!$E:$E,$R287))</f>
        <v>Bau &amp; Dokumentation</v>
      </c>
      <c r="E287" s="45" t="str">
        <f aca="false">IF($R287="","",INDEX(Anforderungen!$F:$F,$R287))</f>
        <v>Klarstellung: Die genaue Definition des Arbeitsbeginns als Tagesanbruch bleibt dem AN überlassen. Der morgendliche Arbeitsbeginn ist dabei möglich.</v>
      </c>
      <c r="F287" s="45" t="str">
        <f aca="false">IF($R287="","",INDEX(Anforderungen!$G:$G,$R287))</f>
        <v>Die Ausführungsbestimmungen für die Baumaßnahme sehen wochentags eine 2 mal-tägliche Kontrolle der Baustelle vor, davon einmal bei Tagesanbruch. Angesichts der Schwankungen des Tagesanbruchs zwischen 4:30 und 8:30 im Laufe des Jahres, stellt sich die Frage, ob es nicht effizienter und auch ausreichend wäre, diesen Kontrollzeitpunkt auf den des morgendlichen Arbeitsbeginns zu legen?</v>
      </c>
      <c r="G287" s="45" t="str">
        <f aca="false">IF($R287="","",INDEX(Anforderungen!$I:$I,$R287))</f>
        <v>offen</v>
      </c>
      <c r="H287" s="45" t="str">
        <f aca="false">IF($R287="","",INDEX(Anforderungen!$J:$J,$R287))</f>
        <v>–</v>
      </c>
      <c r="I287" s="45" t="str">
        <f aca="false">IF($R287="","",INDEX(Anforderungen!$K:$K,$R287))</f>
        <v>trifft nicht zu</v>
      </c>
      <c r="J287" s="46" t="n">
        <f aca="false">IF($R287="","",INDEX(Anforderungen!$L:$L,$R287))</f>
        <v>0</v>
      </c>
      <c r="K287" s="45" t="str">
        <f aca="false">IF($R287="","",INDEX(Anforderungen!$M:$M,$R287))</f>
        <v>Automatisch ausgewertet: Außerhalb des betrachteten Leistungsumfangs (Schranken, Kennzeichenerfassung, dynamische Anzeige).</v>
      </c>
      <c r="R287" s="0" t="n">
        <f aca="false">IFERROR(MATCH(ROWS($A$14:$A287),$T$7:$T$2000,0)+6,"")</f>
        <v>280</v>
      </c>
      <c r="T287" s="0" t="n">
        <f aca="false">IF(Anforderungen!$B287="","",IF(AND(OR($B5="(alle)",Anforderungen!$K287=$B5),OR($E5="(alle)",Anforderungen!$C287=$E5),OR($H5="(alle)",Anforderungen!$E287=$H5),OR($B7="(alle)",ISNUMBER(SEARCH($B7,Anforderungen!$J287))),OR($E7="(alle)",ISNUMBER(SEARCH($E7,Anforderungen!$I287))),OR($H7="",ISNUMBER(SEARCH($H7,Anforderungen!$F287&amp;" "&amp;Anforderungen!$G287)))),COUNT($T$6:$T286)+1,""))</f>
        <v>281</v>
      </c>
    </row>
    <row r="288" customFormat="false" ht="30" hidden="false" customHeight="true" outlineLevel="0" collapsed="false">
      <c r="A288" s="45" t="str">
        <f aca="false">IF($R288="","",INDEX(Anforderungen!$B:$B,$R288))</f>
        <v>ANF-275</v>
      </c>
      <c r="B288" s="45" t="str">
        <f aca="false">IF($R288="","",INDEX(Anforderungen!$C:$C,$R288))</f>
        <v>Bieterfragenkatalog</v>
      </c>
      <c r="C288" s="45" t="str">
        <f aca="false">IF($R288="","",INDEX(Anforderungen!$D:$D,$R288))</f>
        <v>Nr. 222 / S. 20</v>
      </c>
      <c r="D288" s="45" t="str">
        <f aca="false">IF($R288="","",INDEX(Anforderungen!$E:$E,$R288))</f>
        <v>Flächen &amp; Genehmigungen</v>
      </c>
      <c r="E288" s="45" t="str">
        <f aca="false">IF($R288="","",INDEX(Anforderungen!$F:$F,$R288))</f>
        <v>Bestätigt: alle auf den Rastanlagen verbauten Materialien, Baustoffe und Anlagen müssen vollumfänglich in Ihrer Quantität und Qualität dokumentiert werden.</v>
      </c>
      <c r="F288" s="45" t="str">
        <f aca="false">IF($R288="","",INDEX(Anforderungen!$G:$G,$R288))</f>
        <v>Der AN ist verpflichtet, die vertrags,- vorschriften- und regelkonforme Eignung und Erstellung sämtlicher Stoffe, Komponenten, Anlagen und Bauteile nachzuweisen und zu dokumentieren. Die Vorschriften für ESG stellen auf die Wesentlichkeit ab. Sind hier darüberhinausgehende Analysen zur Erstellung von Stoffen, Komponenten, Anlagen und Bauteilen zu erbringen?</v>
      </c>
      <c r="G288" s="45" t="str">
        <f aca="false">IF($R288="","",INDEX(Anforderungen!$I:$I,$R288))</f>
        <v>offen</v>
      </c>
      <c r="H288" s="45" t="str">
        <f aca="false">IF($R288="","",INDEX(Anforderungen!$J:$J,$R288))</f>
        <v>–</v>
      </c>
      <c r="I288" s="45" t="str">
        <f aca="false">IF($R288="","",INDEX(Anforderungen!$K:$K,$R288))</f>
        <v>trifft nicht zu</v>
      </c>
      <c r="J288" s="46" t="n">
        <f aca="false">IF($R288="","",INDEX(Anforderungen!$L:$L,$R288))</f>
        <v>0</v>
      </c>
      <c r="K288" s="45" t="str">
        <f aca="false">IF($R288="","",INDEX(Anforderungen!$M:$M,$R288))</f>
        <v>Automatisch ausgewertet: Außerhalb des betrachteten Leistungsumfangs (Schranken, Kennzeichenerfassung, dynamische Anzeige).</v>
      </c>
      <c r="R288" s="0" t="n">
        <f aca="false">IFERROR(MATCH(ROWS($A$14:$A288),$T$7:$T$2000,0)+6,"")</f>
        <v>281</v>
      </c>
      <c r="T288" s="0" t="n">
        <f aca="false">IF(Anforderungen!$B288="","",IF(AND(OR($B5="(alle)",Anforderungen!$K288=$B5),OR($E5="(alle)",Anforderungen!$C288=$E5),OR($H5="(alle)",Anforderungen!$E288=$H5),OR($B7="(alle)",ISNUMBER(SEARCH($B7,Anforderungen!$J288))),OR($E7="(alle)",ISNUMBER(SEARCH($E7,Anforderungen!$I288))),OR($H7="",ISNUMBER(SEARCH($H7,Anforderungen!$F288&amp;" "&amp;Anforderungen!$G288)))),COUNT($T$6:$T287)+1,""))</f>
        <v>282</v>
      </c>
    </row>
    <row r="289" customFormat="false" ht="30" hidden="false" customHeight="true" outlineLevel="0" collapsed="false">
      <c r="A289" s="45" t="str">
        <f aca="false">IF($R289="","",INDEX(Anforderungen!$B:$B,$R289))</f>
        <v>ANF-276</v>
      </c>
      <c r="B289" s="45" t="str">
        <f aca="false">IF($R289="","",INDEX(Anforderungen!$C:$C,$R289))</f>
        <v>Bieterfragenkatalog</v>
      </c>
      <c r="C289" s="45" t="str">
        <f aca="false">IF($R289="","",INDEX(Anforderungen!$D:$D,$R289))</f>
        <v>Nr. 223 / S. 20</v>
      </c>
      <c r="D289" s="45" t="str">
        <f aca="false">IF($R289="","",INDEX(Anforderungen!$E:$E,$R289))</f>
        <v>Vergabeverfahren &amp; Angebot</v>
      </c>
      <c r="E289" s="45" t="str">
        <f aca="false">IF($R289="","",INDEX(Anforderungen!$F:$F,$R289))</f>
        <v>Klarstellung: Auf die Erstangebote wird der Zuschlag nicht erteilt. Wir stellen daher klar, dass es keine Bindefrist für das Erstangebot geben wird.</v>
      </c>
      <c r="F289" s="45" t="str">
        <f aca="false">IF($R289="","",INDEX(Anforderungen!$G:$G,$R289))</f>
        <v>Im Angebotsschreiben heißt es: "Unser Angebot, an das wir uns bis zum Ablauf der Bindefrist gebunden halten,...". Wie ist die Unverbindlichkeit des Angebots mit dieser Aussage vereinbar?</v>
      </c>
      <c r="G289" s="45" t="str">
        <f aca="false">IF($R289="","",INDEX(Anforderungen!$I:$I,$R289))</f>
        <v>offen</v>
      </c>
      <c r="H289" s="45" t="str">
        <f aca="false">IF($R289="","",INDEX(Anforderungen!$J:$J,$R289))</f>
        <v>–</v>
      </c>
      <c r="I289" s="45" t="str">
        <f aca="false">IF($R289="","",INDEX(Anforderungen!$K:$K,$R289))</f>
        <v>trifft nicht zu</v>
      </c>
      <c r="J289" s="46" t="n">
        <f aca="false">IF($R289="","",INDEX(Anforderungen!$L:$L,$R289))</f>
        <v>0</v>
      </c>
      <c r="K289" s="45" t="str">
        <f aca="false">IF($R289="","",INDEX(Anforderungen!$M:$M,$R289))</f>
        <v>Automatisch ausgewertet: Betrifft das Vergabeverfahren (Angebot, Wertung, Unterlagen), nicht die zu erbringende Leistung. Keiner Komponente zugeordnet.</v>
      </c>
      <c r="R289" s="0" t="n">
        <f aca="false">IFERROR(MATCH(ROWS($A$14:$A289),$T$7:$T$2000,0)+6,"")</f>
        <v>282</v>
      </c>
      <c r="T289" s="0" t="n">
        <f aca="false">IF(Anforderungen!$B289="","",IF(AND(OR($B5="(alle)",Anforderungen!$K289=$B5),OR($E5="(alle)",Anforderungen!$C289=$E5),OR($H5="(alle)",Anforderungen!$E289=$H5),OR($B7="(alle)",ISNUMBER(SEARCH($B7,Anforderungen!$J289))),OR($E7="(alle)",ISNUMBER(SEARCH($E7,Anforderungen!$I289))),OR($H7="",ISNUMBER(SEARCH($H7,Anforderungen!$F289&amp;" "&amp;Anforderungen!$G289)))),COUNT($T$6:$T288)+1,""))</f>
        <v>283</v>
      </c>
    </row>
    <row r="290" customFormat="false" ht="30" hidden="false" customHeight="true" outlineLevel="0" collapsed="false">
      <c r="A290" s="45" t="str">
        <f aca="false">IF($R290="","",INDEX(Anforderungen!$B:$B,$R290))</f>
        <v>ANF-277</v>
      </c>
      <c r="B290" s="45" t="str">
        <f aca="false">IF($R290="","",INDEX(Anforderungen!$C:$C,$R290))</f>
        <v>Bieterfragenkatalog</v>
      </c>
      <c r="C290" s="45" t="str">
        <f aca="false">IF($R290="","",INDEX(Anforderungen!$D:$D,$R290))</f>
        <v>Nr. 224 / S. 20</v>
      </c>
      <c r="D290" s="45" t="str">
        <f aca="false">IF($R290="","",INDEX(Anforderungen!$E:$E,$R290))</f>
        <v>Vertrag &amp; Recht</v>
      </c>
      <c r="E290" s="45" t="str">
        <f aca="false">IF($R290="","",INDEX(Anforderungen!$F:$F,$R290))</f>
        <v>Klarstellung: Ihre Annahme ist zutreffend. Das allgemeingültige Projekthandbuch ist innerhalb von 4 Wochen einzureichen.</v>
      </c>
      <c r="F290" s="45" t="str">
        <f aca="false">IF($R290="","",INDEX(Anforderungen!$G:$G,$R290))</f>
        <v>Gehen wir recht in der Annahme, dass die Frist von 4 Wochen für die Einreichung des allgemeinen Projekthandbuchs gilt und nicht für die standortbezogenen? Wann müssen die standortbezogenen Projekthandbücher eingereicht werden?</v>
      </c>
      <c r="G290" s="45" t="str">
        <f aca="false">IF($R290="","",INDEX(Anforderungen!$I:$I,$R290))</f>
        <v>offen</v>
      </c>
      <c r="H290" s="45" t="str">
        <f aca="false">IF($R290="","",INDEX(Anforderungen!$J:$J,$R290))</f>
        <v>–</v>
      </c>
      <c r="I290" s="45" t="str">
        <f aca="false">IF($R290="","",INDEX(Anforderungen!$K:$K,$R290))</f>
        <v>trifft nicht zu</v>
      </c>
      <c r="J290" s="46" t="n">
        <f aca="false">IF($R290="","",INDEX(Anforderungen!$L:$L,$R290))</f>
        <v>0</v>
      </c>
      <c r="K290" s="45" t="str">
        <f aca="false">IF($R290="","",INDEX(Anforderungen!$M:$M,$R290))</f>
        <v>Automatisch ausgewertet: Außerhalb des betrachteten Leistungsumfangs (Schranken, Kennzeichenerfassung, dynamische Anzeige).</v>
      </c>
      <c r="R290" s="0" t="n">
        <f aca="false">IFERROR(MATCH(ROWS($A$14:$A290),$T$7:$T$2000,0)+6,"")</f>
        <v>283</v>
      </c>
      <c r="T290" s="0" t="n">
        <f aca="false">IF(Anforderungen!$B290="","",IF(AND(OR($B5="(alle)",Anforderungen!$K290=$B5),OR($E5="(alle)",Anforderungen!$C290=$E5),OR($H5="(alle)",Anforderungen!$E290=$H5),OR($B7="(alle)",ISNUMBER(SEARCH($B7,Anforderungen!$J290))),OR($E7="(alle)",ISNUMBER(SEARCH($E7,Anforderungen!$I290))),OR($H7="",ISNUMBER(SEARCH($H7,Anforderungen!$F290&amp;" "&amp;Anforderungen!$G290)))),COUNT($T$6:$T289)+1,""))</f>
        <v>284</v>
      </c>
    </row>
    <row r="291" customFormat="false" ht="30" hidden="false" customHeight="true" outlineLevel="0" collapsed="false">
      <c r="A291" s="45" t="str">
        <f aca="false">IF($R291="","",INDEX(Anforderungen!$B:$B,$R291))</f>
        <v>ANF-278</v>
      </c>
      <c r="B291" s="45" t="str">
        <f aca="false">IF($R291="","",INDEX(Anforderungen!$C:$C,$R291))</f>
        <v>Bieterfragenkatalog</v>
      </c>
      <c r="C291" s="45" t="str">
        <f aca="false">IF($R291="","",INDEX(Anforderungen!$D:$D,$R291))</f>
        <v>Nr. 225 / S. 20</v>
      </c>
      <c r="D291" s="45" t="str">
        <f aca="false">IF($R291="","",INDEX(Anforderungen!$E:$E,$R291))</f>
        <v>Bau &amp; Dokumentation</v>
      </c>
      <c r="E291" s="45" t="str">
        <f aca="false">IF($R291="","",INDEX(Anforderungen!$F:$F,$R291))</f>
        <v>Anpassung der Unterlagen: Vielen Dank für den Hinweis. In Kap.</v>
      </c>
      <c r="F291" s="45" t="str">
        <f aca="false">IF($R291="","",INDEX(Anforderungen!$G:$G,$R291))</f>
        <v>Gemäß Vertragsanlage 04 – LB Errichtung; Ziff. 3.3.5 "Antrag auf Baufreigabe" sind Inhalt und Umfang dessen in Anlage 10 zum Vertrag genauer beschrieben. Wir bitten um Überprüfung, da es sich bei Vertragsanlage 10 um die Anforderungen für die Betriebsfreigabe und nicht um die Baufreigabe handelt.</v>
      </c>
      <c r="G291" s="45" t="str">
        <f aca="false">IF($R291="","",INDEX(Anforderungen!$I:$I,$R291))</f>
        <v>offen</v>
      </c>
      <c r="H291" s="45" t="str">
        <f aca="false">IF($R291="","",INDEX(Anforderungen!$J:$J,$R291))</f>
        <v>–</v>
      </c>
      <c r="I291" s="45" t="str">
        <f aca="false">IF($R291="","",INDEX(Anforderungen!$K:$K,$R291))</f>
        <v>trifft nicht zu</v>
      </c>
      <c r="J291" s="46" t="n">
        <f aca="false">IF($R291="","",INDEX(Anforderungen!$L:$L,$R291))</f>
        <v>0</v>
      </c>
      <c r="K291" s="45" t="str">
        <f aca="false">IF($R291="","",INDEX(Anforderungen!$M:$M,$R291))</f>
        <v>Automatisch ausgewertet: Außerhalb des betrachteten Leistungsumfangs (Schranken, Kennzeichenerfassung, dynamische Anzeige).</v>
      </c>
      <c r="R291" s="0" t="n">
        <f aca="false">IFERROR(MATCH(ROWS($A$14:$A291),$T$7:$T$2000,0)+6,"")</f>
        <v>284</v>
      </c>
      <c r="T291" s="0" t="n">
        <f aca="false">IF(Anforderungen!$B291="","",IF(AND(OR($B5="(alle)",Anforderungen!$K291=$B5),OR($E5="(alle)",Anforderungen!$C291=$E5),OR($H5="(alle)",Anforderungen!$E291=$H5),OR($B7="(alle)",ISNUMBER(SEARCH($B7,Anforderungen!$J291))),OR($E7="(alle)",ISNUMBER(SEARCH($E7,Anforderungen!$I291))),OR($H7="",ISNUMBER(SEARCH($H7,Anforderungen!$F291&amp;" "&amp;Anforderungen!$G291)))),COUNT($T$6:$T290)+1,""))</f>
        <v>285</v>
      </c>
    </row>
    <row r="292" customFormat="false" ht="30" hidden="false" customHeight="true" outlineLevel="0" collapsed="false">
      <c r="A292" s="45" t="str">
        <f aca="false">IF($R292="","",INDEX(Anforderungen!$B:$B,$R292))</f>
        <v>ANF-279</v>
      </c>
      <c r="B292" s="45" t="str">
        <f aca="false">IF($R292="","",INDEX(Anforderungen!$C:$C,$R292))</f>
        <v>Bieterfragenkatalog</v>
      </c>
      <c r="C292" s="45" t="str">
        <f aca="false">IF($R292="","",INDEX(Anforderungen!$D:$D,$R292))</f>
        <v>Nr. 226 / S. 21</v>
      </c>
      <c r="D292" s="45" t="str">
        <f aca="false">IF($R292="","",INDEX(Anforderungen!$E:$E,$R292))</f>
        <v>Netzanschluss &amp; Energie</v>
      </c>
      <c r="E292" s="45" t="str">
        <f aca="false">IF($R292="","",INDEX(Anforderungen!$F:$F,$R292))</f>
        <v>Klarstellung: zu a) Die Annahme ist unzutreffend. Betriebs-, Wartungs-, und Instandhaltungsunterlagen sind für die gesamte Ladeinfrastruktur (Anlage 1 Betreibervertrag, § 4, Abs.</v>
      </c>
      <c r="F292" s="45" t="str">
        <f aca="false">IF($R292="","",INDEX(Anforderungen!$G:$G,$R292))</f>
        <v>a. Gehen wir recht in der Annahme, dass sich die Lieferung von Betriebs-, Wartungs- und Instandhaltungsunterlagen für jede selbstständig funktionierende und einzeln zu wartende Anlage eines Standorts auf die Anlagen Trafostation und Ladesäulen bezieht? b. Andernfalls bitten wir um Mitteilung, welche weiteren Anlagen hiermit gemeint sind. c. Gehen wir recht in der Annahme, dass nur für solche Anlagen(-teile) und Geräte Bedienungsanleitungen zu übergeben sind, für die es Bedienungsanleitungen vom Hersteller gibt? Andernfalls bitten wir um Konkretisierung, für welche Anlagen(-teile) und Geräte Bedienungsanleitungen projektspezifisch zu erstellen sind.</v>
      </c>
      <c r="G292" s="45" t="str">
        <f aca="false">IF($R292="","",INDEX(Anforderungen!$I:$I,$R292))</f>
        <v>Alpitronic</v>
      </c>
      <c r="H292" s="45" t="str">
        <f aca="false">IF($R292="","",INDEX(Anforderungen!$J:$J,$R292))</f>
        <v>Ladeeinrichtung</v>
      </c>
      <c r="I292" s="45" t="str">
        <f aca="false">IF($R292="","",INDEX(Anforderungen!$K:$K,$R292))</f>
        <v>trifft nicht zu</v>
      </c>
      <c r="J292" s="46" t="n">
        <f aca="false">IF($R292="","",INDEX(Anforderungen!$L:$L,$R292))</f>
        <v>0</v>
      </c>
      <c r="K292" s="45" t="str">
        <f aca="false">IF($R292="","",INDEX(Anforderungen!$M:$M,$R292))</f>
        <v>Automatisch ausgewertet: Außerhalb des betrachteten Leistungsumfangs (Schranken, Kennzeichenerfassung, dynamische Anzeige).</v>
      </c>
      <c r="R292" s="0" t="n">
        <f aca="false">IFERROR(MATCH(ROWS($A$14:$A292),$T$7:$T$2000,0)+6,"")</f>
        <v>285</v>
      </c>
      <c r="T292" s="0" t="n">
        <f aca="false">IF(Anforderungen!$B292="","",IF(AND(OR($B5="(alle)",Anforderungen!$K292=$B5),OR($E5="(alle)",Anforderungen!$C292=$E5),OR($H5="(alle)",Anforderungen!$E292=$H5),OR($B7="(alle)",ISNUMBER(SEARCH($B7,Anforderungen!$J292))),OR($E7="(alle)",ISNUMBER(SEARCH($E7,Anforderungen!$I292))),OR($H7="",ISNUMBER(SEARCH($H7,Anforderungen!$F292&amp;" "&amp;Anforderungen!$G292)))),COUNT($T$6:$T291)+1,""))</f>
        <v>286</v>
      </c>
    </row>
    <row r="293" customFormat="false" ht="30" hidden="false" customHeight="true" outlineLevel="0" collapsed="false">
      <c r="A293" s="45" t="str">
        <f aca="false">IF($R293="","",INDEX(Anforderungen!$B:$B,$R293))</f>
        <v>ANF-280</v>
      </c>
      <c r="B293" s="45" t="str">
        <f aca="false">IF($R293="","",INDEX(Anforderungen!$C:$C,$R293))</f>
        <v>Bieterfragenkatalog</v>
      </c>
      <c r="C293" s="45" t="str">
        <f aca="false">IF($R293="","",INDEX(Anforderungen!$D:$D,$R293))</f>
        <v>Nr. 227 / S. 21</v>
      </c>
      <c r="D293" s="45" t="str">
        <f aca="false">IF($R293="","",INDEX(Anforderungen!$E:$E,$R293))</f>
        <v>Betrieb &amp; Auslastung</v>
      </c>
      <c r="E293" s="45" t="str">
        <f aca="false">IF($R293="","",INDEX(Anforderungen!$F:$F,$R293))</f>
        <v>Klarstellung: Schadensereignis meint jede Handlung, die den Schaden unmittelbar ausgelöst hat. Hierbei können mehrere Handlungen ein Schadenereignis darstellen, wenn zwischen den einzelnen Handlungen ein sachlicher und zeitlicher Zusammengang …</v>
      </c>
      <c r="F293" s="45" t="str">
        <f aca="false">IF($R293="","",INDEX(Anforderungen!$G:$G,$R293))</f>
        <v>Bitte definieren Sie "Schadenereignis". Wenn ein Standort mehrere Tage in Folge Gegenstand von Vandalismus ist, gilt dies dann als ein einziges Ereignis?</v>
      </c>
      <c r="G293" s="45" t="str">
        <f aca="false">IF($R293="","",INDEX(Anforderungen!$I:$I,$R293))</f>
        <v>Zuordnung prüfen</v>
      </c>
      <c r="H293" s="45" t="str">
        <f aca="false">IF($R293="","",INDEX(Anforderungen!$J:$J,$R293))</f>
        <v>Zuordnung prüfen</v>
      </c>
      <c r="I293" s="45" t="str">
        <f aca="false">IF($R293="","",INDEX(Anforderungen!$K:$K,$R293))</f>
        <v>trifft nicht zu</v>
      </c>
      <c r="J293" s="46" t="n">
        <f aca="false">IF($R293="","",INDEX(Anforderungen!$L:$L,$R293))</f>
        <v>0</v>
      </c>
      <c r="K293" s="45" t="str">
        <f aca="false">IF($R293="","",INDEX(Anforderungen!$M:$M,$R293))</f>
        <v>Automatisch ausgewertet: Außerhalb des betrachteten Leistungsumfangs (Schranken, Kennzeichenerfassung, dynamische Anzeige).</v>
      </c>
      <c r="R293" s="0" t="n">
        <f aca="false">IFERROR(MATCH(ROWS($A$14:$A293),$T$7:$T$2000,0)+6,"")</f>
        <v>286</v>
      </c>
      <c r="T293" s="0" t="n">
        <f aca="false">IF(Anforderungen!$B293="","",IF(AND(OR($B5="(alle)",Anforderungen!$K293=$B5),OR($E5="(alle)",Anforderungen!$C293=$E5),OR($H5="(alle)",Anforderungen!$E293=$H5),OR($B7="(alle)",ISNUMBER(SEARCH($B7,Anforderungen!$J293))),OR($E7="(alle)",ISNUMBER(SEARCH($E7,Anforderungen!$I293))),OR($H7="",ISNUMBER(SEARCH($H7,Anforderungen!$F293&amp;" "&amp;Anforderungen!$G293)))),COUNT($T$6:$T292)+1,""))</f>
        <v>287</v>
      </c>
    </row>
    <row r="294" customFormat="false" ht="30" hidden="false" customHeight="true" outlineLevel="0" collapsed="false">
      <c r="A294" s="45" t="str">
        <f aca="false">IF($R294="","",INDEX(Anforderungen!$B:$B,$R294))</f>
        <v>ANF-281</v>
      </c>
      <c r="B294" s="45" t="str">
        <f aca="false">IF($R294="","",INDEX(Anforderungen!$C:$C,$R294))</f>
        <v>Bieterfragenkatalog</v>
      </c>
      <c r="C294" s="45" t="str">
        <f aca="false">IF($R294="","",INDEX(Anforderungen!$D:$D,$R294))</f>
        <v>Nr. 228 / S. 21</v>
      </c>
      <c r="D294" s="45" t="str">
        <f aca="false">IF($R294="","",INDEX(Anforderungen!$E:$E,$R294))</f>
        <v>Vertrag &amp; Recht</v>
      </c>
      <c r="E294" s="45" t="str">
        <f aca="false">IF($R294="","",INDEX(Anforderungen!$F:$F,$R294))</f>
        <v>Klarstellung: Der Zusammenhang zwischen der Versicherungsprämie und der Höchstgrenze für die Wiederherstellung der Ladeinfrastruktur ist für den AG nicht ersichtlich.</v>
      </c>
      <c r="F294" s="45" t="str">
        <f aca="false">IF($R294="","",INDEX(Anforderungen!$G:$G,$R294))</f>
        <v>Umfasst die Berechnung der € 0,5 Mio., die der AN insgesamt über die gesamte Vertragslaufzeit für das Risiko der Beschädigung oder Zerstörung der Ladeinfrastruktur übernimmt, die Kosten der vom AN gezahlten Versicherungsprämie?</v>
      </c>
      <c r="G294" s="45" t="str">
        <f aca="false">IF($R294="","",INDEX(Anforderungen!$I:$I,$R294))</f>
        <v>offen</v>
      </c>
      <c r="H294" s="45" t="str">
        <f aca="false">IF($R294="","",INDEX(Anforderungen!$J:$J,$R294))</f>
        <v>–</v>
      </c>
      <c r="I294" s="45" t="str">
        <f aca="false">IF($R294="","",INDEX(Anforderungen!$K:$K,$R294))</f>
        <v>trifft nicht zu</v>
      </c>
      <c r="J294" s="46" t="n">
        <f aca="false">IF($R294="","",INDEX(Anforderungen!$L:$L,$R294))</f>
        <v>0</v>
      </c>
      <c r="K294" s="45" t="str">
        <f aca="false">IF($R294="","",INDEX(Anforderungen!$M:$M,$R294))</f>
        <v>Automatisch ausgewertet: Außerhalb des betrachteten Leistungsumfangs (Schranken, Kennzeichenerfassung, dynamische Anzeige).</v>
      </c>
      <c r="R294" s="0" t="n">
        <f aca="false">IFERROR(MATCH(ROWS($A$14:$A294),$T$7:$T$2000,0)+6,"")</f>
        <v>287</v>
      </c>
      <c r="T294" s="0" t="n">
        <f aca="false">IF(Anforderungen!$B294="","",IF(AND(OR($B5="(alle)",Anforderungen!$K294=$B5),OR($E5="(alle)",Anforderungen!$C294=$E5),OR($H5="(alle)",Anforderungen!$E294=$H5),OR($B7="(alle)",ISNUMBER(SEARCH($B7,Anforderungen!$J294))),OR($E7="(alle)",ISNUMBER(SEARCH($E7,Anforderungen!$I294))),OR($H7="",ISNUMBER(SEARCH($H7,Anforderungen!$F294&amp;" "&amp;Anforderungen!$G294)))),COUNT($T$6:$T293)+1,""))</f>
        <v>288</v>
      </c>
    </row>
    <row r="295" customFormat="false" ht="30" hidden="false" customHeight="true" outlineLevel="0" collapsed="false">
      <c r="A295" s="45" t="str">
        <f aca="false">IF($R295="","",INDEX(Anforderungen!$B:$B,$R295))</f>
        <v>ANF-282</v>
      </c>
      <c r="B295" s="45" t="str">
        <f aca="false">IF($R295="","",INDEX(Anforderungen!$C:$C,$R295))</f>
        <v>Bieterfragenkatalog</v>
      </c>
      <c r="C295" s="45" t="str">
        <f aca="false">IF($R295="","",INDEX(Anforderungen!$D:$D,$R295))</f>
        <v>Nr. 229 / S. 21</v>
      </c>
      <c r="D295" s="45" t="str">
        <f aca="false">IF($R295="","",INDEX(Anforderungen!$E:$E,$R295))</f>
        <v>Vertrag &amp; Recht</v>
      </c>
      <c r="E295" s="45" t="str">
        <f aca="false">IF($R295="","",INDEX(Anforderungen!$F:$F,$R295))</f>
        <v>Klarstellung: Vielen Dank für den Hinweis: es muss AN heißen.</v>
      </c>
      <c r="F295" s="45" t="str">
        <f aca="false">IF($R295="","",INDEX(Anforderungen!$G:$G,$R295))</f>
        <v>Wir bitten um Überprüfung und ggf. Korrektur des Wortes "Auftraggeber" im vorletzten Absatz, letzter Satz des §23.3 ("Wenn und soweit eine Instandsetzung, Wiederherstellung bzw. Erneuerung durch den Auftraggeber…"</v>
      </c>
      <c r="G295" s="45" t="str">
        <f aca="false">IF($R295="","",INDEX(Anforderungen!$I:$I,$R295))</f>
        <v>offen</v>
      </c>
      <c r="H295" s="45" t="str">
        <f aca="false">IF($R295="","",INDEX(Anforderungen!$J:$J,$R295))</f>
        <v>–</v>
      </c>
      <c r="I295" s="45" t="str">
        <f aca="false">IF($R295="","",INDEX(Anforderungen!$K:$K,$R295))</f>
        <v>trifft nicht zu</v>
      </c>
      <c r="J295" s="46" t="n">
        <f aca="false">IF($R295="","",INDEX(Anforderungen!$L:$L,$R295))</f>
        <v>0</v>
      </c>
      <c r="K295" s="45" t="str">
        <f aca="false">IF($R295="","",INDEX(Anforderungen!$M:$M,$R295))</f>
        <v>Automatisch ausgewertet: Außerhalb des betrachteten Leistungsumfangs (Schranken, Kennzeichenerfassung, dynamische Anzeige).</v>
      </c>
      <c r="R295" s="0" t="n">
        <f aca="false">IFERROR(MATCH(ROWS($A$14:$A295),$T$7:$T$2000,0)+6,"")</f>
        <v>288</v>
      </c>
      <c r="T295" s="0" t="n">
        <f aca="false">IF(Anforderungen!$B295="","",IF(AND(OR($B5="(alle)",Anforderungen!$K295=$B5),OR($E5="(alle)",Anforderungen!$C295=$E5),OR($H5="(alle)",Anforderungen!$E295=$H5),OR($B7="(alle)",ISNUMBER(SEARCH($B7,Anforderungen!$J295))),OR($E7="(alle)",ISNUMBER(SEARCH($E7,Anforderungen!$I295))),OR($H7="",ISNUMBER(SEARCH($H7,Anforderungen!$F295&amp;" "&amp;Anforderungen!$G295)))),COUNT($T$6:$T294)+1,""))</f>
        <v>289</v>
      </c>
    </row>
    <row r="296" customFormat="false" ht="30" hidden="false" customHeight="true" outlineLevel="0" collapsed="false">
      <c r="A296" s="45" t="str">
        <f aca="false">IF($R296="","",INDEX(Anforderungen!$B:$B,$R296))</f>
        <v>ANF-283</v>
      </c>
      <c r="B296" s="45" t="str">
        <f aca="false">IF($R296="","",INDEX(Anforderungen!$C:$C,$R296))</f>
        <v>Bieterfragenkatalog</v>
      </c>
      <c r="C296" s="45" t="str">
        <f aca="false">IF($R296="","",INDEX(Anforderungen!$D:$D,$R296))</f>
        <v>Nr. 230 / S. 21</v>
      </c>
      <c r="D296" s="45" t="str">
        <f aca="false">IF($R296="","",INDEX(Anforderungen!$E:$E,$R296))</f>
        <v>Netzanschluss &amp; Energie</v>
      </c>
      <c r="E296" s="45" t="str">
        <f aca="false">IF($R296="","",INDEX(Anforderungen!$F:$F,$R296))</f>
        <v>Verweis des Auftraggebers auf die Antwort zu Bieterfrage 211.</v>
      </c>
      <c r="F296" s="45" t="str">
        <f aca="false">IF($R296="","",INDEX(Anforderungen!$G:$G,$R296))</f>
        <v>Aus rechtlicher Sicht ist unklar, wie Strom, der aus einem Speicher entnommen wird, im Durchleitungsmodell behandelt werden soll. Wir bitten um Erläuterung.</v>
      </c>
      <c r="G296" s="45" t="str">
        <f aca="false">IF($R296="","",INDEX(Anforderungen!$I:$I,$R296))</f>
        <v>offen</v>
      </c>
      <c r="H296" s="45" t="str">
        <f aca="false">IF($R296="","",INDEX(Anforderungen!$J:$J,$R296))</f>
        <v>–</v>
      </c>
      <c r="I296" s="45" t="str">
        <f aca="false">IF($R296="","",INDEX(Anforderungen!$K:$K,$R296))</f>
        <v>trifft nicht zu</v>
      </c>
      <c r="J296" s="46" t="n">
        <f aca="false">IF($R296="","",INDEX(Anforderungen!$L:$L,$R296))</f>
        <v>0</v>
      </c>
      <c r="K296" s="45" t="str">
        <f aca="false">IF($R296="","",INDEX(Anforderungen!$M:$M,$R296))</f>
        <v>Automatisch ausgewertet: Die Antwort des Auftraggebers verweist ausschließlich auf Bieterfrage 211. Keine eigenständige Anforderung – der Inhalt ist unter der dort erfassten Zeile nachzuhalten.</v>
      </c>
      <c r="R296" s="0" t="n">
        <f aca="false">IFERROR(MATCH(ROWS($A$14:$A296),$T$7:$T$2000,0)+6,"")</f>
        <v>289</v>
      </c>
      <c r="T296" s="0" t="n">
        <f aca="false">IF(Anforderungen!$B296="","",IF(AND(OR($B5="(alle)",Anforderungen!$K296=$B5),OR($E5="(alle)",Anforderungen!$C296=$E5),OR($H5="(alle)",Anforderungen!$E296=$H5),OR($B7="(alle)",ISNUMBER(SEARCH($B7,Anforderungen!$J296))),OR($E7="(alle)",ISNUMBER(SEARCH($E7,Anforderungen!$I296))),OR($H7="",ISNUMBER(SEARCH($H7,Anforderungen!$F296&amp;" "&amp;Anforderungen!$G296)))),COUNT($T$6:$T295)+1,""))</f>
        <v>290</v>
      </c>
    </row>
    <row r="297" customFormat="false" ht="30" hidden="false" customHeight="true" outlineLevel="0" collapsed="false">
      <c r="A297" s="45" t="str">
        <f aca="false">IF($R297="","",INDEX(Anforderungen!$B:$B,$R297))</f>
        <v>ANF-284</v>
      </c>
      <c r="B297" s="45" t="str">
        <f aca="false">IF($R297="","",INDEX(Anforderungen!$C:$C,$R297))</f>
        <v>Bieterfragenkatalog</v>
      </c>
      <c r="C297" s="45" t="str">
        <f aca="false">IF($R297="","",INDEX(Anforderungen!$D:$D,$R297))</f>
        <v>Nr. 231 / S. 21</v>
      </c>
      <c r="D297" s="45" t="str">
        <f aca="false">IF($R297="","",INDEX(Anforderungen!$E:$E,$R297))</f>
        <v>Vertrag &amp; Recht</v>
      </c>
      <c r="E297" s="45" t="str">
        <f aca="false">IF($R297="","",INDEX(Anforderungen!$F:$F,$R297))</f>
        <v>Klarstellung: Mit der in der Vertragsanlage 3, § 50.2 aufgeführten Bezeichnung: „Dritte“ sind Personen oder Organisationen gemeint, die keine Vertragsparteien sind (z.</v>
      </c>
      <c r="F297" s="45" t="str">
        <f aca="false">IF($R297="","",INDEX(Anforderungen!$G:$G,$R297))</f>
        <v>Wir bitten um beispielhafte Erläuterung, welche Dritten hier gemeint sind und was der Hintergrund für diese Festlegung ist.</v>
      </c>
      <c r="G297" s="45" t="str">
        <f aca="false">IF($R297="","",INDEX(Anforderungen!$I:$I,$R297))</f>
        <v>offen</v>
      </c>
      <c r="H297" s="45" t="str">
        <f aca="false">IF($R297="","",INDEX(Anforderungen!$J:$J,$R297))</f>
        <v>–</v>
      </c>
      <c r="I297" s="45" t="str">
        <f aca="false">IF($R297="","",INDEX(Anforderungen!$K:$K,$R297))</f>
        <v>trifft nicht zu</v>
      </c>
      <c r="J297" s="46" t="n">
        <f aca="false">IF($R297="","",INDEX(Anforderungen!$L:$L,$R297))</f>
        <v>0</v>
      </c>
      <c r="K297" s="45" t="str">
        <f aca="false">IF($R297="","",INDEX(Anforderungen!$M:$M,$R297))</f>
        <v>Automatisch ausgewertet: Außerhalb des betrachteten Leistungsumfangs (Schranken, Kennzeichenerfassung, dynamische Anzeige).</v>
      </c>
      <c r="R297" s="0" t="n">
        <f aca="false">IFERROR(MATCH(ROWS($A$14:$A297),$T$7:$T$2000,0)+6,"")</f>
        <v>290</v>
      </c>
      <c r="T297" s="0" t="n">
        <f aca="false">IF(Anforderungen!$B297="","",IF(AND(OR($B5="(alle)",Anforderungen!$K297=$B5),OR($E5="(alle)",Anforderungen!$C297=$E5),OR($H5="(alle)",Anforderungen!$E297=$H5),OR($B7="(alle)",ISNUMBER(SEARCH($B7,Anforderungen!$J297))),OR($E7="(alle)",ISNUMBER(SEARCH($E7,Anforderungen!$I297))),OR($H7="",ISNUMBER(SEARCH($H7,Anforderungen!$F297&amp;" "&amp;Anforderungen!$G297)))),COUNT($T$6:$T296)+1,""))</f>
        <v>291</v>
      </c>
    </row>
    <row r="298" customFormat="false" ht="30" hidden="false" customHeight="true" outlineLevel="0" collapsed="false">
      <c r="A298" s="45" t="str">
        <f aca="false">IF($R298="","",INDEX(Anforderungen!$B:$B,$R298))</f>
        <v>ANF-285</v>
      </c>
      <c r="B298" s="45" t="str">
        <f aca="false">IF($R298="","",INDEX(Anforderungen!$C:$C,$R298))</f>
        <v>Bieterfragenkatalog</v>
      </c>
      <c r="C298" s="45" t="str">
        <f aca="false">IF($R298="","",INDEX(Anforderungen!$D:$D,$R298))</f>
        <v>Nr. 232 / S. 21</v>
      </c>
      <c r="D298" s="45" t="str">
        <f aca="false">IF($R298="","",INDEX(Anforderungen!$E:$E,$R298))</f>
        <v>Vertrag &amp; Recht</v>
      </c>
      <c r="E298" s="45" t="str">
        <f aca="false">IF($R298="","",INDEX(Anforderungen!$F:$F,$R298))</f>
        <v>Klarstellung: Die Festlegung bezieht sich nur auf Nachunternehmer und nicht auf Nach-Nachunternehmer.</v>
      </c>
      <c r="F298" s="45" t="str">
        <f aca="false">IF($R298="","",INDEX(Anforderungen!$G:$G,$R298))</f>
        <v>Gilt die Festlegung bzgl. des Nettoauftragswertes von€ 25.000,00 bei Nachunternehmern ebenso für Nach- Nachunternehmer?</v>
      </c>
      <c r="G298" s="45" t="str">
        <f aca="false">IF($R298="","",INDEX(Anforderungen!$I:$I,$R298))</f>
        <v>offen</v>
      </c>
      <c r="H298" s="45" t="str">
        <f aca="false">IF($R298="","",INDEX(Anforderungen!$J:$J,$R298))</f>
        <v>–</v>
      </c>
      <c r="I298" s="45" t="str">
        <f aca="false">IF($R298="","",INDEX(Anforderungen!$K:$K,$R298))</f>
        <v>trifft nicht zu</v>
      </c>
      <c r="J298" s="46" t="n">
        <f aca="false">IF($R298="","",INDEX(Anforderungen!$L:$L,$R298))</f>
        <v>0</v>
      </c>
      <c r="K298" s="45" t="str">
        <f aca="false">IF($R298="","",INDEX(Anforderungen!$M:$M,$R298))</f>
        <v>Automatisch ausgewertet: Außerhalb des betrachteten Leistungsumfangs (Schranken, Kennzeichenerfassung, dynamische Anzeige).</v>
      </c>
      <c r="R298" s="0" t="n">
        <f aca="false">IFERROR(MATCH(ROWS($A$14:$A298),$T$7:$T$2000,0)+6,"")</f>
        <v>291</v>
      </c>
      <c r="T298" s="0" t="n">
        <f aca="false">IF(Anforderungen!$B298="","",IF(AND(OR($B5="(alle)",Anforderungen!$K298=$B5),OR($E5="(alle)",Anforderungen!$C298=$E5),OR($H5="(alle)",Anforderungen!$E298=$H5),OR($B7="(alle)",ISNUMBER(SEARCH($B7,Anforderungen!$J298))),OR($E7="(alle)",ISNUMBER(SEARCH($E7,Anforderungen!$I298))),OR($H7="",ISNUMBER(SEARCH($H7,Anforderungen!$F298&amp;" "&amp;Anforderungen!$G298)))),COUNT($T$6:$T297)+1,""))</f>
        <v>292</v>
      </c>
    </row>
    <row r="299" customFormat="false" ht="30" hidden="false" customHeight="true" outlineLevel="0" collapsed="false">
      <c r="A299" s="45" t="str">
        <f aca="false">IF($R299="","",INDEX(Anforderungen!$B:$B,$R299))</f>
        <v>ANF-286</v>
      </c>
      <c r="B299" s="45" t="str">
        <f aca="false">IF($R299="","",INDEX(Anforderungen!$C:$C,$R299))</f>
        <v>Bieterfragenkatalog</v>
      </c>
      <c r="C299" s="45" t="str">
        <f aca="false">IF($R299="","",INDEX(Anforderungen!$D:$D,$R299))</f>
        <v>Nr. 233 / S. 21</v>
      </c>
      <c r="D299" s="45" t="str">
        <f aca="false">IF($R299="","",INDEX(Anforderungen!$E:$E,$R299))</f>
        <v>Betrieb &amp; Auslastung</v>
      </c>
      <c r="E299" s="45" t="str">
        <f aca="false">IF($R299="","",INDEX(Anforderungen!$F:$F,$R299))</f>
        <v>Klarstellung: Nach aktueller Einschätzung ist weder der Ausbau von Oberleitungssystemen noch der Ausbau von induktivem Laden in absehbarer Zukunft geplant.</v>
      </c>
      <c r="F299" s="45" t="str">
        <f aca="false">IF($R299="","",INDEX(Anforderungen!$G:$G,$R299))</f>
        <v>Wie würde die Kompensation für den AN aussehen, wenn in der Nähe der ausgeschriebenen Standorte Laden während der Fahrt (z.B. Oberleitungsladesysteme oder induktives Laden) ermöglicht wird? Dies würde die Auslastung der Standorte verringern.</v>
      </c>
      <c r="G299" s="45" t="str">
        <f aca="false">IF($R299="","",INDEX(Anforderungen!$I:$I,$R299))</f>
        <v>Zuordnung prüfen</v>
      </c>
      <c r="H299" s="45" t="str">
        <f aca="false">IF($R299="","",INDEX(Anforderungen!$J:$J,$R299))</f>
        <v>Zuordnung prüfen</v>
      </c>
      <c r="I299" s="45" t="str">
        <f aca="false">IF($R299="","",INDEX(Anforderungen!$K:$K,$R299))</f>
        <v>trifft nicht zu</v>
      </c>
      <c r="J299" s="46" t="n">
        <f aca="false">IF($R299="","",INDEX(Anforderungen!$L:$L,$R299))</f>
        <v>0</v>
      </c>
      <c r="K299" s="45" t="str">
        <f aca="false">IF($R299="","",INDEX(Anforderungen!$M:$M,$R299))</f>
        <v>Automatisch ausgewertet: Außerhalb des betrachteten Leistungsumfangs (Schranken, Kennzeichenerfassung, dynamische Anzeige).</v>
      </c>
      <c r="R299" s="0" t="n">
        <f aca="false">IFERROR(MATCH(ROWS($A$14:$A299),$T$7:$T$2000,0)+6,"")</f>
        <v>292</v>
      </c>
      <c r="T299" s="0" t="n">
        <f aca="false">IF(Anforderungen!$B299="","",IF(AND(OR($B5="(alle)",Anforderungen!$K299=$B5),OR($E5="(alle)",Anforderungen!$C299=$E5),OR($H5="(alle)",Anforderungen!$E299=$H5),OR($B7="(alle)",ISNUMBER(SEARCH($B7,Anforderungen!$J299))),OR($E7="(alle)",ISNUMBER(SEARCH($E7,Anforderungen!$I299))),OR($H7="",ISNUMBER(SEARCH($H7,Anforderungen!$F299&amp;" "&amp;Anforderungen!$G299)))),COUNT($T$6:$T298)+1,""))</f>
        <v>293</v>
      </c>
    </row>
    <row r="300" customFormat="false" ht="30" hidden="false" customHeight="true" outlineLevel="0" collapsed="false">
      <c r="A300" s="45" t="str">
        <f aca="false">IF($R300="","",INDEX(Anforderungen!$B:$B,$R300))</f>
        <v>ANF-287</v>
      </c>
      <c r="B300" s="45" t="str">
        <f aca="false">IF($R300="","",INDEX(Anforderungen!$C:$C,$R300))</f>
        <v>Bieterfragenkatalog</v>
      </c>
      <c r="C300" s="45" t="str">
        <f aca="false">IF($R300="","",INDEX(Anforderungen!$D:$D,$R300))</f>
        <v>Nr. 234 / S. 21</v>
      </c>
      <c r="D300" s="45" t="str">
        <f aca="false">IF($R300="","",INDEX(Anforderungen!$E:$E,$R300))</f>
        <v>Netzanschluss &amp; Energie</v>
      </c>
      <c r="E300" s="45" t="str">
        <f aca="false">IF($R300="","",INDEX(Anforderungen!$F:$F,$R300))</f>
        <v>Klarstellung: Grundsätzlich ist jeder Teil des Staatsgebietes einer Gemeinde zugewiesen. Maßgeblich ist nicht, dass sich der Standort innerhalb der Gemeinde an sich, sondern innerhalb der einer Gemeinde zugeordneten Gesamtfläche …</v>
      </c>
      <c r="F300" s="45" t="str">
        <f aca="false">IF($R300="","",INDEX(Anforderungen!$G:$G,$R300))</f>
        <v>Laut Definition der Bundesnetzagentur: "Gemeinden erhalten von Energie-Netzbetreibern eine Konzessionsabgabe (KA) als Gegenleistung für die Benutzung der öffentlichen Straßen und Wege zur Verlegung von Strom- und Gasleitungen. Die Höhe ist in der Konzessionsabgabenverordnung (KAV) geregelt und richtet sich nach Ihrem Energieliefervertrag und teilweise auch nach der Einwohnerzahl der Gemeinde. Die KA-Sätze finden Sie in § 2 KAV." Da die Standorte außerhalb von Gemeinden liegen können, bitten wir zu prüfen, ob für die Rastanlagen dieser Ausschreibung überhaupt Konzessionsabgaben anfallen.</v>
      </c>
      <c r="G300" s="45" t="str">
        <f aca="false">IF($R300="","",INDEX(Anforderungen!$I:$I,$R300))</f>
        <v>offen</v>
      </c>
      <c r="H300" s="45" t="str">
        <f aca="false">IF($R300="","",INDEX(Anforderungen!$J:$J,$R300))</f>
        <v>–</v>
      </c>
      <c r="I300" s="45" t="str">
        <f aca="false">IF($R300="","",INDEX(Anforderungen!$K:$K,$R300))</f>
        <v>trifft nicht zu</v>
      </c>
      <c r="J300" s="46" t="n">
        <f aca="false">IF($R300="","",INDEX(Anforderungen!$L:$L,$R300))</f>
        <v>0</v>
      </c>
      <c r="K300" s="45" t="str">
        <f aca="false">IF($R300="","",INDEX(Anforderungen!$M:$M,$R300))</f>
        <v>Automatisch ausgewertet: Außerhalb des betrachteten Leistungsumfangs (Schranken, Kennzeichenerfassung, dynamische Anzeige).</v>
      </c>
      <c r="R300" s="0" t="n">
        <f aca="false">IFERROR(MATCH(ROWS($A$14:$A300),$T$7:$T$2000,0)+6,"")</f>
        <v>293</v>
      </c>
      <c r="T300" s="0" t="n">
        <f aca="false">IF(Anforderungen!$B300="","",IF(AND(OR($B5="(alle)",Anforderungen!$K300=$B5),OR($E5="(alle)",Anforderungen!$C300=$E5),OR($H5="(alle)",Anforderungen!$E300=$H5),OR($B7="(alle)",ISNUMBER(SEARCH($B7,Anforderungen!$J300))),OR($E7="(alle)",ISNUMBER(SEARCH($E7,Anforderungen!$I300))),OR($H7="",ISNUMBER(SEARCH($H7,Anforderungen!$F300&amp;" "&amp;Anforderungen!$G300)))),COUNT($T$6:$T299)+1,""))</f>
        <v>294</v>
      </c>
    </row>
    <row r="301" customFormat="false" ht="30" hidden="false" customHeight="true" outlineLevel="0" collapsed="false">
      <c r="A301" s="45" t="str">
        <f aca="false">IF($R301="","",INDEX(Anforderungen!$B:$B,$R301))</f>
        <v>ANF-288</v>
      </c>
      <c r="B301" s="45" t="str">
        <f aca="false">IF($R301="","",INDEX(Anforderungen!$C:$C,$R301))</f>
        <v>Bieterfragenkatalog</v>
      </c>
      <c r="C301" s="45" t="str">
        <f aca="false">IF($R301="","",INDEX(Anforderungen!$D:$D,$R301))</f>
        <v>Nr. 235 / S. 21</v>
      </c>
      <c r="D301" s="45" t="str">
        <f aca="false">IF($R301="","",INDEX(Anforderungen!$E:$E,$R301))</f>
        <v>Technik Ladeinfrastruktur</v>
      </c>
      <c r="E301" s="45" t="str">
        <f aca="false">IF($R301="","",INDEX(Anforderungen!$F:$F,$R301))</f>
        <v>Klarstellung: Vielen Dank für den Hinweis. Der AG wird eine Anpassung prüfen und im weiteren Vergabeverfahren eine entsprechend angepasste Unterlage zur Verfügung stellen.</v>
      </c>
      <c r="F301" s="45" t="str">
        <f aca="false">IF($R301="","",INDEX(Anforderungen!$G:$G,$R301))</f>
        <v>Laut Betreibervertrag sind Anpassungen des Infrastrukturentgelts mit einer Frist von zwei Monaten auf den Beginn eines Quartals möglich. In Anlage 14, §7 dagegen fehlt die Frist von 2 Monaten. Wir bitten um Angleichung des §7, Ziff. 1a) in Anlage 14 an den §41.3 des Betreibervertrages. Andernfalls ist ggf. nicht gewährleistet, dass der Ladepunktbetreiber bei einer Anpassung des Infrastrukturentgelts durch den AG die Höhe gegenüber dem Mobilitätsdienstleister rechtzeitig (mit einer Frist von einem Monat auf den Beginn eines Quartals) anpassen kann, wie unter Anlage 14. §7, Ziff. 4 gefordert.</v>
      </c>
      <c r="G301" s="45" t="str">
        <f aca="false">IF($R301="","",INDEX(Anforderungen!$I:$I,$R301))</f>
        <v>Zuordnung prüfen</v>
      </c>
      <c r="H301" s="45" t="str">
        <f aca="false">IF($R301="","",INDEX(Anforderungen!$J:$J,$R301))</f>
        <v>Zuordnung prüfen</v>
      </c>
      <c r="I301" s="45" t="str">
        <f aca="false">IF($R301="","",INDEX(Anforderungen!$K:$K,$R301))</f>
        <v>trifft nicht zu</v>
      </c>
      <c r="J301" s="46" t="n">
        <f aca="false">IF($R301="","",INDEX(Anforderungen!$L:$L,$R301))</f>
        <v>0</v>
      </c>
      <c r="K301" s="45" t="str">
        <f aca="false">IF($R301="","",INDEX(Anforderungen!$M:$M,$R301))</f>
        <v>Automatisch ausgewertet: Außerhalb des betrachteten Leistungsumfangs (Schranken, Kennzeichenerfassung, dynamische Anzeige).</v>
      </c>
      <c r="R301" s="0" t="n">
        <f aca="false">IFERROR(MATCH(ROWS($A$14:$A301),$T$7:$T$2000,0)+6,"")</f>
        <v>294</v>
      </c>
      <c r="T301" s="0" t="n">
        <f aca="false">IF(Anforderungen!$B301="","",IF(AND(OR($B5="(alle)",Anforderungen!$K301=$B5),OR($E5="(alle)",Anforderungen!$C301=$E5),OR($H5="(alle)",Anforderungen!$E301=$H5),OR($B7="(alle)",ISNUMBER(SEARCH($B7,Anforderungen!$J301))),OR($E7="(alle)",ISNUMBER(SEARCH($E7,Anforderungen!$I301))),OR($H7="",ISNUMBER(SEARCH($H7,Anforderungen!$F301&amp;" "&amp;Anforderungen!$G301)))),COUNT($T$6:$T300)+1,""))</f>
        <v>295</v>
      </c>
    </row>
    <row r="302" customFormat="false" ht="30" hidden="false" customHeight="true" outlineLevel="0" collapsed="false">
      <c r="A302" s="45" t="str">
        <f aca="false">IF($R302="","",INDEX(Anforderungen!$B:$B,$R302))</f>
        <v>ANF-289</v>
      </c>
      <c r="B302" s="45" t="str">
        <f aca="false">IF($R302="","",INDEX(Anforderungen!$C:$C,$R302))</f>
        <v>Bieterfragenkatalog</v>
      </c>
      <c r="C302" s="45" t="str">
        <f aca="false">IF($R302="","",INDEX(Anforderungen!$D:$D,$R302))</f>
        <v>Nr. 236 / S. 21</v>
      </c>
      <c r="D302" s="45" t="str">
        <f aca="false">IF($R302="","",INDEX(Anforderungen!$E:$E,$R302))</f>
        <v>Reservierung</v>
      </c>
      <c r="E302" s="45" t="str">
        <f aca="false">IF($R302="","",INDEX(Anforderungen!$F:$F,$R302))</f>
        <v>Klarstellung: Die Zeitangaben sowohl in §19.5 als auch in §32.2 beziehen sich auf den ursprünglich reservierten Zeitraum.</v>
      </c>
      <c r="F302" s="45" t="str">
        <f aca="false">IF($R302="","",INDEX(Anforderungen!$G:$G,$R302))</f>
        <v>§19.5 sieht vor, dass eine Wartezeit von 10 bzw. 30 Minuten ab dem in der Reservierung angegebenen Startzeitpunkt vorzusehen ist, bevor eine Reservierung storniert werden darf. Gehen wir recht in der Annahme, dass die verstrichene Wartezeit vom jeweils reservierten Zeitraum abzuziehen ist und sich somit im Falle einer Verspätung des Fahrers die Nutzungsdauer um bis zu 10 bzw. 30 Minuten reduziert? Gemäß §32.2 kann ein Blockadeentgelt erst 15 Minuten nach Ablauf des reservierten Zeitraums erfolgen, wenn ein Mobilitätsdienstleister einen Ladepunkt entsprechend des § 19 reserviert. Wir bitten um Bestätigung, dass die sich die 15 Minuten auf den ursprünglich reservierten Zeitraum beziehen und dass keine Verschiebung des reservierten Zeitraums entsprechend der möglichen Verspätung des Fahrers vorzusehen ist.</v>
      </c>
      <c r="G302" s="45" t="str">
        <f aca="false">IF($R302="","",INDEX(Anforderungen!$I:$I,$R302))</f>
        <v>eRound</v>
      </c>
      <c r="H302" s="45" t="str">
        <f aca="false">IF($R302="","",INDEX(Anforderungen!$J:$J,$R302))</f>
        <v>OCPI Buchungskalender / Abrechnungskomponente</v>
      </c>
      <c r="I302" s="45" t="str">
        <f aca="false">IF($R302="","",INDEX(Anforderungen!$K:$K,$R302))</f>
        <v>trifft nicht zu</v>
      </c>
      <c r="J302" s="46" t="n">
        <f aca="false">IF($R302="","",INDEX(Anforderungen!$L:$L,$R302))</f>
        <v>0</v>
      </c>
      <c r="K302" s="45" t="str">
        <f aca="false">IF($R302="","",INDEX(Anforderungen!$M:$M,$R302))</f>
        <v>Automatisch ausgewertet: Außerhalb des betrachteten Leistungsumfangs (Schranken, Kennzeichenerfassung, dynamische Anzeige).</v>
      </c>
      <c r="R302" s="0" t="n">
        <f aca="false">IFERROR(MATCH(ROWS($A$14:$A302),$T$7:$T$2000,0)+6,"")</f>
        <v>295</v>
      </c>
      <c r="T302" s="0" t="n">
        <f aca="false">IF(Anforderungen!$B302="","",IF(AND(OR($B5="(alle)",Anforderungen!$K302=$B5),OR($E5="(alle)",Anforderungen!$C302=$E5),OR($H5="(alle)",Anforderungen!$E302=$H5),OR($B7="(alle)",ISNUMBER(SEARCH($B7,Anforderungen!$J302))),OR($E7="(alle)",ISNUMBER(SEARCH($E7,Anforderungen!$I302))),OR($H7="",ISNUMBER(SEARCH($H7,Anforderungen!$F302&amp;" "&amp;Anforderungen!$G302)))),COUNT($T$6:$T301)+1,""))</f>
        <v>296</v>
      </c>
    </row>
    <row r="303" customFormat="false" ht="30" hidden="false" customHeight="true" outlineLevel="0" collapsed="false">
      <c r="A303" s="45" t="str">
        <f aca="false">IF($R303="","",INDEX(Anforderungen!$B:$B,$R303))</f>
        <v>ANF-290</v>
      </c>
      <c r="B303" s="45" t="str">
        <f aca="false">IF($R303="","",INDEX(Anforderungen!$C:$C,$R303))</f>
        <v>Bieterfragenkatalog</v>
      </c>
      <c r="C303" s="45" t="str">
        <f aca="false">IF($R303="","",INDEX(Anforderungen!$D:$D,$R303))</f>
        <v>Nr. 237 / S. 22</v>
      </c>
      <c r="D303" s="45" t="str">
        <f aca="false">IF($R303="","",INDEX(Anforderungen!$E:$E,$R303))</f>
        <v>Vergabeverfahren &amp; Angebot</v>
      </c>
      <c r="E303" s="45" t="str">
        <f aca="false">IF($R303="","",INDEX(Anforderungen!$F:$F,$R303))</f>
        <v>Bestätigt: das ist zutreffend für eignungsverleihende Unterauftragnehmer.</v>
      </c>
      <c r="F303" s="45" t="str">
        <f aca="false">IF($R303="","",INDEX(Anforderungen!$G:$G,$R303))</f>
        <v>Gehen wir richtig der Annahme, dass Formblatt 2 für das Erstangebot nicht mehr eingereicht werden muss, wenn bereits alle eignungsverleihenden Unternehmen im Teilnahmeantrag aufgeführt wurden? Wenn nicht, bitten wir das Formblatt 2 mit mehr Kästchen zur Angabe der Unternehmen zu befüllen und hochzuladen, da man diese nicht selber reinkopieren kann.</v>
      </c>
      <c r="G303" s="45" t="str">
        <f aca="false">IF($R303="","",INDEX(Anforderungen!$I:$I,$R303))</f>
        <v>offen</v>
      </c>
      <c r="H303" s="45" t="str">
        <f aca="false">IF($R303="","",INDEX(Anforderungen!$J:$J,$R303))</f>
        <v>–</v>
      </c>
      <c r="I303" s="45" t="str">
        <f aca="false">IF($R303="","",INDEX(Anforderungen!$K:$K,$R303))</f>
        <v>trifft nicht zu</v>
      </c>
      <c r="J303" s="46" t="n">
        <f aca="false">IF($R303="","",INDEX(Anforderungen!$L:$L,$R303))</f>
        <v>0</v>
      </c>
      <c r="K303" s="45" t="str">
        <f aca="false">IF($R303="","",INDEX(Anforderungen!$M:$M,$R303))</f>
        <v>Automatisch ausgewertet: Betrifft das Vergabeverfahren (Angebot, Wertung, Unterlagen), nicht die zu erbringende Leistung. Keiner Komponente zugeordnet.</v>
      </c>
      <c r="R303" s="0" t="n">
        <f aca="false">IFERROR(MATCH(ROWS($A$14:$A303),$T$7:$T$2000,0)+6,"")</f>
        <v>296</v>
      </c>
      <c r="T303" s="0" t="n">
        <f aca="false">IF(Anforderungen!$B303="","",IF(AND(OR($B5="(alle)",Anforderungen!$K303=$B5),OR($E5="(alle)",Anforderungen!$C303=$E5),OR($H5="(alle)",Anforderungen!$E303=$H5),OR($B7="(alle)",ISNUMBER(SEARCH($B7,Anforderungen!$J303))),OR($E7="(alle)",ISNUMBER(SEARCH($E7,Anforderungen!$I303))),OR($H7="",ISNUMBER(SEARCH($H7,Anforderungen!$F303&amp;" "&amp;Anforderungen!$G303)))),COUNT($T$6:$T302)+1,""))</f>
        <v>297</v>
      </c>
    </row>
    <row r="304" customFormat="false" ht="30" hidden="false" customHeight="true" outlineLevel="0" collapsed="false">
      <c r="A304" s="45" t="str">
        <f aca="false">IF($R304="","",INDEX(Anforderungen!$B:$B,$R304))</f>
        <v>ANF-291</v>
      </c>
      <c r="B304" s="45" t="str">
        <f aca="false">IF($R304="","",INDEX(Anforderungen!$C:$C,$R304))</f>
        <v>Bieterfragenkatalog</v>
      </c>
      <c r="C304" s="45" t="str">
        <f aca="false">IF($R304="","",INDEX(Anforderungen!$D:$D,$R304))</f>
        <v>Nr. 238 / S. 22</v>
      </c>
      <c r="D304" s="45" t="str">
        <f aca="false">IF($R304="","",INDEX(Anforderungen!$E:$E,$R304))</f>
        <v>Technik Ladeinfrastruktur</v>
      </c>
      <c r="E304" s="45" t="str">
        <f aca="false">IF($R304="","",INDEX(Anforderungen!$F:$F,$R304))</f>
        <v>Klarstellung: Die Formulierung bezieht sich auf die Ladeeinrichtung und ist beispielhaft als ein Aspekt für ein nutzerfreundliches Bedienkonzept aufgeführt.</v>
      </c>
      <c r="F304" s="45" t="str">
        <f aca="false">IF($R304="","",INDEX(Anforderungen!$G:$G,$R304))</f>
        <v>Wir bitten um Erläuterung des Punktes “Nummerierung des Ladevorgangs” unter Betriebskonzept (Bedienbarkeit/Nutzfreundlichkeit).</v>
      </c>
      <c r="G304" s="45" t="str">
        <f aca="false">IF($R304="","",INDEX(Anforderungen!$I:$I,$R304))</f>
        <v>Alpitronic</v>
      </c>
      <c r="H304" s="45" t="str">
        <f aca="false">IF($R304="","",INDEX(Anforderungen!$J:$J,$R304))</f>
        <v>Ladeeinrichtung</v>
      </c>
      <c r="I304" s="45" t="str">
        <f aca="false">IF($R304="","",INDEX(Anforderungen!$K:$K,$R304))</f>
        <v>trifft nicht zu</v>
      </c>
      <c r="J304" s="46" t="n">
        <f aca="false">IF($R304="","",INDEX(Anforderungen!$L:$L,$R304))</f>
        <v>0</v>
      </c>
      <c r="K304" s="45" t="str">
        <f aca="false">IF($R304="","",INDEX(Anforderungen!$M:$M,$R304))</f>
        <v>Automatisch ausgewertet: Außerhalb des betrachteten Leistungsumfangs (Schranken, Kennzeichenerfassung, dynamische Anzeige).</v>
      </c>
      <c r="R304" s="0" t="n">
        <f aca="false">IFERROR(MATCH(ROWS($A$14:$A304),$T$7:$T$2000,0)+6,"")</f>
        <v>297</v>
      </c>
      <c r="T304" s="0" t="n">
        <f aca="false">IF(Anforderungen!$B304="","",IF(AND(OR($B5="(alle)",Anforderungen!$K304=$B5),OR($E5="(alle)",Anforderungen!$C304=$E5),OR($H5="(alle)",Anforderungen!$E304=$H5),OR($B7="(alle)",ISNUMBER(SEARCH($B7,Anforderungen!$J304))),OR($E7="(alle)",ISNUMBER(SEARCH($E7,Anforderungen!$I304))),OR($H7="",ISNUMBER(SEARCH($H7,Anforderungen!$F304&amp;" "&amp;Anforderungen!$G304)))),COUNT($T$6:$T303)+1,""))</f>
        <v>298</v>
      </c>
    </row>
    <row r="305" customFormat="false" ht="30" hidden="false" customHeight="true" outlineLevel="0" collapsed="false">
      <c r="A305" s="45" t="str">
        <f aca="false">IF($R305="","",INDEX(Anforderungen!$B:$B,$R305))</f>
        <v>ANF-292</v>
      </c>
      <c r="B305" s="45" t="str">
        <f aca="false">IF($R305="","",INDEX(Anforderungen!$C:$C,$R305))</f>
        <v>Bieterfragenkatalog</v>
      </c>
      <c r="C305" s="45" t="str">
        <f aca="false">IF($R305="","",INDEX(Anforderungen!$D:$D,$R305))</f>
        <v>Nr. 239 / S. 22</v>
      </c>
      <c r="D305" s="45" t="str">
        <f aca="false">IF($R305="","",INDEX(Anforderungen!$E:$E,$R305))</f>
        <v>Vergabeverfahren &amp; Angebot</v>
      </c>
      <c r="E305" s="45" t="str">
        <f aca="false">IF($R305="","",INDEX(Anforderungen!$F:$F,$R305))</f>
        <v>Klarstellung: Diese Annahme ist zutreffend.</v>
      </c>
      <c r="F305" s="45" t="str">
        <f aca="false">IF($R305="","",INDEX(Anforderungen!$G:$G,$R305))</f>
        <v>Gehen wir recht in der Annahme, dass die Formulierung “Nicht umfasst sein dürfen Kosten, die nicht unmittelbar dem Betrieb und der Nutzung der HPC-Ladeinfrastruktur dienen” nicht der Einbeziehung von angemessenen Zuschlägen für allgemeine Geschäftskosten, Wagnis und Gewinn in der Kalkulation entgegensteht? Die Einbeziehung von allgemeinen Geschäftskosten, Wagnis und Gewinn ist bei der Durchführung des Projektvertrag ausdrücklich vorgesehen. Dies muss entsprechend auch für das Angebot gelten.</v>
      </c>
      <c r="G305" s="45" t="str">
        <f aca="false">IF($R305="","",INDEX(Anforderungen!$I:$I,$R305))</f>
        <v>offen</v>
      </c>
      <c r="H305" s="45" t="str">
        <f aca="false">IF($R305="","",INDEX(Anforderungen!$J:$J,$R305))</f>
        <v>–</v>
      </c>
      <c r="I305" s="45" t="str">
        <f aca="false">IF($R305="","",INDEX(Anforderungen!$K:$K,$R305))</f>
        <v>trifft nicht zu</v>
      </c>
      <c r="J305" s="46" t="n">
        <f aca="false">IF($R305="","",INDEX(Anforderungen!$L:$L,$R305))</f>
        <v>0</v>
      </c>
      <c r="K305" s="45" t="str">
        <f aca="false">IF($R305="","",INDEX(Anforderungen!$M:$M,$R305))</f>
        <v>Automatisch ausgewertet: Betrifft das Vergabeverfahren (Angebot, Wertung, Unterlagen), nicht die zu erbringende Leistung. Keiner Komponente zugeordnet.</v>
      </c>
      <c r="R305" s="0" t="n">
        <f aca="false">IFERROR(MATCH(ROWS($A$14:$A305),$T$7:$T$2000,0)+6,"")</f>
        <v>298</v>
      </c>
      <c r="T305" s="0" t="n">
        <f aca="false">IF(Anforderungen!$B305="","",IF(AND(OR($B5="(alle)",Anforderungen!$K305=$B5),OR($E5="(alle)",Anforderungen!$C305=$E5),OR($H5="(alle)",Anforderungen!$E305=$H5),OR($B7="(alle)",ISNUMBER(SEARCH($B7,Anforderungen!$J305))),OR($E7="(alle)",ISNUMBER(SEARCH($E7,Anforderungen!$I305))),OR($H7="",ISNUMBER(SEARCH($H7,Anforderungen!$F305&amp;" "&amp;Anforderungen!$G305)))),COUNT($T$6:$T304)+1,""))</f>
        <v>299</v>
      </c>
    </row>
    <row r="306" customFormat="false" ht="30" hidden="false" customHeight="true" outlineLevel="0" collapsed="false">
      <c r="A306" s="45" t="str">
        <f aca="false">IF($R306="","",INDEX(Anforderungen!$B:$B,$R306))</f>
        <v>ANF-293</v>
      </c>
      <c r="B306" s="45" t="str">
        <f aca="false">IF($R306="","",INDEX(Anforderungen!$C:$C,$R306))</f>
        <v>Bieterfragenkatalog</v>
      </c>
      <c r="C306" s="45" t="str">
        <f aca="false">IF($R306="","",INDEX(Anforderungen!$D:$D,$R306))</f>
        <v>Nr. 240 / S. 22</v>
      </c>
      <c r="D306" s="45" t="str">
        <f aca="false">IF($R306="","",INDEX(Anforderungen!$E:$E,$R306))</f>
        <v>Vergabeverfahren &amp; Angebot</v>
      </c>
      <c r="E306" s="45" t="str">
        <f aca="false">IF($R306="","",INDEX(Anforderungen!$F:$F,$R306))</f>
        <v>Klarstellung: Vielen Dank für Ihren Hinweis. Die Bieterfrage inklusive Antwort wird erneut zur Verfügung gestellt.</v>
      </c>
      <c r="F306" s="45" t="str">
        <f aca="false">IF($R306="","",INDEX(Anforderungen!$G:$G,$R306))</f>
        <v>Leider ist die Frage des Bieters nicht vollständig lesbar. Wir bitten um Korrektur und möchten an dieser Stelle anmerken, dass wir den Bieterfragenkatalog im Excelformat bevorzugen.</v>
      </c>
      <c r="G306" s="45" t="str">
        <f aca="false">IF($R306="","",INDEX(Anforderungen!$I:$I,$R306))</f>
        <v>offen</v>
      </c>
      <c r="H306" s="45" t="str">
        <f aca="false">IF($R306="","",INDEX(Anforderungen!$J:$J,$R306))</f>
        <v>–</v>
      </c>
      <c r="I306" s="45" t="str">
        <f aca="false">IF($R306="","",INDEX(Anforderungen!$K:$K,$R306))</f>
        <v>trifft nicht zu</v>
      </c>
      <c r="J306" s="46" t="n">
        <f aca="false">IF($R306="","",INDEX(Anforderungen!$L:$L,$R306))</f>
        <v>0</v>
      </c>
      <c r="K306" s="45" t="str">
        <f aca="false">IF($R306="","",INDEX(Anforderungen!$M:$M,$R306))</f>
        <v>Automatisch ausgewertet: Betrifft das Vergabeverfahren (Angebot, Wertung, Unterlagen), nicht die zu erbringende Leistung. Keiner Komponente zugeordnet.</v>
      </c>
      <c r="R306" s="0" t="n">
        <f aca="false">IFERROR(MATCH(ROWS($A$14:$A306),$T$7:$T$2000,0)+6,"")</f>
        <v>299</v>
      </c>
      <c r="T306" s="0" t="n">
        <f aca="false">IF(Anforderungen!$B306="","",IF(AND(OR($B5="(alle)",Anforderungen!$K306=$B5),OR($E5="(alle)",Anforderungen!$C306=$E5),OR($H5="(alle)",Anforderungen!$E306=$H5),OR($B7="(alle)",ISNUMBER(SEARCH($B7,Anforderungen!$J306))),OR($E7="(alle)",ISNUMBER(SEARCH($E7,Anforderungen!$I306))),OR($H7="",ISNUMBER(SEARCH($H7,Anforderungen!$F306&amp;" "&amp;Anforderungen!$G306)))),COUNT($T$6:$T305)+1,""))</f>
        <v>300</v>
      </c>
    </row>
    <row r="307" customFormat="false" ht="30" hidden="false" customHeight="true" outlineLevel="0" collapsed="false">
      <c r="A307" s="45" t="str">
        <f aca="false">IF($R307="","",INDEX(Anforderungen!$B:$B,$R307))</f>
        <v>ANF-294</v>
      </c>
      <c r="B307" s="45" t="str">
        <f aca="false">IF($R307="","",INDEX(Anforderungen!$C:$C,$R307))</f>
        <v>Bieterfragenkatalog</v>
      </c>
      <c r="C307" s="45" t="str">
        <f aca="false">IF($R307="","",INDEX(Anforderungen!$D:$D,$R307))</f>
        <v>Nr. 241 / S. 22</v>
      </c>
      <c r="D307" s="45" t="str">
        <f aca="false">IF($R307="","",INDEX(Anforderungen!$E:$E,$R307))</f>
        <v>Bau &amp; Dokumentation</v>
      </c>
      <c r="E307" s="45" t="str">
        <f aca="false">IF($R307="","",INDEX(Anforderungen!$F:$F,$R307))</f>
        <v>Verneint: die Bürgschaft bezieht sich auf das Nettoerrichtungsentgelt für alle Standorte des gesamten Loses.</v>
      </c>
      <c r="F307" s="45" t="str">
        <f aca="false">IF($R307="","",INDEX(Anforderungen!$G:$G,$R307))</f>
        <v>Wir beziehen uns auf die Antwort zur Bieterfrage 116 und bitten um Bestätigung unseres folgenden Sachverhaltsverständnisses. Sie schreiben: "Mit Betriebsfreigabe sind 5% dieser Reduktion freizugeben." Unser Verständnis: "Dieser freizugebende Betrag entspricht 5% des Errichtungsentgeltes dieses Standortes. Somit beträgt die Höhe der Bürgschaft zu jedem Zeitpunkt 5% des noch zu entrichtenden Netto-Errichtungsentgeltes." Sofern unser Verständnis zutreffend ist, schlagen wir vor, die letzten beiden Sätze als Ergänzung in §49.3 zu übernehmen.</v>
      </c>
      <c r="G307" s="45" t="str">
        <f aca="false">IF($R307="","",INDEX(Anforderungen!$I:$I,$R307))</f>
        <v>offen</v>
      </c>
      <c r="H307" s="45" t="str">
        <f aca="false">IF($R307="","",INDEX(Anforderungen!$J:$J,$R307))</f>
        <v>–</v>
      </c>
      <c r="I307" s="45" t="str">
        <f aca="false">IF($R307="","",INDEX(Anforderungen!$K:$K,$R307))</f>
        <v>trifft nicht zu</v>
      </c>
      <c r="J307" s="46" t="n">
        <f aca="false">IF($R307="","",INDEX(Anforderungen!$L:$L,$R307))</f>
        <v>0</v>
      </c>
      <c r="K307" s="45" t="str">
        <f aca="false">IF($R307="","",INDEX(Anforderungen!$M:$M,$R307))</f>
        <v>Automatisch ausgewertet: Außerhalb des betrachteten Leistungsumfangs (Schranken, Kennzeichenerfassung, dynamische Anzeige).</v>
      </c>
      <c r="R307" s="0" t="n">
        <f aca="false">IFERROR(MATCH(ROWS($A$14:$A307),$T$7:$T$2000,0)+6,"")</f>
        <v>300</v>
      </c>
      <c r="T307" s="0" t="n">
        <f aca="false">IF(Anforderungen!$B307="","",IF(AND(OR($B5="(alle)",Anforderungen!$K307=$B5),OR($E5="(alle)",Anforderungen!$C307=$E5),OR($H5="(alle)",Anforderungen!$E307=$H5),OR($B7="(alle)",ISNUMBER(SEARCH($B7,Anforderungen!$J307))),OR($E7="(alle)",ISNUMBER(SEARCH($E7,Anforderungen!$I307))),OR($H7="",ISNUMBER(SEARCH($H7,Anforderungen!$F307&amp;" "&amp;Anforderungen!$G307)))),COUNT($T$6:$T306)+1,""))</f>
        <v>301</v>
      </c>
    </row>
    <row r="308" customFormat="false" ht="30" hidden="false" customHeight="true" outlineLevel="0" collapsed="false">
      <c r="A308" s="45" t="str">
        <f aca="false">IF($R308="","",INDEX(Anforderungen!$B:$B,$R308))</f>
        <v>ANF-295</v>
      </c>
      <c r="B308" s="45" t="str">
        <f aca="false">IF($R308="","",INDEX(Anforderungen!$C:$C,$R308))</f>
        <v>Bieterfragenkatalog</v>
      </c>
      <c r="C308" s="45" t="str">
        <f aca="false">IF($R308="","",INDEX(Anforderungen!$D:$D,$R308))</f>
        <v>Nr. 242 / S. 22</v>
      </c>
      <c r="D308" s="45" t="str">
        <f aca="false">IF($R308="","",INDEX(Anforderungen!$E:$E,$R308))</f>
        <v>Bau &amp; Dokumentation</v>
      </c>
      <c r="E308" s="45" t="str">
        <f aca="false">IF($R308="","",INDEX(Anforderungen!$F:$F,$R308))</f>
        <v>Klarstellung: Bitte konkretisieren Sie Ihre Frage. In § 52 Abs.</v>
      </c>
      <c r="F308" s="45" t="str">
        <f aca="false">IF($R308="","",INDEX(Anforderungen!$G:$G,$R308))</f>
        <v>Wir bitten um Überprüfung der Anforderung der Verantwortlichkeit. Unserer Meinung nach sollte sie aus Gründen der Beweislast von „es sei denn, die Zweckgesellschaft ist nicht verantwortlich“ auf „wenn die Zweckgesellschaft verantwortlich ist“ umgestellt werden.</v>
      </c>
      <c r="G308" s="45" t="str">
        <f aca="false">IF($R308="","",INDEX(Anforderungen!$I:$I,$R308))</f>
        <v>offen</v>
      </c>
      <c r="H308" s="45" t="str">
        <f aca="false">IF($R308="","",INDEX(Anforderungen!$J:$J,$R308))</f>
        <v>–</v>
      </c>
      <c r="I308" s="45" t="str">
        <f aca="false">IF($R308="","",INDEX(Anforderungen!$K:$K,$R308))</f>
        <v>trifft nicht zu</v>
      </c>
      <c r="J308" s="46" t="n">
        <f aca="false">IF($R308="","",INDEX(Anforderungen!$L:$L,$R308))</f>
        <v>0</v>
      </c>
      <c r="K308" s="45" t="str">
        <f aca="false">IF($R308="","",INDEX(Anforderungen!$M:$M,$R308))</f>
        <v>Automatisch ausgewertet: Außerhalb des betrachteten Leistungsumfangs (Schranken, Kennzeichenerfassung, dynamische Anzeige).</v>
      </c>
      <c r="R308" s="0" t="n">
        <f aca="false">IFERROR(MATCH(ROWS($A$14:$A308),$T$7:$T$2000,0)+6,"")</f>
        <v>301</v>
      </c>
      <c r="T308" s="0" t="n">
        <f aca="false">IF(Anforderungen!$B308="","",IF(AND(OR($B5="(alle)",Anforderungen!$K308=$B5),OR($E5="(alle)",Anforderungen!$C308=$E5),OR($H5="(alle)",Anforderungen!$E308=$H5),OR($B7="(alle)",ISNUMBER(SEARCH($B7,Anforderungen!$J308))),OR($E7="(alle)",ISNUMBER(SEARCH($E7,Anforderungen!$I308))),OR($H7="",ISNUMBER(SEARCH($H7,Anforderungen!$F308&amp;" "&amp;Anforderungen!$G308)))),COUNT($T$6:$T307)+1,""))</f>
        <v>302</v>
      </c>
    </row>
    <row r="309" customFormat="false" ht="30" hidden="false" customHeight="true" outlineLevel="0" collapsed="false">
      <c r="A309" s="45" t="str">
        <f aca="false">IF($R309="","",INDEX(Anforderungen!$B:$B,$R309))</f>
        <v>ANF-296</v>
      </c>
      <c r="B309" s="45" t="str">
        <f aca="false">IF($R309="","",INDEX(Anforderungen!$C:$C,$R309))</f>
        <v>Bieterfragenkatalog</v>
      </c>
      <c r="C309" s="45" t="str">
        <f aca="false">IF($R309="","",INDEX(Anforderungen!$D:$D,$R309))</f>
        <v>Nr. 243 / S. 22</v>
      </c>
      <c r="D309" s="45" t="str">
        <f aca="false">IF($R309="","",INDEX(Anforderungen!$E:$E,$R309))</f>
        <v>Vertrag &amp; Recht</v>
      </c>
      <c r="E309" s="45" t="str">
        <f aca="false">IF($R309="","",INDEX(Anforderungen!$F:$F,$R309))</f>
        <v>Bestätigt: die Begrenzung des § 54 Abs. 7 gilt auch für Schadensersatzansprüche in § 54 Abs.</v>
      </c>
      <c r="F309" s="45" t="str">
        <f aca="false">IF($R309="","",INDEX(Anforderungen!$G:$G,$R309))</f>
        <v>a) Unter 54.1a.aa) sollte klargestellt werden, dass die aufzurechnenden Schadensersatzansprüche der Haftungsobergrenze unterliegen sollten, wie dies auch für alle anderen Schadensersatzansprüche nach § 54.7 der Fall ist. Wir bitten um Klarstellung, dass die Abzinsung nur für Zahlungen gilt, wenn die Zweckgesellschaft für die Beendigung verantwortlich ist (d. h. Buchstabe a).</v>
      </c>
      <c r="G309" s="45" t="str">
        <f aca="false">IF($R309="","",INDEX(Anforderungen!$I:$I,$R309))</f>
        <v>offen</v>
      </c>
      <c r="H309" s="45" t="str">
        <f aca="false">IF($R309="","",INDEX(Anforderungen!$J:$J,$R309))</f>
        <v>–</v>
      </c>
      <c r="I309" s="45" t="str">
        <f aca="false">IF($R309="","",INDEX(Anforderungen!$K:$K,$R309))</f>
        <v>trifft nicht zu</v>
      </c>
      <c r="J309" s="46" t="n">
        <f aca="false">IF($R309="","",INDEX(Anforderungen!$L:$L,$R309))</f>
        <v>0</v>
      </c>
      <c r="K309" s="45" t="str">
        <f aca="false">IF($R309="","",INDEX(Anforderungen!$M:$M,$R309))</f>
        <v>Automatisch ausgewertet: Außerhalb des betrachteten Leistungsumfangs (Schranken, Kennzeichenerfassung, dynamische Anzeige).</v>
      </c>
      <c r="R309" s="0" t="n">
        <f aca="false">IFERROR(MATCH(ROWS($A$14:$A309),$T$7:$T$2000,0)+6,"")</f>
        <v>302</v>
      </c>
      <c r="T309" s="0" t="n">
        <f aca="false">IF(Anforderungen!$B309="","",IF(AND(OR($B5="(alle)",Anforderungen!$K309=$B5),OR($E5="(alle)",Anforderungen!$C309=$E5),OR($H5="(alle)",Anforderungen!$E309=$H5),OR($B7="(alle)",ISNUMBER(SEARCH($B7,Anforderungen!$J309))),OR($E7="(alle)",ISNUMBER(SEARCH($E7,Anforderungen!$I309))),OR($H7="",ISNUMBER(SEARCH($H7,Anforderungen!$F309&amp;" "&amp;Anforderungen!$G309)))),COUNT($T$6:$T308)+1,""))</f>
        <v>303</v>
      </c>
    </row>
    <row r="310" customFormat="false" ht="30" hidden="false" customHeight="true" outlineLevel="0" collapsed="false">
      <c r="A310" s="45" t="str">
        <f aca="false">IF($R310="","",INDEX(Anforderungen!$B:$B,$R310))</f>
        <v>ANF-297</v>
      </c>
      <c r="B310" s="45" t="str">
        <f aca="false">IF($R310="","",INDEX(Anforderungen!$C:$C,$R310))</f>
        <v>Bieterfragenkatalog</v>
      </c>
      <c r="C310" s="45" t="str">
        <f aca="false">IF($R310="","",INDEX(Anforderungen!$D:$D,$R310))</f>
        <v>Nr. 244 / S. 22</v>
      </c>
      <c r="D310" s="45" t="str">
        <f aca="false">IF($R310="","",INDEX(Anforderungen!$E:$E,$R310))</f>
        <v>Sonstiges / Zuordnung prüfen</v>
      </c>
      <c r="E310" s="45" t="str">
        <f aca="false">IF($R310="","",INDEX(Anforderungen!$F:$F,$R310))</f>
        <v>Klarstellung: Wir bestätigen, dass Titelblatt und Inhaltsverzeichnis sowie der Rahmenterminplan nicht im Umfang von 20 Seiten enthalten ist.</v>
      </c>
      <c r="F310" s="45" t="str">
        <f aca="false">IF($R310="","",INDEX(Anforderungen!$G:$G,$R310))</f>
        <v>Die Ausführung im Konzept dürfen 20 Seiten nicht überschreiten. Wir bitte um Bestätigung, dass a) Titelblatt und Inhaltsverzeichnisse nicht im Umfang von 20 Seiten enthalten sind b) der Rahmenterminplan als Anlage zum Errichtungskonzept ebenfalls nicht im Umfang von 20 Seiten enthalten ist.</v>
      </c>
      <c r="G310" s="45" t="str">
        <f aca="false">IF($R310="","",INDEX(Anforderungen!$I:$I,$R310))</f>
        <v>Zuordnung prüfen</v>
      </c>
      <c r="H310" s="45" t="str">
        <f aca="false">IF($R310="","",INDEX(Anforderungen!$J:$J,$R310))</f>
        <v>Zuordnung prüfen</v>
      </c>
      <c r="I310" s="45" t="str">
        <f aca="false">IF($R310="","",INDEX(Anforderungen!$K:$K,$R310))</f>
        <v>trifft nicht zu</v>
      </c>
      <c r="J310" s="46" t="n">
        <f aca="false">IF($R310="","",INDEX(Anforderungen!$L:$L,$R310))</f>
        <v>0</v>
      </c>
      <c r="K310" s="45" t="str">
        <f aca="false">IF($R310="","",INDEX(Anforderungen!$M:$M,$R310))</f>
        <v>Automatisch ausgewertet: Außerhalb des betrachteten Leistungsumfangs (Schranken, Kennzeichenerfassung, dynamische Anzeige).</v>
      </c>
      <c r="R310" s="0" t="n">
        <f aca="false">IFERROR(MATCH(ROWS($A$14:$A310),$T$7:$T$2000,0)+6,"")</f>
        <v>303</v>
      </c>
      <c r="T310" s="0" t="n">
        <f aca="false">IF(Anforderungen!$B310="","",IF(AND(OR($B5="(alle)",Anforderungen!$K310=$B5),OR($E5="(alle)",Anforderungen!$C310=$E5),OR($H5="(alle)",Anforderungen!$E310=$H5),OR($B7="(alle)",ISNUMBER(SEARCH($B7,Anforderungen!$J310))),OR($E7="(alle)",ISNUMBER(SEARCH($E7,Anforderungen!$I310))),OR($H7="",ISNUMBER(SEARCH($H7,Anforderungen!$F310&amp;" "&amp;Anforderungen!$G310)))),COUNT($T$6:$T309)+1,""))</f>
        <v>304</v>
      </c>
    </row>
    <row r="311" customFormat="false" ht="30" hidden="false" customHeight="true" outlineLevel="0" collapsed="false">
      <c r="A311" s="45" t="str">
        <f aca="false">IF($R311="","",INDEX(Anforderungen!$B:$B,$R311))</f>
        <v>ANF-298</v>
      </c>
      <c r="B311" s="45" t="str">
        <f aca="false">IF($R311="","",INDEX(Anforderungen!$C:$C,$R311))</f>
        <v>Bieterfragenkatalog</v>
      </c>
      <c r="C311" s="45" t="str">
        <f aca="false">IF($R311="","",INDEX(Anforderungen!$D:$D,$R311))</f>
        <v>Nr. 245 / S. 22</v>
      </c>
      <c r="D311" s="45" t="str">
        <f aca="false">IF($R311="","",INDEX(Anforderungen!$E:$E,$R311))</f>
        <v>Vertrag &amp; Recht</v>
      </c>
      <c r="E311" s="45" t="str">
        <f aca="false">IF($R311="","",INDEX(Anforderungen!$F:$F,$R311))</f>
        <v>Bestätigt: es ist vom Auftragnehmer ein Verkehrssicherheitsaudit in der Phase der Entwurfsplanung in sein Angebot einzukalkulieren.</v>
      </c>
      <c r="F311" s="45" t="str">
        <f aca="false">IF($R311="","",INDEX(Anforderungen!$G:$G,$R311))</f>
        <v>Müssen neben den in den Vertragsunterlagen beschriebenen Freigabestufen noch die sonst bei Projekten an Bundesautobahnen nötigen Auditierungen in den einzelnen Planungsstufen sowohl bzgl. Zeiten als auch Kosten eingeplant werden? Wenn ja, bitten wir um Spezifizierung bei welchen Planungsstufen Auditierungen einzuplanen sind.</v>
      </c>
      <c r="G311" s="45" t="str">
        <f aca="false">IF($R311="","",INDEX(Anforderungen!$I:$I,$R311))</f>
        <v>offen</v>
      </c>
      <c r="H311" s="45" t="str">
        <f aca="false">IF($R311="","",INDEX(Anforderungen!$J:$J,$R311))</f>
        <v>–</v>
      </c>
      <c r="I311" s="45" t="str">
        <f aca="false">IF($R311="","",INDEX(Anforderungen!$K:$K,$R311))</f>
        <v>trifft nicht zu</v>
      </c>
      <c r="J311" s="46" t="n">
        <f aca="false">IF($R311="","",INDEX(Anforderungen!$L:$L,$R311))</f>
        <v>0</v>
      </c>
      <c r="K311" s="45" t="str">
        <f aca="false">IF($R311="","",INDEX(Anforderungen!$M:$M,$R311))</f>
        <v>Automatisch ausgewertet: Außerhalb des betrachteten Leistungsumfangs (Schranken, Kennzeichenerfassung, dynamische Anzeige).</v>
      </c>
      <c r="R311" s="0" t="n">
        <f aca="false">IFERROR(MATCH(ROWS($A$14:$A311),$T$7:$T$2000,0)+6,"")</f>
        <v>304</v>
      </c>
      <c r="T311" s="0" t="n">
        <f aca="false">IF(Anforderungen!$B311="","",IF(AND(OR($B5="(alle)",Anforderungen!$K311=$B5),OR($E5="(alle)",Anforderungen!$C311=$E5),OR($H5="(alle)",Anforderungen!$E311=$H5),OR($B7="(alle)",ISNUMBER(SEARCH($B7,Anforderungen!$J311))),OR($E7="(alle)",ISNUMBER(SEARCH($E7,Anforderungen!$I311))),OR($H7="",ISNUMBER(SEARCH($H7,Anforderungen!$F311&amp;" "&amp;Anforderungen!$G311)))),COUNT($T$6:$T310)+1,""))</f>
        <v>305</v>
      </c>
    </row>
    <row r="312" customFormat="false" ht="30" hidden="false" customHeight="true" outlineLevel="0" collapsed="false">
      <c r="A312" s="45" t="str">
        <f aca="false">IF($R312="","",INDEX(Anforderungen!$B:$B,$R312))</f>
        <v>ANF-299</v>
      </c>
      <c r="B312" s="45" t="str">
        <f aca="false">IF($R312="","",INDEX(Anforderungen!$C:$C,$R312))</f>
        <v>Bieterfragenkatalog</v>
      </c>
      <c r="C312" s="45" t="str">
        <f aca="false">IF($R312="","",INDEX(Anforderungen!$D:$D,$R312))</f>
        <v>Nr. 246 / S. 22</v>
      </c>
      <c r="D312" s="45" t="str">
        <f aca="false">IF($R312="","",INDEX(Anforderungen!$E:$E,$R312))</f>
        <v>Vertrag &amp; Recht</v>
      </c>
      <c r="E312" s="45" t="str">
        <f aca="false">IF($R312="","",INDEX(Anforderungen!$F:$F,$R312))</f>
        <v>Verneint: der AG muss der Weitergabe zustimmen. Siehe dazu auch Antwort auf Bieterfrage 160.</v>
      </c>
      <c r="F312" s="45" t="str">
        <f aca="false">IF($R312="","",INDEX(Anforderungen!$G:$G,$R312))</f>
        <v>Gehen wir recht in der Annahme, dass eine Zustimmung der Auftraggeber zu einer Weitergabe von Informationen aus diesem Vertrag / den weiteren leistungsbezogenen Vergabeunterlagen an unsere Subunternehmer und Lieferanten als erteilt gilt, sofern wir diese Dritte zur entsprechenden Geheimhaltung verpflichten?</v>
      </c>
      <c r="G312" s="45" t="str">
        <f aca="false">IF($R312="","",INDEX(Anforderungen!$I:$I,$R312))</f>
        <v>offen</v>
      </c>
      <c r="H312" s="45" t="str">
        <f aca="false">IF($R312="","",INDEX(Anforderungen!$J:$J,$R312))</f>
        <v>–</v>
      </c>
      <c r="I312" s="45" t="str">
        <f aca="false">IF($R312="","",INDEX(Anforderungen!$K:$K,$R312))</f>
        <v>trifft nicht zu</v>
      </c>
      <c r="J312" s="46" t="n">
        <f aca="false">IF($R312="","",INDEX(Anforderungen!$L:$L,$R312))</f>
        <v>0</v>
      </c>
      <c r="K312" s="45" t="str">
        <f aca="false">IF($R312="","",INDEX(Anforderungen!$M:$M,$R312))</f>
        <v>Automatisch ausgewertet: Außerhalb des betrachteten Leistungsumfangs (Schranken, Kennzeichenerfassung, dynamische Anzeige).</v>
      </c>
      <c r="R312" s="0" t="n">
        <f aca="false">IFERROR(MATCH(ROWS($A$14:$A312),$T$7:$T$2000,0)+6,"")</f>
        <v>305</v>
      </c>
      <c r="T312" s="0" t="n">
        <f aca="false">IF(Anforderungen!$B312="","",IF(AND(OR($B5="(alle)",Anforderungen!$K312=$B5),OR($E5="(alle)",Anforderungen!$C312=$E5),OR($H5="(alle)",Anforderungen!$E312=$H5),OR($B7="(alle)",ISNUMBER(SEARCH($B7,Anforderungen!$J312))),OR($E7="(alle)",ISNUMBER(SEARCH($E7,Anforderungen!$I312))),OR($H7="",ISNUMBER(SEARCH($H7,Anforderungen!$F312&amp;" "&amp;Anforderungen!$G312)))),COUNT($T$6:$T311)+1,""))</f>
        <v>306</v>
      </c>
    </row>
    <row r="313" customFormat="false" ht="30" hidden="false" customHeight="true" outlineLevel="0" collapsed="false">
      <c r="A313" s="45" t="str">
        <f aca="false">IF($R313="","",INDEX(Anforderungen!$B:$B,$R313))</f>
        <v>ANF-300</v>
      </c>
      <c r="B313" s="45" t="str">
        <f aca="false">IF($R313="","",INDEX(Anforderungen!$C:$C,$R313))</f>
        <v>Bieterfragenkatalog</v>
      </c>
      <c r="C313" s="45" t="str">
        <f aca="false">IF($R313="","",INDEX(Anforderungen!$D:$D,$R313))</f>
        <v>Nr. 247 / S. 22</v>
      </c>
      <c r="D313" s="45" t="str">
        <f aca="false">IF($R313="","",INDEX(Anforderungen!$E:$E,$R313))</f>
        <v>Flächen &amp; Genehmigungen</v>
      </c>
      <c r="E313" s="45" t="str">
        <f aca="false">IF($R313="","",INDEX(Anforderungen!$F:$F,$R313))</f>
        <v>Klarstellung: Die baulichen Vorgaben ergeben sich aus der Vertragsanlage 4 und insbesondere aus dem Anhang 1a „Referenzplanung“.</v>
      </c>
      <c r="F313" s="45" t="str">
        <f aca="false">IF($R313="","",INDEX(Anforderungen!$G:$G,$R313))</f>
        <v>Gibt es bauliche Vorgaben für die Anreichung der Ladestecker, welche den Einsatz von Überkopflösungen in Stahlbauweise betreffen? Überkopflösungen haben hinsichtlich des Baus und der optimalen Flächennutzung erhebliche Vorteile.</v>
      </c>
      <c r="G313" s="45" t="str">
        <f aca="false">IF($R313="","",INDEX(Anforderungen!$I:$I,$R313))</f>
        <v>Alpitronic</v>
      </c>
      <c r="H313" s="45" t="str">
        <f aca="false">IF($R313="","",INDEX(Anforderungen!$J:$J,$R313))</f>
        <v>Ladeeinrichtung</v>
      </c>
      <c r="I313" s="45" t="str">
        <f aca="false">IF($R313="","",INDEX(Anforderungen!$K:$K,$R313))</f>
        <v>trifft nicht zu</v>
      </c>
      <c r="J313" s="46" t="n">
        <f aca="false">IF($R313="","",INDEX(Anforderungen!$L:$L,$R313))</f>
        <v>0</v>
      </c>
      <c r="K313" s="45" t="str">
        <f aca="false">IF($R313="","",INDEX(Anforderungen!$M:$M,$R313))</f>
        <v>Automatisch ausgewertet: Außerhalb des betrachteten Leistungsumfangs (Schranken, Kennzeichenerfassung, dynamische Anzeige).</v>
      </c>
      <c r="R313" s="0" t="n">
        <f aca="false">IFERROR(MATCH(ROWS($A$14:$A313),$T$7:$T$2000,0)+6,"")</f>
        <v>306</v>
      </c>
      <c r="T313" s="0" t="n">
        <f aca="false">IF(Anforderungen!$B313="","",IF(AND(OR($B5="(alle)",Anforderungen!$K313=$B5),OR($E5="(alle)",Anforderungen!$C313=$E5),OR($H5="(alle)",Anforderungen!$E313=$H5),OR($B7="(alle)",ISNUMBER(SEARCH($B7,Anforderungen!$J313))),OR($E7="(alle)",ISNUMBER(SEARCH($E7,Anforderungen!$I313))),OR($H7="",ISNUMBER(SEARCH($H7,Anforderungen!$F313&amp;" "&amp;Anforderungen!$G313)))),COUNT($T$6:$T312)+1,""))</f>
        <v>307</v>
      </c>
    </row>
    <row r="314" customFormat="false" ht="15" hidden="false" customHeight="false" outlineLevel="0" collapsed="false">
      <c r="T314" s="0" t="n">
        <f aca="false">IF(Anforderungen!$B314="","",IF(AND(OR($B5="(alle)",Anforderungen!$K314=$B5),OR($E5="(alle)",Anforderungen!$C314=$E5),OR($H5="(alle)",Anforderungen!$E314=$H5),OR($B7="(alle)",ISNUMBER(SEARCH($B7,Anforderungen!$J314))),OR($E7="(alle)",ISNUMBER(SEARCH($E7,Anforderungen!$I314))),OR($H7="",ISNUMBER(SEARCH($H7,Anforderungen!$F314&amp;" "&amp;Anforderungen!$G314)))),COUNT($T$6:$T313)+1,""))</f>
        <v>308</v>
      </c>
    </row>
    <row r="315" customFormat="false" ht="15" hidden="false" customHeight="false" outlineLevel="0" collapsed="false">
      <c r="T315" s="0" t="n">
        <f aca="false">IF(Anforderungen!$B315="","",IF(AND(OR($B5="(alle)",Anforderungen!$K315=$B5),OR($E5="(alle)",Anforderungen!$C315=$E5),OR($H5="(alle)",Anforderungen!$E315=$H5),OR($B7="(alle)",ISNUMBER(SEARCH($B7,Anforderungen!$J315))),OR($E7="(alle)",ISNUMBER(SEARCH($E7,Anforderungen!$I315))),OR($H7="",ISNUMBER(SEARCH($H7,Anforderungen!$F315&amp;" "&amp;Anforderungen!$G315)))),COUNT($T$6:$T314)+1,""))</f>
        <v>309</v>
      </c>
    </row>
    <row r="316" customFormat="false" ht="15" hidden="false" customHeight="false" outlineLevel="0" collapsed="false">
      <c r="T316" s="0" t="n">
        <f aca="false">IF(Anforderungen!$B316="","",IF(AND(OR($B5="(alle)",Anforderungen!$K316=$B5),OR($E5="(alle)",Anforderungen!$C316=$E5),OR($H5="(alle)",Anforderungen!$E316=$H5),OR($B7="(alle)",ISNUMBER(SEARCH($B7,Anforderungen!$J316))),OR($E7="(alle)",ISNUMBER(SEARCH($E7,Anforderungen!$I316))),OR($H7="",ISNUMBER(SEARCH($H7,Anforderungen!$F316&amp;" "&amp;Anforderungen!$G316)))),COUNT($T$6:$T315)+1,""))</f>
        <v>310</v>
      </c>
    </row>
    <row r="317" customFormat="false" ht="15" hidden="false" customHeight="false" outlineLevel="0" collapsed="false">
      <c r="T317" s="0" t="n">
        <f aca="false">IF(Anforderungen!$B317="","",IF(AND(OR($B5="(alle)",Anforderungen!$K317=$B5),OR($E5="(alle)",Anforderungen!$C317=$E5),OR($H5="(alle)",Anforderungen!$E317=$H5),OR($B7="(alle)",ISNUMBER(SEARCH($B7,Anforderungen!$J317))),OR($E7="(alle)",ISNUMBER(SEARCH($E7,Anforderungen!$I317))),OR($H7="",ISNUMBER(SEARCH($H7,Anforderungen!$F317&amp;" "&amp;Anforderungen!$G317)))),COUNT($T$6:$T316)+1,""))</f>
        <v>311</v>
      </c>
    </row>
    <row r="318" customFormat="false" ht="15" hidden="false" customHeight="false" outlineLevel="0" collapsed="false">
      <c r="T318" s="0" t="n">
        <f aca="false">IF(Anforderungen!$B318="","",IF(AND(OR($B5="(alle)",Anforderungen!$K318=$B5),OR($E5="(alle)",Anforderungen!$C318=$E5),OR($H5="(alle)",Anforderungen!$E318=$H5),OR($B7="(alle)",ISNUMBER(SEARCH($B7,Anforderungen!$J318))),OR($E7="(alle)",ISNUMBER(SEARCH($E7,Anforderungen!$I318))),OR($H7="",ISNUMBER(SEARCH($H7,Anforderungen!$F318&amp;" "&amp;Anforderungen!$G318)))),COUNT($T$6:$T317)+1,""))</f>
        <v>312</v>
      </c>
    </row>
    <row r="319" customFormat="false" ht="15" hidden="false" customHeight="false" outlineLevel="0" collapsed="false">
      <c r="T319" s="0" t="n">
        <f aca="false">IF(Anforderungen!$B319="","",IF(AND(OR($B5="(alle)",Anforderungen!$K319=$B5),OR($E5="(alle)",Anforderungen!$C319=$E5),OR($H5="(alle)",Anforderungen!$E319=$H5),OR($B7="(alle)",ISNUMBER(SEARCH($B7,Anforderungen!$J319))),OR($E7="(alle)",ISNUMBER(SEARCH($E7,Anforderungen!$I319))),OR($H7="",ISNUMBER(SEARCH($H7,Anforderungen!$F319&amp;" "&amp;Anforderungen!$G319)))),COUNT($T$6:$T318)+1,""))</f>
        <v>313</v>
      </c>
    </row>
    <row r="320" customFormat="false" ht="15" hidden="false" customHeight="false" outlineLevel="0" collapsed="false">
      <c r="T320" s="0" t="n">
        <f aca="false">IF(Anforderungen!$B320="","",IF(AND(OR($B5="(alle)",Anforderungen!$K320=$B5),OR($E5="(alle)",Anforderungen!$C320=$E5),OR($H5="(alle)",Anforderungen!$E320=$H5),OR($B7="(alle)",ISNUMBER(SEARCH($B7,Anforderungen!$J320))),OR($E7="(alle)",ISNUMBER(SEARCH($E7,Anforderungen!$I320))),OR($H7="",ISNUMBER(SEARCH($H7,Anforderungen!$F320&amp;" "&amp;Anforderungen!$G320)))),COUNT($T$6:$T319)+1,""))</f>
        <v>314</v>
      </c>
    </row>
    <row r="321" customFormat="false" ht="15" hidden="false" customHeight="false" outlineLevel="0" collapsed="false">
      <c r="T321" s="0" t="n">
        <f aca="false">IF(Anforderungen!$B321="","",IF(AND(OR($B5="(alle)",Anforderungen!$K321=$B5),OR($E5="(alle)",Anforderungen!$C321=$E5),OR($H5="(alle)",Anforderungen!$E321=$H5),OR($B7="(alle)",ISNUMBER(SEARCH($B7,Anforderungen!$J321))),OR($E7="(alle)",ISNUMBER(SEARCH($E7,Anforderungen!$I321))),OR($H7="",ISNUMBER(SEARCH($H7,Anforderungen!$F321&amp;" "&amp;Anforderungen!$G321)))),COUNT($T$6:$T320)+1,""))</f>
        <v>315</v>
      </c>
    </row>
    <row r="322" customFormat="false" ht="15" hidden="false" customHeight="false" outlineLevel="0" collapsed="false">
      <c r="T322" s="0" t="n">
        <f aca="false">IF(Anforderungen!$B322="","",IF(AND(OR($B5="(alle)",Anforderungen!$K322=$B5),OR($E5="(alle)",Anforderungen!$C322=$E5),OR($H5="(alle)",Anforderungen!$E322=$H5),OR($B7="(alle)",ISNUMBER(SEARCH($B7,Anforderungen!$J322))),OR($E7="(alle)",ISNUMBER(SEARCH($E7,Anforderungen!$I322))),OR($H7="",ISNUMBER(SEARCH($H7,Anforderungen!$F322&amp;" "&amp;Anforderungen!$G322)))),COUNT($T$6:$T321)+1,""))</f>
        <v>316</v>
      </c>
    </row>
    <row r="323" customFormat="false" ht="15" hidden="false" customHeight="false" outlineLevel="0" collapsed="false">
      <c r="T323" s="0" t="n">
        <f aca="false">IF(Anforderungen!$B323="","",IF(AND(OR($B5="(alle)",Anforderungen!$K323=$B5),OR($E5="(alle)",Anforderungen!$C323=$E5),OR($H5="(alle)",Anforderungen!$E323=$H5),OR($B7="(alle)",ISNUMBER(SEARCH($B7,Anforderungen!$J323))),OR($E7="(alle)",ISNUMBER(SEARCH($E7,Anforderungen!$I323))),OR($H7="",ISNUMBER(SEARCH($H7,Anforderungen!$F323&amp;" "&amp;Anforderungen!$G323)))),COUNT($T$6:$T322)+1,""))</f>
        <v>317</v>
      </c>
    </row>
    <row r="324" customFormat="false" ht="15" hidden="false" customHeight="false" outlineLevel="0" collapsed="false">
      <c r="T324" s="0" t="n">
        <f aca="false">IF(Anforderungen!$B324="","",IF(AND(OR($B5="(alle)",Anforderungen!$K324=$B5),OR($E5="(alle)",Anforderungen!$C324=$E5),OR($H5="(alle)",Anforderungen!$E324=$H5),OR($B7="(alle)",ISNUMBER(SEARCH($B7,Anforderungen!$J324))),OR($E7="(alle)",ISNUMBER(SEARCH($E7,Anforderungen!$I324))),OR($H7="",ISNUMBER(SEARCH($H7,Anforderungen!$F324&amp;" "&amp;Anforderungen!$G324)))),COUNT($T$6:$T323)+1,""))</f>
        <v>318</v>
      </c>
    </row>
    <row r="325" customFormat="false" ht="15" hidden="false" customHeight="false" outlineLevel="0" collapsed="false">
      <c r="T325" s="0" t="n">
        <f aca="false">IF(Anforderungen!$B325="","",IF(AND(OR($B5="(alle)",Anforderungen!$K325=$B5),OR($E5="(alle)",Anforderungen!$C325=$E5),OR($H5="(alle)",Anforderungen!$E325=$H5),OR($B7="(alle)",ISNUMBER(SEARCH($B7,Anforderungen!$J325))),OR($E7="(alle)",ISNUMBER(SEARCH($E7,Anforderungen!$I325))),OR($H7="",ISNUMBER(SEARCH($H7,Anforderungen!$F325&amp;" "&amp;Anforderungen!$G325)))),COUNT($T$6:$T324)+1,""))</f>
        <v>319</v>
      </c>
    </row>
    <row r="326" customFormat="false" ht="15" hidden="false" customHeight="false" outlineLevel="0" collapsed="false">
      <c r="T326" s="0" t="n">
        <f aca="false">IF(Anforderungen!$B326="","",IF(AND(OR($B5="(alle)",Anforderungen!$K326=$B5),OR($E5="(alle)",Anforderungen!$C326=$E5),OR($H5="(alle)",Anforderungen!$E326=$H5),OR($B7="(alle)",ISNUMBER(SEARCH($B7,Anforderungen!$J326))),OR($E7="(alle)",ISNUMBER(SEARCH($E7,Anforderungen!$I326))),OR($H7="",ISNUMBER(SEARCH($H7,Anforderungen!$F326&amp;" "&amp;Anforderungen!$G326)))),COUNT($T$6:$T325)+1,""))</f>
        <v>320</v>
      </c>
    </row>
    <row r="327" customFormat="false" ht="15" hidden="false" customHeight="false" outlineLevel="0" collapsed="false">
      <c r="T327" s="0" t="n">
        <f aca="false">IF(Anforderungen!$B327="","",IF(AND(OR($B5="(alle)",Anforderungen!$K327=$B5),OR($E5="(alle)",Anforderungen!$C327=$E5),OR($H5="(alle)",Anforderungen!$E327=$H5),OR($B7="(alle)",ISNUMBER(SEARCH($B7,Anforderungen!$J327))),OR($E7="(alle)",ISNUMBER(SEARCH($E7,Anforderungen!$I327))),OR($H7="",ISNUMBER(SEARCH($H7,Anforderungen!$F327&amp;" "&amp;Anforderungen!$G327)))),COUNT($T$6:$T326)+1,""))</f>
        <v>321</v>
      </c>
    </row>
    <row r="328" customFormat="false" ht="15" hidden="false" customHeight="false" outlineLevel="0" collapsed="false">
      <c r="T328" s="0" t="n">
        <f aca="false">IF(Anforderungen!$B328="","",IF(AND(OR($B5="(alle)",Anforderungen!$K328=$B5),OR($E5="(alle)",Anforderungen!$C328=$E5),OR($H5="(alle)",Anforderungen!$E328=$H5),OR($B7="(alle)",ISNUMBER(SEARCH($B7,Anforderungen!$J328))),OR($E7="(alle)",ISNUMBER(SEARCH($E7,Anforderungen!$I328))),OR($H7="",ISNUMBER(SEARCH($H7,Anforderungen!$F328&amp;" "&amp;Anforderungen!$G328)))),COUNT($T$6:$T327)+1,""))</f>
        <v>322</v>
      </c>
    </row>
    <row r="329" customFormat="false" ht="15" hidden="false" customHeight="false" outlineLevel="0" collapsed="false">
      <c r="T329" s="0" t="n">
        <f aca="false">IF(Anforderungen!$B329="","",IF(AND(OR($B5="(alle)",Anforderungen!$K329=$B5),OR($E5="(alle)",Anforderungen!$C329=$E5),OR($H5="(alle)",Anforderungen!$E329=$H5),OR($B7="(alle)",ISNUMBER(SEARCH($B7,Anforderungen!$J329))),OR($E7="(alle)",ISNUMBER(SEARCH($E7,Anforderungen!$I329))),OR($H7="",ISNUMBER(SEARCH($H7,Anforderungen!$F329&amp;" "&amp;Anforderungen!$G329)))),COUNT($T$6:$T328)+1,""))</f>
        <v>323</v>
      </c>
    </row>
    <row r="330" customFormat="false" ht="15" hidden="false" customHeight="false" outlineLevel="0" collapsed="false">
      <c r="T330" s="0" t="n">
        <f aca="false">IF(Anforderungen!$B330="","",IF(AND(OR($B5="(alle)",Anforderungen!$K330=$B5),OR($E5="(alle)",Anforderungen!$C330=$E5),OR($H5="(alle)",Anforderungen!$E330=$H5),OR($B7="(alle)",ISNUMBER(SEARCH($B7,Anforderungen!$J330))),OR($E7="(alle)",ISNUMBER(SEARCH($E7,Anforderungen!$I330))),OR($H7="",ISNUMBER(SEARCH($H7,Anforderungen!$F330&amp;" "&amp;Anforderungen!$G330)))),COUNT($T$6:$T329)+1,""))</f>
        <v>324</v>
      </c>
    </row>
    <row r="331" customFormat="false" ht="15" hidden="false" customHeight="false" outlineLevel="0" collapsed="false">
      <c r="T331" s="0" t="n">
        <f aca="false">IF(Anforderungen!$B331="","",IF(AND(OR($B5="(alle)",Anforderungen!$K331=$B5),OR($E5="(alle)",Anforderungen!$C331=$E5),OR($H5="(alle)",Anforderungen!$E331=$H5),OR($B7="(alle)",ISNUMBER(SEARCH($B7,Anforderungen!$J331))),OR($E7="(alle)",ISNUMBER(SEARCH($E7,Anforderungen!$I331))),OR($H7="",ISNUMBER(SEARCH($H7,Anforderungen!$F331&amp;" "&amp;Anforderungen!$G331)))),COUNT($T$6:$T330)+1,""))</f>
        <v>325</v>
      </c>
    </row>
    <row r="332" customFormat="false" ht="15" hidden="false" customHeight="false" outlineLevel="0" collapsed="false">
      <c r="T332" s="0" t="n">
        <f aca="false">IF(Anforderungen!$B332="","",IF(AND(OR($B5="(alle)",Anforderungen!$K332=$B5),OR($E5="(alle)",Anforderungen!$C332=$E5),OR($H5="(alle)",Anforderungen!$E332=$H5),OR($B7="(alle)",ISNUMBER(SEARCH($B7,Anforderungen!$J332))),OR($E7="(alle)",ISNUMBER(SEARCH($E7,Anforderungen!$I332))),OR($H7="",ISNUMBER(SEARCH($H7,Anforderungen!$F332&amp;" "&amp;Anforderungen!$G332)))),COUNT($T$6:$T331)+1,""))</f>
        <v>326</v>
      </c>
    </row>
    <row r="333" customFormat="false" ht="15" hidden="false" customHeight="false" outlineLevel="0" collapsed="false">
      <c r="T333" s="0" t="n">
        <f aca="false">IF(Anforderungen!$B333="","",IF(AND(OR($B5="(alle)",Anforderungen!$K333=$B5),OR($E5="(alle)",Anforderungen!$C333=$E5),OR($H5="(alle)",Anforderungen!$E333=$H5),OR($B7="(alle)",ISNUMBER(SEARCH($B7,Anforderungen!$J333))),OR($E7="(alle)",ISNUMBER(SEARCH($E7,Anforderungen!$I333))),OR($H7="",ISNUMBER(SEARCH($H7,Anforderungen!$F333&amp;" "&amp;Anforderungen!$G333)))),COUNT($T$6:$T332)+1,""))</f>
        <v>327</v>
      </c>
    </row>
    <row r="334" customFormat="false" ht="15" hidden="false" customHeight="false" outlineLevel="0" collapsed="false">
      <c r="T334" s="0" t="n">
        <f aca="false">IF(Anforderungen!$B334="","",IF(AND(OR($B5="(alle)",Anforderungen!$K334=$B5),OR($E5="(alle)",Anforderungen!$C334=$E5),OR($H5="(alle)",Anforderungen!$E334=$H5),OR($B7="(alle)",ISNUMBER(SEARCH($B7,Anforderungen!$J334))),OR($E7="(alle)",ISNUMBER(SEARCH($E7,Anforderungen!$I334))),OR($H7="",ISNUMBER(SEARCH($H7,Anforderungen!$F334&amp;" "&amp;Anforderungen!$G334)))),COUNT($T$6:$T333)+1,""))</f>
        <v>328</v>
      </c>
    </row>
    <row r="335" customFormat="false" ht="15" hidden="false" customHeight="false" outlineLevel="0" collapsed="false">
      <c r="T335" s="0" t="n">
        <f aca="false">IF(Anforderungen!$B335="","",IF(AND(OR($B5="(alle)",Anforderungen!$K335=$B5),OR($E5="(alle)",Anforderungen!$C335=$E5),OR($H5="(alle)",Anforderungen!$E335=$H5),OR($B7="(alle)",ISNUMBER(SEARCH($B7,Anforderungen!$J335))),OR($E7="(alle)",ISNUMBER(SEARCH($E7,Anforderungen!$I335))),OR($H7="",ISNUMBER(SEARCH($H7,Anforderungen!$F335&amp;" "&amp;Anforderungen!$G335)))),COUNT($T$6:$T334)+1,""))</f>
        <v>329</v>
      </c>
    </row>
    <row r="336" customFormat="false" ht="15" hidden="false" customHeight="false" outlineLevel="0" collapsed="false">
      <c r="T336" s="0" t="n">
        <f aca="false">IF(Anforderungen!$B336="","",IF(AND(OR($B5="(alle)",Anforderungen!$K336=$B5),OR($E5="(alle)",Anforderungen!$C336=$E5),OR($H5="(alle)",Anforderungen!$E336=$H5),OR($B7="(alle)",ISNUMBER(SEARCH($B7,Anforderungen!$J336))),OR($E7="(alle)",ISNUMBER(SEARCH($E7,Anforderungen!$I336))),OR($H7="",ISNUMBER(SEARCH($H7,Anforderungen!$F336&amp;" "&amp;Anforderungen!$G336)))),COUNT($T$6:$T335)+1,""))</f>
        <v>330</v>
      </c>
    </row>
    <row r="337" customFormat="false" ht="15" hidden="false" customHeight="false" outlineLevel="0" collapsed="false">
      <c r="T337" s="0" t="n">
        <f aca="false">IF(Anforderungen!$B337="","",IF(AND(OR($B5="(alle)",Anforderungen!$K337=$B5),OR($E5="(alle)",Anforderungen!$C337=$E5),OR($H5="(alle)",Anforderungen!$E337=$H5),OR($B7="(alle)",ISNUMBER(SEARCH($B7,Anforderungen!$J337))),OR($E7="(alle)",ISNUMBER(SEARCH($E7,Anforderungen!$I337))),OR($H7="",ISNUMBER(SEARCH($H7,Anforderungen!$F337&amp;" "&amp;Anforderungen!$G337)))),COUNT($T$6:$T336)+1,""))</f>
        <v>331</v>
      </c>
    </row>
    <row r="338" customFormat="false" ht="15" hidden="false" customHeight="false" outlineLevel="0" collapsed="false">
      <c r="T338" s="0" t="n">
        <f aca="false">IF(Anforderungen!$B338="","",IF(AND(OR($B5="(alle)",Anforderungen!$K338=$B5),OR($E5="(alle)",Anforderungen!$C338=$E5),OR($H5="(alle)",Anforderungen!$E338=$H5),OR($B7="(alle)",ISNUMBER(SEARCH($B7,Anforderungen!$J338))),OR($E7="(alle)",ISNUMBER(SEARCH($E7,Anforderungen!$I338))),OR($H7="",ISNUMBER(SEARCH($H7,Anforderungen!$F338&amp;" "&amp;Anforderungen!$G338)))),COUNT($T$6:$T337)+1,""))</f>
        <v>332</v>
      </c>
    </row>
    <row r="339" customFormat="false" ht="15" hidden="false" customHeight="false" outlineLevel="0" collapsed="false">
      <c r="T339" s="0" t="n">
        <f aca="false">IF(Anforderungen!$B339="","",IF(AND(OR($B5="(alle)",Anforderungen!$K339=$B5),OR($E5="(alle)",Anforderungen!$C339=$E5),OR($H5="(alle)",Anforderungen!$E339=$H5),OR($B7="(alle)",ISNUMBER(SEARCH($B7,Anforderungen!$J339))),OR($E7="(alle)",ISNUMBER(SEARCH($E7,Anforderungen!$I339))),OR($H7="",ISNUMBER(SEARCH($H7,Anforderungen!$F339&amp;" "&amp;Anforderungen!$G339)))),COUNT($T$6:$T338)+1,""))</f>
        <v>333</v>
      </c>
    </row>
    <row r="340" customFormat="false" ht="15" hidden="false" customHeight="false" outlineLevel="0" collapsed="false">
      <c r="T340" s="0" t="n">
        <f aca="false">IF(Anforderungen!$B340="","",IF(AND(OR($B5="(alle)",Anforderungen!$K340=$B5),OR($E5="(alle)",Anforderungen!$C340=$E5),OR($H5="(alle)",Anforderungen!$E340=$H5),OR($B7="(alle)",ISNUMBER(SEARCH($B7,Anforderungen!$J340))),OR($E7="(alle)",ISNUMBER(SEARCH($E7,Anforderungen!$I340))),OR($H7="",ISNUMBER(SEARCH($H7,Anforderungen!$F340&amp;" "&amp;Anforderungen!$G340)))),COUNT($T$6:$T339)+1,""))</f>
        <v>334</v>
      </c>
    </row>
    <row r="341" customFormat="false" ht="15" hidden="false" customHeight="false" outlineLevel="0" collapsed="false">
      <c r="T341" s="0" t="n">
        <f aca="false">IF(Anforderungen!$B341="","",IF(AND(OR($B5="(alle)",Anforderungen!$K341=$B5),OR($E5="(alle)",Anforderungen!$C341=$E5),OR($H5="(alle)",Anforderungen!$E341=$H5),OR($B7="(alle)",ISNUMBER(SEARCH($B7,Anforderungen!$J341))),OR($E7="(alle)",ISNUMBER(SEARCH($E7,Anforderungen!$I341))),OR($H7="",ISNUMBER(SEARCH($H7,Anforderungen!$F341&amp;" "&amp;Anforderungen!$G341)))),COUNT($T$6:$T340)+1,""))</f>
        <v>335</v>
      </c>
    </row>
    <row r="342" customFormat="false" ht="15" hidden="false" customHeight="false" outlineLevel="0" collapsed="false">
      <c r="T342" s="0" t="n">
        <f aca="false">IF(Anforderungen!$B342="","",IF(AND(OR($B5="(alle)",Anforderungen!$K342=$B5),OR($E5="(alle)",Anforderungen!$C342=$E5),OR($H5="(alle)",Anforderungen!$E342=$H5),OR($B7="(alle)",ISNUMBER(SEARCH($B7,Anforderungen!$J342))),OR($E7="(alle)",ISNUMBER(SEARCH($E7,Anforderungen!$I342))),OR($H7="",ISNUMBER(SEARCH($H7,Anforderungen!$F342&amp;" "&amp;Anforderungen!$G342)))),COUNT($T$6:$T341)+1,""))</f>
        <v>336</v>
      </c>
    </row>
    <row r="343" customFormat="false" ht="15" hidden="false" customHeight="false" outlineLevel="0" collapsed="false">
      <c r="T343" s="0" t="n">
        <f aca="false">IF(Anforderungen!$B343="","",IF(AND(OR($B5="(alle)",Anforderungen!$K343=$B5),OR($E5="(alle)",Anforderungen!$C343=$E5),OR($H5="(alle)",Anforderungen!$E343=$H5),OR($B7="(alle)",ISNUMBER(SEARCH($B7,Anforderungen!$J343))),OR($E7="(alle)",ISNUMBER(SEARCH($E7,Anforderungen!$I343))),OR($H7="",ISNUMBER(SEARCH($H7,Anforderungen!$F343&amp;" "&amp;Anforderungen!$G343)))),COUNT($T$6:$T342)+1,""))</f>
        <v>337</v>
      </c>
    </row>
    <row r="344" customFormat="false" ht="15" hidden="false" customHeight="false" outlineLevel="0" collapsed="false">
      <c r="T344" s="0" t="n">
        <f aca="false">IF(Anforderungen!$B344="","",IF(AND(OR($B5="(alle)",Anforderungen!$K344=$B5),OR($E5="(alle)",Anforderungen!$C344=$E5),OR($H5="(alle)",Anforderungen!$E344=$H5),OR($B7="(alle)",ISNUMBER(SEARCH($B7,Anforderungen!$J344))),OR($E7="(alle)",ISNUMBER(SEARCH($E7,Anforderungen!$I344))),OR($H7="",ISNUMBER(SEARCH($H7,Anforderungen!$F344&amp;" "&amp;Anforderungen!$G344)))),COUNT($T$6:$T343)+1,""))</f>
        <v>338</v>
      </c>
    </row>
    <row r="345" customFormat="false" ht="15" hidden="false" customHeight="false" outlineLevel="0" collapsed="false">
      <c r="T345" s="0" t="n">
        <f aca="false">IF(Anforderungen!$B345="","",IF(AND(OR($B5="(alle)",Anforderungen!$K345=$B5),OR($E5="(alle)",Anforderungen!$C345=$E5),OR($H5="(alle)",Anforderungen!$E345=$H5),OR($B7="(alle)",ISNUMBER(SEARCH($B7,Anforderungen!$J345))),OR($E7="(alle)",ISNUMBER(SEARCH($E7,Anforderungen!$I345))),OR($H7="",ISNUMBER(SEARCH($H7,Anforderungen!$F345&amp;" "&amp;Anforderungen!$G345)))),COUNT($T$6:$T344)+1,""))</f>
        <v>339</v>
      </c>
    </row>
    <row r="346" customFormat="false" ht="15" hidden="false" customHeight="false" outlineLevel="0" collapsed="false">
      <c r="T346" s="0" t="n">
        <f aca="false">IF(Anforderungen!$B346="","",IF(AND(OR($B5="(alle)",Anforderungen!$K346=$B5),OR($E5="(alle)",Anforderungen!$C346=$E5),OR($H5="(alle)",Anforderungen!$E346=$H5),OR($B7="(alle)",ISNUMBER(SEARCH($B7,Anforderungen!$J346))),OR($E7="(alle)",ISNUMBER(SEARCH($E7,Anforderungen!$I346))),OR($H7="",ISNUMBER(SEARCH($H7,Anforderungen!$F346&amp;" "&amp;Anforderungen!$G346)))),COUNT($T$6:$T345)+1,""))</f>
        <v>340</v>
      </c>
    </row>
    <row r="347" customFormat="false" ht="15" hidden="false" customHeight="false" outlineLevel="0" collapsed="false">
      <c r="T347" s="0" t="n">
        <f aca="false">IF(Anforderungen!$B347="","",IF(AND(OR($B5="(alle)",Anforderungen!$K347=$B5),OR($E5="(alle)",Anforderungen!$C347=$E5),OR($H5="(alle)",Anforderungen!$E347=$H5),OR($B7="(alle)",ISNUMBER(SEARCH($B7,Anforderungen!$J347))),OR($E7="(alle)",ISNUMBER(SEARCH($E7,Anforderungen!$I347))),OR($H7="",ISNUMBER(SEARCH($H7,Anforderungen!$F347&amp;" "&amp;Anforderungen!$G347)))),COUNT($T$6:$T346)+1,""))</f>
        <v>341</v>
      </c>
    </row>
    <row r="348" customFormat="false" ht="15" hidden="false" customHeight="false" outlineLevel="0" collapsed="false">
      <c r="T348" s="0" t="n">
        <f aca="false">IF(Anforderungen!$B348="","",IF(AND(OR($B5="(alle)",Anforderungen!$K348=$B5),OR($E5="(alle)",Anforderungen!$C348=$E5),OR($H5="(alle)",Anforderungen!$E348=$H5),OR($B7="(alle)",ISNUMBER(SEARCH($B7,Anforderungen!$J348))),OR($E7="(alle)",ISNUMBER(SEARCH($E7,Anforderungen!$I348))),OR($H7="",ISNUMBER(SEARCH($H7,Anforderungen!$F348&amp;" "&amp;Anforderungen!$G348)))),COUNT($T$6:$T347)+1,""))</f>
        <v>342</v>
      </c>
    </row>
    <row r="349" customFormat="false" ht="15" hidden="false" customHeight="false" outlineLevel="0" collapsed="false">
      <c r="T349" s="0" t="n">
        <f aca="false">IF(Anforderungen!$B349="","",IF(AND(OR($B5="(alle)",Anforderungen!$K349=$B5),OR($E5="(alle)",Anforderungen!$C349=$E5),OR($H5="(alle)",Anforderungen!$E349=$H5),OR($B7="(alle)",ISNUMBER(SEARCH($B7,Anforderungen!$J349))),OR($E7="(alle)",ISNUMBER(SEARCH($E7,Anforderungen!$I349))),OR($H7="",ISNUMBER(SEARCH($H7,Anforderungen!$F349&amp;" "&amp;Anforderungen!$G349)))),COUNT($T$6:$T348)+1,""))</f>
        <v>343</v>
      </c>
    </row>
    <row r="350" customFormat="false" ht="15" hidden="false" customHeight="false" outlineLevel="0" collapsed="false">
      <c r="T350" s="0" t="n">
        <f aca="false">IF(Anforderungen!$B350="","",IF(AND(OR($B5="(alle)",Anforderungen!$K350=$B5),OR($E5="(alle)",Anforderungen!$C350=$E5),OR($H5="(alle)",Anforderungen!$E350=$H5),OR($B7="(alle)",ISNUMBER(SEARCH($B7,Anforderungen!$J350))),OR($E7="(alle)",ISNUMBER(SEARCH($E7,Anforderungen!$I350))),OR($H7="",ISNUMBER(SEARCH($H7,Anforderungen!$F350&amp;" "&amp;Anforderungen!$G350)))),COUNT($T$6:$T349)+1,""))</f>
        <v>344</v>
      </c>
    </row>
    <row r="351" customFormat="false" ht="15" hidden="false" customHeight="false" outlineLevel="0" collapsed="false">
      <c r="T351" s="0" t="n">
        <f aca="false">IF(Anforderungen!$B351="","",IF(AND(OR($B5="(alle)",Anforderungen!$K351=$B5),OR($E5="(alle)",Anforderungen!$C351=$E5),OR($H5="(alle)",Anforderungen!$E351=$H5),OR($B7="(alle)",ISNUMBER(SEARCH($B7,Anforderungen!$J351))),OR($E7="(alle)",ISNUMBER(SEARCH($E7,Anforderungen!$I351))),OR($H7="",ISNUMBER(SEARCH($H7,Anforderungen!$F351&amp;" "&amp;Anforderungen!$G351)))),COUNT($T$6:$T350)+1,""))</f>
        <v>345</v>
      </c>
    </row>
    <row r="352" customFormat="false" ht="15" hidden="false" customHeight="false" outlineLevel="0" collapsed="false">
      <c r="T352" s="0" t="n">
        <f aca="false">IF(Anforderungen!$B352="","",IF(AND(OR($B5="(alle)",Anforderungen!$K352=$B5),OR($E5="(alle)",Anforderungen!$C352=$E5),OR($H5="(alle)",Anforderungen!$E352=$H5),OR($B7="(alle)",ISNUMBER(SEARCH($B7,Anforderungen!$J352))),OR($E7="(alle)",ISNUMBER(SEARCH($E7,Anforderungen!$I352))),OR($H7="",ISNUMBER(SEARCH($H7,Anforderungen!$F352&amp;" "&amp;Anforderungen!$G352)))),COUNT($T$6:$T351)+1,""))</f>
        <v>346</v>
      </c>
    </row>
    <row r="353" customFormat="false" ht="15" hidden="false" customHeight="false" outlineLevel="0" collapsed="false">
      <c r="T353" s="0" t="n">
        <f aca="false">IF(Anforderungen!$B353="","",IF(AND(OR($B5="(alle)",Anforderungen!$K353=$B5),OR($E5="(alle)",Anforderungen!$C353=$E5),OR($H5="(alle)",Anforderungen!$E353=$H5),OR($B7="(alle)",ISNUMBER(SEARCH($B7,Anforderungen!$J353))),OR($E7="(alle)",ISNUMBER(SEARCH($E7,Anforderungen!$I353))),OR($H7="",ISNUMBER(SEARCH($H7,Anforderungen!$F353&amp;" "&amp;Anforderungen!$G353)))),COUNT($T$6:$T352)+1,""))</f>
        <v>347</v>
      </c>
    </row>
    <row r="354" customFormat="false" ht="15" hidden="false" customHeight="false" outlineLevel="0" collapsed="false">
      <c r="T354" s="0" t="n">
        <f aca="false">IF(Anforderungen!$B354="","",IF(AND(OR($B5="(alle)",Anforderungen!$K354=$B5),OR($E5="(alle)",Anforderungen!$C354=$E5),OR($H5="(alle)",Anforderungen!$E354=$H5),OR($B7="(alle)",ISNUMBER(SEARCH($B7,Anforderungen!$J354))),OR($E7="(alle)",ISNUMBER(SEARCH($E7,Anforderungen!$I354))),OR($H7="",ISNUMBER(SEARCH($H7,Anforderungen!$F354&amp;" "&amp;Anforderungen!$G354)))),COUNT($T$6:$T353)+1,""))</f>
        <v>348</v>
      </c>
    </row>
    <row r="355" customFormat="false" ht="15" hidden="false" customHeight="false" outlineLevel="0" collapsed="false">
      <c r="T355" s="0" t="n">
        <f aca="false">IF(Anforderungen!$B355="","",IF(AND(OR($B5="(alle)",Anforderungen!$K355=$B5),OR($E5="(alle)",Anforderungen!$C355=$E5),OR($H5="(alle)",Anforderungen!$E355=$H5),OR($B7="(alle)",ISNUMBER(SEARCH($B7,Anforderungen!$J355))),OR($E7="(alle)",ISNUMBER(SEARCH($E7,Anforderungen!$I355))),OR($H7="",ISNUMBER(SEARCH($H7,Anforderungen!$F355&amp;" "&amp;Anforderungen!$G355)))),COUNT($T$6:$T354)+1,""))</f>
        <v>349</v>
      </c>
    </row>
    <row r="356" customFormat="false" ht="15" hidden="false" customHeight="false" outlineLevel="0" collapsed="false">
      <c r="T356" s="0" t="n">
        <f aca="false">IF(Anforderungen!$B356="","",IF(AND(OR($B5="(alle)",Anforderungen!$K356=$B5),OR($E5="(alle)",Anforderungen!$C356=$E5),OR($H5="(alle)",Anforderungen!$E356=$H5),OR($B7="(alle)",ISNUMBER(SEARCH($B7,Anforderungen!$J356))),OR($E7="(alle)",ISNUMBER(SEARCH($E7,Anforderungen!$I356))),OR($H7="",ISNUMBER(SEARCH($H7,Anforderungen!$F356&amp;" "&amp;Anforderungen!$G356)))),COUNT($T$6:$T355)+1,""))</f>
        <v>350</v>
      </c>
    </row>
    <row r="357" customFormat="false" ht="15" hidden="false" customHeight="false" outlineLevel="0" collapsed="false">
      <c r="T357" s="0" t="n">
        <f aca="false">IF(Anforderungen!$B357="","",IF(AND(OR($B5="(alle)",Anforderungen!$K357=$B5),OR($E5="(alle)",Anforderungen!$C357=$E5),OR($H5="(alle)",Anforderungen!$E357=$H5),OR($B7="(alle)",ISNUMBER(SEARCH($B7,Anforderungen!$J357))),OR($E7="(alle)",ISNUMBER(SEARCH($E7,Anforderungen!$I357))),OR($H7="",ISNUMBER(SEARCH($H7,Anforderungen!$F357&amp;" "&amp;Anforderungen!$G357)))),COUNT($T$6:$T356)+1,""))</f>
        <v>351</v>
      </c>
    </row>
    <row r="358" customFormat="false" ht="15" hidden="false" customHeight="false" outlineLevel="0" collapsed="false">
      <c r="T358" s="0" t="n">
        <f aca="false">IF(Anforderungen!$B358="","",IF(AND(OR($B5="(alle)",Anforderungen!$K358=$B5),OR($E5="(alle)",Anforderungen!$C358=$E5),OR($H5="(alle)",Anforderungen!$E358=$H5),OR($B7="(alle)",ISNUMBER(SEARCH($B7,Anforderungen!$J358))),OR($E7="(alle)",ISNUMBER(SEARCH($E7,Anforderungen!$I358))),OR($H7="",ISNUMBER(SEARCH($H7,Anforderungen!$F358&amp;" "&amp;Anforderungen!$G358)))),COUNT($T$6:$T357)+1,""))</f>
        <v>352</v>
      </c>
    </row>
    <row r="359" customFormat="false" ht="15" hidden="false" customHeight="false" outlineLevel="0" collapsed="false">
      <c r="T359" s="0" t="n">
        <f aca="false">IF(Anforderungen!$B359="","",IF(AND(OR($B5="(alle)",Anforderungen!$K359=$B5),OR($E5="(alle)",Anforderungen!$C359=$E5),OR($H5="(alle)",Anforderungen!$E359=$H5),OR($B7="(alle)",ISNUMBER(SEARCH($B7,Anforderungen!$J359))),OR($E7="(alle)",ISNUMBER(SEARCH($E7,Anforderungen!$I359))),OR($H7="",ISNUMBER(SEARCH($H7,Anforderungen!$F359&amp;" "&amp;Anforderungen!$G359)))),COUNT($T$6:$T358)+1,""))</f>
        <v>353</v>
      </c>
    </row>
    <row r="360" customFormat="false" ht="15" hidden="false" customHeight="false" outlineLevel="0" collapsed="false">
      <c r="T360" s="0" t="n">
        <f aca="false">IF(Anforderungen!$B360="","",IF(AND(OR($B5="(alle)",Anforderungen!$K360=$B5),OR($E5="(alle)",Anforderungen!$C360=$E5),OR($H5="(alle)",Anforderungen!$E360=$H5),OR($B7="(alle)",ISNUMBER(SEARCH($B7,Anforderungen!$J360))),OR($E7="(alle)",ISNUMBER(SEARCH($E7,Anforderungen!$I360))),OR($H7="",ISNUMBER(SEARCH($H7,Anforderungen!$F360&amp;" "&amp;Anforderungen!$G360)))),COUNT($T$6:$T359)+1,""))</f>
        <v>354</v>
      </c>
    </row>
    <row r="361" customFormat="false" ht="15" hidden="false" customHeight="false" outlineLevel="0" collapsed="false">
      <c r="T361" s="0" t="n">
        <f aca="false">IF(Anforderungen!$B361="","",IF(AND(OR($B5="(alle)",Anforderungen!$K361=$B5),OR($E5="(alle)",Anforderungen!$C361=$E5),OR($H5="(alle)",Anforderungen!$E361=$H5),OR($B7="(alle)",ISNUMBER(SEARCH($B7,Anforderungen!$J361))),OR($E7="(alle)",ISNUMBER(SEARCH($E7,Anforderungen!$I361))),OR($H7="",ISNUMBER(SEARCH($H7,Anforderungen!$F361&amp;" "&amp;Anforderungen!$G361)))),COUNT($T$6:$T360)+1,""))</f>
        <v>355</v>
      </c>
    </row>
    <row r="362" customFormat="false" ht="15" hidden="false" customHeight="false" outlineLevel="0" collapsed="false">
      <c r="T362" s="0" t="n">
        <f aca="false">IF(Anforderungen!$B362="","",IF(AND(OR($B5="(alle)",Anforderungen!$K362=$B5),OR($E5="(alle)",Anforderungen!$C362=$E5),OR($H5="(alle)",Anforderungen!$E362=$H5),OR($B7="(alle)",ISNUMBER(SEARCH($B7,Anforderungen!$J362))),OR($E7="(alle)",ISNUMBER(SEARCH($E7,Anforderungen!$I362))),OR($H7="",ISNUMBER(SEARCH($H7,Anforderungen!$F362&amp;" "&amp;Anforderungen!$G362)))),COUNT($T$6:$T361)+1,""))</f>
        <v>356</v>
      </c>
    </row>
    <row r="363" customFormat="false" ht="15" hidden="false" customHeight="false" outlineLevel="0" collapsed="false">
      <c r="T363" s="0" t="n">
        <f aca="false">IF(Anforderungen!$B363="","",IF(AND(OR($B5="(alle)",Anforderungen!$K363=$B5),OR($E5="(alle)",Anforderungen!$C363=$E5),OR($H5="(alle)",Anforderungen!$E363=$H5),OR($B7="(alle)",ISNUMBER(SEARCH($B7,Anforderungen!$J363))),OR($E7="(alle)",ISNUMBER(SEARCH($E7,Anforderungen!$I363))),OR($H7="",ISNUMBER(SEARCH($H7,Anforderungen!$F363&amp;" "&amp;Anforderungen!$G363)))),COUNT($T$6:$T362)+1,""))</f>
        <v>357</v>
      </c>
    </row>
    <row r="364" customFormat="false" ht="15" hidden="false" customHeight="false" outlineLevel="0" collapsed="false">
      <c r="T364" s="0" t="n">
        <f aca="false">IF(Anforderungen!$B364="","",IF(AND(OR($B5="(alle)",Anforderungen!$K364=$B5),OR($E5="(alle)",Anforderungen!$C364=$E5),OR($H5="(alle)",Anforderungen!$E364=$H5),OR($B7="(alle)",ISNUMBER(SEARCH($B7,Anforderungen!$J364))),OR($E7="(alle)",ISNUMBER(SEARCH($E7,Anforderungen!$I364))),OR($H7="",ISNUMBER(SEARCH($H7,Anforderungen!$F364&amp;" "&amp;Anforderungen!$G364)))),COUNT($T$6:$T363)+1,""))</f>
        <v>358</v>
      </c>
    </row>
    <row r="365" customFormat="false" ht="15" hidden="false" customHeight="false" outlineLevel="0" collapsed="false">
      <c r="T365" s="0" t="n">
        <f aca="false">IF(Anforderungen!$B365="","",IF(AND(OR($B5="(alle)",Anforderungen!$K365=$B5),OR($E5="(alle)",Anforderungen!$C365=$E5),OR($H5="(alle)",Anforderungen!$E365=$H5),OR($B7="(alle)",ISNUMBER(SEARCH($B7,Anforderungen!$J365))),OR($E7="(alle)",ISNUMBER(SEARCH($E7,Anforderungen!$I365))),OR($H7="",ISNUMBER(SEARCH($H7,Anforderungen!$F365&amp;" "&amp;Anforderungen!$G365)))),COUNT($T$6:$T364)+1,""))</f>
        <v>359</v>
      </c>
    </row>
    <row r="366" customFormat="false" ht="15" hidden="false" customHeight="false" outlineLevel="0" collapsed="false">
      <c r="T366" s="0" t="n">
        <f aca="false">IF(Anforderungen!$B366="","",IF(AND(OR($B5="(alle)",Anforderungen!$K366=$B5),OR($E5="(alle)",Anforderungen!$C366=$E5),OR($H5="(alle)",Anforderungen!$E366=$H5),OR($B7="(alle)",ISNUMBER(SEARCH($B7,Anforderungen!$J366))),OR($E7="(alle)",ISNUMBER(SEARCH($E7,Anforderungen!$I366))),OR($H7="",ISNUMBER(SEARCH($H7,Anforderungen!$F366&amp;" "&amp;Anforderungen!$G366)))),COUNT($T$6:$T365)+1,""))</f>
        <v>360</v>
      </c>
    </row>
    <row r="367" customFormat="false" ht="15" hidden="false" customHeight="false" outlineLevel="0" collapsed="false">
      <c r="T367" s="0" t="n">
        <f aca="false">IF(Anforderungen!$B367="","",IF(AND(OR($B5="(alle)",Anforderungen!$K367=$B5),OR($E5="(alle)",Anforderungen!$C367=$E5),OR($H5="(alle)",Anforderungen!$E367=$H5),OR($B7="(alle)",ISNUMBER(SEARCH($B7,Anforderungen!$J367))),OR($E7="(alle)",ISNUMBER(SEARCH($E7,Anforderungen!$I367))),OR($H7="",ISNUMBER(SEARCH($H7,Anforderungen!$F367&amp;" "&amp;Anforderungen!$G367)))),COUNT($T$6:$T366)+1,""))</f>
        <v>361</v>
      </c>
    </row>
    <row r="368" customFormat="false" ht="15" hidden="false" customHeight="false" outlineLevel="0" collapsed="false">
      <c r="T368" s="0" t="n">
        <f aca="false">IF(Anforderungen!$B368="","",IF(AND(OR($B5="(alle)",Anforderungen!$K368=$B5),OR($E5="(alle)",Anforderungen!$C368=$E5),OR($H5="(alle)",Anforderungen!$E368=$H5),OR($B7="(alle)",ISNUMBER(SEARCH($B7,Anforderungen!$J368))),OR($E7="(alle)",ISNUMBER(SEARCH($E7,Anforderungen!$I368))),OR($H7="",ISNUMBER(SEARCH($H7,Anforderungen!$F368&amp;" "&amp;Anforderungen!$G368)))),COUNT($T$6:$T367)+1,""))</f>
        <v>362</v>
      </c>
    </row>
    <row r="369" customFormat="false" ht="15" hidden="false" customHeight="false" outlineLevel="0" collapsed="false">
      <c r="T369" s="0" t="n">
        <f aca="false">IF(Anforderungen!$B369="","",IF(AND(OR($B5="(alle)",Anforderungen!$K369=$B5),OR($E5="(alle)",Anforderungen!$C369=$E5),OR($H5="(alle)",Anforderungen!$E369=$H5),OR($B7="(alle)",ISNUMBER(SEARCH($B7,Anforderungen!$J369))),OR($E7="(alle)",ISNUMBER(SEARCH($E7,Anforderungen!$I369))),OR($H7="",ISNUMBER(SEARCH($H7,Anforderungen!$F369&amp;" "&amp;Anforderungen!$G369)))),COUNT($T$6:$T368)+1,""))</f>
        <v>363</v>
      </c>
    </row>
    <row r="370" customFormat="false" ht="15" hidden="false" customHeight="false" outlineLevel="0" collapsed="false">
      <c r="T370" s="0" t="n">
        <f aca="false">IF(Anforderungen!$B370="","",IF(AND(OR($B5="(alle)",Anforderungen!$K370=$B5),OR($E5="(alle)",Anforderungen!$C370=$E5),OR($H5="(alle)",Anforderungen!$E370=$H5),OR($B7="(alle)",ISNUMBER(SEARCH($B7,Anforderungen!$J370))),OR($E7="(alle)",ISNUMBER(SEARCH($E7,Anforderungen!$I370))),OR($H7="",ISNUMBER(SEARCH($H7,Anforderungen!$F370&amp;" "&amp;Anforderungen!$G370)))),COUNT($T$6:$T369)+1,""))</f>
        <v>364</v>
      </c>
    </row>
    <row r="371" customFormat="false" ht="15" hidden="false" customHeight="false" outlineLevel="0" collapsed="false">
      <c r="T371" s="0" t="n">
        <f aca="false">IF(Anforderungen!$B371="","",IF(AND(OR($B5="(alle)",Anforderungen!$K371=$B5),OR($E5="(alle)",Anforderungen!$C371=$E5),OR($H5="(alle)",Anforderungen!$E371=$H5),OR($B7="(alle)",ISNUMBER(SEARCH($B7,Anforderungen!$J371))),OR($E7="(alle)",ISNUMBER(SEARCH($E7,Anforderungen!$I371))),OR($H7="",ISNUMBER(SEARCH($H7,Anforderungen!$F371&amp;" "&amp;Anforderungen!$G371)))),COUNT($T$6:$T370)+1,""))</f>
        <v>365</v>
      </c>
    </row>
    <row r="372" customFormat="false" ht="15" hidden="false" customHeight="false" outlineLevel="0" collapsed="false">
      <c r="T372" s="0" t="n">
        <f aca="false">IF(Anforderungen!$B372="","",IF(AND(OR($B5="(alle)",Anforderungen!$K372=$B5),OR($E5="(alle)",Anforderungen!$C372=$E5),OR($H5="(alle)",Anforderungen!$E372=$H5),OR($B7="(alle)",ISNUMBER(SEARCH($B7,Anforderungen!$J372))),OR($E7="(alle)",ISNUMBER(SEARCH($E7,Anforderungen!$I372))),OR($H7="",ISNUMBER(SEARCH($H7,Anforderungen!$F372&amp;" "&amp;Anforderungen!$G372)))),COUNT($T$6:$T371)+1,""))</f>
        <v>366</v>
      </c>
    </row>
    <row r="373" customFormat="false" ht="15" hidden="false" customHeight="false" outlineLevel="0" collapsed="false">
      <c r="T373" s="0" t="n">
        <f aca="false">IF(Anforderungen!$B373="","",IF(AND(OR($B5="(alle)",Anforderungen!$K373=$B5),OR($E5="(alle)",Anforderungen!$C373=$E5),OR($H5="(alle)",Anforderungen!$E373=$H5),OR($B7="(alle)",ISNUMBER(SEARCH($B7,Anforderungen!$J373))),OR($E7="(alle)",ISNUMBER(SEARCH($E7,Anforderungen!$I373))),OR($H7="",ISNUMBER(SEARCH($H7,Anforderungen!$F373&amp;" "&amp;Anforderungen!$G373)))),COUNT($T$6:$T372)+1,""))</f>
        <v>367</v>
      </c>
    </row>
    <row r="374" customFormat="false" ht="15" hidden="false" customHeight="false" outlineLevel="0" collapsed="false">
      <c r="T374" s="0" t="n">
        <f aca="false">IF(Anforderungen!$B374="","",IF(AND(OR($B5="(alle)",Anforderungen!$K374=$B5),OR($E5="(alle)",Anforderungen!$C374=$E5),OR($H5="(alle)",Anforderungen!$E374=$H5),OR($B7="(alle)",ISNUMBER(SEARCH($B7,Anforderungen!$J374))),OR($E7="(alle)",ISNUMBER(SEARCH($E7,Anforderungen!$I374))),OR($H7="",ISNUMBER(SEARCH($H7,Anforderungen!$F374&amp;" "&amp;Anforderungen!$G374)))),COUNT($T$6:$T373)+1,""))</f>
        <v>368</v>
      </c>
    </row>
    <row r="375" customFormat="false" ht="15" hidden="false" customHeight="false" outlineLevel="0" collapsed="false">
      <c r="T375" s="0" t="n">
        <f aca="false">IF(Anforderungen!$B375="","",IF(AND(OR($B5="(alle)",Anforderungen!$K375=$B5),OR($E5="(alle)",Anforderungen!$C375=$E5),OR($H5="(alle)",Anforderungen!$E375=$H5),OR($B7="(alle)",ISNUMBER(SEARCH($B7,Anforderungen!$J375))),OR($E7="(alle)",ISNUMBER(SEARCH($E7,Anforderungen!$I375))),OR($H7="",ISNUMBER(SEARCH($H7,Anforderungen!$F375&amp;" "&amp;Anforderungen!$G375)))),COUNT($T$6:$T374)+1,""))</f>
        <v>369</v>
      </c>
    </row>
    <row r="376" customFormat="false" ht="15" hidden="false" customHeight="false" outlineLevel="0" collapsed="false">
      <c r="T376" s="0" t="n">
        <f aca="false">IF(Anforderungen!$B376="","",IF(AND(OR($B5="(alle)",Anforderungen!$K376=$B5),OR($E5="(alle)",Anforderungen!$C376=$E5),OR($H5="(alle)",Anforderungen!$E376=$H5),OR($B7="(alle)",ISNUMBER(SEARCH($B7,Anforderungen!$J376))),OR($E7="(alle)",ISNUMBER(SEARCH($E7,Anforderungen!$I376))),OR($H7="",ISNUMBER(SEARCH($H7,Anforderungen!$F376&amp;" "&amp;Anforderungen!$G376)))),COUNT($T$6:$T375)+1,""))</f>
        <v>370</v>
      </c>
    </row>
    <row r="377" customFormat="false" ht="15" hidden="false" customHeight="false" outlineLevel="0" collapsed="false">
      <c r="T377" s="0" t="n">
        <f aca="false">IF(Anforderungen!$B377="","",IF(AND(OR($B5="(alle)",Anforderungen!$K377=$B5),OR($E5="(alle)",Anforderungen!$C377=$E5),OR($H5="(alle)",Anforderungen!$E377=$H5),OR($B7="(alle)",ISNUMBER(SEARCH($B7,Anforderungen!$J377))),OR($E7="(alle)",ISNUMBER(SEARCH($E7,Anforderungen!$I377))),OR($H7="",ISNUMBER(SEARCH($H7,Anforderungen!$F377&amp;" "&amp;Anforderungen!$G377)))),COUNT($T$6:$T376)+1,""))</f>
        <v>371</v>
      </c>
    </row>
    <row r="378" customFormat="false" ht="15" hidden="false" customHeight="false" outlineLevel="0" collapsed="false">
      <c r="T378" s="0" t="n">
        <f aca="false">IF(Anforderungen!$B378="","",IF(AND(OR($B5="(alle)",Anforderungen!$K378=$B5),OR($E5="(alle)",Anforderungen!$C378=$E5),OR($H5="(alle)",Anforderungen!$E378=$H5),OR($B7="(alle)",ISNUMBER(SEARCH($B7,Anforderungen!$J378))),OR($E7="(alle)",ISNUMBER(SEARCH($E7,Anforderungen!$I378))),OR($H7="",ISNUMBER(SEARCH($H7,Anforderungen!$F378&amp;" "&amp;Anforderungen!$G378)))),COUNT($T$6:$T377)+1,""))</f>
        <v>372</v>
      </c>
    </row>
    <row r="379" customFormat="false" ht="15" hidden="false" customHeight="false" outlineLevel="0" collapsed="false">
      <c r="T379" s="0" t="n">
        <f aca="false">IF(Anforderungen!$B379="","",IF(AND(OR($B5="(alle)",Anforderungen!$K379=$B5),OR($E5="(alle)",Anforderungen!$C379=$E5),OR($H5="(alle)",Anforderungen!$E379=$H5),OR($B7="(alle)",ISNUMBER(SEARCH($B7,Anforderungen!$J379))),OR($E7="(alle)",ISNUMBER(SEARCH($E7,Anforderungen!$I379))),OR($H7="",ISNUMBER(SEARCH($H7,Anforderungen!$F379&amp;" "&amp;Anforderungen!$G379)))),COUNT($T$6:$T378)+1,""))</f>
        <v>373</v>
      </c>
    </row>
    <row r="380" customFormat="false" ht="15" hidden="false" customHeight="false" outlineLevel="0" collapsed="false">
      <c r="T380" s="0" t="n">
        <f aca="false">IF(Anforderungen!$B380="","",IF(AND(OR($B5="(alle)",Anforderungen!$K380=$B5),OR($E5="(alle)",Anforderungen!$C380=$E5),OR($H5="(alle)",Anforderungen!$E380=$H5),OR($B7="(alle)",ISNUMBER(SEARCH($B7,Anforderungen!$J380))),OR($E7="(alle)",ISNUMBER(SEARCH($E7,Anforderungen!$I380))),OR($H7="",ISNUMBER(SEARCH($H7,Anforderungen!$F380&amp;" "&amp;Anforderungen!$G380)))),COUNT($T$6:$T379)+1,""))</f>
        <v>374</v>
      </c>
    </row>
    <row r="381" customFormat="false" ht="15" hidden="false" customHeight="false" outlineLevel="0" collapsed="false">
      <c r="T381" s="0" t="n">
        <f aca="false">IF(Anforderungen!$B381="","",IF(AND(OR($B5="(alle)",Anforderungen!$K381=$B5),OR($E5="(alle)",Anforderungen!$C381=$E5),OR($H5="(alle)",Anforderungen!$E381=$H5),OR($B7="(alle)",ISNUMBER(SEARCH($B7,Anforderungen!$J381))),OR($E7="(alle)",ISNUMBER(SEARCH($E7,Anforderungen!$I381))),OR($H7="",ISNUMBER(SEARCH($H7,Anforderungen!$F381&amp;" "&amp;Anforderungen!$G381)))),COUNT($T$6:$T380)+1,""))</f>
        <v>375</v>
      </c>
    </row>
    <row r="382" customFormat="false" ht="15" hidden="false" customHeight="false" outlineLevel="0" collapsed="false">
      <c r="T382" s="0" t="n">
        <f aca="false">IF(Anforderungen!$B382="","",IF(AND(OR($B5="(alle)",Anforderungen!$K382=$B5),OR($E5="(alle)",Anforderungen!$C382=$E5),OR($H5="(alle)",Anforderungen!$E382=$H5),OR($B7="(alle)",ISNUMBER(SEARCH($B7,Anforderungen!$J382))),OR($E7="(alle)",ISNUMBER(SEARCH($E7,Anforderungen!$I382))),OR($H7="",ISNUMBER(SEARCH($H7,Anforderungen!$F382&amp;" "&amp;Anforderungen!$G382)))),COUNT($T$6:$T381)+1,""))</f>
        <v>376</v>
      </c>
    </row>
    <row r="383" customFormat="false" ht="15" hidden="false" customHeight="false" outlineLevel="0" collapsed="false">
      <c r="T383" s="0" t="n">
        <f aca="false">IF(Anforderungen!$B383="","",IF(AND(OR($B5="(alle)",Anforderungen!$K383=$B5),OR($E5="(alle)",Anforderungen!$C383=$E5),OR($H5="(alle)",Anforderungen!$E383=$H5),OR($B7="(alle)",ISNUMBER(SEARCH($B7,Anforderungen!$J383))),OR($E7="(alle)",ISNUMBER(SEARCH($E7,Anforderungen!$I383))),OR($H7="",ISNUMBER(SEARCH($H7,Anforderungen!$F383&amp;" "&amp;Anforderungen!$G383)))),COUNT($T$6:$T382)+1,""))</f>
        <v>377</v>
      </c>
    </row>
    <row r="384" customFormat="false" ht="15" hidden="false" customHeight="false" outlineLevel="0" collapsed="false">
      <c r="T384" s="0" t="n">
        <f aca="false">IF(Anforderungen!$B384="","",IF(AND(OR($B5="(alle)",Anforderungen!$K384=$B5),OR($E5="(alle)",Anforderungen!$C384=$E5),OR($H5="(alle)",Anforderungen!$E384=$H5),OR($B7="(alle)",ISNUMBER(SEARCH($B7,Anforderungen!$J384))),OR($E7="(alle)",ISNUMBER(SEARCH($E7,Anforderungen!$I384))),OR($H7="",ISNUMBER(SEARCH($H7,Anforderungen!$F384&amp;" "&amp;Anforderungen!$G384)))),COUNT($T$6:$T383)+1,""))</f>
        <v>378</v>
      </c>
    </row>
    <row r="385" customFormat="false" ht="15" hidden="false" customHeight="false" outlineLevel="0" collapsed="false">
      <c r="T385" s="0" t="n">
        <f aca="false">IF(Anforderungen!$B385="","",IF(AND(OR($B5="(alle)",Anforderungen!$K385=$B5),OR($E5="(alle)",Anforderungen!$C385=$E5),OR($H5="(alle)",Anforderungen!$E385=$H5),OR($B7="(alle)",ISNUMBER(SEARCH($B7,Anforderungen!$J385))),OR($E7="(alle)",ISNUMBER(SEARCH($E7,Anforderungen!$I385))),OR($H7="",ISNUMBER(SEARCH($H7,Anforderungen!$F385&amp;" "&amp;Anforderungen!$G385)))),COUNT($T$6:$T384)+1,""))</f>
        <v>379</v>
      </c>
    </row>
    <row r="386" customFormat="false" ht="15" hidden="false" customHeight="false" outlineLevel="0" collapsed="false">
      <c r="T386" s="0" t="n">
        <f aca="false">IF(Anforderungen!$B386="","",IF(AND(OR($B5="(alle)",Anforderungen!$K386=$B5),OR($E5="(alle)",Anforderungen!$C386=$E5),OR($H5="(alle)",Anforderungen!$E386=$H5),OR($B7="(alle)",ISNUMBER(SEARCH($B7,Anforderungen!$J386))),OR($E7="(alle)",ISNUMBER(SEARCH($E7,Anforderungen!$I386))),OR($H7="",ISNUMBER(SEARCH($H7,Anforderungen!$F386&amp;" "&amp;Anforderungen!$G386)))),COUNT($T$6:$T385)+1,""))</f>
        <v>380</v>
      </c>
    </row>
    <row r="387" customFormat="false" ht="15" hidden="false" customHeight="false" outlineLevel="0" collapsed="false">
      <c r="T387" s="0" t="n">
        <f aca="false">IF(Anforderungen!$B387="","",IF(AND(OR($B5="(alle)",Anforderungen!$K387=$B5),OR($E5="(alle)",Anforderungen!$C387=$E5),OR($H5="(alle)",Anforderungen!$E387=$H5),OR($B7="(alle)",ISNUMBER(SEARCH($B7,Anforderungen!$J387))),OR($E7="(alle)",ISNUMBER(SEARCH($E7,Anforderungen!$I387))),OR($H7="",ISNUMBER(SEARCH($H7,Anforderungen!$F387&amp;" "&amp;Anforderungen!$G387)))),COUNT($T$6:$T386)+1,""))</f>
        <v>381</v>
      </c>
    </row>
    <row r="388" customFormat="false" ht="15" hidden="false" customHeight="false" outlineLevel="0" collapsed="false">
      <c r="T388" s="0" t="n">
        <f aca="false">IF(Anforderungen!$B388="","",IF(AND(OR($B5="(alle)",Anforderungen!$K388=$B5),OR($E5="(alle)",Anforderungen!$C388=$E5),OR($H5="(alle)",Anforderungen!$E388=$H5),OR($B7="(alle)",ISNUMBER(SEARCH($B7,Anforderungen!$J388))),OR($E7="(alle)",ISNUMBER(SEARCH($E7,Anforderungen!$I388))),OR($H7="",ISNUMBER(SEARCH($H7,Anforderungen!$F388&amp;" "&amp;Anforderungen!$G388)))),COUNT($T$6:$T387)+1,""))</f>
        <v>382</v>
      </c>
    </row>
    <row r="389" customFormat="false" ht="15" hidden="false" customHeight="false" outlineLevel="0" collapsed="false">
      <c r="T389" s="0" t="n">
        <f aca="false">IF(Anforderungen!$B389="","",IF(AND(OR($B5="(alle)",Anforderungen!$K389=$B5),OR($E5="(alle)",Anforderungen!$C389=$E5),OR($H5="(alle)",Anforderungen!$E389=$H5),OR($B7="(alle)",ISNUMBER(SEARCH($B7,Anforderungen!$J389))),OR($E7="(alle)",ISNUMBER(SEARCH($E7,Anforderungen!$I389))),OR($H7="",ISNUMBER(SEARCH($H7,Anforderungen!$F389&amp;" "&amp;Anforderungen!$G389)))),COUNT($T$6:$T388)+1,""))</f>
        <v>383</v>
      </c>
    </row>
    <row r="390" customFormat="false" ht="15" hidden="false" customHeight="false" outlineLevel="0" collapsed="false">
      <c r="T390" s="0" t="n">
        <f aca="false">IF(Anforderungen!$B390="","",IF(AND(OR($B5="(alle)",Anforderungen!$K390=$B5),OR($E5="(alle)",Anforderungen!$C390=$E5),OR($H5="(alle)",Anforderungen!$E390=$H5),OR($B7="(alle)",ISNUMBER(SEARCH($B7,Anforderungen!$J390))),OR($E7="(alle)",ISNUMBER(SEARCH($E7,Anforderungen!$I390))),OR($H7="",ISNUMBER(SEARCH($H7,Anforderungen!$F390&amp;" "&amp;Anforderungen!$G390)))),COUNT($T$6:$T389)+1,""))</f>
        <v>384</v>
      </c>
    </row>
    <row r="391" customFormat="false" ht="15" hidden="false" customHeight="false" outlineLevel="0" collapsed="false">
      <c r="T391" s="0" t="n">
        <f aca="false">IF(Anforderungen!$B391="","",IF(AND(OR($B5="(alle)",Anforderungen!$K391=$B5),OR($E5="(alle)",Anforderungen!$C391=$E5),OR($H5="(alle)",Anforderungen!$E391=$H5),OR($B7="(alle)",ISNUMBER(SEARCH($B7,Anforderungen!$J391))),OR($E7="(alle)",ISNUMBER(SEARCH($E7,Anforderungen!$I391))),OR($H7="",ISNUMBER(SEARCH($H7,Anforderungen!$F391&amp;" "&amp;Anforderungen!$G391)))),COUNT($T$6:$T390)+1,""))</f>
        <v>385</v>
      </c>
    </row>
    <row r="392" customFormat="false" ht="15" hidden="false" customHeight="false" outlineLevel="0" collapsed="false">
      <c r="T392" s="0" t="n">
        <f aca="false">IF(Anforderungen!$B392="","",IF(AND(OR($B5="(alle)",Anforderungen!$K392=$B5),OR($E5="(alle)",Anforderungen!$C392=$E5),OR($H5="(alle)",Anforderungen!$E392=$H5),OR($B7="(alle)",ISNUMBER(SEARCH($B7,Anforderungen!$J392))),OR($E7="(alle)",ISNUMBER(SEARCH($E7,Anforderungen!$I392))),OR($H7="",ISNUMBER(SEARCH($H7,Anforderungen!$F392&amp;" "&amp;Anforderungen!$G392)))),COUNT($T$6:$T391)+1,""))</f>
        <v>386</v>
      </c>
    </row>
    <row r="393" customFormat="false" ht="15" hidden="false" customHeight="false" outlineLevel="0" collapsed="false">
      <c r="T393" s="0" t="n">
        <f aca="false">IF(Anforderungen!$B393="","",IF(AND(OR($B5="(alle)",Anforderungen!$K393=$B5),OR($E5="(alle)",Anforderungen!$C393=$E5),OR($H5="(alle)",Anforderungen!$E393=$H5),OR($B7="(alle)",ISNUMBER(SEARCH($B7,Anforderungen!$J393))),OR($E7="(alle)",ISNUMBER(SEARCH($E7,Anforderungen!$I393))),OR($H7="",ISNUMBER(SEARCH($H7,Anforderungen!$F393&amp;" "&amp;Anforderungen!$G393)))),COUNT($T$6:$T392)+1,""))</f>
        <v>387</v>
      </c>
    </row>
    <row r="394" customFormat="false" ht="15" hidden="false" customHeight="false" outlineLevel="0" collapsed="false">
      <c r="T394" s="0" t="n">
        <f aca="false">IF(Anforderungen!$B394="","",IF(AND(OR($B5="(alle)",Anforderungen!$K394=$B5),OR($E5="(alle)",Anforderungen!$C394=$E5),OR($H5="(alle)",Anforderungen!$E394=$H5),OR($B7="(alle)",ISNUMBER(SEARCH($B7,Anforderungen!$J394))),OR($E7="(alle)",ISNUMBER(SEARCH($E7,Anforderungen!$I394))),OR($H7="",ISNUMBER(SEARCH($H7,Anforderungen!$F394&amp;" "&amp;Anforderungen!$G394)))),COUNT($T$6:$T393)+1,""))</f>
        <v>388</v>
      </c>
    </row>
    <row r="395" customFormat="false" ht="15" hidden="false" customHeight="false" outlineLevel="0" collapsed="false">
      <c r="T395" s="0" t="n">
        <f aca="false">IF(Anforderungen!$B395="","",IF(AND(OR($B5="(alle)",Anforderungen!$K395=$B5),OR($E5="(alle)",Anforderungen!$C395=$E5),OR($H5="(alle)",Anforderungen!$E395=$H5),OR($B7="(alle)",ISNUMBER(SEARCH($B7,Anforderungen!$J395))),OR($E7="(alle)",ISNUMBER(SEARCH($E7,Anforderungen!$I395))),OR($H7="",ISNUMBER(SEARCH($H7,Anforderungen!$F395&amp;" "&amp;Anforderungen!$G395)))),COUNT($T$6:$T394)+1,""))</f>
        <v>389</v>
      </c>
    </row>
    <row r="396" customFormat="false" ht="15" hidden="false" customHeight="false" outlineLevel="0" collapsed="false">
      <c r="T396" s="0" t="n">
        <f aca="false">IF(Anforderungen!$B396="","",IF(AND(OR($B5="(alle)",Anforderungen!$K396=$B5),OR($E5="(alle)",Anforderungen!$C396=$E5),OR($H5="(alle)",Anforderungen!$E396=$H5),OR($B7="(alle)",ISNUMBER(SEARCH($B7,Anforderungen!$J396))),OR($E7="(alle)",ISNUMBER(SEARCH($E7,Anforderungen!$I396))),OR($H7="",ISNUMBER(SEARCH($H7,Anforderungen!$F396&amp;" "&amp;Anforderungen!$G396)))),COUNT($T$6:$T395)+1,""))</f>
        <v>390</v>
      </c>
    </row>
    <row r="397" customFormat="false" ht="15" hidden="false" customHeight="false" outlineLevel="0" collapsed="false">
      <c r="T397" s="0" t="n">
        <f aca="false">IF(Anforderungen!$B397="","",IF(AND(OR($B5="(alle)",Anforderungen!$K397=$B5),OR($E5="(alle)",Anforderungen!$C397=$E5),OR($H5="(alle)",Anforderungen!$E397=$H5),OR($B7="(alle)",ISNUMBER(SEARCH($B7,Anforderungen!$J397))),OR($E7="(alle)",ISNUMBER(SEARCH($E7,Anforderungen!$I397))),OR($H7="",ISNUMBER(SEARCH($H7,Anforderungen!$F397&amp;" "&amp;Anforderungen!$G397)))),COUNT($T$6:$T396)+1,""))</f>
        <v>391</v>
      </c>
    </row>
    <row r="398" customFormat="false" ht="15" hidden="false" customHeight="false" outlineLevel="0" collapsed="false">
      <c r="T398" s="0" t="n">
        <f aca="false">IF(Anforderungen!$B398="","",IF(AND(OR($B5="(alle)",Anforderungen!$K398=$B5),OR($E5="(alle)",Anforderungen!$C398=$E5),OR($H5="(alle)",Anforderungen!$E398=$H5),OR($B7="(alle)",ISNUMBER(SEARCH($B7,Anforderungen!$J398))),OR($E7="(alle)",ISNUMBER(SEARCH($E7,Anforderungen!$I398))),OR($H7="",ISNUMBER(SEARCH($H7,Anforderungen!$F398&amp;" "&amp;Anforderungen!$G398)))),COUNT($T$6:$T397)+1,""))</f>
        <v>392</v>
      </c>
    </row>
    <row r="399" customFormat="false" ht="15" hidden="false" customHeight="false" outlineLevel="0" collapsed="false">
      <c r="T399" s="0" t="n">
        <f aca="false">IF(Anforderungen!$B399="","",IF(AND(OR($B5="(alle)",Anforderungen!$K399=$B5),OR($E5="(alle)",Anforderungen!$C399=$E5),OR($H5="(alle)",Anforderungen!$E399=$H5),OR($B7="(alle)",ISNUMBER(SEARCH($B7,Anforderungen!$J399))),OR($E7="(alle)",ISNUMBER(SEARCH($E7,Anforderungen!$I399))),OR($H7="",ISNUMBER(SEARCH($H7,Anforderungen!$F399&amp;" "&amp;Anforderungen!$G399)))),COUNT($T$6:$T398)+1,""))</f>
        <v>393</v>
      </c>
    </row>
    <row r="400" customFormat="false" ht="15" hidden="false" customHeight="false" outlineLevel="0" collapsed="false">
      <c r="T400" s="0" t="n">
        <f aca="false">IF(Anforderungen!$B400="","",IF(AND(OR($B5="(alle)",Anforderungen!$K400=$B5),OR($E5="(alle)",Anforderungen!$C400=$E5),OR($H5="(alle)",Anforderungen!$E400=$H5),OR($B7="(alle)",ISNUMBER(SEARCH($B7,Anforderungen!$J400))),OR($E7="(alle)",ISNUMBER(SEARCH($E7,Anforderungen!$I400))),OR($H7="",ISNUMBER(SEARCH($H7,Anforderungen!$F400&amp;" "&amp;Anforderungen!$G400)))),COUNT($T$6:$T399)+1,""))</f>
        <v>394</v>
      </c>
    </row>
    <row r="401" customFormat="false" ht="15" hidden="false" customHeight="false" outlineLevel="0" collapsed="false">
      <c r="T401" s="0" t="n">
        <f aca="false">IF(Anforderungen!$B401="","",IF(AND(OR($B5="(alle)",Anforderungen!$K401=$B5),OR($E5="(alle)",Anforderungen!$C401=$E5),OR($H5="(alle)",Anforderungen!$E401=$H5),OR($B7="(alle)",ISNUMBER(SEARCH($B7,Anforderungen!$J401))),OR($E7="(alle)",ISNUMBER(SEARCH($E7,Anforderungen!$I401))),OR($H7="",ISNUMBER(SEARCH($H7,Anforderungen!$F401&amp;" "&amp;Anforderungen!$G401)))),COUNT($T$6:$T400)+1,""))</f>
        <v>395</v>
      </c>
    </row>
    <row r="402" customFormat="false" ht="15" hidden="false" customHeight="false" outlineLevel="0" collapsed="false">
      <c r="T402" s="0" t="n">
        <f aca="false">IF(Anforderungen!$B402="","",IF(AND(OR($B5="(alle)",Anforderungen!$K402=$B5),OR($E5="(alle)",Anforderungen!$C402=$E5),OR($H5="(alle)",Anforderungen!$E402=$H5),OR($B7="(alle)",ISNUMBER(SEARCH($B7,Anforderungen!$J402))),OR($E7="(alle)",ISNUMBER(SEARCH($E7,Anforderungen!$I402))),OR($H7="",ISNUMBER(SEARCH($H7,Anforderungen!$F402&amp;" "&amp;Anforderungen!$G402)))),COUNT($T$6:$T401)+1,""))</f>
        <v>396</v>
      </c>
    </row>
    <row r="403" customFormat="false" ht="15" hidden="false" customHeight="false" outlineLevel="0" collapsed="false">
      <c r="T403" s="0" t="n">
        <f aca="false">IF(Anforderungen!$B403="","",IF(AND(OR($B5="(alle)",Anforderungen!$K403=$B5),OR($E5="(alle)",Anforderungen!$C403=$E5),OR($H5="(alle)",Anforderungen!$E403=$H5),OR($B7="(alle)",ISNUMBER(SEARCH($B7,Anforderungen!$J403))),OR($E7="(alle)",ISNUMBER(SEARCH($E7,Anforderungen!$I403))),OR($H7="",ISNUMBER(SEARCH($H7,Anforderungen!$F403&amp;" "&amp;Anforderungen!$G403)))),COUNT($T$6:$T402)+1,""))</f>
        <v>397</v>
      </c>
    </row>
    <row r="404" customFormat="false" ht="15" hidden="false" customHeight="false" outlineLevel="0" collapsed="false">
      <c r="T404" s="0" t="n">
        <f aca="false">IF(Anforderungen!$B404="","",IF(AND(OR($B5="(alle)",Anforderungen!$K404=$B5),OR($E5="(alle)",Anforderungen!$C404=$E5),OR($H5="(alle)",Anforderungen!$E404=$H5),OR($B7="(alle)",ISNUMBER(SEARCH($B7,Anforderungen!$J404))),OR($E7="(alle)",ISNUMBER(SEARCH($E7,Anforderungen!$I404))),OR($H7="",ISNUMBER(SEARCH($H7,Anforderungen!$F404&amp;" "&amp;Anforderungen!$G404)))),COUNT($T$6:$T403)+1,""))</f>
        <v>398</v>
      </c>
    </row>
    <row r="405" customFormat="false" ht="15" hidden="false" customHeight="false" outlineLevel="0" collapsed="false">
      <c r="T405" s="0" t="n">
        <f aca="false">IF(Anforderungen!$B405="","",IF(AND(OR($B5="(alle)",Anforderungen!$K405=$B5),OR($E5="(alle)",Anforderungen!$C405=$E5),OR($H5="(alle)",Anforderungen!$E405=$H5),OR($B7="(alle)",ISNUMBER(SEARCH($B7,Anforderungen!$J405))),OR($E7="(alle)",ISNUMBER(SEARCH($E7,Anforderungen!$I405))),OR($H7="",ISNUMBER(SEARCH($H7,Anforderungen!$F405&amp;" "&amp;Anforderungen!$G405)))),COUNT($T$6:$T404)+1,""))</f>
        <v>399</v>
      </c>
    </row>
    <row r="406" customFormat="false" ht="15" hidden="false" customHeight="false" outlineLevel="0" collapsed="false">
      <c r="T406" s="0" t="n">
        <f aca="false">IF(Anforderungen!$B406="","",IF(AND(OR($B5="(alle)",Anforderungen!$K406=$B5),OR($E5="(alle)",Anforderungen!$C406=$E5),OR($H5="(alle)",Anforderungen!$E406=$H5),OR($B7="(alle)",ISNUMBER(SEARCH($B7,Anforderungen!$J406))),OR($E7="(alle)",ISNUMBER(SEARCH($E7,Anforderungen!$I406))),OR($H7="",ISNUMBER(SEARCH($H7,Anforderungen!$F406&amp;" "&amp;Anforderungen!$G406)))),COUNT($T$6:$T405)+1,""))</f>
        <v>400</v>
      </c>
    </row>
    <row r="407" customFormat="false" ht="15" hidden="false" customHeight="false" outlineLevel="0" collapsed="false">
      <c r="T407" s="0" t="n">
        <f aca="false">IF(Anforderungen!$B407="","",IF(AND(OR($B5="(alle)",Anforderungen!$K407=$B5),OR($E5="(alle)",Anforderungen!$C407=$E5),OR($H5="(alle)",Anforderungen!$E407=$H5),OR($B7="(alle)",ISNUMBER(SEARCH($B7,Anforderungen!$J407))),OR($E7="(alle)",ISNUMBER(SEARCH($E7,Anforderungen!$I407))),OR($H7="",ISNUMBER(SEARCH($H7,Anforderungen!$F407&amp;" "&amp;Anforderungen!$G407)))),COUNT($T$6:$T406)+1,""))</f>
        <v>401</v>
      </c>
    </row>
    <row r="408" customFormat="false" ht="15" hidden="false" customHeight="false" outlineLevel="0" collapsed="false">
      <c r="T408" s="0" t="n">
        <f aca="false">IF(Anforderungen!$B408="","",IF(AND(OR($B5="(alle)",Anforderungen!$K408=$B5),OR($E5="(alle)",Anforderungen!$C408=$E5),OR($H5="(alle)",Anforderungen!$E408=$H5),OR($B7="(alle)",ISNUMBER(SEARCH($B7,Anforderungen!$J408))),OR($E7="(alle)",ISNUMBER(SEARCH($E7,Anforderungen!$I408))),OR($H7="",ISNUMBER(SEARCH($H7,Anforderungen!$F408&amp;" "&amp;Anforderungen!$G408)))),COUNT($T$6:$T407)+1,""))</f>
        <v>402</v>
      </c>
    </row>
    <row r="409" customFormat="false" ht="15" hidden="false" customHeight="false" outlineLevel="0" collapsed="false">
      <c r="T409" s="0" t="n">
        <f aca="false">IF(Anforderungen!$B409="","",IF(AND(OR($B5="(alle)",Anforderungen!$K409=$B5),OR($E5="(alle)",Anforderungen!$C409=$E5),OR($H5="(alle)",Anforderungen!$E409=$H5),OR($B7="(alle)",ISNUMBER(SEARCH($B7,Anforderungen!$J409))),OR($E7="(alle)",ISNUMBER(SEARCH($E7,Anforderungen!$I409))),OR($H7="",ISNUMBER(SEARCH($H7,Anforderungen!$F409&amp;" "&amp;Anforderungen!$G409)))),COUNT($T$6:$T408)+1,""))</f>
        <v>403</v>
      </c>
    </row>
    <row r="410" customFormat="false" ht="15" hidden="false" customHeight="false" outlineLevel="0" collapsed="false">
      <c r="T410" s="0" t="n">
        <f aca="false">IF(Anforderungen!$B410="","",IF(AND(OR($B5="(alle)",Anforderungen!$K410=$B5),OR($E5="(alle)",Anforderungen!$C410=$E5),OR($H5="(alle)",Anforderungen!$E410=$H5),OR($B7="(alle)",ISNUMBER(SEARCH($B7,Anforderungen!$J410))),OR($E7="(alle)",ISNUMBER(SEARCH($E7,Anforderungen!$I410))),OR($H7="",ISNUMBER(SEARCH($H7,Anforderungen!$F410&amp;" "&amp;Anforderungen!$G410)))),COUNT($T$6:$T409)+1,""))</f>
        <v>404</v>
      </c>
    </row>
    <row r="411" customFormat="false" ht="15" hidden="false" customHeight="false" outlineLevel="0" collapsed="false">
      <c r="T411" s="0" t="n">
        <f aca="false">IF(Anforderungen!$B411="","",IF(AND(OR($B5="(alle)",Anforderungen!$K411=$B5),OR($E5="(alle)",Anforderungen!$C411=$E5),OR($H5="(alle)",Anforderungen!$E411=$H5),OR($B7="(alle)",ISNUMBER(SEARCH($B7,Anforderungen!$J411))),OR($E7="(alle)",ISNUMBER(SEARCH($E7,Anforderungen!$I411))),OR($H7="",ISNUMBER(SEARCH($H7,Anforderungen!$F411&amp;" "&amp;Anforderungen!$G411)))),COUNT($T$6:$T410)+1,""))</f>
        <v>405</v>
      </c>
    </row>
    <row r="412" customFormat="false" ht="15" hidden="false" customHeight="false" outlineLevel="0" collapsed="false">
      <c r="T412" s="0" t="n">
        <f aca="false">IF(Anforderungen!$B412="","",IF(AND(OR($B5="(alle)",Anforderungen!$K412=$B5),OR($E5="(alle)",Anforderungen!$C412=$E5),OR($H5="(alle)",Anforderungen!$E412=$H5),OR($B7="(alle)",ISNUMBER(SEARCH($B7,Anforderungen!$J412))),OR($E7="(alle)",ISNUMBER(SEARCH($E7,Anforderungen!$I412))),OR($H7="",ISNUMBER(SEARCH($H7,Anforderungen!$F412&amp;" "&amp;Anforderungen!$G412)))),COUNT($T$6:$T411)+1,""))</f>
        <v>406</v>
      </c>
    </row>
    <row r="413" customFormat="false" ht="15" hidden="false" customHeight="false" outlineLevel="0" collapsed="false">
      <c r="T413" s="0" t="n">
        <f aca="false">IF(Anforderungen!$B413="","",IF(AND(OR($B5="(alle)",Anforderungen!$K413=$B5),OR($E5="(alle)",Anforderungen!$C413=$E5),OR($H5="(alle)",Anforderungen!$E413=$H5),OR($B7="(alle)",ISNUMBER(SEARCH($B7,Anforderungen!$J413))),OR($E7="(alle)",ISNUMBER(SEARCH($E7,Anforderungen!$I413))),OR($H7="",ISNUMBER(SEARCH($H7,Anforderungen!$F413&amp;" "&amp;Anforderungen!$G413)))),COUNT($T$6:$T412)+1,""))</f>
        <v>407</v>
      </c>
    </row>
    <row r="414" customFormat="false" ht="15" hidden="false" customHeight="false" outlineLevel="0" collapsed="false">
      <c r="T414" s="0" t="n">
        <f aca="false">IF(Anforderungen!$B414="","",IF(AND(OR($B5="(alle)",Anforderungen!$K414=$B5),OR($E5="(alle)",Anforderungen!$C414=$E5),OR($H5="(alle)",Anforderungen!$E414=$H5),OR($B7="(alle)",ISNUMBER(SEARCH($B7,Anforderungen!$J414))),OR($E7="(alle)",ISNUMBER(SEARCH($E7,Anforderungen!$I414))),OR($H7="",ISNUMBER(SEARCH($H7,Anforderungen!$F414&amp;" "&amp;Anforderungen!$G414)))),COUNT($T$6:$T413)+1,""))</f>
        <v>408</v>
      </c>
    </row>
    <row r="415" customFormat="false" ht="15" hidden="false" customHeight="false" outlineLevel="0" collapsed="false">
      <c r="T415" s="0" t="n">
        <f aca="false">IF(Anforderungen!$B415="","",IF(AND(OR($B5="(alle)",Anforderungen!$K415=$B5),OR($E5="(alle)",Anforderungen!$C415=$E5),OR($H5="(alle)",Anforderungen!$E415=$H5),OR($B7="(alle)",ISNUMBER(SEARCH($B7,Anforderungen!$J415))),OR($E7="(alle)",ISNUMBER(SEARCH($E7,Anforderungen!$I415))),OR($H7="",ISNUMBER(SEARCH($H7,Anforderungen!$F415&amp;" "&amp;Anforderungen!$G415)))),COUNT($T$6:$T414)+1,""))</f>
        <v>409</v>
      </c>
    </row>
    <row r="416" customFormat="false" ht="15" hidden="false" customHeight="false" outlineLevel="0" collapsed="false">
      <c r="T416" s="0" t="n">
        <f aca="false">IF(Anforderungen!$B416="","",IF(AND(OR($B5="(alle)",Anforderungen!$K416=$B5),OR($E5="(alle)",Anforderungen!$C416=$E5),OR($H5="(alle)",Anforderungen!$E416=$H5),OR($B7="(alle)",ISNUMBER(SEARCH($B7,Anforderungen!$J416))),OR($E7="(alle)",ISNUMBER(SEARCH($E7,Anforderungen!$I416))),OR($H7="",ISNUMBER(SEARCH($H7,Anforderungen!$F416&amp;" "&amp;Anforderungen!$G416)))),COUNT($T$6:$T415)+1,""))</f>
        <v>410</v>
      </c>
    </row>
    <row r="417" customFormat="false" ht="15" hidden="false" customHeight="false" outlineLevel="0" collapsed="false">
      <c r="T417" s="0" t="n">
        <f aca="false">IF(Anforderungen!$B417="","",IF(AND(OR($B5="(alle)",Anforderungen!$K417=$B5),OR($E5="(alle)",Anforderungen!$C417=$E5),OR($H5="(alle)",Anforderungen!$E417=$H5),OR($B7="(alle)",ISNUMBER(SEARCH($B7,Anforderungen!$J417))),OR($E7="(alle)",ISNUMBER(SEARCH($E7,Anforderungen!$I417))),OR($H7="",ISNUMBER(SEARCH($H7,Anforderungen!$F417&amp;" "&amp;Anforderungen!$G417)))),COUNT($T$6:$T416)+1,""))</f>
        <v>411</v>
      </c>
    </row>
    <row r="418" customFormat="false" ht="15" hidden="false" customHeight="false" outlineLevel="0" collapsed="false">
      <c r="T418" s="0" t="n">
        <f aca="false">IF(Anforderungen!$B418="","",IF(AND(OR($B5="(alle)",Anforderungen!$K418=$B5),OR($E5="(alle)",Anforderungen!$C418=$E5),OR($H5="(alle)",Anforderungen!$E418=$H5),OR($B7="(alle)",ISNUMBER(SEARCH($B7,Anforderungen!$J418))),OR($E7="(alle)",ISNUMBER(SEARCH($E7,Anforderungen!$I418))),OR($H7="",ISNUMBER(SEARCH($H7,Anforderungen!$F418&amp;" "&amp;Anforderungen!$G418)))),COUNT($T$6:$T417)+1,""))</f>
        <v>412</v>
      </c>
    </row>
    <row r="419" customFormat="false" ht="15" hidden="false" customHeight="false" outlineLevel="0" collapsed="false">
      <c r="T419" s="0" t="n">
        <f aca="false">IF(Anforderungen!$B419="","",IF(AND(OR($B5="(alle)",Anforderungen!$K419=$B5),OR($E5="(alle)",Anforderungen!$C419=$E5),OR($H5="(alle)",Anforderungen!$E419=$H5),OR($B7="(alle)",ISNUMBER(SEARCH($B7,Anforderungen!$J419))),OR($E7="(alle)",ISNUMBER(SEARCH($E7,Anforderungen!$I419))),OR($H7="",ISNUMBER(SEARCH($H7,Anforderungen!$F419&amp;" "&amp;Anforderungen!$G419)))),COUNT($T$6:$T418)+1,""))</f>
        <v>413</v>
      </c>
    </row>
    <row r="420" customFormat="false" ht="15" hidden="false" customHeight="false" outlineLevel="0" collapsed="false">
      <c r="T420" s="0" t="n">
        <f aca="false">IF(Anforderungen!$B420="","",IF(AND(OR($B5="(alle)",Anforderungen!$K420=$B5),OR($E5="(alle)",Anforderungen!$C420=$E5),OR($H5="(alle)",Anforderungen!$E420=$H5),OR($B7="(alle)",ISNUMBER(SEARCH($B7,Anforderungen!$J420))),OR($E7="(alle)",ISNUMBER(SEARCH($E7,Anforderungen!$I420))),OR($H7="",ISNUMBER(SEARCH($H7,Anforderungen!$F420&amp;" "&amp;Anforderungen!$G420)))),COUNT($T$6:$T419)+1,""))</f>
        <v>414</v>
      </c>
    </row>
    <row r="421" customFormat="false" ht="15" hidden="false" customHeight="false" outlineLevel="0" collapsed="false">
      <c r="T421" s="0" t="n">
        <f aca="false">IF(Anforderungen!$B421="","",IF(AND(OR($B5="(alle)",Anforderungen!$K421=$B5),OR($E5="(alle)",Anforderungen!$C421=$E5),OR($H5="(alle)",Anforderungen!$E421=$H5),OR($B7="(alle)",ISNUMBER(SEARCH($B7,Anforderungen!$J421))),OR($E7="(alle)",ISNUMBER(SEARCH($E7,Anforderungen!$I421))),OR($H7="",ISNUMBER(SEARCH($H7,Anforderungen!$F421&amp;" "&amp;Anforderungen!$G421)))),COUNT($T$6:$T420)+1,""))</f>
        <v>415</v>
      </c>
    </row>
    <row r="422" customFormat="false" ht="15" hidden="false" customHeight="false" outlineLevel="0" collapsed="false">
      <c r="T422" s="0" t="n">
        <f aca="false">IF(Anforderungen!$B422="","",IF(AND(OR($B5="(alle)",Anforderungen!$K422=$B5),OR($E5="(alle)",Anforderungen!$C422=$E5),OR($H5="(alle)",Anforderungen!$E422=$H5),OR($B7="(alle)",ISNUMBER(SEARCH($B7,Anforderungen!$J422))),OR($E7="(alle)",ISNUMBER(SEARCH($E7,Anforderungen!$I422))),OR($H7="",ISNUMBER(SEARCH($H7,Anforderungen!$F422&amp;" "&amp;Anforderungen!$G422)))),COUNT($T$6:$T421)+1,""))</f>
        <v>416</v>
      </c>
    </row>
    <row r="423" customFormat="false" ht="15" hidden="false" customHeight="false" outlineLevel="0" collapsed="false">
      <c r="T423" s="0" t="n">
        <f aca="false">IF(Anforderungen!$B423="","",IF(AND(OR($B5="(alle)",Anforderungen!$K423=$B5),OR($E5="(alle)",Anforderungen!$C423=$E5),OR($H5="(alle)",Anforderungen!$E423=$H5),OR($B7="(alle)",ISNUMBER(SEARCH($B7,Anforderungen!$J423))),OR($E7="(alle)",ISNUMBER(SEARCH($E7,Anforderungen!$I423))),OR($H7="",ISNUMBER(SEARCH($H7,Anforderungen!$F423&amp;" "&amp;Anforderungen!$G423)))),COUNT($T$6:$T422)+1,""))</f>
        <v>417</v>
      </c>
    </row>
    <row r="424" customFormat="false" ht="15" hidden="false" customHeight="false" outlineLevel="0" collapsed="false">
      <c r="T424" s="0" t="n">
        <f aca="false">IF(Anforderungen!$B424="","",IF(AND(OR($B5="(alle)",Anforderungen!$K424=$B5),OR($E5="(alle)",Anforderungen!$C424=$E5),OR($H5="(alle)",Anforderungen!$E424=$H5),OR($B7="(alle)",ISNUMBER(SEARCH($B7,Anforderungen!$J424))),OR($E7="(alle)",ISNUMBER(SEARCH($E7,Anforderungen!$I424))),OR($H7="",ISNUMBER(SEARCH($H7,Anforderungen!$F424&amp;" "&amp;Anforderungen!$G424)))),COUNT($T$6:$T423)+1,""))</f>
        <v>418</v>
      </c>
    </row>
    <row r="425" customFormat="false" ht="15" hidden="false" customHeight="false" outlineLevel="0" collapsed="false">
      <c r="T425" s="0" t="n">
        <f aca="false">IF(Anforderungen!$B425="","",IF(AND(OR($B5="(alle)",Anforderungen!$K425=$B5),OR($E5="(alle)",Anforderungen!$C425=$E5),OR($H5="(alle)",Anforderungen!$E425=$H5),OR($B7="(alle)",ISNUMBER(SEARCH($B7,Anforderungen!$J425))),OR($E7="(alle)",ISNUMBER(SEARCH($E7,Anforderungen!$I425))),OR($H7="",ISNUMBER(SEARCH($H7,Anforderungen!$F425&amp;" "&amp;Anforderungen!$G425)))),COUNT($T$6:$T424)+1,""))</f>
        <v>419</v>
      </c>
    </row>
    <row r="426" customFormat="false" ht="15" hidden="false" customHeight="false" outlineLevel="0" collapsed="false">
      <c r="T426" s="0" t="n">
        <f aca="false">IF(Anforderungen!$B426="","",IF(AND(OR($B5="(alle)",Anforderungen!$K426=$B5),OR($E5="(alle)",Anforderungen!$C426=$E5),OR($H5="(alle)",Anforderungen!$E426=$H5),OR($B7="(alle)",ISNUMBER(SEARCH($B7,Anforderungen!$J426))),OR($E7="(alle)",ISNUMBER(SEARCH($E7,Anforderungen!$I426))),OR($H7="",ISNUMBER(SEARCH($H7,Anforderungen!$F426&amp;" "&amp;Anforderungen!$G426)))),COUNT($T$6:$T425)+1,""))</f>
        <v>420</v>
      </c>
    </row>
    <row r="427" customFormat="false" ht="15" hidden="false" customHeight="false" outlineLevel="0" collapsed="false">
      <c r="T427" s="0" t="n">
        <f aca="false">IF(Anforderungen!$B427="","",IF(AND(OR($B5="(alle)",Anforderungen!$K427=$B5),OR($E5="(alle)",Anforderungen!$C427=$E5),OR($H5="(alle)",Anforderungen!$E427=$H5),OR($B7="(alle)",ISNUMBER(SEARCH($B7,Anforderungen!$J427))),OR($E7="(alle)",ISNUMBER(SEARCH($E7,Anforderungen!$I427))),OR($H7="",ISNUMBER(SEARCH($H7,Anforderungen!$F427&amp;" "&amp;Anforderungen!$G427)))),COUNT($T$6:$T426)+1,""))</f>
        <v>421</v>
      </c>
    </row>
    <row r="428" customFormat="false" ht="15" hidden="false" customHeight="false" outlineLevel="0" collapsed="false">
      <c r="T428" s="0" t="n">
        <f aca="false">IF(Anforderungen!$B428="","",IF(AND(OR($B5="(alle)",Anforderungen!$K428=$B5),OR($E5="(alle)",Anforderungen!$C428=$E5),OR($H5="(alle)",Anforderungen!$E428=$H5),OR($B7="(alle)",ISNUMBER(SEARCH($B7,Anforderungen!$J428))),OR($E7="(alle)",ISNUMBER(SEARCH($E7,Anforderungen!$I428))),OR($H7="",ISNUMBER(SEARCH($H7,Anforderungen!$F428&amp;" "&amp;Anforderungen!$G428)))),COUNT($T$6:$T427)+1,""))</f>
        <v>422</v>
      </c>
    </row>
    <row r="429" customFormat="false" ht="15" hidden="false" customHeight="false" outlineLevel="0" collapsed="false">
      <c r="T429" s="0" t="n">
        <f aca="false">IF(Anforderungen!$B429="","",IF(AND(OR($B5="(alle)",Anforderungen!$K429=$B5),OR($E5="(alle)",Anforderungen!$C429=$E5),OR($H5="(alle)",Anforderungen!$E429=$H5),OR($B7="(alle)",ISNUMBER(SEARCH($B7,Anforderungen!$J429))),OR($E7="(alle)",ISNUMBER(SEARCH($E7,Anforderungen!$I429))),OR($H7="",ISNUMBER(SEARCH($H7,Anforderungen!$F429&amp;" "&amp;Anforderungen!$G429)))),COUNT($T$6:$T428)+1,""))</f>
        <v>423</v>
      </c>
    </row>
    <row r="430" customFormat="false" ht="15" hidden="false" customHeight="false" outlineLevel="0" collapsed="false">
      <c r="T430" s="0" t="n">
        <f aca="false">IF(Anforderungen!$B430="","",IF(AND(OR($B5="(alle)",Anforderungen!$K430=$B5),OR($E5="(alle)",Anforderungen!$C430=$E5),OR($H5="(alle)",Anforderungen!$E430=$H5),OR($B7="(alle)",ISNUMBER(SEARCH($B7,Anforderungen!$J430))),OR($E7="(alle)",ISNUMBER(SEARCH($E7,Anforderungen!$I430))),OR($H7="",ISNUMBER(SEARCH($H7,Anforderungen!$F430&amp;" "&amp;Anforderungen!$G430)))),COUNT($T$6:$T429)+1,""))</f>
        <v>424</v>
      </c>
    </row>
    <row r="431" customFormat="false" ht="15" hidden="false" customHeight="false" outlineLevel="0" collapsed="false">
      <c r="T431" s="0" t="n">
        <f aca="false">IF(Anforderungen!$B431="","",IF(AND(OR($B5="(alle)",Anforderungen!$K431=$B5),OR($E5="(alle)",Anforderungen!$C431=$E5),OR($H5="(alle)",Anforderungen!$E431=$H5),OR($B7="(alle)",ISNUMBER(SEARCH($B7,Anforderungen!$J431))),OR($E7="(alle)",ISNUMBER(SEARCH($E7,Anforderungen!$I431))),OR($H7="",ISNUMBER(SEARCH($H7,Anforderungen!$F431&amp;" "&amp;Anforderungen!$G431)))),COUNT($T$6:$T430)+1,""))</f>
        <v>425</v>
      </c>
    </row>
    <row r="432" customFormat="false" ht="15" hidden="false" customHeight="false" outlineLevel="0" collapsed="false">
      <c r="T432" s="0" t="n">
        <f aca="false">IF(Anforderungen!$B432="","",IF(AND(OR($B5="(alle)",Anforderungen!$K432=$B5),OR($E5="(alle)",Anforderungen!$C432=$E5),OR($H5="(alle)",Anforderungen!$E432=$H5),OR($B7="(alle)",ISNUMBER(SEARCH($B7,Anforderungen!$J432))),OR($E7="(alle)",ISNUMBER(SEARCH($E7,Anforderungen!$I432))),OR($H7="",ISNUMBER(SEARCH($H7,Anforderungen!$F432&amp;" "&amp;Anforderungen!$G432)))),COUNT($T$6:$T431)+1,""))</f>
        <v>426</v>
      </c>
    </row>
    <row r="433" customFormat="false" ht="15" hidden="false" customHeight="false" outlineLevel="0" collapsed="false">
      <c r="T433" s="0" t="n">
        <f aca="false">IF(Anforderungen!$B433="","",IF(AND(OR($B5="(alle)",Anforderungen!$K433=$B5),OR($E5="(alle)",Anforderungen!$C433=$E5),OR($H5="(alle)",Anforderungen!$E433=$H5),OR($B7="(alle)",ISNUMBER(SEARCH($B7,Anforderungen!$J433))),OR($E7="(alle)",ISNUMBER(SEARCH($E7,Anforderungen!$I433))),OR($H7="",ISNUMBER(SEARCH($H7,Anforderungen!$F433&amp;" "&amp;Anforderungen!$G433)))),COUNT($T$6:$T432)+1,""))</f>
        <v>427</v>
      </c>
    </row>
    <row r="434" customFormat="false" ht="15" hidden="false" customHeight="false" outlineLevel="0" collapsed="false">
      <c r="T434" s="0" t="n">
        <f aca="false">IF(Anforderungen!$B434="","",IF(AND(OR($B5="(alle)",Anforderungen!$K434=$B5),OR($E5="(alle)",Anforderungen!$C434=$E5),OR($H5="(alle)",Anforderungen!$E434=$H5),OR($B7="(alle)",ISNUMBER(SEARCH($B7,Anforderungen!$J434))),OR($E7="(alle)",ISNUMBER(SEARCH($E7,Anforderungen!$I434))),OR($H7="",ISNUMBER(SEARCH($H7,Anforderungen!$F434&amp;" "&amp;Anforderungen!$G434)))),COUNT($T$6:$T433)+1,""))</f>
        <v>428</v>
      </c>
    </row>
    <row r="435" customFormat="false" ht="15" hidden="false" customHeight="false" outlineLevel="0" collapsed="false">
      <c r="T435" s="0" t="n">
        <f aca="false">IF(Anforderungen!$B435="","",IF(AND(OR($B5="(alle)",Anforderungen!$K435=$B5),OR($E5="(alle)",Anforderungen!$C435=$E5),OR($H5="(alle)",Anforderungen!$E435=$H5),OR($B7="(alle)",ISNUMBER(SEARCH($B7,Anforderungen!$J435))),OR($E7="(alle)",ISNUMBER(SEARCH($E7,Anforderungen!$I435))),OR($H7="",ISNUMBER(SEARCH($H7,Anforderungen!$F435&amp;" "&amp;Anforderungen!$G435)))),COUNT($T$6:$T434)+1,""))</f>
        <v>429</v>
      </c>
    </row>
    <row r="436" customFormat="false" ht="15" hidden="false" customHeight="false" outlineLevel="0" collapsed="false">
      <c r="T436" s="0" t="n">
        <f aca="false">IF(Anforderungen!$B436="","",IF(AND(OR($B5="(alle)",Anforderungen!$K436=$B5),OR($E5="(alle)",Anforderungen!$C436=$E5),OR($H5="(alle)",Anforderungen!$E436=$H5),OR($B7="(alle)",ISNUMBER(SEARCH($B7,Anforderungen!$J436))),OR($E7="(alle)",ISNUMBER(SEARCH($E7,Anforderungen!$I436))),OR($H7="",ISNUMBER(SEARCH($H7,Anforderungen!$F436&amp;" "&amp;Anforderungen!$G436)))),COUNT($T$6:$T435)+1,""))</f>
        <v>430</v>
      </c>
    </row>
    <row r="437" customFormat="false" ht="15" hidden="false" customHeight="false" outlineLevel="0" collapsed="false">
      <c r="T437" s="0" t="n">
        <f aca="false">IF(Anforderungen!$B437="","",IF(AND(OR($B5="(alle)",Anforderungen!$K437=$B5),OR($E5="(alle)",Anforderungen!$C437=$E5),OR($H5="(alle)",Anforderungen!$E437=$H5),OR($B7="(alle)",ISNUMBER(SEARCH($B7,Anforderungen!$J437))),OR($E7="(alle)",ISNUMBER(SEARCH($E7,Anforderungen!$I437))),OR($H7="",ISNUMBER(SEARCH($H7,Anforderungen!$F437&amp;" "&amp;Anforderungen!$G437)))),COUNT($T$6:$T436)+1,""))</f>
        <v>431</v>
      </c>
    </row>
    <row r="438" customFormat="false" ht="15" hidden="false" customHeight="false" outlineLevel="0" collapsed="false">
      <c r="T438" s="0" t="n">
        <f aca="false">IF(Anforderungen!$B438="","",IF(AND(OR($B5="(alle)",Anforderungen!$K438=$B5),OR($E5="(alle)",Anforderungen!$C438=$E5),OR($H5="(alle)",Anforderungen!$E438=$H5),OR($B7="(alle)",ISNUMBER(SEARCH($B7,Anforderungen!$J438))),OR($E7="(alle)",ISNUMBER(SEARCH($E7,Anforderungen!$I438))),OR($H7="",ISNUMBER(SEARCH($H7,Anforderungen!$F438&amp;" "&amp;Anforderungen!$G438)))),COUNT($T$6:$T437)+1,""))</f>
        <v>432</v>
      </c>
    </row>
    <row r="439" customFormat="false" ht="15" hidden="false" customHeight="false" outlineLevel="0" collapsed="false">
      <c r="T439" s="0" t="n">
        <f aca="false">IF(Anforderungen!$B439="","",IF(AND(OR($B5="(alle)",Anforderungen!$K439=$B5),OR($E5="(alle)",Anforderungen!$C439=$E5),OR($H5="(alle)",Anforderungen!$E439=$H5),OR($B7="(alle)",ISNUMBER(SEARCH($B7,Anforderungen!$J439))),OR($E7="(alle)",ISNUMBER(SEARCH($E7,Anforderungen!$I439))),OR($H7="",ISNUMBER(SEARCH($H7,Anforderungen!$F439&amp;" "&amp;Anforderungen!$G439)))),COUNT($T$6:$T438)+1,""))</f>
        <v>433</v>
      </c>
    </row>
    <row r="440" customFormat="false" ht="15" hidden="false" customHeight="false" outlineLevel="0" collapsed="false">
      <c r="T440" s="0" t="n">
        <f aca="false">IF(Anforderungen!$B440="","",IF(AND(OR($B5="(alle)",Anforderungen!$K440=$B5),OR($E5="(alle)",Anforderungen!$C440=$E5),OR($H5="(alle)",Anforderungen!$E440=$H5),OR($B7="(alle)",ISNUMBER(SEARCH($B7,Anforderungen!$J440))),OR($E7="(alle)",ISNUMBER(SEARCH($E7,Anforderungen!$I440))),OR($H7="",ISNUMBER(SEARCH($H7,Anforderungen!$F440&amp;" "&amp;Anforderungen!$G440)))),COUNT($T$6:$T439)+1,""))</f>
        <v>434</v>
      </c>
    </row>
    <row r="441" customFormat="false" ht="15" hidden="false" customHeight="false" outlineLevel="0" collapsed="false">
      <c r="T441" s="0" t="n">
        <f aca="false">IF(Anforderungen!$B441="","",IF(AND(OR($B5="(alle)",Anforderungen!$K441=$B5),OR($E5="(alle)",Anforderungen!$C441=$E5),OR($H5="(alle)",Anforderungen!$E441=$H5),OR($B7="(alle)",ISNUMBER(SEARCH($B7,Anforderungen!$J441))),OR($E7="(alle)",ISNUMBER(SEARCH($E7,Anforderungen!$I441))),OR($H7="",ISNUMBER(SEARCH($H7,Anforderungen!$F441&amp;" "&amp;Anforderungen!$G441)))),COUNT($T$6:$T440)+1,""))</f>
        <v>435</v>
      </c>
    </row>
    <row r="442" customFormat="false" ht="15" hidden="false" customHeight="false" outlineLevel="0" collapsed="false">
      <c r="T442" s="0" t="n">
        <f aca="false">IF(Anforderungen!$B442="","",IF(AND(OR($B5="(alle)",Anforderungen!$K442=$B5),OR($E5="(alle)",Anforderungen!$C442=$E5),OR($H5="(alle)",Anforderungen!$E442=$H5),OR($B7="(alle)",ISNUMBER(SEARCH($B7,Anforderungen!$J442))),OR($E7="(alle)",ISNUMBER(SEARCH($E7,Anforderungen!$I442))),OR($H7="",ISNUMBER(SEARCH($H7,Anforderungen!$F442&amp;" "&amp;Anforderungen!$G442)))),COUNT($T$6:$T441)+1,""))</f>
        <v>436</v>
      </c>
    </row>
    <row r="443" customFormat="false" ht="15" hidden="false" customHeight="false" outlineLevel="0" collapsed="false">
      <c r="T443" s="0" t="n">
        <f aca="false">IF(Anforderungen!$B443="","",IF(AND(OR($B5="(alle)",Anforderungen!$K443=$B5),OR($E5="(alle)",Anforderungen!$C443=$E5),OR($H5="(alle)",Anforderungen!$E443=$H5),OR($B7="(alle)",ISNUMBER(SEARCH($B7,Anforderungen!$J443))),OR($E7="(alle)",ISNUMBER(SEARCH($E7,Anforderungen!$I443))),OR($H7="",ISNUMBER(SEARCH($H7,Anforderungen!$F443&amp;" "&amp;Anforderungen!$G443)))),COUNT($T$6:$T442)+1,""))</f>
        <v>437</v>
      </c>
    </row>
    <row r="444" customFormat="false" ht="15" hidden="false" customHeight="false" outlineLevel="0" collapsed="false">
      <c r="T444" s="0" t="n">
        <f aca="false">IF(Anforderungen!$B444="","",IF(AND(OR($B5="(alle)",Anforderungen!$K444=$B5),OR($E5="(alle)",Anforderungen!$C444=$E5),OR($H5="(alle)",Anforderungen!$E444=$H5),OR($B7="(alle)",ISNUMBER(SEARCH($B7,Anforderungen!$J444))),OR($E7="(alle)",ISNUMBER(SEARCH($E7,Anforderungen!$I444))),OR($H7="",ISNUMBER(SEARCH($H7,Anforderungen!$F444&amp;" "&amp;Anforderungen!$G444)))),COUNT($T$6:$T443)+1,""))</f>
        <v>438</v>
      </c>
    </row>
    <row r="445" customFormat="false" ht="15" hidden="false" customHeight="false" outlineLevel="0" collapsed="false">
      <c r="T445" s="0" t="n">
        <f aca="false">IF(Anforderungen!$B445="","",IF(AND(OR($B5="(alle)",Anforderungen!$K445=$B5),OR($E5="(alle)",Anforderungen!$C445=$E5),OR($H5="(alle)",Anforderungen!$E445=$H5),OR($B7="(alle)",ISNUMBER(SEARCH($B7,Anforderungen!$J445))),OR($E7="(alle)",ISNUMBER(SEARCH($E7,Anforderungen!$I445))),OR($H7="",ISNUMBER(SEARCH($H7,Anforderungen!$F445&amp;" "&amp;Anforderungen!$G445)))),COUNT($T$6:$T444)+1,""))</f>
        <v>439</v>
      </c>
    </row>
    <row r="446" customFormat="false" ht="15" hidden="false" customHeight="false" outlineLevel="0" collapsed="false">
      <c r="T446" s="0" t="n">
        <f aca="false">IF(Anforderungen!$B446="","",IF(AND(OR($B5="(alle)",Anforderungen!$K446=$B5),OR($E5="(alle)",Anforderungen!$C446=$E5),OR($H5="(alle)",Anforderungen!$E446=$H5),OR($B7="(alle)",ISNUMBER(SEARCH($B7,Anforderungen!$J446))),OR($E7="(alle)",ISNUMBER(SEARCH($E7,Anforderungen!$I446))),OR($H7="",ISNUMBER(SEARCH($H7,Anforderungen!$F446&amp;" "&amp;Anforderungen!$G446)))),COUNT($T$6:$T445)+1,""))</f>
        <v>440</v>
      </c>
    </row>
    <row r="447" customFormat="false" ht="15" hidden="false" customHeight="false" outlineLevel="0" collapsed="false">
      <c r="T447" s="0" t="n">
        <f aca="false">IF(Anforderungen!$B447="","",IF(AND(OR($B5="(alle)",Anforderungen!$K447=$B5),OR($E5="(alle)",Anforderungen!$C447=$E5),OR($H5="(alle)",Anforderungen!$E447=$H5),OR($B7="(alle)",ISNUMBER(SEARCH($B7,Anforderungen!$J447))),OR($E7="(alle)",ISNUMBER(SEARCH($E7,Anforderungen!$I447))),OR($H7="",ISNUMBER(SEARCH($H7,Anforderungen!$F447&amp;" "&amp;Anforderungen!$G447)))),COUNT($T$6:$T446)+1,""))</f>
        <v>441</v>
      </c>
    </row>
    <row r="448" customFormat="false" ht="15" hidden="false" customHeight="false" outlineLevel="0" collapsed="false">
      <c r="T448" s="0" t="n">
        <f aca="false">IF(Anforderungen!$B448="","",IF(AND(OR($B5="(alle)",Anforderungen!$K448=$B5),OR($E5="(alle)",Anforderungen!$C448=$E5),OR($H5="(alle)",Anforderungen!$E448=$H5),OR($B7="(alle)",ISNUMBER(SEARCH($B7,Anforderungen!$J448))),OR($E7="(alle)",ISNUMBER(SEARCH($E7,Anforderungen!$I448))),OR($H7="",ISNUMBER(SEARCH($H7,Anforderungen!$F448&amp;" "&amp;Anforderungen!$G448)))),COUNT($T$6:$T447)+1,""))</f>
        <v>442</v>
      </c>
    </row>
    <row r="449" customFormat="false" ht="15" hidden="false" customHeight="false" outlineLevel="0" collapsed="false">
      <c r="T449" s="0" t="n">
        <f aca="false">IF(Anforderungen!$B449="","",IF(AND(OR($B5="(alle)",Anforderungen!$K449=$B5),OR($E5="(alle)",Anforderungen!$C449=$E5),OR($H5="(alle)",Anforderungen!$E449=$H5),OR($B7="(alle)",ISNUMBER(SEARCH($B7,Anforderungen!$J449))),OR($E7="(alle)",ISNUMBER(SEARCH($E7,Anforderungen!$I449))),OR($H7="",ISNUMBER(SEARCH($H7,Anforderungen!$F449&amp;" "&amp;Anforderungen!$G449)))),COUNT($T$6:$T448)+1,""))</f>
        <v>443</v>
      </c>
    </row>
    <row r="450" customFormat="false" ht="15" hidden="false" customHeight="false" outlineLevel="0" collapsed="false">
      <c r="T450" s="0" t="n">
        <f aca="false">IF(Anforderungen!$B450="","",IF(AND(OR($B5="(alle)",Anforderungen!$K450=$B5),OR($E5="(alle)",Anforderungen!$C450=$E5),OR($H5="(alle)",Anforderungen!$E450=$H5),OR($B7="(alle)",ISNUMBER(SEARCH($B7,Anforderungen!$J450))),OR($E7="(alle)",ISNUMBER(SEARCH($E7,Anforderungen!$I450))),OR($H7="",ISNUMBER(SEARCH($H7,Anforderungen!$F450&amp;" "&amp;Anforderungen!$G450)))),COUNT($T$6:$T449)+1,""))</f>
        <v>444</v>
      </c>
    </row>
    <row r="451" customFormat="false" ht="15" hidden="false" customHeight="false" outlineLevel="0" collapsed="false">
      <c r="T451" s="0" t="n">
        <f aca="false">IF(Anforderungen!$B451="","",IF(AND(OR($B5="(alle)",Anforderungen!$K451=$B5),OR($E5="(alle)",Anforderungen!$C451=$E5),OR($H5="(alle)",Anforderungen!$E451=$H5),OR($B7="(alle)",ISNUMBER(SEARCH($B7,Anforderungen!$J451))),OR($E7="(alle)",ISNUMBER(SEARCH($E7,Anforderungen!$I451))),OR($H7="",ISNUMBER(SEARCH($H7,Anforderungen!$F451&amp;" "&amp;Anforderungen!$G451)))),COUNT($T$6:$T450)+1,""))</f>
        <v>445</v>
      </c>
    </row>
    <row r="452" customFormat="false" ht="15" hidden="false" customHeight="false" outlineLevel="0" collapsed="false">
      <c r="T452" s="0" t="n">
        <f aca="false">IF(Anforderungen!$B452="","",IF(AND(OR($B5="(alle)",Anforderungen!$K452=$B5),OR($E5="(alle)",Anforderungen!$C452=$E5),OR($H5="(alle)",Anforderungen!$E452=$H5),OR($B7="(alle)",ISNUMBER(SEARCH($B7,Anforderungen!$J452))),OR($E7="(alle)",ISNUMBER(SEARCH($E7,Anforderungen!$I452))),OR($H7="",ISNUMBER(SEARCH($H7,Anforderungen!$F452&amp;" "&amp;Anforderungen!$G452)))),COUNT($T$6:$T451)+1,""))</f>
        <v>446</v>
      </c>
    </row>
    <row r="453" customFormat="false" ht="15" hidden="false" customHeight="false" outlineLevel="0" collapsed="false">
      <c r="T453" s="0" t="n">
        <f aca="false">IF(Anforderungen!$B453="","",IF(AND(OR($B5="(alle)",Anforderungen!$K453=$B5),OR($E5="(alle)",Anforderungen!$C453=$E5),OR($H5="(alle)",Anforderungen!$E453=$H5),OR($B7="(alle)",ISNUMBER(SEARCH($B7,Anforderungen!$J453))),OR($E7="(alle)",ISNUMBER(SEARCH($E7,Anforderungen!$I453))),OR($H7="",ISNUMBER(SEARCH($H7,Anforderungen!$F453&amp;" "&amp;Anforderungen!$G453)))),COUNT($T$6:$T452)+1,""))</f>
        <v>447</v>
      </c>
    </row>
    <row r="454" customFormat="false" ht="15" hidden="false" customHeight="false" outlineLevel="0" collapsed="false">
      <c r="T454" s="0" t="n">
        <f aca="false">IF(Anforderungen!$B454="","",IF(AND(OR($B5="(alle)",Anforderungen!$K454=$B5),OR($E5="(alle)",Anforderungen!$C454=$E5),OR($H5="(alle)",Anforderungen!$E454=$H5),OR($B7="(alle)",ISNUMBER(SEARCH($B7,Anforderungen!$J454))),OR($E7="(alle)",ISNUMBER(SEARCH($E7,Anforderungen!$I454))),OR($H7="",ISNUMBER(SEARCH($H7,Anforderungen!$F454&amp;" "&amp;Anforderungen!$G454)))),COUNT($T$6:$T453)+1,""))</f>
        <v>448</v>
      </c>
    </row>
    <row r="455" customFormat="false" ht="15" hidden="false" customHeight="false" outlineLevel="0" collapsed="false">
      <c r="T455" s="0" t="n">
        <f aca="false">IF(Anforderungen!$B455="","",IF(AND(OR($B5="(alle)",Anforderungen!$K455=$B5),OR($E5="(alle)",Anforderungen!$C455=$E5),OR($H5="(alle)",Anforderungen!$E455=$H5),OR($B7="(alle)",ISNUMBER(SEARCH($B7,Anforderungen!$J455))),OR($E7="(alle)",ISNUMBER(SEARCH($E7,Anforderungen!$I455))),OR($H7="",ISNUMBER(SEARCH($H7,Anforderungen!$F455&amp;" "&amp;Anforderungen!$G455)))),COUNT($T$6:$T454)+1,""))</f>
        <v>449</v>
      </c>
    </row>
    <row r="456" customFormat="false" ht="15" hidden="false" customHeight="false" outlineLevel="0" collapsed="false">
      <c r="T456" s="0" t="n">
        <f aca="false">IF(Anforderungen!$B456="","",IF(AND(OR($B5="(alle)",Anforderungen!$K456=$B5),OR($E5="(alle)",Anforderungen!$C456=$E5),OR($H5="(alle)",Anforderungen!$E456=$H5),OR($B7="(alle)",ISNUMBER(SEARCH($B7,Anforderungen!$J456))),OR($E7="(alle)",ISNUMBER(SEARCH($E7,Anforderungen!$I456))),OR($H7="",ISNUMBER(SEARCH($H7,Anforderungen!$F456&amp;" "&amp;Anforderungen!$G456)))),COUNT($T$6:$T455)+1,""))</f>
        <v>450</v>
      </c>
    </row>
    <row r="457" customFormat="false" ht="15" hidden="false" customHeight="false" outlineLevel="0" collapsed="false">
      <c r="T457" s="0" t="n">
        <f aca="false">IF(Anforderungen!$B457="","",IF(AND(OR($B5="(alle)",Anforderungen!$K457=$B5),OR($E5="(alle)",Anforderungen!$C457=$E5),OR($H5="(alle)",Anforderungen!$E457=$H5),OR($B7="(alle)",ISNUMBER(SEARCH($B7,Anforderungen!$J457))),OR($E7="(alle)",ISNUMBER(SEARCH($E7,Anforderungen!$I457))),OR($H7="",ISNUMBER(SEARCH($H7,Anforderungen!$F457&amp;" "&amp;Anforderungen!$G457)))),COUNT($T$6:$T456)+1,""))</f>
        <v>451</v>
      </c>
    </row>
    <row r="458" customFormat="false" ht="15" hidden="false" customHeight="false" outlineLevel="0" collapsed="false">
      <c r="T458" s="0" t="n">
        <f aca="false">IF(Anforderungen!$B458="","",IF(AND(OR($B5="(alle)",Anforderungen!$K458=$B5),OR($E5="(alle)",Anforderungen!$C458=$E5),OR($H5="(alle)",Anforderungen!$E458=$H5),OR($B7="(alle)",ISNUMBER(SEARCH($B7,Anforderungen!$J458))),OR($E7="(alle)",ISNUMBER(SEARCH($E7,Anforderungen!$I458))),OR($H7="",ISNUMBER(SEARCH($H7,Anforderungen!$F458&amp;" "&amp;Anforderungen!$G458)))),COUNT($T$6:$T457)+1,""))</f>
        <v>452</v>
      </c>
    </row>
    <row r="459" customFormat="false" ht="15" hidden="false" customHeight="false" outlineLevel="0" collapsed="false">
      <c r="T459" s="0" t="n">
        <f aca="false">IF(Anforderungen!$B459="","",IF(AND(OR($B5="(alle)",Anforderungen!$K459=$B5),OR($E5="(alle)",Anforderungen!$C459=$E5),OR($H5="(alle)",Anforderungen!$E459=$H5),OR($B7="(alle)",ISNUMBER(SEARCH($B7,Anforderungen!$J459))),OR($E7="(alle)",ISNUMBER(SEARCH($E7,Anforderungen!$I459))),OR($H7="",ISNUMBER(SEARCH($H7,Anforderungen!$F459&amp;" "&amp;Anforderungen!$G459)))),COUNT($T$6:$T458)+1,""))</f>
        <v>453</v>
      </c>
    </row>
    <row r="460" customFormat="false" ht="15" hidden="false" customHeight="false" outlineLevel="0" collapsed="false">
      <c r="T460" s="0" t="n">
        <f aca="false">IF(Anforderungen!$B460="","",IF(AND(OR($B5="(alle)",Anforderungen!$K460=$B5),OR($E5="(alle)",Anforderungen!$C460=$E5),OR($H5="(alle)",Anforderungen!$E460=$H5),OR($B7="(alle)",ISNUMBER(SEARCH($B7,Anforderungen!$J460))),OR($E7="(alle)",ISNUMBER(SEARCH($E7,Anforderungen!$I460))),OR($H7="",ISNUMBER(SEARCH($H7,Anforderungen!$F460&amp;" "&amp;Anforderungen!$G460)))),COUNT($T$6:$T459)+1,""))</f>
        <v>454</v>
      </c>
    </row>
    <row r="461" customFormat="false" ht="15" hidden="false" customHeight="false" outlineLevel="0" collapsed="false">
      <c r="T461" s="0" t="n">
        <f aca="false">IF(Anforderungen!$B461="","",IF(AND(OR($B5="(alle)",Anforderungen!$K461=$B5),OR($E5="(alle)",Anforderungen!$C461=$E5),OR($H5="(alle)",Anforderungen!$E461=$H5),OR($B7="(alle)",ISNUMBER(SEARCH($B7,Anforderungen!$J461))),OR($E7="(alle)",ISNUMBER(SEARCH($E7,Anforderungen!$I461))),OR($H7="",ISNUMBER(SEARCH($H7,Anforderungen!$F461&amp;" "&amp;Anforderungen!$G461)))),COUNT($T$6:$T460)+1,""))</f>
        <v>455</v>
      </c>
    </row>
    <row r="462" customFormat="false" ht="15" hidden="false" customHeight="false" outlineLevel="0" collapsed="false">
      <c r="T462" s="0" t="n">
        <f aca="false">IF(Anforderungen!$B462="","",IF(AND(OR($B5="(alle)",Anforderungen!$K462=$B5),OR($E5="(alle)",Anforderungen!$C462=$E5),OR($H5="(alle)",Anforderungen!$E462=$H5),OR($B7="(alle)",ISNUMBER(SEARCH($B7,Anforderungen!$J462))),OR($E7="(alle)",ISNUMBER(SEARCH($E7,Anforderungen!$I462))),OR($H7="",ISNUMBER(SEARCH($H7,Anforderungen!$F462&amp;" "&amp;Anforderungen!$G462)))),COUNT($T$6:$T461)+1,""))</f>
        <v>456</v>
      </c>
    </row>
    <row r="463" customFormat="false" ht="15" hidden="false" customHeight="false" outlineLevel="0" collapsed="false">
      <c r="T463" s="0" t="n">
        <f aca="false">IF(Anforderungen!$B463="","",IF(AND(OR($B5="(alle)",Anforderungen!$K463=$B5),OR($E5="(alle)",Anforderungen!$C463=$E5),OR($H5="(alle)",Anforderungen!$E463=$H5),OR($B7="(alle)",ISNUMBER(SEARCH($B7,Anforderungen!$J463))),OR($E7="(alle)",ISNUMBER(SEARCH($E7,Anforderungen!$I463))),OR($H7="",ISNUMBER(SEARCH($H7,Anforderungen!$F463&amp;" "&amp;Anforderungen!$G463)))),COUNT($T$6:$T462)+1,""))</f>
        <v>457</v>
      </c>
    </row>
    <row r="464" customFormat="false" ht="15" hidden="false" customHeight="false" outlineLevel="0" collapsed="false">
      <c r="T464" s="0" t="n">
        <f aca="false">IF(Anforderungen!$B464="","",IF(AND(OR($B5="(alle)",Anforderungen!$K464=$B5),OR($E5="(alle)",Anforderungen!$C464=$E5),OR($H5="(alle)",Anforderungen!$E464=$H5),OR($B7="(alle)",ISNUMBER(SEARCH($B7,Anforderungen!$J464))),OR($E7="(alle)",ISNUMBER(SEARCH($E7,Anforderungen!$I464))),OR($H7="",ISNUMBER(SEARCH($H7,Anforderungen!$F464&amp;" "&amp;Anforderungen!$G464)))),COUNT($T$6:$T463)+1,""))</f>
        <v>458</v>
      </c>
    </row>
    <row r="465" customFormat="false" ht="15" hidden="false" customHeight="false" outlineLevel="0" collapsed="false">
      <c r="T465" s="0" t="n">
        <f aca="false">IF(Anforderungen!$B465="","",IF(AND(OR($B5="(alle)",Anforderungen!$K465=$B5),OR($E5="(alle)",Anforderungen!$C465=$E5),OR($H5="(alle)",Anforderungen!$E465=$H5),OR($B7="(alle)",ISNUMBER(SEARCH($B7,Anforderungen!$J465))),OR($E7="(alle)",ISNUMBER(SEARCH($E7,Anforderungen!$I465))),OR($H7="",ISNUMBER(SEARCH($H7,Anforderungen!$F465&amp;" "&amp;Anforderungen!$G465)))),COUNT($T$6:$T464)+1,""))</f>
        <v>459</v>
      </c>
    </row>
    <row r="466" customFormat="false" ht="15" hidden="false" customHeight="false" outlineLevel="0" collapsed="false">
      <c r="T466" s="0" t="n">
        <f aca="false">IF(Anforderungen!$B466="","",IF(AND(OR($B5="(alle)",Anforderungen!$K466=$B5),OR($E5="(alle)",Anforderungen!$C466=$E5),OR($H5="(alle)",Anforderungen!$E466=$H5),OR($B7="(alle)",ISNUMBER(SEARCH($B7,Anforderungen!$J466))),OR($E7="(alle)",ISNUMBER(SEARCH($E7,Anforderungen!$I466))),OR($H7="",ISNUMBER(SEARCH($H7,Anforderungen!$F466&amp;" "&amp;Anforderungen!$G466)))),COUNT($T$6:$T465)+1,""))</f>
        <v>460</v>
      </c>
    </row>
    <row r="467" customFormat="false" ht="15" hidden="false" customHeight="false" outlineLevel="0" collapsed="false">
      <c r="T467" s="0" t="n">
        <f aca="false">IF(Anforderungen!$B467="","",IF(AND(OR($B5="(alle)",Anforderungen!$K467=$B5),OR($E5="(alle)",Anforderungen!$C467=$E5),OR($H5="(alle)",Anforderungen!$E467=$H5),OR($B7="(alle)",ISNUMBER(SEARCH($B7,Anforderungen!$J467))),OR($E7="(alle)",ISNUMBER(SEARCH($E7,Anforderungen!$I467))),OR($H7="",ISNUMBER(SEARCH($H7,Anforderungen!$F467&amp;" "&amp;Anforderungen!$G467)))),COUNT($T$6:$T466)+1,""))</f>
        <v>461</v>
      </c>
    </row>
    <row r="468" customFormat="false" ht="15" hidden="false" customHeight="false" outlineLevel="0" collapsed="false">
      <c r="T468" s="0" t="n">
        <f aca="false">IF(Anforderungen!$B468="","",IF(AND(OR($B5="(alle)",Anforderungen!$K468=$B5),OR($E5="(alle)",Anforderungen!$C468=$E5),OR($H5="(alle)",Anforderungen!$E468=$H5),OR($B7="(alle)",ISNUMBER(SEARCH($B7,Anforderungen!$J468))),OR($E7="(alle)",ISNUMBER(SEARCH($E7,Anforderungen!$I468))),OR($H7="",ISNUMBER(SEARCH($H7,Anforderungen!$F468&amp;" "&amp;Anforderungen!$G468)))),COUNT($T$6:$T467)+1,""))</f>
        <v>462</v>
      </c>
    </row>
    <row r="469" customFormat="false" ht="15" hidden="false" customHeight="false" outlineLevel="0" collapsed="false">
      <c r="T469" s="0" t="n">
        <f aca="false">IF(Anforderungen!$B469="","",IF(AND(OR($B5="(alle)",Anforderungen!$K469=$B5),OR($E5="(alle)",Anforderungen!$C469=$E5),OR($H5="(alle)",Anforderungen!$E469=$H5),OR($B7="(alle)",ISNUMBER(SEARCH($B7,Anforderungen!$J469))),OR($E7="(alle)",ISNUMBER(SEARCH($E7,Anforderungen!$I469))),OR($H7="",ISNUMBER(SEARCH($H7,Anforderungen!$F469&amp;" "&amp;Anforderungen!$G469)))),COUNT($T$6:$T468)+1,""))</f>
        <v>463</v>
      </c>
    </row>
    <row r="470" customFormat="false" ht="15" hidden="false" customHeight="false" outlineLevel="0" collapsed="false">
      <c r="T470" s="0" t="n">
        <f aca="false">IF(Anforderungen!$B470="","",IF(AND(OR($B5="(alle)",Anforderungen!$K470=$B5),OR($E5="(alle)",Anforderungen!$C470=$E5),OR($H5="(alle)",Anforderungen!$E470=$H5),OR($B7="(alle)",ISNUMBER(SEARCH($B7,Anforderungen!$J470))),OR($E7="(alle)",ISNUMBER(SEARCH($E7,Anforderungen!$I470))),OR($H7="",ISNUMBER(SEARCH($H7,Anforderungen!$F470&amp;" "&amp;Anforderungen!$G470)))),COUNT($T$6:$T469)+1,""))</f>
        <v>464</v>
      </c>
    </row>
    <row r="471" customFormat="false" ht="15" hidden="false" customHeight="false" outlineLevel="0" collapsed="false">
      <c r="T471" s="0" t="n">
        <f aca="false">IF(Anforderungen!$B471="","",IF(AND(OR($B5="(alle)",Anforderungen!$K471=$B5),OR($E5="(alle)",Anforderungen!$C471=$E5),OR($H5="(alle)",Anforderungen!$E471=$H5),OR($B7="(alle)",ISNUMBER(SEARCH($B7,Anforderungen!$J471))),OR($E7="(alle)",ISNUMBER(SEARCH($E7,Anforderungen!$I471))),OR($H7="",ISNUMBER(SEARCH($H7,Anforderungen!$F471&amp;" "&amp;Anforderungen!$G471)))),COUNT($T$6:$T470)+1,""))</f>
        <v>465</v>
      </c>
    </row>
    <row r="472" customFormat="false" ht="15" hidden="false" customHeight="false" outlineLevel="0" collapsed="false">
      <c r="T472" s="0" t="n">
        <f aca="false">IF(Anforderungen!$B472="","",IF(AND(OR($B5="(alle)",Anforderungen!$K472=$B5),OR($E5="(alle)",Anforderungen!$C472=$E5),OR($H5="(alle)",Anforderungen!$E472=$H5),OR($B7="(alle)",ISNUMBER(SEARCH($B7,Anforderungen!$J472))),OR($E7="(alle)",ISNUMBER(SEARCH($E7,Anforderungen!$I472))),OR($H7="",ISNUMBER(SEARCH($H7,Anforderungen!$F472&amp;" "&amp;Anforderungen!$G472)))),COUNT($T$6:$T471)+1,""))</f>
        <v>466</v>
      </c>
    </row>
    <row r="473" customFormat="false" ht="15" hidden="false" customHeight="false" outlineLevel="0" collapsed="false">
      <c r="T473" s="0" t="n">
        <f aca="false">IF(Anforderungen!$B473="","",IF(AND(OR($B5="(alle)",Anforderungen!$K473=$B5),OR($E5="(alle)",Anforderungen!$C473=$E5),OR($H5="(alle)",Anforderungen!$E473=$H5),OR($B7="(alle)",ISNUMBER(SEARCH($B7,Anforderungen!$J473))),OR($E7="(alle)",ISNUMBER(SEARCH($E7,Anforderungen!$I473))),OR($H7="",ISNUMBER(SEARCH($H7,Anforderungen!$F473&amp;" "&amp;Anforderungen!$G473)))),COUNT($T$6:$T472)+1,""))</f>
        <v>467</v>
      </c>
    </row>
    <row r="474" customFormat="false" ht="15" hidden="false" customHeight="false" outlineLevel="0" collapsed="false">
      <c r="T474" s="0" t="n">
        <f aca="false">IF(Anforderungen!$B474="","",IF(AND(OR($B5="(alle)",Anforderungen!$K474=$B5),OR($E5="(alle)",Anforderungen!$C474=$E5),OR($H5="(alle)",Anforderungen!$E474=$H5),OR($B7="(alle)",ISNUMBER(SEARCH($B7,Anforderungen!$J474))),OR($E7="(alle)",ISNUMBER(SEARCH($E7,Anforderungen!$I474))),OR($H7="",ISNUMBER(SEARCH($H7,Anforderungen!$F474&amp;" "&amp;Anforderungen!$G474)))),COUNT($T$6:$T473)+1,""))</f>
        <v>468</v>
      </c>
    </row>
    <row r="475" customFormat="false" ht="15" hidden="false" customHeight="false" outlineLevel="0" collapsed="false">
      <c r="T475" s="0" t="n">
        <f aca="false">IF(Anforderungen!$B475="","",IF(AND(OR($B5="(alle)",Anforderungen!$K475=$B5),OR($E5="(alle)",Anforderungen!$C475=$E5),OR($H5="(alle)",Anforderungen!$E475=$H5),OR($B7="(alle)",ISNUMBER(SEARCH($B7,Anforderungen!$J475))),OR($E7="(alle)",ISNUMBER(SEARCH($E7,Anforderungen!$I475))),OR($H7="",ISNUMBER(SEARCH($H7,Anforderungen!$F475&amp;" "&amp;Anforderungen!$G475)))),COUNT($T$6:$T474)+1,""))</f>
        <v>469</v>
      </c>
    </row>
    <row r="476" customFormat="false" ht="15" hidden="false" customHeight="false" outlineLevel="0" collapsed="false">
      <c r="T476" s="0" t="n">
        <f aca="false">IF(Anforderungen!$B476="","",IF(AND(OR($B5="(alle)",Anforderungen!$K476=$B5),OR($E5="(alle)",Anforderungen!$C476=$E5),OR($H5="(alle)",Anforderungen!$E476=$H5),OR($B7="(alle)",ISNUMBER(SEARCH($B7,Anforderungen!$J476))),OR($E7="(alle)",ISNUMBER(SEARCH($E7,Anforderungen!$I476))),OR($H7="",ISNUMBER(SEARCH($H7,Anforderungen!$F476&amp;" "&amp;Anforderungen!$G476)))),COUNT($T$6:$T475)+1,""))</f>
        <v>470</v>
      </c>
    </row>
    <row r="477" customFormat="false" ht="15" hidden="false" customHeight="false" outlineLevel="0" collapsed="false">
      <c r="T477" s="0" t="n">
        <f aca="false">IF(Anforderungen!$B477="","",IF(AND(OR($B5="(alle)",Anforderungen!$K477=$B5),OR($E5="(alle)",Anforderungen!$C477=$E5),OR($H5="(alle)",Anforderungen!$E477=$H5),OR($B7="(alle)",ISNUMBER(SEARCH($B7,Anforderungen!$J477))),OR($E7="(alle)",ISNUMBER(SEARCH($E7,Anforderungen!$I477))),OR($H7="",ISNUMBER(SEARCH($H7,Anforderungen!$F477&amp;" "&amp;Anforderungen!$G477)))),COUNT($T$6:$T476)+1,""))</f>
        <v>471</v>
      </c>
    </row>
    <row r="478" customFormat="false" ht="15" hidden="false" customHeight="false" outlineLevel="0" collapsed="false">
      <c r="T478" s="0" t="n">
        <f aca="false">IF(Anforderungen!$B478="","",IF(AND(OR($B5="(alle)",Anforderungen!$K478=$B5),OR($E5="(alle)",Anforderungen!$C478=$E5),OR($H5="(alle)",Anforderungen!$E478=$H5),OR($B7="(alle)",ISNUMBER(SEARCH($B7,Anforderungen!$J478))),OR($E7="(alle)",ISNUMBER(SEARCH($E7,Anforderungen!$I478))),OR($H7="",ISNUMBER(SEARCH($H7,Anforderungen!$F478&amp;" "&amp;Anforderungen!$G478)))),COUNT($T$6:$T477)+1,""))</f>
        <v>472</v>
      </c>
    </row>
    <row r="479" customFormat="false" ht="15" hidden="false" customHeight="false" outlineLevel="0" collapsed="false">
      <c r="T479" s="0" t="n">
        <f aca="false">IF(Anforderungen!$B479="","",IF(AND(OR($B5="(alle)",Anforderungen!$K479=$B5),OR($E5="(alle)",Anforderungen!$C479=$E5),OR($H5="(alle)",Anforderungen!$E479=$H5),OR($B7="(alle)",ISNUMBER(SEARCH($B7,Anforderungen!$J479))),OR($E7="(alle)",ISNUMBER(SEARCH($E7,Anforderungen!$I479))),OR($H7="",ISNUMBER(SEARCH($H7,Anforderungen!$F479&amp;" "&amp;Anforderungen!$G479)))),COUNT($T$6:$T478)+1,""))</f>
        <v>473</v>
      </c>
    </row>
    <row r="480" customFormat="false" ht="15" hidden="false" customHeight="false" outlineLevel="0" collapsed="false">
      <c r="T480" s="0" t="n">
        <f aca="false">IF(Anforderungen!$B480="","",IF(AND(OR($B5="(alle)",Anforderungen!$K480=$B5),OR($E5="(alle)",Anforderungen!$C480=$E5),OR($H5="(alle)",Anforderungen!$E480=$H5),OR($B7="(alle)",ISNUMBER(SEARCH($B7,Anforderungen!$J480))),OR($E7="(alle)",ISNUMBER(SEARCH($E7,Anforderungen!$I480))),OR($H7="",ISNUMBER(SEARCH($H7,Anforderungen!$F480&amp;" "&amp;Anforderungen!$G480)))),COUNT($T$6:$T479)+1,""))</f>
        <v>474</v>
      </c>
    </row>
    <row r="481" customFormat="false" ht="15" hidden="false" customHeight="false" outlineLevel="0" collapsed="false">
      <c r="T481" s="0" t="n">
        <f aca="false">IF(Anforderungen!$B481="","",IF(AND(OR($B5="(alle)",Anforderungen!$K481=$B5),OR($E5="(alle)",Anforderungen!$C481=$E5),OR($H5="(alle)",Anforderungen!$E481=$H5),OR($B7="(alle)",ISNUMBER(SEARCH($B7,Anforderungen!$J481))),OR($E7="(alle)",ISNUMBER(SEARCH($E7,Anforderungen!$I481))),OR($H7="",ISNUMBER(SEARCH($H7,Anforderungen!$F481&amp;" "&amp;Anforderungen!$G481)))),COUNT($T$6:$T480)+1,""))</f>
        <v>475</v>
      </c>
    </row>
    <row r="482" customFormat="false" ht="15" hidden="false" customHeight="false" outlineLevel="0" collapsed="false">
      <c r="T482" s="0" t="n">
        <f aca="false">IF(Anforderungen!$B482="","",IF(AND(OR($B5="(alle)",Anforderungen!$K482=$B5),OR($E5="(alle)",Anforderungen!$C482=$E5),OR($H5="(alle)",Anforderungen!$E482=$H5),OR($B7="(alle)",ISNUMBER(SEARCH($B7,Anforderungen!$J482))),OR($E7="(alle)",ISNUMBER(SEARCH($E7,Anforderungen!$I482))),OR($H7="",ISNUMBER(SEARCH($H7,Anforderungen!$F482&amp;" "&amp;Anforderungen!$G482)))),COUNT($T$6:$T481)+1,""))</f>
        <v>476</v>
      </c>
    </row>
    <row r="483" customFormat="false" ht="15" hidden="false" customHeight="false" outlineLevel="0" collapsed="false">
      <c r="T483" s="0" t="n">
        <f aca="false">IF(Anforderungen!$B483="","",IF(AND(OR($B5="(alle)",Anforderungen!$K483=$B5),OR($E5="(alle)",Anforderungen!$C483=$E5),OR($H5="(alle)",Anforderungen!$E483=$H5),OR($B7="(alle)",ISNUMBER(SEARCH($B7,Anforderungen!$J483))),OR($E7="(alle)",ISNUMBER(SEARCH($E7,Anforderungen!$I483))),OR($H7="",ISNUMBER(SEARCH($H7,Anforderungen!$F483&amp;" "&amp;Anforderungen!$G483)))),COUNT($T$6:$T482)+1,""))</f>
        <v>477</v>
      </c>
    </row>
    <row r="484" customFormat="false" ht="15" hidden="false" customHeight="false" outlineLevel="0" collapsed="false">
      <c r="T484" s="0" t="n">
        <f aca="false">IF(Anforderungen!$B484="","",IF(AND(OR($B5="(alle)",Anforderungen!$K484=$B5),OR($E5="(alle)",Anforderungen!$C484=$E5),OR($H5="(alle)",Anforderungen!$E484=$H5),OR($B7="(alle)",ISNUMBER(SEARCH($B7,Anforderungen!$J484))),OR($E7="(alle)",ISNUMBER(SEARCH($E7,Anforderungen!$I484))),OR($H7="",ISNUMBER(SEARCH($H7,Anforderungen!$F484&amp;" "&amp;Anforderungen!$G484)))),COUNT($T$6:$T483)+1,""))</f>
        <v>478</v>
      </c>
    </row>
    <row r="485" customFormat="false" ht="15" hidden="false" customHeight="false" outlineLevel="0" collapsed="false">
      <c r="T485" s="0" t="n">
        <f aca="false">IF(Anforderungen!$B485="","",IF(AND(OR($B5="(alle)",Anforderungen!$K485=$B5),OR($E5="(alle)",Anforderungen!$C485=$E5),OR($H5="(alle)",Anforderungen!$E485=$H5),OR($B7="(alle)",ISNUMBER(SEARCH($B7,Anforderungen!$J485))),OR($E7="(alle)",ISNUMBER(SEARCH($E7,Anforderungen!$I485))),OR($H7="",ISNUMBER(SEARCH($H7,Anforderungen!$F485&amp;" "&amp;Anforderungen!$G485)))),COUNT($T$6:$T484)+1,""))</f>
        <v>479</v>
      </c>
    </row>
    <row r="486" customFormat="false" ht="15" hidden="false" customHeight="false" outlineLevel="0" collapsed="false">
      <c r="T486" s="0" t="n">
        <f aca="false">IF(Anforderungen!$B486="","",IF(AND(OR($B5="(alle)",Anforderungen!$K486=$B5),OR($E5="(alle)",Anforderungen!$C486=$E5),OR($H5="(alle)",Anforderungen!$E486=$H5),OR($B7="(alle)",ISNUMBER(SEARCH($B7,Anforderungen!$J486))),OR($E7="(alle)",ISNUMBER(SEARCH($E7,Anforderungen!$I486))),OR($H7="",ISNUMBER(SEARCH($H7,Anforderungen!$F486&amp;" "&amp;Anforderungen!$G486)))),COUNT($T$6:$T485)+1,""))</f>
        <v>480</v>
      </c>
    </row>
    <row r="487" customFormat="false" ht="15" hidden="false" customHeight="false" outlineLevel="0" collapsed="false">
      <c r="T487" s="0" t="n">
        <f aca="false">IF(Anforderungen!$B487="","",IF(AND(OR($B5="(alle)",Anforderungen!$K487=$B5),OR($E5="(alle)",Anforderungen!$C487=$E5),OR($H5="(alle)",Anforderungen!$E487=$H5),OR($B7="(alle)",ISNUMBER(SEARCH($B7,Anforderungen!$J487))),OR($E7="(alle)",ISNUMBER(SEARCH($E7,Anforderungen!$I487))),OR($H7="",ISNUMBER(SEARCH($H7,Anforderungen!$F487&amp;" "&amp;Anforderungen!$G487)))),COUNT($T$6:$T486)+1,""))</f>
        <v>481</v>
      </c>
    </row>
    <row r="488" customFormat="false" ht="15" hidden="false" customHeight="false" outlineLevel="0" collapsed="false">
      <c r="T488" s="0" t="n">
        <f aca="false">IF(Anforderungen!$B488="","",IF(AND(OR($B5="(alle)",Anforderungen!$K488=$B5),OR($E5="(alle)",Anforderungen!$C488=$E5),OR($H5="(alle)",Anforderungen!$E488=$H5),OR($B7="(alle)",ISNUMBER(SEARCH($B7,Anforderungen!$J488))),OR($E7="(alle)",ISNUMBER(SEARCH($E7,Anforderungen!$I488))),OR($H7="",ISNUMBER(SEARCH($H7,Anforderungen!$F488&amp;" "&amp;Anforderungen!$G488)))),COUNT($T$6:$T487)+1,""))</f>
        <v>482</v>
      </c>
    </row>
    <row r="489" customFormat="false" ht="15" hidden="false" customHeight="false" outlineLevel="0" collapsed="false">
      <c r="T489" s="0" t="n">
        <f aca="false">IF(Anforderungen!$B489="","",IF(AND(OR($B5="(alle)",Anforderungen!$K489=$B5),OR($E5="(alle)",Anforderungen!$C489=$E5),OR($H5="(alle)",Anforderungen!$E489=$H5),OR($B7="(alle)",ISNUMBER(SEARCH($B7,Anforderungen!$J489))),OR($E7="(alle)",ISNUMBER(SEARCH($E7,Anforderungen!$I489))),OR($H7="",ISNUMBER(SEARCH($H7,Anforderungen!$F489&amp;" "&amp;Anforderungen!$G489)))),COUNT($T$6:$T488)+1,""))</f>
        <v>483</v>
      </c>
    </row>
    <row r="490" customFormat="false" ht="15" hidden="false" customHeight="false" outlineLevel="0" collapsed="false">
      <c r="T490" s="0" t="n">
        <f aca="false">IF(Anforderungen!$B490="","",IF(AND(OR($B5="(alle)",Anforderungen!$K490=$B5),OR($E5="(alle)",Anforderungen!$C490=$E5),OR($H5="(alle)",Anforderungen!$E490=$H5),OR($B7="(alle)",ISNUMBER(SEARCH($B7,Anforderungen!$J490))),OR($E7="(alle)",ISNUMBER(SEARCH($E7,Anforderungen!$I490))),OR($H7="",ISNUMBER(SEARCH($H7,Anforderungen!$F490&amp;" "&amp;Anforderungen!$G490)))),COUNT($T$6:$T489)+1,""))</f>
        <v>484</v>
      </c>
    </row>
    <row r="491" customFormat="false" ht="15" hidden="false" customHeight="false" outlineLevel="0" collapsed="false">
      <c r="T491" s="0" t="n">
        <f aca="false">IF(Anforderungen!$B491="","",IF(AND(OR($B5="(alle)",Anforderungen!$K491=$B5),OR($E5="(alle)",Anforderungen!$C491=$E5),OR($H5="(alle)",Anforderungen!$E491=$H5),OR($B7="(alle)",ISNUMBER(SEARCH($B7,Anforderungen!$J491))),OR($E7="(alle)",ISNUMBER(SEARCH($E7,Anforderungen!$I491))),OR($H7="",ISNUMBER(SEARCH($H7,Anforderungen!$F491&amp;" "&amp;Anforderungen!$G491)))),COUNT($T$6:$T490)+1,""))</f>
        <v>485</v>
      </c>
    </row>
    <row r="492" customFormat="false" ht="15" hidden="false" customHeight="false" outlineLevel="0" collapsed="false">
      <c r="T492" s="0" t="n">
        <f aca="false">IF(Anforderungen!$B492="","",IF(AND(OR($B5="(alle)",Anforderungen!$K492=$B5),OR($E5="(alle)",Anforderungen!$C492=$E5),OR($H5="(alle)",Anforderungen!$E492=$H5),OR($B7="(alle)",ISNUMBER(SEARCH($B7,Anforderungen!$J492))),OR($E7="(alle)",ISNUMBER(SEARCH($E7,Anforderungen!$I492))),OR($H7="",ISNUMBER(SEARCH($H7,Anforderungen!$F492&amp;" "&amp;Anforderungen!$G492)))),COUNT($T$6:$T491)+1,""))</f>
        <v>486</v>
      </c>
    </row>
    <row r="493" customFormat="false" ht="15" hidden="false" customHeight="false" outlineLevel="0" collapsed="false">
      <c r="T493" s="0" t="n">
        <f aca="false">IF(Anforderungen!$B493="","",IF(AND(OR($B5="(alle)",Anforderungen!$K493=$B5),OR($E5="(alle)",Anforderungen!$C493=$E5),OR($H5="(alle)",Anforderungen!$E493=$H5),OR($B7="(alle)",ISNUMBER(SEARCH($B7,Anforderungen!$J493))),OR($E7="(alle)",ISNUMBER(SEARCH($E7,Anforderungen!$I493))),OR($H7="",ISNUMBER(SEARCH($H7,Anforderungen!$F493&amp;" "&amp;Anforderungen!$G493)))),COUNT($T$6:$T492)+1,""))</f>
        <v>487</v>
      </c>
    </row>
    <row r="494" customFormat="false" ht="15" hidden="false" customHeight="false" outlineLevel="0" collapsed="false">
      <c r="T494" s="0" t="n">
        <f aca="false">IF(Anforderungen!$B494="","",IF(AND(OR($B5="(alle)",Anforderungen!$K494=$B5),OR($E5="(alle)",Anforderungen!$C494=$E5),OR($H5="(alle)",Anforderungen!$E494=$H5),OR($B7="(alle)",ISNUMBER(SEARCH($B7,Anforderungen!$J494))),OR($E7="(alle)",ISNUMBER(SEARCH($E7,Anforderungen!$I494))),OR($H7="",ISNUMBER(SEARCH($H7,Anforderungen!$F494&amp;" "&amp;Anforderungen!$G494)))),COUNT($T$6:$T493)+1,""))</f>
        <v>488</v>
      </c>
    </row>
    <row r="495" customFormat="false" ht="15" hidden="false" customHeight="false" outlineLevel="0" collapsed="false">
      <c r="T495" s="0" t="n">
        <f aca="false">IF(Anforderungen!$B495="","",IF(AND(OR($B5="(alle)",Anforderungen!$K495=$B5),OR($E5="(alle)",Anforderungen!$C495=$E5),OR($H5="(alle)",Anforderungen!$E495=$H5),OR($B7="(alle)",ISNUMBER(SEARCH($B7,Anforderungen!$J495))),OR($E7="(alle)",ISNUMBER(SEARCH($E7,Anforderungen!$I495))),OR($H7="",ISNUMBER(SEARCH($H7,Anforderungen!$F495&amp;" "&amp;Anforderungen!$G495)))),COUNT($T$6:$T494)+1,""))</f>
        <v>489</v>
      </c>
    </row>
    <row r="496" customFormat="false" ht="15" hidden="false" customHeight="false" outlineLevel="0" collapsed="false">
      <c r="T496" s="0" t="n">
        <f aca="false">IF(Anforderungen!$B496="","",IF(AND(OR($B5="(alle)",Anforderungen!$K496=$B5),OR($E5="(alle)",Anforderungen!$C496=$E5),OR($H5="(alle)",Anforderungen!$E496=$H5),OR($B7="(alle)",ISNUMBER(SEARCH($B7,Anforderungen!$J496))),OR($E7="(alle)",ISNUMBER(SEARCH($E7,Anforderungen!$I496))),OR($H7="",ISNUMBER(SEARCH($H7,Anforderungen!$F496&amp;" "&amp;Anforderungen!$G496)))),COUNT($T$6:$T495)+1,""))</f>
        <v>490</v>
      </c>
    </row>
    <row r="497" customFormat="false" ht="15" hidden="false" customHeight="false" outlineLevel="0" collapsed="false">
      <c r="T497" s="0" t="n">
        <f aca="false">IF(Anforderungen!$B497="","",IF(AND(OR($B5="(alle)",Anforderungen!$K497=$B5),OR($E5="(alle)",Anforderungen!$C497=$E5),OR($H5="(alle)",Anforderungen!$E497=$H5),OR($B7="(alle)",ISNUMBER(SEARCH($B7,Anforderungen!$J497))),OR($E7="(alle)",ISNUMBER(SEARCH($E7,Anforderungen!$I497))),OR($H7="",ISNUMBER(SEARCH($H7,Anforderungen!$F497&amp;" "&amp;Anforderungen!$G497)))),COUNT($T$6:$T496)+1,""))</f>
        <v>491</v>
      </c>
    </row>
    <row r="498" customFormat="false" ht="15" hidden="false" customHeight="false" outlineLevel="0" collapsed="false">
      <c r="T498" s="0" t="n">
        <f aca="false">IF(Anforderungen!$B498="","",IF(AND(OR($B5="(alle)",Anforderungen!$K498=$B5),OR($E5="(alle)",Anforderungen!$C498=$E5),OR($H5="(alle)",Anforderungen!$E498=$H5),OR($B7="(alle)",ISNUMBER(SEARCH($B7,Anforderungen!$J498))),OR($E7="(alle)",ISNUMBER(SEARCH($E7,Anforderungen!$I498))),OR($H7="",ISNUMBER(SEARCH($H7,Anforderungen!$F498&amp;" "&amp;Anforderungen!$G498)))),COUNT($T$6:$T497)+1,""))</f>
        <v>492</v>
      </c>
    </row>
    <row r="499" customFormat="false" ht="15" hidden="false" customHeight="false" outlineLevel="0" collapsed="false">
      <c r="T499" s="0" t="n">
        <f aca="false">IF(Anforderungen!$B499="","",IF(AND(OR($B5="(alle)",Anforderungen!$K499=$B5),OR($E5="(alle)",Anforderungen!$C499=$E5),OR($H5="(alle)",Anforderungen!$E499=$H5),OR($B7="(alle)",ISNUMBER(SEARCH($B7,Anforderungen!$J499))),OR($E7="(alle)",ISNUMBER(SEARCH($E7,Anforderungen!$I499))),OR($H7="",ISNUMBER(SEARCH($H7,Anforderungen!$F499&amp;" "&amp;Anforderungen!$G499)))),COUNT($T$6:$T498)+1,""))</f>
        <v>493</v>
      </c>
    </row>
    <row r="500" customFormat="false" ht="15" hidden="false" customHeight="false" outlineLevel="0" collapsed="false">
      <c r="T500" s="0" t="n">
        <f aca="false">IF(Anforderungen!$B500="","",IF(AND(OR($B5="(alle)",Anforderungen!$K500=$B5),OR($E5="(alle)",Anforderungen!$C500=$E5),OR($H5="(alle)",Anforderungen!$E500=$H5),OR($B7="(alle)",ISNUMBER(SEARCH($B7,Anforderungen!$J500))),OR($E7="(alle)",ISNUMBER(SEARCH($E7,Anforderungen!$I500))),OR($H7="",ISNUMBER(SEARCH($H7,Anforderungen!$F500&amp;" "&amp;Anforderungen!$G500)))),COUNT($T$6:$T499)+1,""))</f>
        <v>494</v>
      </c>
    </row>
    <row r="501" customFormat="false" ht="15" hidden="false" customHeight="false" outlineLevel="0" collapsed="false">
      <c r="T501" s="0" t="n">
        <f aca="false">IF(Anforderungen!$B501="","",IF(AND(OR($B5="(alle)",Anforderungen!$K501=$B5),OR($E5="(alle)",Anforderungen!$C501=$E5),OR($H5="(alle)",Anforderungen!$E501=$H5),OR($B7="(alle)",ISNUMBER(SEARCH($B7,Anforderungen!$J501))),OR($E7="(alle)",ISNUMBER(SEARCH($E7,Anforderungen!$I501))),OR($H7="",ISNUMBER(SEARCH($H7,Anforderungen!$F501&amp;" "&amp;Anforderungen!$G501)))),COUNT($T$6:$T500)+1,""))</f>
        <v>495</v>
      </c>
    </row>
    <row r="502" customFormat="false" ht="15" hidden="false" customHeight="false" outlineLevel="0" collapsed="false">
      <c r="T502" s="0" t="n">
        <f aca="false">IF(Anforderungen!$B502="","",IF(AND(OR($B5="(alle)",Anforderungen!$K502=$B5),OR($E5="(alle)",Anforderungen!$C502=$E5),OR($H5="(alle)",Anforderungen!$E502=$H5),OR($B7="(alle)",ISNUMBER(SEARCH($B7,Anforderungen!$J502))),OR($E7="(alle)",ISNUMBER(SEARCH($E7,Anforderungen!$I502))),OR($H7="",ISNUMBER(SEARCH($H7,Anforderungen!$F502&amp;" "&amp;Anforderungen!$G502)))),COUNT($T$6:$T501)+1,""))</f>
        <v>496</v>
      </c>
    </row>
    <row r="503" customFormat="false" ht="15" hidden="false" customHeight="false" outlineLevel="0" collapsed="false">
      <c r="T503" s="0" t="n">
        <f aca="false">IF(Anforderungen!$B503="","",IF(AND(OR($B5="(alle)",Anforderungen!$K503=$B5),OR($E5="(alle)",Anforderungen!$C503=$E5),OR($H5="(alle)",Anforderungen!$E503=$H5),OR($B7="(alle)",ISNUMBER(SEARCH($B7,Anforderungen!$J503))),OR($E7="(alle)",ISNUMBER(SEARCH($E7,Anforderungen!$I503))),OR($H7="",ISNUMBER(SEARCH($H7,Anforderungen!$F503&amp;" "&amp;Anforderungen!$G503)))),COUNT($T$6:$T502)+1,""))</f>
        <v>497</v>
      </c>
    </row>
    <row r="504" customFormat="false" ht="15" hidden="false" customHeight="false" outlineLevel="0" collapsed="false">
      <c r="T504" s="0" t="n">
        <f aca="false">IF(Anforderungen!$B504="","",IF(AND(OR($B5="(alle)",Anforderungen!$K504=$B5),OR($E5="(alle)",Anforderungen!$C504=$E5),OR($H5="(alle)",Anforderungen!$E504=$H5),OR($B7="(alle)",ISNUMBER(SEARCH($B7,Anforderungen!$J504))),OR($E7="(alle)",ISNUMBER(SEARCH($E7,Anforderungen!$I504))),OR($H7="",ISNUMBER(SEARCH($H7,Anforderungen!$F504&amp;" "&amp;Anforderungen!$G504)))),COUNT($T$6:$T503)+1,""))</f>
        <v>498</v>
      </c>
    </row>
    <row r="505" customFormat="false" ht="15" hidden="false" customHeight="false" outlineLevel="0" collapsed="false">
      <c r="T505" s="0" t="n">
        <f aca="false">IF(Anforderungen!$B505="","",IF(AND(OR($B5="(alle)",Anforderungen!$K505=$B5),OR($E5="(alle)",Anforderungen!$C505=$E5),OR($H5="(alle)",Anforderungen!$E505=$H5),OR($B7="(alle)",ISNUMBER(SEARCH($B7,Anforderungen!$J505))),OR($E7="(alle)",ISNUMBER(SEARCH($E7,Anforderungen!$I505))),OR($H7="",ISNUMBER(SEARCH($H7,Anforderungen!$F505&amp;" "&amp;Anforderungen!$G505)))),COUNT($T$6:$T504)+1,""))</f>
        <v>499</v>
      </c>
    </row>
    <row r="506" customFormat="false" ht="15" hidden="false" customHeight="false" outlineLevel="0" collapsed="false">
      <c r="T506" s="0" t="n">
        <f aca="false">IF(Anforderungen!$B506="","",IF(AND(OR($B5="(alle)",Anforderungen!$K506=$B5),OR($E5="(alle)",Anforderungen!$C506=$E5),OR($H5="(alle)",Anforderungen!$E506=$H5),OR($B7="(alle)",ISNUMBER(SEARCH($B7,Anforderungen!$J506))),OR($E7="(alle)",ISNUMBER(SEARCH($E7,Anforderungen!$I506))),OR($H7="",ISNUMBER(SEARCH($H7,Anforderungen!$F506&amp;" "&amp;Anforderungen!$G506)))),COUNT($T$6:$T505)+1,""))</f>
        <v>500</v>
      </c>
    </row>
    <row r="507" customFormat="false" ht="15" hidden="false" customHeight="false" outlineLevel="0" collapsed="false">
      <c r="T507" s="0" t="n">
        <f aca="false">IF(Anforderungen!$B507="","",IF(AND(OR($B5="(alle)",Anforderungen!$K507=$B5),OR($E5="(alle)",Anforderungen!$C507=$E5),OR($H5="(alle)",Anforderungen!$E507=$H5),OR($B7="(alle)",ISNUMBER(SEARCH($B7,Anforderungen!$J507))),OR($E7="(alle)",ISNUMBER(SEARCH($E7,Anforderungen!$I507))),OR($H7="",ISNUMBER(SEARCH($H7,Anforderungen!$F507&amp;" "&amp;Anforderungen!$G507)))),COUNT($T$6:$T506)+1,""))</f>
        <v>501</v>
      </c>
    </row>
    <row r="508" customFormat="false" ht="15" hidden="false" customHeight="false" outlineLevel="0" collapsed="false">
      <c r="T508" s="0" t="n">
        <f aca="false">IF(Anforderungen!$B508="","",IF(AND(OR($B5="(alle)",Anforderungen!$K508=$B5),OR($E5="(alle)",Anforderungen!$C508=$E5),OR($H5="(alle)",Anforderungen!$E508=$H5),OR($B7="(alle)",ISNUMBER(SEARCH($B7,Anforderungen!$J508))),OR($E7="(alle)",ISNUMBER(SEARCH($E7,Anforderungen!$I508))),OR($H7="",ISNUMBER(SEARCH($H7,Anforderungen!$F508&amp;" "&amp;Anforderungen!$G508)))),COUNT($T$6:$T507)+1,""))</f>
        <v>502</v>
      </c>
    </row>
    <row r="509" customFormat="false" ht="15" hidden="false" customHeight="false" outlineLevel="0" collapsed="false">
      <c r="T509" s="0" t="n">
        <f aca="false">IF(Anforderungen!$B509="","",IF(AND(OR($B5="(alle)",Anforderungen!$K509=$B5),OR($E5="(alle)",Anforderungen!$C509=$E5),OR($H5="(alle)",Anforderungen!$E509=$H5),OR($B7="(alle)",ISNUMBER(SEARCH($B7,Anforderungen!$J509))),OR($E7="(alle)",ISNUMBER(SEARCH($E7,Anforderungen!$I509))),OR($H7="",ISNUMBER(SEARCH($H7,Anforderungen!$F509&amp;" "&amp;Anforderungen!$G509)))),COUNT($T$6:$T508)+1,""))</f>
        <v>503</v>
      </c>
    </row>
    <row r="510" customFormat="false" ht="15" hidden="false" customHeight="false" outlineLevel="0" collapsed="false">
      <c r="T510" s="0" t="n">
        <f aca="false">IF(Anforderungen!$B510="","",IF(AND(OR($B5="(alle)",Anforderungen!$K510=$B5),OR($E5="(alle)",Anforderungen!$C510=$E5),OR($H5="(alle)",Anforderungen!$E510=$H5),OR($B7="(alle)",ISNUMBER(SEARCH($B7,Anforderungen!$J510))),OR($E7="(alle)",ISNUMBER(SEARCH($E7,Anforderungen!$I510))),OR($H7="",ISNUMBER(SEARCH($H7,Anforderungen!$F510&amp;" "&amp;Anforderungen!$G510)))),COUNT($T$6:$T509)+1,""))</f>
        <v>504</v>
      </c>
    </row>
    <row r="511" customFormat="false" ht="15" hidden="false" customHeight="false" outlineLevel="0" collapsed="false">
      <c r="T511" s="0" t="n">
        <f aca="false">IF(Anforderungen!$B511="","",IF(AND(OR($B5="(alle)",Anforderungen!$K511=$B5),OR($E5="(alle)",Anforderungen!$C511=$E5),OR($H5="(alle)",Anforderungen!$E511=$H5),OR($B7="(alle)",ISNUMBER(SEARCH($B7,Anforderungen!$J511))),OR($E7="(alle)",ISNUMBER(SEARCH($E7,Anforderungen!$I511))),OR($H7="",ISNUMBER(SEARCH($H7,Anforderungen!$F511&amp;" "&amp;Anforderungen!$G511)))),COUNT($T$6:$T510)+1,""))</f>
        <v>505</v>
      </c>
    </row>
    <row r="512" customFormat="false" ht="15" hidden="false" customHeight="false" outlineLevel="0" collapsed="false">
      <c r="T512" s="0" t="n">
        <f aca="false">IF(Anforderungen!$B512="","",IF(AND(OR($B5="(alle)",Anforderungen!$K512=$B5),OR($E5="(alle)",Anforderungen!$C512=$E5),OR($H5="(alle)",Anforderungen!$E512=$H5),OR($B7="(alle)",ISNUMBER(SEARCH($B7,Anforderungen!$J512))),OR($E7="(alle)",ISNUMBER(SEARCH($E7,Anforderungen!$I512))),OR($H7="",ISNUMBER(SEARCH($H7,Anforderungen!$F512&amp;" "&amp;Anforderungen!$G512)))),COUNT($T$6:$T511)+1,""))</f>
        <v>506</v>
      </c>
    </row>
    <row r="513" customFormat="false" ht="15" hidden="false" customHeight="false" outlineLevel="0" collapsed="false">
      <c r="T513" s="0" t="n">
        <f aca="false">IF(Anforderungen!$B513="","",IF(AND(OR($B5="(alle)",Anforderungen!$K513=$B5),OR($E5="(alle)",Anforderungen!$C513=$E5),OR($H5="(alle)",Anforderungen!$E513=$H5),OR($B7="(alle)",ISNUMBER(SEARCH($B7,Anforderungen!$J513))),OR($E7="(alle)",ISNUMBER(SEARCH($E7,Anforderungen!$I513))),OR($H7="",ISNUMBER(SEARCH($H7,Anforderungen!$F513&amp;" "&amp;Anforderungen!$G513)))),COUNT($T$6:$T512)+1,""))</f>
        <v>507</v>
      </c>
    </row>
    <row r="514" customFormat="false" ht="15" hidden="false" customHeight="false" outlineLevel="0" collapsed="false">
      <c r="T514" s="0" t="n">
        <f aca="false">IF(Anforderungen!$B514="","",IF(AND(OR($B5="(alle)",Anforderungen!$K514=$B5),OR($E5="(alle)",Anforderungen!$C514=$E5),OR($H5="(alle)",Anforderungen!$E514=$H5),OR($B7="(alle)",ISNUMBER(SEARCH($B7,Anforderungen!$J514))),OR($E7="(alle)",ISNUMBER(SEARCH($E7,Anforderungen!$I514))),OR($H7="",ISNUMBER(SEARCH($H7,Anforderungen!$F514&amp;" "&amp;Anforderungen!$G514)))),COUNT($T$6:$T513)+1,""))</f>
        <v>508</v>
      </c>
    </row>
    <row r="515" customFormat="false" ht="15" hidden="false" customHeight="false" outlineLevel="0" collapsed="false">
      <c r="T515" s="0" t="n">
        <f aca="false">IF(Anforderungen!$B515="","",IF(AND(OR($B5="(alle)",Anforderungen!$K515=$B5),OR($E5="(alle)",Anforderungen!$C515=$E5),OR($H5="(alle)",Anforderungen!$E515=$H5),OR($B7="(alle)",ISNUMBER(SEARCH($B7,Anforderungen!$J515))),OR($E7="(alle)",ISNUMBER(SEARCH($E7,Anforderungen!$I515))),OR($H7="",ISNUMBER(SEARCH($H7,Anforderungen!$F515&amp;" "&amp;Anforderungen!$G515)))),COUNT($T$6:$T514)+1,""))</f>
        <v>509</v>
      </c>
    </row>
    <row r="516" customFormat="false" ht="15" hidden="false" customHeight="false" outlineLevel="0" collapsed="false">
      <c r="T516" s="0" t="n">
        <f aca="false">IF(Anforderungen!$B516="","",IF(AND(OR($B5="(alle)",Anforderungen!$K516=$B5),OR($E5="(alle)",Anforderungen!$C516=$E5),OR($H5="(alle)",Anforderungen!$E516=$H5),OR($B7="(alle)",ISNUMBER(SEARCH($B7,Anforderungen!$J516))),OR($E7="(alle)",ISNUMBER(SEARCH($E7,Anforderungen!$I516))),OR($H7="",ISNUMBER(SEARCH($H7,Anforderungen!$F516&amp;" "&amp;Anforderungen!$G516)))),COUNT($T$6:$T515)+1,""))</f>
        <v>510</v>
      </c>
    </row>
    <row r="517" customFormat="false" ht="15" hidden="false" customHeight="false" outlineLevel="0" collapsed="false">
      <c r="T517" s="0" t="n">
        <f aca="false">IF(Anforderungen!$B517="","",IF(AND(OR($B5="(alle)",Anforderungen!$K517=$B5),OR($E5="(alle)",Anforderungen!$C517=$E5),OR($H5="(alle)",Anforderungen!$E517=$H5),OR($B7="(alle)",ISNUMBER(SEARCH($B7,Anforderungen!$J517))),OR($E7="(alle)",ISNUMBER(SEARCH($E7,Anforderungen!$I517))),OR($H7="",ISNUMBER(SEARCH($H7,Anforderungen!$F517&amp;" "&amp;Anforderungen!$G517)))),COUNT($T$6:$T516)+1,""))</f>
        <v>511</v>
      </c>
    </row>
    <row r="518" customFormat="false" ht="15" hidden="false" customHeight="false" outlineLevel="0" collapsed="false">
      <c r="T518" s="0" t="n">
        <f aca="false">IF(Anforderungen!$B518="","",IF(AND(OR($B5="(alle)",Anforderungen!$K518=$B5),OR($E5="(alle)",Anforderungen!$C518=$E5),OR($H5="(alle)",Anforderungen!$E518=$H5),OR($B7="(alle)",ISNUMBER(SEARCH($B7,Anforderungen!$J518))),OR($E7="(alle)",ISNUMBER(SEARCH($E7,Anforderungen!$I518))),OR($H7="",ISNUMBER(SEARCH($H7,Anforderungen!$F518&amp;" "&amp;Anforderungen!$G518)))),COUNT($T$6:$T517)+1,""))</f>
        <v>512</v>
      </c>
    </row>
    <row r="519" customFormat="false" ht="15" hidden="false" customHeight="false" outlineLevel="0" collapsed="false">
      <c r="T519" s="0" t="n">
        <f aca="false">IF(Anforderungen!$B519="","",IF(AND(OR($B5="(alle)",Anforderungen!$K519=$B5),OR($E5="(alle)",Anforderungen!$C519=$E5),OR($H5="(alle)",Anforderungen!$E519=$H5),OR($B7="(alle)",ISNUMBER(SEARCH($B7,Anforderungen!$J519))),OR($E7="(alle)",ISNUMBER(SEARCH($E7,Anforderungen!$I519))),OR($H7="",ISNUMBER(SEARCH($H7,Anforderungen!$F519&amp;" "&amp;Anforderungen!$G519)))),COUNT($T$6:$T518)+1,""))</f>
        <v>513</v>
      </c>
    </row>
    <row r="520" customFormat="false" ht="15" hidden="false" customHeight="false" outlineLevel="0" collapsed="false">
      <c r="T520" s="0" t="n">
        <f aca="false">IF(Anforderungen!$B520="","",IF(AND(OR($B5="(alle)",Anforderungen!$K520=$B5),OR($E5="(alle)",Anforderungen!$C520=$E5),OR($H5="(alle)",Anforderungen!$E520=$H5),OR($B7="(alle)",ISNUMBER(SEARCH($B7,Anforderungen!$J520))),OR($E7="(alle)",ISNUMBER(SEARCH($E7,Anforderungen!$I520))),OR($H7="",ISNUMBER(SEARCH($H7,Anforderungen!$F520&amp;" "&amp;Anforderungen!$G520)))),COUNT($T$6:$T519)+1,""))</f>
        <v>514</v>
      </c>
    </row>
    <row r="521" customFormat="false" ht="15" hidden="false" customHeight="false" outlineLevel="0" collapsed="false">
      <c r="T521" s="0" t="n">
        <f aca="false">IF(Anforderungen!$B521="","",IF(AND(OR($B5="(alle)",Anforderungen!$K521=$B5),OR($E5="(alle)",Anforderungen!$C521=$E5),OR($H5="(alle)",Anforderungen!$E521=$H5),OR($B7="(alle)",ISNUMBER(SEARCH($B7,Anforderungen!$J521))),OR($E7="(alle)",ISNUMBER(SEARCH($E7,Anforderungen!$I521))),OR($H7="",ISNUMBER(SEARCH($H7,Anforderungen!$F521&amp;" "&amp;Anforderungen!$G521)))),COUNT($T$6:$T520)+1,""))</f>
        <v>515</v>
      </c>
    </row>
    <row r="522" customFormat="false" ht="15" hidden="false" customHeight="false" outlineLevel="0" collapsed="false">
      <c r="T522" s="0" t="n">
        <f aca="false">IF(Anforderungen!$B522="","",IF(AND(OR($B5="(alle)",Anforderungen!$K522=$B5),OR($E5="(alle)",Anforderungen!$C522=$E5),OR($H5="(alle)",Anforderungen!$E522=$H5),OR($B7="(alle)",ISNUMBER(SEARCH($B7,Anforderungen!$J522))),OR($E7="(alle)",ISNUMBER(SEARCH($E7,Anforderungen!$I522))),OR($H7="",ISNUMBER(SEARCH($H7,Anforderungen!$F522&amp;" "&amp;Anforderungen!$G522)))),COUNT($T$6:$T521)+1,""))</f>
        <v>516</v>
      </c>
    </row>
    <row r="523" customFormat="false" ht="15" hidden="false" customHeight="false" outlineLevel="0" collapsed="false">
      <c r="T523" s="0" t="n">
        <f aca="false">IF(Anforderungen!$B523="","",IF(AND(OR($B5="(alle)",Anforderungen!$K523=$B5),OR($E5="(alle)",Anforderungen!$C523=$E5),OR($H5="(alle)",Anforderungen!$E523=$H5),OR($B7="(alle)",ISNUMBER(SEARCH($B7,Anforderungen!$J523))),OR($E7="(alle)",ISNUMBER(SEARCH($E7,Anforderungen!$I523))),OR($H7="",ISNUMBER(SEARCH($H7,Anforderungen!$F523&amp;" "&amp;Anforderungen!$G523)))),COUNT($T$6:$T522)+1,""))</f>
        <v>517</v>
      </c>
    </row>
    <row r="524" customFormat="false" ht="15" hidden="false" customHeight="false" outlineLevel="0" collapsed="false">
      <c r="T524" s="0" t="n">
        <f aca="false">IF(Anforderungen!$B524="","",IF(AND(OR($B5="(alle)",Anforderungen!$K524=$B5),OR($E5="(alle)",Anforderungen!$C524=$E5),OR($H5="(alle)",Anforderungen!$E524=$H5),OR($B7="(alle)",ISNUMBER(SEARCH($B7,Anforderungen!$J524))),OR($E7="(alle)",ISNUMBER(SEARCH($E7,Anforderungen!$I524))),OR($H7="",ISNUMBER(SEARCH($H7,Anforderungen!$F524&amp;" "&amp;Anforderungen!$G524)))),COUNT($T$6:$T523)+1,""))</f>
        <v>518</v>
      </c>
    </row>
    <row r="525" customFormat="false" ht="15" hidden="false" customHeight="false" outlineLevel="0" collapsed="false">
      <c r="T525" s="0" t="n">
        <f aca="false">IF(Anforderungen!$B525="","",IF(AND(OR($B5="(alle)",Anforderungen!$K525=$B5),OR($E5="(alle)",Anforderungen!$C525=$E5),OR($H5="(alle)",Anforderungen!$E525=$H5),OR($B7="(alle)",ISNUMBER(SEARCH($B7,Anforderungen!$J525))),OR($E7="(alle)",ISNUMBER(SEARCH($E7,Anforderungen!$I525))),OR($H7="",ISNUMBER(SEARCH($H7,Anforderungen!$F525&amp;" "&amp;Anforderungen!$G525)))),COUNT($T$6:$T524)+1,""))</f>
        <v>519</v>
      </c>
    </row>
    <row r="526" customFormat="false" ht="15" hidden="false" customHeight="false" outlineLevel="0" collapsed="false">
      <c r="T526" s="0" t="n">
        <f aca="false">IF(Anforderungen!$B526="","",IF(AND(OR($B5="(alle)",Anforderungen!$K526=$B5),OR($E5="(alle)",Anforderungen!$C526=$E5),OR($H5="(alle)",Anforderungen!$E526=$H5),OR($B7="(alle)",ISNUMBER(SEARCH($B7,Anforderungen!$J526))),OR($E7="(alle)",ISNUMBER(SEARCH($E7,Anforderungen!$I526))),OR($H7="",ISNUMBER(SEARCH($H7,Anforderungen!$F526&amp;" "&amp;Anforderungen!$G526)))),COUNT($T$6:$T525)+1,""))</f>
        <v>520</v>
      </c>
    </row>
    <row r="527" customFormat="false" ht="15" hidden="false" customHeight="false" outlineLevel="0" collapsed="false">
      <c r="T527" s="0" t="n">
        <f aca="false">IF(Anforderungen!$B527="","",IF(AND(OR($B5="(alle)",Anforderungen!$K527=$B5),OR($E5="(alle)",Anforderungen!$C527=$E5),OR($H5="(alle)",Anforderungen!$E527=$H5),OR($B7="(alle)",ISNUMBER(SEARCH($B7,Anforderungen!$J527))),OR($E7="(alle)",ISNUMBER(SEARCH($E7,Anforderungen!$I527))),OR($H7="",ISNUMBER(SEARCH($H7,Anforderungen!$F527&amp;" "&amp;Anforderungen!$G527)))),COUNT($T$6:$T526)+1,""))</f>
        <v>521</v>
      </c>
    </row>
    <row r="528" customFormat="false" ht="15" hidden="false" customHeight="false" outlineLevel="0" collapsed="false">
      <c r="T528" s="0" t="n">
        <f aca="false">IF(Anforderungen!$B528="","",IF(AND(OR($B5="(alle)",Anforderungen!$K528=$B5),OR($E5="(alle)",Anforderungen!$C528=$E5),OR($H5="(alle)",Anforderungen!$E528=$H5),OR($B7="(alle)",ISNUMBER(SEARCH($B7,Anforderungen!$J528))),OR($E7="(alle)",ISNUMBER(SEARCH($E7,Anforderungen!$I528))),OR($H7="",ISNUMBER(SEARCH($H7,Anforderungen!$F528&amp;" "&amp;Anforderungen!$G528)))),COUNT($T$6:$T527)+1,""))</f>
        <v>522</v>
      </c>
    </row>
    <row r="529" customFormat="false" ht="15" hidden="false" customHeight="false" outlineLevel="0" collapsed="false">
      <c r="T529" s="0" t="n">
        <f aca="false">IF(Anforderungen!$B529="","",IF(AND(OR($B5="(alle)",Anforderungen!$K529=$B5),OR($E5="(alle)",Anforderungen!$C529=$E5),OR($H5="(alle)",Anforderungen!$E529=$H5),OR($B7="(alle)",ISNUMBER(SEARCH($B7,Anforderungen!$J529))),OR($E7="(alle)",ISNUMBER(SEARCH($E7,Anforderungen!$I529))),OR($H7="",ISNUMBER(SEARCH($H7,Anforderungen!$F529&amp;" "&amp;Anforderungen!$G529)))),COUNT($T$6:$T528)+1,""))</f>
        <v>523</v>
      </c>
    </row>
    <row r="530" customFormat="false" ht="15" hidden="false" customHeight="false" outlineLevel="0" collapsed="false">
      <c r="T530" s="0" t="n">
        <f aca="false">IF(Anforderungen!$B530="","",IF(AND(OR($B5="(alle)",Anforderungen!$K530=$B5),OR($E5="(alle)",Anforderungen!$C530=$E5),OR($H5="(alle)",Anforderungen!$E530=$H5),OR($B7="(alle)",ISNUMBER(SEARCH($B7,Anforderungen!$J530))),OR($E7="(alle)",ISNUMBER(SEARCH($E7,Anforderungen!$I530))),OR($H7="",ISNUMBER(SEARCH($H7,Anforderungen!$F530&amp;" "&amp;Anforderungen!$G530)))),COUNT($T$6:$T529)+1,""))</f>
        <v>524</v>
      </c>
    </row>
    <row r="531" customFormat="false" ht="15" hidden="false" customHeight="false" outlineLevel="0" collapsed="false">
      <c r="T531" s="0" t="n">
        <f aca="false">IF(Anforderungen!$B531="","",IF(AND(OR($B5="(alle)",Anforderungen!$K531=$B5),OR($E5="(alle)",Anforderungen!$C531=$E5),OR($H5="(alle)",Anforderungen!$E531=$H5),OR($B7="(alle)",ISNUMBER(SEARCH($B7,Anforderungen!$J531))),OR($E7="(alle)",ISNUMBER(SEARCH($E7,Anforderungen!$I531))),OR($H7="",ISNUMBER(SEARCH($H7,Anforderungen!$F531&amp;" "&amp;Anforderungen!$G531)))),COUNT($T$6:$T530)+1,""))</f>
        <v>525</v>
      </c>
    </row>
    <row r="532" customFormat="false" ht="15" hidden="false" customHeight="false" outlineLevel="0" collapsed="false">
      <c r="T532" s="0" t="n">
        <f aca="false">IF(Anforderungen!$B532="","",IF(AND(OR($B5="(alle)",Anforderungen!$K532=$B5),OR($E5="(alle)",Anforderungen!$C532=$E5),OR($H5="(alle)",Anforderungen!$E532=$H5),OR($B7="(alle)",ISNUMBER(SEARCH($B7,Anforderungen!$J532))),OR($E7="(alle)",ISNUMBER(SEARCH($E7,Anforderungen!$I532))),OR($H7="",ISNUMBER(SEARCH($H7,Anforderungen!$F532&amp;" "&amp;Anforderungen!$G532)))),COUNT($T$6:$T531)+1,""))</f>
        <v>526</v>
      </c>
    </row>
    <row r="533" customFormat="false" ht="15" hidden="false" customHeight="false" outlineLevel="0" collapsed="false">
      <c r="T533" s="0" t="n">
        <f aca="false">IF(Anforderungen!$B533="","",IF(AND(OR($B5="(alle)",Anforderungen!$K533=$B5),OR($E5="(alle)",Anforderungen!$C533=$E5),OR($H5="(alle)",Anforderungen!$E533=$H5),OR($B7="(alle)",ISNUMBER(SEARCH($B7,Anforderungen!$J533))),OR($E7="(alle)",ISNUMBER(SEARCH($E7,Anforderungen!$I533))),OR($H7="",ISNUMBER(SEARCH($H7,Anforderungen!$F533&amp;" "&amp;Anforderungen!$G533)))),COUNT($T$6:$T532)+1,""))</f>
        <v>527</v>
      </c>
    </row>
    <row r="534" customFormat="false" ht="15" hidden="false" customHeight="false" outlineLevel="0" collapsed="false">
      <c r="T534" s="0" t="n">
        <f aca="false">IF(Anforderungen!$B534="","",IF(AND(OR($B5="(alle)",Anforderungen!$K534=$B5),OR($E5="(alle)",Anforderungen!$C534=$E5),OR($H5="(alle)",Anforderungen!$E534=$H5),OR($B7="(alle)",ISNUMBER(SEARCH($B7,Anforderungen!$J534))),OR($E7="(alle)",ISNUMBER(SEARCH($E7,Anforderungen!$I534))),OR($H7="",ISNUMBER(SEARCH($H7,Anforderungen!$F534&amp;" "&amp;Anforderungen!$G534)))),COUNT($T$6:$T533)+1,""))</f>
        <v>528</v>
      </c>
    </row>
    <row r="535" customFormat="false" ht="15" hidden="false" customHeight="false" outlineLevel="0" collapsed="false">
      <c r="T535" s="0" t="n">
        <f aca="false">IF(Anforderungen!$B535="","",IF(AND(OR($B5="(alle)",Anforderungen!$K535=$B5),OR($E5="(alle)",Anforderungen!$C535=$E5),OR($H5="(alle)",Anforderungen!$E535=$H5),OR($B7="(alle)",ISNUMBER(SEARCH($B7,Anforderungen!$J535))),OR($E7="(alle)",ISNUMBER(SEARCH($E7,Anforderungen!$I535))),OR($H7="",ISNUMBER(SEARCH($H7,Anforderungen!$F535&amp;" "&amp;Anforderungen!$G535)))),COUNT($T$6:$T534)+1,""))</f>
        <v>529</v>
      </c>
    </row>
    <row r="536" customFormat="false" ht="15" hidden="false" customHeight="false" outlineLevel="0" collapsed="false">
      <c r="T536" s="0" t="n">
        <f aca="false">IF(Anforderungen!$B536="","",IF(AND(OR($B5="(alle)",Anforderungen!$K536=$B5),OR($E5="(alle)",Anforderungen!$C536=$E5),OR($H5="(alle)",Anforderungen!$E536=$H5),OR($B7="(alle)",ISNUMBER(SEARCH($B7,Anforderungen!$J536))),OR($E7="(alle)",ISNUMBER(SEARCH($E7,Anforderungen!$I536))),OR($H7="",ISNUMBER(SEARCH($H7,Anforderungen!$F536&amp;" "&amp;Anforderungen!$G536)))),COUNT($T$6:$T535)+1,""))</f>
        <v>530</v>
      </c>
    </row>
    <row r="537" customFormat="false" ht="15" hidden="false" customHeight="false" outlineLevel="0" collapsed="false">
      <c r="T537" s="0" t="n">
        <f aca="false">IF(Anforderungen!$B537="","",IF(AND(OR($B5="(alle)",Anforderungen!$K537=$B5),OR($E5="(alle)",Anforderungen!$C537=$E5),OR($H5="(alle)",Anforderungen!$E537=$H5),OR($B7="(alle)",ISNUMBER(SEARCH($B7,Anforderungen!$J537))),OR($E7="(alle)",ISNUMBER(SEARCH($E7,Anforderungen!$I537))),OR($H7="",ISNUMBER(SEARCH($H7,Anforderungen!$F537&amp;" "&amp;Anforderungen!$G537)))),COUNT($T$6:$T536)+1,""))</f>
        <v>531</v>
      </c>
    </row>
    <row r="538" customFormat="false" ht="15" hidden="false" customHeight="false" outlineLevel="0" collapsed="false">
      <c r="T538" s="0" t="n">
        <f aca="false">IF(Anforderungen!$B538="","",IF(AND(OR($B5="(alle)",Anforderungen!$K538=$B5),OR($E5="(alle)",Anforderungen!$C538=$E5),OR($H5="(alle)",Anforderungen!$E538=$H5),OR($B7="(alle)",ISNUMBER(SEARCH($B7,Anforderungen!$J538))),OR($E7="(alle)",ISNUMBER(SEARCH($E7,Anforderungen!$I538))),OR($H7="",ISNUMBER(SEARCH($H7,Anforderungen!$F538&amp;" "&amp;Anforderungen!$G538)))),COUNT($T$6:$T537)+1,""))</f>
        <v>532</v>
      </c>
    </row>
    <row r="539" customFormat="false" ht="15" hidden="false" customHeight="false" outlineLevel="0" collapsed="false">
      <c r="T539" s="0" t="n">
        <f aca="false">IF(Anforderungen!$B539="","",IF(AND(OR($B5="(alle)",Anforderungen!$K539=$B5),OR($E5="(alle)",Anforderungen!$C539=$E5),OR($H5="(alle)",Anforderungen!$E539=$H5),OR($B7="(alle)",ISNUMBER(SEARCH($B7,Anforderungen!$J539))),OR($E7="(alle)",ISNUMBER(SEARCH($E7,Anforderungen!$I539))),OR($H7="",ISNUMBER(SEARCH($H7,Anforderungen!$F539&amp;" "&amp;Anforderungen!$G539)))),COUNT($T$6:$T538)+1,""))</f>
        <v>533</v>
      </c>
    </row>
    <row r="540" customFormat="false" ht="15" hidden="false" customHeight="false" outlineLevel="0" collapsed="false">
      <c r="T540" s="0" t="n">
        <f aca="false">IF(Anforderungen!$B540="","",IF(AND(OR($B5="(alle)",Anforderungen!$K540=$B5),OR($E5="(alle)",Anforderungen!$C540=$E5),OR($H5="(alle)",Anforderungen!$E540=$H5),OR($B7="(alle)",ISNUMBER(SEARCH($B7,Anforderungen!$J540))),OR($E7="(alle)",ISNUMBER(SEARCH($E7,Anforderungen!$I540))),OR($H7="",ISNUMBER(SEARCH($H7,Anforderungen!$F540&amp;" "&amp;Anforderungen!$G540)))),COUNT($T$6:$T539)+1,""))</f>
        <v>534</v>
      </c>
    </row>
    <row r="541" customFormat="false" ht="15" hidden="false" customHeight="false" outlineLevel="0" collapsed="false">
      <c r="T541" s="0" t="n">
        <f aca="false">IF(Anforderungen!$B541="","",IF(AND(OR($B5="(alle)",Anforderungen!$K541=$B5),OR($E5="(alle)",Anforderungen!$C541=$E5),OR($H5="(alle)",Anforderungen!$E541=$H5),OR($B7="(alle)",ISNUMBER(SEARCH($B7,Anforderungen!$J541))),OR($E7="(alle)",ISNUMBER(SEARCH($E7,Anforderungen!$I541))),OR($H7="",ISNUMBER(SEARCH($H7,Anforderungen!$F541&amp;" "&amp;Anforderungen!$G541)))),COUNT($T$6:$T540)+1,""))</f>
        <v>535</v>
      </c>
    </row>
    <row r="542" customFormat="false" ht="15" hidden="false" customHeight="false" outlineLevel="0" collapsed="false">
      <c r="T542" s="0" t="n">
        <f aca="false">IF(Anforderungen!$B542="","",IF(AND(OR($B5="(alle)",Anforderungen!$K542=$B5),OR($E5="(alle)",Anforderungen!$C542=$E5),OR($H5="(alle)",Anforderungen!$E542=$H5),OR($B7="(alle)",ISNUMBER(SEARCH($B7,Anforderungen!$J542))),OR($E7="(alle)",ISNUMBER(SEARCH($E7,Anforderungen!$I542))),OR($H7="",ISNUMBER(SEARCH($H7,Anforderungen!$F542&amp;" "&amp;Anforderungen!$G542)))),COUNT($T$6:$T541)+1,""))</f>
        <v>536</v>
      </c>
    </row>
    <row r="543" customFormat="false" ht="15" hidden="false" customHeight="false" outlineLevel="0" collapsed="false">
      <c r="T543" s="0" t="n">
        <f aca="false">IF(Anforderungen!$B543="","",IF(AND(OR($B5="(alle)",Anforderungen!$K543=$B5),OR($E5="(alle)",Anforderungen!$C543=$E5),OR($H5="(alle)",Anforderungen!$E543=$H5),OR($B7="(alle)",ISNUMBER(SEARCH($B7,Anforderungen!$J543))),OR($E7="(alle)",ISNUMBER(SEARCH($E7,Anforderungen!$I543))),OR($H7="",ISNUMBER(SEARCH($H7,Anforderungen!$F543&amp;" "&amp;Anforderungen!$G543)))),COUNT($T$6:$T542)+1,""))</f>
        <v>537</v>
      </c>
    </row>
    <row r="544" customFormat="false" ht="15" hidden="false" customHeight="false" outlineLevel="0" collapsed="false">
      <c r="T544" s="0" t="n">
        <f aca="false">IF(Anforderungen!$B544="","",IF(AND(OR($B5="(alle)",Anforderungen!$K544=$B5),OR($E5="(alle)",Anforderungen!$C544=$E5),OR($H5="(alle)",Anforderungen!$E544=$H5),OR($B7="(alle)",ISNUMBER(SEARCH($B7,Anforderungen!$J544))),OR($E7="(alle)",ISNUMBER(SEARCH($E7,Anforderungen!$I544))),OR($H7="",ISNUMBER(SEARCH($H7,Anforderungen!$F544&amp;" "&amp;Anforderungen!$G544)))),COUNT($T$6:$T543)+1,""))</f>
        <v>538</v>
      </c>
    </row>
    <row r="545" customFormat="false" ht="15" hidden="false" customHeight="false" outlineLevel="0" collapsed="false">
      <c r="T545" s="0" t="n">
        <f aca="false">IF(Anforderungen!$B545="","",IF(AND(OR($B5="(alle)",Anforderungen!$K545=$B5),OR($E5="(alle)",Anforderungen!$C545=$E5),OR($H5="(alle)",Anforderungen!$E545=$H5),OR($B7="(alle)",ISNUMBER(SEARCH($B7,Anforderungen!$J545))),OR($E7="(alle)",ISNUMBER(SEARCH($E7,Anforderungen!$I545))),OR($H7="",ISNUMBER(SEARCH($H7,Anforderungen!$F545&amp;" "&amp;Anforderungen!$G545)))),COUNT($T$6:$T544)+1,""))</f>
        <v>539</v>
      </c>
    </row>
    <row r="546" customFormat="false" ht="15" hidden="false" customHeight="false" outlineLevel="0" collapsed="false">
      <c r="T546" s="0" t="n">
        <f aca="false">IF(Anforderungen!$B546="","",IF(AND(OR($B5="(alle)",Anforderungen!$K546=$B5),OR($E5="(alle)",Anforderungen!$C546=$E5),OR($H5="(alle)",Anforderungen!$E546=$H5),OR($B7="(alle)",ISNUMBER(SEARCH($B7,Anforderungen!$J546))),OR($E7="(alle)",ISNUMBER(SEARCH($E7,Anforderungen!$I546))),OR($H7="",ISNUMBER(SEARCH($H7,Anforderungen!$F546&amp;" "&amp;Anforderungen!$G546)))),COUNT($T$6:$T545)+1,""))</f>
        <v>540</v>
      </c>
    </row>
    <row r="547" customFormat="false" ht="15" hidden="false" customHeight="false" outlineLevel="0" collapsed="false">
      <c r="T547" s="0" t="n">
        <f aca="false">IF(Anforderungen!$B547="","",IF(AND(OR($B5="(alle)",Anforderungen!$K547=$B5),OR($E5="(alle)",Anforderungen!$C547=$E5),OR($H5="(alle)",Anforderungen!$E547=$H5),OR($B7="(alle)",ISNUMBER(SEARCH($B7,Anforderungen!$J547))),OR($E7="(alle)",ISNUMBER(SEARCH($E7,Anforderungen!$I547))),OR($H7="",ISNUMBER(SEARCH($H7,Anforderungen!$F547&amp;" "&amp;Anforderungen!$G547)))),COUNT($T$6:$T546)+1,""))</f>
        <v>541</v>
      </c>
    </row>
    <row r="548" customFormat="false" ht="15" hidden="false" customHeight="false" outlineLevel="0" collapsed="false">
      <c r="T548" s="0" t="n">
        <f aca="false">IF(Anforderungen!$B548="","",IF(AND(OR($B5="(alle)",Anforderungen!$K548=$B5),OR($E5="(alle)",Anforderungen!$C548=$E5),OR($H5="(alle)",Anforderungen!$E548=$H5),OR($B7="(alle)",ISNUMBER(SEARCH($B7,Anforderungen!$J548))),OR($E7="(alle)",ISNUMBER(SEARCH($E7,Anforderungen!$I548))),OR($H7="",ISNUMBER(SEARCH($H7,Anforderungen!$F548&amp;" "&amp;Anforderungen!$G548)))),COUNT($T$6:$T547)+1,""))</f>
        <v>542</v>
      </c>
    </row>
    <row r="549" customFormat="false" ht="15" hidden="false" customHeight="false" outlineLevel="0" collapsed="false">
      <c r="T549" s="0" t="n">
        <f aca="false">IF(Anforderungen!$B549="","",IF(AND(OR($B5="(alle)",Anforderungen!$K549=$B5),OR($E5="(alle)",Anforderungen!$C549=$E5),OR($H5="(alle)",Anforderungen!$E549=$H5),OR($B7="(alle)",ISNUMBER(SEARCH($B7,Anforderungen!$J549))),OR($E7="(alle)",ISNUMBER(SEARCH($E7,Anforderungen!$I549))),OR($H7="",ISNUMBER(SEARCH($H7,Anforderungen!$F549&amp;" "&amp;Anforderungen!$G549)))),COUNT($T$6:$T548)+1,""))</f>
        <v>543</v>
      </c>
    </row>
    <row r="550" customFormat="false" ht="15" hidden="false" customHeight="false" outlineLevel="0" collapsed="false">
      <c r="T550" s="0" t="n">
        <f aca="false">IF(Anforderungen!$B550="","",IF(AND(OR($B5="(alle)",Anforderungen!$K550=$B5),OR($E5="(alle)",Anforderungen!$C550=$E5),OR($H5="(alle)",Anforderungen!$E550=$H5),OR($B7="(alle)",ISNUMBER(SEARCH($B7,Anforderungen!$J550))),OR($E7="(alle)",ISNUMBER(SEARCH($E7,Anforderungen!$I550))),OR($H7="",ISNUMBER(SEARCH($H7,Anforderungen!$F550&amp;" "&amp;Anforderungen!$G550)))),COUNT($T$6:$T549)+1,""))</f>
        <v>544</v>
      </c>
    </row>
    <row r="551" customFormat="false" ht="15" hidden="false" customHeight="false" outlineLevel="0" collapsed="false">
      <c r="T551" s="0" t="n">
        <f aca="false">IF(Anforderungen!$B551="","",IF(AND(OR($B5="(alle)",Anforderungen!$K551=$B5),OR($E5="(alle)",Anforderungen!$C551=$E5),OR($H5="(alle)",Anforderungen!$E551=$H5),OR($B7="(alle)",ISNUMBER(SEARCH($B7,Anforderungen!$J551))),OR($E7="(alle)",ISNUMBER(SEARCH($E7,Anforderungen!$I551))),OR($H7="",ISNUMBER(SEARCH($H7,Anforderungen!$F551&amp;" "&amp;Anforderungen!$G551)))),COUNT($T$6:$T550)+1,""))</f>
        <v>545</v>
      </c>
    </row>
    <row r="552" customFormat="false" ht="15" hidden="false" customHeight="false" outlineLevel="0" collapsed="false">
      <c r="T552" s="0" t="n">
        <f aca="false">IF(Anforderungen!$B552="","",IF(AND(OR($B5="(alle)",Anforderungen!$K552=$B5),OR($E5="(alle)",Anforderungen!$C552=$E5),OR($H5="(alle)",Anforderungen!$E552=$H5),OR($B7="(alle)",ISNUMBER(SEARCH($B7,Anforderungen!$J552))),OR($E7="(alle)",ISNUMBER(SEARCH($E7,Anforderungen!$I552))),OR($H7="",ISNUMBER(SEARCH($H7,Anforderungen!$F552&amp;" "&amp;Anforderungen!$G552)))),COUNT($T$6:$T551)+1,""))</f>
        <v>546</v>
      </c>
    </row>
    <row r="553" customFormat="false" ht="15" hidden="false" customHeight="false" outlineLevel="0" collapsed="false">
      <c r="T553" s="0" t="n">
        <f aca="false">IF(Anforderungen!$B553="","",IF(AND(OR($B5="(alle)",Anforderungen!$K553=$B5),OR($E5="(alle)",Anforderungen!$C553=$E5),OR($H5="(alle)",Anforderungen!$E553=$H5),OR($B7="(alle)",ISNUMBER(SEARCH($B7,Anforderungen!$J553))),OR($E7="(alle)",ISNUMBER(SEARCH($E7,Anforderungen!$I553))),OR($H7="",ISNUMBER(SEARCH($H7,Anforderungen!$F553&amp;" "&amp;Anforderungen!$G553)))),COUNT($T$6:$T552)+1,""))</f>
        <v>547</v>
      </c>
    </row>
    <row r="554" customFormat="false" ht="15" hidden="false" customHeight="false" outlineLevel="0" collapsed="false">
      <c r="T554" s="0" t="n">
        <f aca="false">IF(Anforderungen!$B554="","",IF(AND(OR($B5="(alle)",Anforderungen!$K554=$B5),OR($E5="(alle)",Anforderungen!$C554=$E5),OR($H5="(alle)",Anforderungen!$E554=$H5),OR($B7="(alle)",ISNUMBER(SEARCH($B7,Anforderungen!$J554))),OR($E7="(alle)",ISNUMBER(SEARCH($E7,Anforderungen!$I554))),OR($H7="",ISNUMBER(SEARCH($H7,Anforderungen!$F554&amp;" "&amp;Anforderungen!$G554)))),COUNT($T$6:$T553)+1,""))</f>
        <v>548</v>
      </c>
    </row>
    <row r="555" customFormat="false" ht="15" hidden="false" customHeight="false" outlineLevel="0" collapsed="false">
      <c r="T555" s="0" t="n">
        <f aca="false">IF(Anforderungen!$B555="","",IF(AND(OR($B5="(alle)",Anforderungen!$K555=$B5),OR($E5="(alle)",Anforderungen!$C555=$E5),OR($H5="(alle)",Anforderungen!$E555=$H5),OR($B7="(alle)",ISNUMBER(SEARCH($B7,Anforderungen!$J555))),OR($E7="(alle)",ISNUMBER(SEARCH($E7,Anforderungen!$I555))),OR($H7="",ISNUMBER(SEARCH($H7,Anforderungen!$F555&amp;" "&amp;Anforderungen!$G555)))),COUNT($T$6:$T554)+1,""))</f>
        <v>549</v>
      </c>
    </row>
    <row r="556" customFormat="false" ht="15" hidden="false" customHeight="false" outlineLevel="0" collapsed="false">
      <c r="T556" s="0" t="n">
        <f aca="false">IF(Anforderungen!$B556="","",IF(AND(OR($B5="(alle)",Anforderungen!$K556=$B5),OR($E5="(alle)",Anforderungen!$C556=$E5),OR($H5="(alle)",Anforderungen!$E556=$H5),OR($B7="(alle)",ISNUMBER(SEARCH($B7,Anforderungen!$J556))),OR($E7="(alle)",ISNUMBER(SEARCH($E7,Anforderungen!$I556))),OR($H7="",ISNUMBER(SEARCH($H7,Anforderungen!$F556&amp;" "&amp;Anforderungen!$G556)))),COUNT($T$6:$T555)+1,""))</f>
        <v>550</v>
      </c>
    </row>
    <row r="557" customFormat="false" ht="15" hidden="false" customHeight="false" outlineLevel="0" collapsed="false">
      <c r="T557" s="0" t="n">
        <f aca="false">IF(Anforderungen!$B557="","",IF(AND(OR($B5="(alle)",Anforderungen!$K557=$B5),OR($E5="(alle)",Anforderungen!$C557=$E5),OR($H5="(alle)",Anforderungen!$E557=$H5),OR($B7="(alle)",ISNUMBER(SEARCH($B7,Anforderungen!$J557))),OR($E7="(alle)",ISNUMBER(SEARCH($E7,Anforderungen!$I557))),OR($H7="",ISNUMBER(SEARCH($H7,Anforderungen!$F557&amp;" "&amp;Anforderungen!$G557)))),COUNT($T$6:$T556)+1,""))</f>
        <v>551</v>
      </c>
    </row>
    <row r="558" customFormat="false" ht="15" hidden="false" customHeight="false" outlineLevel="0" collapsed="false">
      <c r="T558" s="0" t="n">
        <f aca="false">IF(Anforderungen!$B558="","",IF(AND(OR($B5="(alle)",Anforderungen!$K558=$B5),OR($E5="(alle)",Anforderungen!$C558=$E5),OR($H5="(alle)",Anforderungen!$E558=$H5),OR($B7="(alle)",ISNUMBER(SEARCH($B7,Anforderungen!$J558))),OR($E7="(alle)",ISNUMBER(SEARCH($E7,Anforderungen!$I558))),OR($H7="",ISNUMBER(SEARCH($H7,Anforderungen!$F558&amp;" "&amp;Anforderungen!$G558)))),COUNT($T$6:$T557)+1,""))</f>
        <v>552</v>
      </c>
    </row>
    <row r="559" customFormat="false" ht="15" hidden="false" customHeight="false" outlineLevel="0" collapsed="false">
      <c r="T559" s="0" t="n">
        <f aca="false">IF(Anforderungen!$B559="","",IF(AND(OR($B5="(alle)",Anforderungen!$K559=$B5),OR($E5="(alle)",Anforderungen!$C559=$E5),OR($H5="(alle)",Anforderungen!$E559=$H5),OR($B7="(alle)",ISNUMBER(SEARCH($B7,Anforderungen!$J559))),OR($E7="(alle)",ISNUMBER(SEARCH($E7,Anforderungen!$I559))),OR($H7="",ISNUMBER(SEARCH($H7,Anforderungen!$F559&amp;" "&amp;Anforderungen!$G559)))),COUNT($T$6:$T558)+1,""))</f>
        <v>553</v>
      </c>
    </row>
    <row r="560" customFormat="false" ht="15" hidden="false" customHeight="false" outlineLevel="0" collapsed="false">
      <c r="T560" s="0" t="n">
        <f aca="false">IF(Anforderungen!$B560="","",IF(AND(OR($B5="(alle)",Anforderungen!$K560=$B5),OR($E5="(alle)",Anforderungen!$C560=$E5),OR($H5="(alle)",Anforderungen!$E560=$H5),OR($B7="(alle)",ISNUMBER(SEARCH($B7,Anforderungen!$J560))),OR($E7="(alle)",ISNUMBER(SEARCH($E7,Anforderungen!$I560))),OR($H7="",ISNUMBER(SEARCH($H7,Anforderungen!$F560&amp;" "&amp;Anforderungen!$G560)))),COUNT($T$6:$T559)+1,""))</f>
        <v>554</v>
      </c>
    </row>
    <row r="561" customFormat="false" ht="15" hidden="false" customHeight="false" outlineLevel="0" collapsed="false">
      <c r="T561" s="0" t="n">
        <f aca="false">IF(Anforderungen!$B561="","",IF(AND(OR($B5="(alle)",Anforderungen!$K561=$B5),OR($E5="(alle)",Anforderungen!$C561=$E5),OR($H5="(alle)",Anforderungen!$E561=$H5),OR($B7="(alle)",ISNUMBER(SEARCH($B7,Anforderungen!$J561))),OR($E7="(alle)",ISNUMBER(SEARCH($E7,Anforderungen!$I561))),OR($H7="",ISNUMBER(SEARCH($H7,Anforderungen!$F561&amp;" "&amp;Anforderungen!$G561)))),COUNT($T$6:$T560)+1,""))</f>
        <v>555</v>
      </c>
    </row>
    <row r="562" customFormat="false" ht="15" hidden="false" customHeight="false" outlineLevel="0" collapsed="false">
      <c r="T562" s="0" t="n">
        <f aca="false">IF(Anforderungen!$B562="","",IF(AND(OR($B5="(alle)",Anforderungen!$K562=$B5),OR($E5="(alle)",Anforderungen!$C562=$E5),OR($H5="(alle)",Anforderungen!$E562=$H5),OR($B7="(alle)",ISNUMBER(SEARCH($B7,Anforderungen!$J562))),OR($E7="(alle)",ISNUMBER(SEARCH($E7,Anforderungen!$I562))),OR($H7="",ISNUMBER(SEARCH($H7,Anforderungen!$F562&amp;" "&amp;Anforderungen!$G562)))),COUNT($T$6:$T561)+1,""))</f>
        <v>556</v>
      </c>
    </row>
    <row r="563" customFormat="false" ht="15" hidden="false" customHeight="false" outlineLevel="0" collapsed="false">
      <c r="T563" s="0" t="n">
        <f aca="false">IF(Anforderungen!$B563="","",IF(AND(OR($B5="(alle)",Anforderungen!$K563=$B5),OR($E5="(alle)",Anforderungen!$C563=$E5),OR($H5="(alle)",Anforderungen!$E563=$H5),OR($B7="(alle)",ISNUMBER(SEARCH($B7,Anforderungen!$J563))),OR($E7="(alle)",ISNUMBER(SEARCH($E7,Anforderungen!$I563))),OR($H7="",ISNUMBER(SEARCH($H7,Anforderungen!$F563&amp;" "&amp;Anforderungen!$G563)))),COUNT($T$6:$T562)+1,""))</f>
        <v>557</v>
      </c>
    </row>
    <row r="564" customFormat="false" ht="15" hidden="false" customHeight="false" outlineLevel="0" collapsed="false">
      <c r="T564" s="0" t="n">
        <f aca="false">IF(Anforderungen!$B564="","",IF(AND(OR($B5="(alle)",Anforderungen!$K564=$B5),OR($E5="(alle)",Anforderungen!$C564=$E5),OR($H5="(alle)",Anforderungen!$E564=$H5),OR($B7="(alle)",ISNUMBER(SEARCH($B7,Anforderungen!$J564))),OR($E7="(alle)",ISNUMBER(SEARCH($E7,Anforderungen!$I564))),OR($H7="",ISNUMBER(SEARCH($H7,Anforderungen!$F564&amp;" "&amp;Anforderungen!$G564)))),COUNT($T$6:$T563)+1,""))</f>
        <v>558</v>
      </c>
    </row>
    <row r="565" customFormat="false" ht="15" hidden="false" customHeight="false" outlineLevel="0" collapsed="false">
      <c r="T565" s="0" t="n">
        <f aca="false">IF(Anforderungen!$B565="","",IF(AND(OR($B5="(alle)",Anforderungen!$K565=$B5),OR($E5="(alle)",Anforderungen!$C565=$E5),OR($H5="(alle)",Anforderungen!$E565=$H5),OR($B7="(alle)",ISNUMBER(SEARCH($B7,Anforderungen!$J565))),OR($E7="(alle)",ISNUMBER(SEARCH($E7,Anforderungen!$I565))),OR($H7="",ISNUMBER(SEARCH($H7,Anforderungen!$F565&amp;" "&amp;Anforderungen!$G565)))),COUNT($T$6:$T564)+1,""))</f>
        <v>559</v>
      </c>
    </row>
    <row r="566" customFormat="false" ht="15" hidden="false" customHeight="false" outlineLevel="0" collapsed="false">
      <c r="T566" s="0" t="n">
        <f aca="false">IF(Anforderungen!$B566="","",IF(AND(OR($B5="(alle)",Anforderungen!$K566=$B5),OR($E5="(alle)",Anforderungen!$C566=$E5),OR($H5="(alle)",Anforderungen!$E566=$H5),OR($B7="(alle)",ISNUMBER(SEARCH($B7,Anforderungen!$J566))),OR($E7="(alle)",ISNUMBER(SEARCH($E7,Anforderungen!$I566))),OR($H7="",ISNUMBER(SEARCH($H7,Anforderungen!$F566&amp;" "&amp;Anforderungen!$G566)))),COUNT($T$6:$T565)+1,""))</f>
        <v>560</v>
      </c>
    </row>
    <row r="567" customFormat="false" ht="15" hidden="false" customHeight="false" outlineLevel="0" collapsed="false">
      <c r="T567" s="0" t="n">
        <f aca="false">IF(Anforderungen!$B567="","",IF(AND(OR($B5="(alle)",Anforderungen!$K567=$B5),OR($E5="(alle)",Anforderungen!$C567=$E5),OR($H5="(alle)",Anforderungen!$E567=$H5),OR($B7="(alle)",ISNUMBER(SEARCH($B7,Anforderungen!$J567))),OR($E7="(alle)",ISNUMBER(SEARCH($E7,Anforderungen!$I567))),OR($H7="",ISNUMBER(SEARCH($H7,Anforderungen!$F567&amp;" "&amp;Anforderungen!$G567)))),COUNT($T$6:$T566)+1,""))</f>
        <v>561</v>
      </c>
    </row>
    <row r="568" customFormat="false" ht="15" hidden="false" customHeight="false" outlineLevel="0" collapsed="false">
      <c r="T568" s="0" t="n">
        <f aca="false">IF(Anforderungen!$B568="","",IF(AND(OR($B5="(alle)",Anforderungen!$K568=$B5),OR($E5="(alle)",Anforderungen!$C568=$E5),OR($H5="(alle)",Anforderungen!$E568=$H5),OR($B7="(alle)",ISNUMBER(SEARCH($B7,Anforderungen!$J568))),OR($E7="(alle)",ISNUMBER(SEARCH($E7,Anforderungen!$I568))),OR($H7="",ISNUMBER(SEARCH($H7,Anforderungen!$F568&amp;" "&amp;Anforderungen!$G568)))),COUNT($T$6:$T567)+1,""))</f>
        <v>562</v>
      </c>
    </row>
    <row r="569" customFormat="false" ht="15" hidden="false" customHeight="false" outlineLevel="0" collapsed="false">
      <c r="T569" s="0" t="n">
        <f aca="false">IF(Anforderungen!$B569="","",IF(AND(OR($B5="(alle)",Anforderungen!$K569=$B5),OR($E5="(alle)",Anforderungen!$C569=$E5),OR($H5="(alle)",Anforderungen!$E569=$H5),OR($B7="(alle)",ISNUMBER(SEARCH($B7,Anforderungen!$J569))),OR($E7="(alle)",ISNUMBER(SEARCH($E7,Anforderungen!$I569))),OR($H7="",ISNUMBER(SEARCH($H7,Anforderungen!$F569&amp;" "&amp;Anforderungen!$G569)))),COUNT($T$6:$T568)+1,""))</f>
        <v>563</v>
      </c>
    </row>
    <row r="570" customFormat="false" ht="15" hidden="false" customHeight="false" outlineLevel="0" collapsed="false">
      <c r="T570" s="0" t="n">
        <f aca="false">IF(Anforderungen!$B570="","",IF(AND(OR($B5="(alle)",Anforderungen!$K570=$B5),OR($E5="(alle)",Anforderungen!$C570=$E5),OR($H5="(alle)",Anforderungen!$E570=$H5),OR($B7="(alle)",ISNUMBER(SEARCH($B7,Anforderungen!$J570))),OR($E7="(alle)",ISNUMBER(SEARCH($E7,Anforderungen!$I570))),OR($H7="",ISNUMBER(SEARCH($H7,Anforderungen!$F570&amp;" "&amp;Anforderungen!$G570)))),COUNT($T$6:$T569)+1,""))</f>
        <v>564</v>
      </c>
    </row>
    <row r="571" customFormat="false" ht="15" hidden="false" customHeight="false" outlineLevel="0" collapsed="false">
      <c r="T571" s="0" t="n">
        <f aca="false">IF(Anforderungen!$B571="","",IF(AND(OR($B5="(alle)",Anforderungen!$K571=$B5),OR($E5="(alle)",Anforderungen!$C571=$E5),OR($H5="(alle)",Anforderungen!$E571=$H5),OR($B7="(alle)",ISNUMBER(SEARCH($B7,Anforderungen!$J571))),OR($E7="(alle)",ISNUMBER(SEARCH($E7,Anforderungen!$I571))),OR($H7="",ISNUMBER(SEARCH($H7,Anforderungen!$F571&amp;" "&amp;Anforderungen!$G571)))),COUNT($T$6:$T570)+1,""))</f>
        <v>565</v>
      </c>
    </row>
    <row r="572" customFormat="false" ht="15" hidden="false" customHeight="false" outlineLevel="0" collapsed="false">
      <c r="T572" s="0" t="n">
        <f aca="false">IF(Anforderungen!$B572="","",IF(AND(OR($B5="(alle)",Anforderungen!$K572=$B5),OR($E5="(alle)",Anforderungen!$C572=$E5),OR($H5="(alle)",Anforderungen!$E572=$H5),OR($B7="(alle)",ISNUMBER(SEARCH($B7,Anforderungen!$J572))),OR($E7="(alle)",ISNUMBER(SEARCH($E7,Anforderungen!$I572))),OR($H7="",ISNUMBER(SEARCH($H7,Anforderungen!$F572&amp;" "&amp;Anforderungen!$G572)))),COUNT($T$6:$T571)+1,""))</f>
        <v>566</v>
      </c>
    </row>
    <row r="573" customFormat="false" ht="15" hidden="false" customHeight="false" outlineLevel="0" collapsed="false">
      <c r="T573" s="0" t="n">
        <f aca="false">IF(Anforderungen!$B573="","",IF(AND(OR($B5="(alle)",Anforderungen!$K573=$B5),OR($E5="(alle)",Anforderungen!$C573=$E5),OR($H5="(alle)",Anforderungen!$E573=$H5),OR($B7="(alle)",ISNUMBER(SEARCH($B7,Anforderungen!$J573))),OR($E7="(alle)",ISNUMBER(SEARCH($E7,Anforderungen!$I573))),OR($H7="",ISNUMBER(SEARCH($H7,Anforderungen!$F573&amp;" "&amp;Anforderungen!$G573)))),COUNT($T$6:$T572)+1,""))</f>
        <v>567</v>
      </c>
    </row>
    <row r="574" customFormat="false" ht="15" hidden="false" customHeight="false" outlineLevel="0" collapsed="false">
      <c r="T574" s="0" t="n">
        <f aca="false">IF(Anforderungen!$B574="","",IF(AND(OR($B5="(alle)",Anforderungen!$K574=$B5),OR($E5="(alle)",Anforderungen!$C574=$E5),OR($H5="(alle)",Anforderungen!$E574=$H5),OR($B7="(alle)",ISNUMBER(SEARCH($B7,Anforderungen!$J574))),OR($E7="(alle)",ISNUMBER(SEARCH($E7,Anforderungen!$I574))),OR($H7="",ISNUMBER(SEARCH($H7,Anforderungen!$F574&amp;" "&amp;Anforderungen!$G574)))),COUNT($T$6:$T573)+1,""))</f>
        <v>568</v>
      </c>
    </row>
    <row r="575" customFormat="false" ht="15" hidden="false" customHeight="false" outlineLevel="0" collapsed="false">
      <c r="T575" s="0" t="n">
        <f aca="false">IF(Anforderungen!$B575="","",IF(AND(OR($B5="(alle)",Anforderungen!$K575=$B5),OR($E5="(alle)",Anforderungen!$C575=$E5),OR($H5="(alle)",Anforderungen!$E575=$H5),OR($B7="(alle)",ISNUMBER(SEARCH($B7,Anforderungen!$J575))),OR($E7="(alle)",ISNUMBER(SEARCH($E7,Anforderungen!$I575))),OR($H7="",ISNUMBER(SEARCH($H7,Anforderungen!$F575&amp;" "&amp;Anforderungen!$G575)))),COUNT($T$6:$T574)+1,""))</f>
        <v>569</v>
      </c>
    </row>
    <row r="576" customFormat="false" ht="15" hidden="false" customHeight="false" outlineLevel="0" collapsed="false">
      <c r="T576" s="0" t="n">
        <f aca="false">IF(Anforderungen!$B576="","",IF(AND(OR($B5="(alle)",Anforderungen!$K576=$B5),OR($E5="(alle)",Anforderungen!$C576=$E5),OR($H5="(alle)",Anforderungen!$E576=$H5),OR($B7="(alle)",ISNUMBER(SEARCH($B7,Anforderungen!$J576))),OR($E7="(alle)",ISNUMBER(SEARCH($E7,Anforderungen!$I576))),OR($H7="",ISNUMBER(SEARCH($H7,Anforderungen!$F576&amp;" "&amp;Anforderungen!$G576)))),COUNT($T$6:$T575)+1,""))</f>
        <v>570</v>
      </c>
    </row>
    <row r="577" customFormat="false" ht="15" hidden="false" customHeight="false" outlineLevel="0" collapsed="false">
      <c r="T577" s="0" t="n">
        <f aca="false">IF(Anforderungen!$B577="","",IF(AND(OR($B5="(alle)",Anforderungen!$K577=$B5),OR($E5="(alle)",Anforderungen!$C577=$E5),OR($H5="(alle)",Anforderungen!$E577=$H5),OR($B7="(alle)",ISNUMBER(SEARCH($B7,Anforderungen!$J577))),OR($E7="(alle)",ISNUMBER(SEARCH($E7,Anforderungen!$I577))),OR($H7="",ISNUMBER(SEARCH($H7,Anforderungen!$F577&amp;" "&amp;Anforderungen!$G577)))),COUNT($T$6:$T576)+1,""))</f>
        <v>571</v>
      </c>
    </row>
    <row r="578" customFormat="false" ht="15" hidden="false" customHeight="false" outlineLevel="0" collapsed="false">
      <c r="T578" s="0" t="n">
        <f aca="false">IF(Anforderungen!$B578="","",IF(AND(OR($B5="(alle)",Anforderungen!$K578=$B5),OR($E5="(alle)",Anforderungen!$C578=$E5),OR($H5="(alle)",Anforderungen!$E578=$H5),OR($B7="(alle)",ISNUMBER(SEARCH($B7,Anforderungen!$J578))),OR($E7="(alle)",ISNUMBER(SEARCH($E7,Anforderungen!$I578))),OR($H7="",ISNUMBER(SEARCH($H7,Anforderungen!$F578&amp;" "&amp;Anforderungen!$G578)))),COUNT($T$6:$T577)+1,""))</f>
        <v>572</v>
      </c>
    </row>
    <row r="579" customFormat="false" ht="15" hidden="false" customHeight="false" outlineLevel="0" collapsed="false">
      <c r="T579" s="0" t="n">
        <f aca="false">IF(Anforderungen!$B579="","",IF(AND(OR($B5="(alle)",Anforderungen!$K579=$B5),OR($E5="(alle)",Anforderungen!$C579=$E5),OR($H5="(alle)",Anforderungen!$E579=$H5),OR($B7="(alle)",ISNUMBER(SEARCH($B7,Anforderungen!$J579))),OR($E7="(alle)",ISNUMBER(SEARCH($E7,Anforderungen!$I579))),OR($H7="",ISNUMBER(SEARCH($H7,Anforderungen!$F579&amp;" "&amp;Anforderungen!$G579)))),COUNT($T$6:$T578)+1,""))</f>
        <v>573</v>
      </c>
    </row>
    <row r="580" customFormat="false" ht="15" hidden="false" customHeight="false" outlineLevel="0" collapsed="false">
      <c r="T580" s="0" t="n">
        <f aca="false">IF(Anforderungen!$B580="","",IF(AND(OR($B5="(alle)",Anforderungen!$K580=$B5),OR($E5="(alle)",Anforderungen!$C580=$E5),OR($H5="(alle)",Anforderungen!$E580=$H5),OR($B7="(alle)",ISNUMBER(SEARCH($B7,Anforderungen!$J580))),OR($E7="(alle)",ISNUMBER(SEARCH($E7,Anforderungen!$I580))),OR($H7="",ISNUMBER(SEARCH($H7,Anforderungen!$F580&amp;" "&amp;Anforderungen!$G580)))),COUNT($T$6:$T579)+1,""))</f>
        <v>574</v>
      </c>
    </row>
    <row r="581" customFormat="false" ht="15" hidden="false" customHeight="false" outlineLevel="0" collapsed="false">
      <c r="T581" s="0" t="n">
        <f aca="false">IF(Anforderungen!$B581="","",IF(AND(OR($B5="(alle)",Anforderungen!$K581=$B5),OR($E5="(alle)",Anforderungen!$C581=$E5),OR($H5="(alle)",Anforderungen!$E581=$H5),OR($B7="(alle)",ISNUMBER(SEARCH($B7,Anforderungen!$J581))),OR($E7="(alle)",ISNUMBER(SEARCH($E7,Anforderungen!$I581))),OR($H7="",ISNUMBER(SEARCH($H7,Anforderungen!$F581&amp;" "&amp;Anforderungen!$G581)))),COUNT($T$6:$T580)+1,""))</f>
        <v>575</v>
      </c>
    </row>
    <row r="582" customFormat="false" ht="15" hidden="false" customHeight="false" outlineLevel="0" collapsed="false">
      <c r="T582" s="0" t="n">
        <f aca="false">IF(Anforderungen!$B582="","",IF(AND(OR($B5="(alle)",Anforderungen!$K582=$B5),OR($E5="(alle)",Anforderungen!$C582=$E5),OR($H5="(alle)",Anforderungen!$E582=$H5),OR($B7="(alle)",ISNUMBER(SEARCH($B7,Anforderungen!$J582))),OR($E7="(alle)",ISNUMBER(SEARCH($E7,Anforderungen!$I582))),OR($H7="",ISNUMBER(SEARCH($H7,Anforderungen!$F582&amp;" "&amp;Anforderungen!$G582)))),COUNT($T$6:$T581)+1,""))</f>
        <v>576</v>
      </c>
    </row>
    <row r="583" customFormat="false" ht="15" hidden="false" customHeight="false" outlineLevel="0" collapsed="false">
      <c r="T583" s="0" t="n">
        <f aca="false">IF(Anforderungen!$B583="","",IF(AND(OR($B5="(alle)",Anforderungen!$K583=$B5),OR($E5="(alle)",Anforderungen!$C583=$E5),OR($H5="(alle)",Anforderungen!$E583=$H5),OR($B7="(alle)",ISNUMBER(SEARCH($B7,Anforderungen!$J583))),OR($E7="(alle)",ISNUMBER(SEARCH($E7,Anforderungen!$I583))),OR($H7="",ISNUMBER(SEARCH($H7,Anforderungen!$F583&amp;" "&amp;Anforderungen!$G583)))),COUNT($T$6:$T582)+1,""))</f>
        <v>577</v>
      </c>
    </row>
    <row r="584" customFormat="false" ht="15" hidden="false" customHeight="false" outlineLevel="0" collapsed="false">
      <c r="T584" s="0" t="n">
        <f aca="false">IF(Anforderungen!$B584="","",IF(AND(OR($B5="(alle)",Anforderungen!$K584=$B5),OR($E5="(alle)",Anforderungen!$C584=$E5),OR($H5="(alle)",Anforderungen!$E584=$H5),OR($B7="(alle)",ISNUMBER(SEARCH($B7,Anforderungen!$J584))),OR($E7="(alle)",ISNUMBER(SEARCH($E7,Anforderungen!$I584))),OR($H7="",ISNUMBER(SEARCH($H7,Anforderungen!$F584&amp;" "&amp;Anforderungen!$G584)))),COUNT($T$6:$T583)+1,""))</f>
        <v>578</v>
      </c>
    </row>
    <row r="585" customFormat="false" ht="15" hidden="false" customHeight="false" outlineLevel="0" collapsed="false">
      <c r="T585" s="0" t="n">
        <f aca="false">IF(Anforderungen!$B585="","",IF(AND(OR($B5="(alle)",Anforderungen!$K585=$B5),OR($E5="(alle)",Anforderungen!$C585=$E5),OR($H5="(alle)",Anforderungen!$E585=$H5),OR($B7="(alle)",ISNUMBER(SEARCH($B7,Anforderungen!$J585))),OR($E7="(alle)",ISNUMBER(SEARCH($E7,Anforderungen!$I585))),OR($H7="",ISNUMBER(SEARCH($H7,Anforderungen!$F585&amp;" "&amp;Anforderungen!$G585)))),COUNT($T$6:$T584)+1,""))</f>
        <v>579</v>
      </c>
    </row>
    <row r="586" customFormat="false" ht="15" hidden="false" customHeight="false" outlineLevel="0" collapsed="false">
      <c r="T586" s="0" t="n">
        <f aca="false">IF(Anforderungen!$B586="","",IF(AND(OR($B5="(alle)",Anforderungen!$K586=$B5),OR($E5="(alle)",Anforderungen!$C586=$E5),OR($H5="(alle)",Anforderungen!$E586=$H5),OR($B7="(alle)",ISNUMBER(SEARCH($B7,Anforderungen!$J586))),OR($E7="(alle)",ISNUMBER(SEARCH($E7,Anforderungen!$I586))),OR($H7="",ISNUMBER(SEARCH($H7,Anforderungen!$F586&amp;" "&amp;Anforderungen!$G586)))),COUNT($T$6:$T585)+1,""))</f>
        <v>580</v>
      </c>
    </row>
    <row r="587" customFormat="false" ht="15" hidden="false" customHeight="false" outlineLevel="0" collapsed="false">
      <c r="T587" s="0" t="n">
        <f aca="false">IF(Anforderungen!$B587="","",IF(AND(OR($B5="(alle)",Anforderungen!$K587=$B5),OR($E5="(alle)",Anforderungen!$C587=$E5),OR($H5="(alle)",Anforderungen!$E587=$H5),OR($B7="(alle)",ISNUMBER(SEARCH($B7,Anforderungen!$J587))),OR($E7="(alle)",ISNUMBER(SEARCH($E7,Anforderungen!$I587))),OR($H7="",ISNUMBER(SEARCH($H7,Anforderungen!$F587&amp;" "&amp;Anforderungen!$G587)))),COUNT($T$6:$T586)+1,""))</f>
        <v>581</v>
      </c>
    </row>
    <row r="588" customFormat="false" ht="15" hidden="false" customHeight="false" outlineLevel="0" collapsed="false">
      <c r="T588" s="0" t="n">
        <f aca="false">IF(Anforderungen!$B588="","",IF(AND(OR($B5="(alle)",Anforderungen!$K588=$B5),OR($E5="(alle)",Anforderungen!$C588=$E5),OR($H5="(alle)",Anforderungen!$E588=$H5),OR($B7="(alle)",ISNUMBER(SEARCH($B7,Anforderungen!$J588))),OR($E7="(alle)",ISNUMBER(SEARCH($E7,Anforderungen!$I588))),OR($H7="",ISNUMBER(SEARCH($H7,Anforderungen!$F588&amp;" "&amp;Anforderungen!$G588)))),COUNT($T$6:$T587)+1,""))</f>
        <v>582</v>
      </c>
    </row>
    <row r="589" customFormat="false" ht="15" hidden="false" customHeight="false" outlineLevel="0" collapsed="false">
      <c r="T589" s="0" t="n">
        <f aca="false">IF(Anforderungen!$B589="","",IF(AND(OR($B5="(alle)",Anforderungen!$K589=$B5),OR($E5="(alle)",Anforderungen!$C589=$E5),OR($H5="(alle)",Anforderungen!$E589=$H5),OR($B7="(alle)",ISNUMBER(SEARCH($B7,Anforderungen!$J589))),OR($E7="(alle)",ISNUMBER(SEARCH($E7,Anforderungen!$I589))),OR($H7="",ISNUMBER(SEARCH($H7,Anforderungen!$F589&amp;" "&amp;Anforderungen!$G589)))),COUNT($T$6:$T588)+1,""))</f>
        <v>583</v>
      </c>
    </row>
    <row r="590" customFormat="false" ht="15" hidden="false" customHeight="false" outlineLevel="0" collapsed="false">
      <c r="T590" s="0" t="n">
        <f aca="false">IF(Anforderungen!$B590="","",IF(AND(OR($B5="(alle)",Anforderungen!$K590=$B5),OR($E5="(alle)",Anforderungen!$C590=$E5),OR($H5="(alle)",Anforderungen!$E590=$H5),OR($B7="(alle)",ISNUMBER(SEARCH($B7,Anforderungen!$J590))),OR($E7="(alle)",ISNUMBER(SEARCH($E7,Anforderungen!$I590))),OR($H7="",ISNUMBER(SEARCH($H7,Anforderungen!$F590&amp;" "&amp;Anforderungen!$G590)))),COUNT($T$6:$T589)+1,""))</f>
        <v>584</v>
      </c>
    </row>
    <row r="591" customFormat="false" ht="15" hidden="false" customHeight="false" outlineLevel="0" collapsed="false">
      <c r="T591" s="0" t="n">
        <f aca="false">IF(Anforderungen!$B591="","",IF(AND(OR($B5="(alle)",Anforderungen!$K591=$B5),OR($E5="(alle)",Anforderungen!$C591=$E5),OR($H5="(alle)",Anforderungen!$E591=$H5),OR($B7="(alle)",ISNUMBER(SEARCH($B7,Anforderungen!$J591))),OR($E7="(alle)",ISNUMBER(SEARCH($E7,Anforderungen!$I591))),OR($H7="",ISNUMBER(SEARCH($H7,Anforderungen!$F591&amp;" "&amp;Anforderungen!$G591)))),COUNT($T$6:$T590)+1,""))</f>
        <v>585</v>
      </c>
    </row>
    <row r="592" customFormat="false" ht="15" hidden="false" customHeight="false" outlineLevel="0" collapsed="false">
      <c r="T592" s="0" t="n">
        <f aca="false">IF(Anforderungen!$B592="","",IF(AND(OR($B5="(alle)",Anforderungen!$K592=$B5),OR($E5="(alle)",Anforderungen!$C592=$E5),OR($H5="(alle)",Anforderungen!$E592=$H5),OR($B7="(alle)",ISNUMBER(SEARCH($B7,Anforderungen!$J592))),OR($E7="(alle)",ISNUMBER(SEARCH($E7,Anforderungen!$I592))),OR($H7="",ISNUMBER(SEARCH($H7,Anforderungen!$F592&amp;" "&amp;Anforderungen!$G592)))),COUNT($T$6:$T591)+1,""))</f>
        <v>586</v>
      </c>
    </row>
    <row r="593" customFormat="false" ht="15" hidden="false" customHeight="false" outlineLevel="0" collapsed="false">
      <c r="T593" s="0" t="n">
        <f aca="false">IF(Anforderungen!$B593="","",IF(AND(OR($B5="(alle)",Anforderungen!$K593=$B5),OR($E5="(alle)",Anforderungen!$C593=$E5),OR($H5="(alle)",Anforderungen!$E593=$H5),OR($B7="(alle)",ISNUMBER(SEARCH($B7,Anforderungen!$J593))),OR($E7="(alle)",ISNUMBER(SEARCH($E7,Anforderungen!$I593))),OR($H7="",ISNUMBER(SEARCH($H7,Anforderungen!$F593&amp;" "&amp;Anforderungen!$G593)))),COUNT($T$6:$T592)+1,""))</f>
        <v>587</v>
      </c>
    </row>
    <row r="594" customFormat="false" ht="15" hidden="false" customHeight="false" outlineLevel="0" collapsed="false">
      <c r="T594" s="0" t="n">
        <f aca="false">IF(Anforderungen!$B594="","",IF(AND(OR($B5="(alle)",Anforderungen!$K594=$B5),OR($E5="(alle)",Anforderungen!$C594=$E5),OR($H5="(alle)",Anforderungen!$E594=$H5),OR($B7="(alle)",ISNUMBER(SEARCH($B7,Anforderungen!$J594))),OR($E7="(alle)",ISNUMBER(SEARCH($E7,Anforderungen!$I594))),OR($H7="",ISNUMBER(SEARCH($H7,Anforderungen!$F594&amp;" "&amp;Anforderungen!$G594)))),COUNT($T$6:$T593)+1,""))</f>
        <v>588</v>
      </c>
    </row>
    <row r="595" customFormat="false" ht="15" hidden="false" customHeight="false" outlineLevel="0" collapsed="false">
      <c r="T595" s="0" t="n">
        <f aca="false">IF(Anforderungen!$B595="","",IF(AND(OR($B5="(alle)",Anforderungen!$K595=$B5),OR($E5="(alle)",Anforderungen!$C595=$E5),OR($H5="(alle)",Anforderungen!$E595=$H5),OR($B7="(alle)",ISNUMBER(SEARCH($B7,Anforderungen!$J595))),OR($E7="(alle)",ISNUMBER(SEARCH($E7,Anforderungen!$I595))),OR($H7="",ISNUMBER(SEARCH($H7,Anforderungen!$F595&amp;" "&amp;Anforderungen!$G595)))),COUNT($T$6:$T594)+1,""))</f>
        <v>589</v>
      </c>
    </row>
    <row r="596" customFormat="false" ht="15" hidden="false" customHeight="false" outlineLevel="0" collapsed="false">
      <c r="T596" s="0" t="n">
        <f aca="false">IF(Anforderungen!$B596="","",IF(AND(OR($B5="(alle)",Anforderungen!$K596=$B5),OR($E5="(alle)",Anforderungen!$C596=$E5),OR($H5="(alle)",Anforderungen!$E596=$H5),OR($B7="(alle)",ISNUMBER(SEARCH($B7,Anforderungen!$J596))),OR($E7="(alle)",ISNUMBER(SEARCH($E7,Anforderungen!$I596))),OR($H7="",ISNUMBER(SEARCH($H7,Anforderungen!$F596&amp;" "&amp;Anforderungen!$G596)))),COUNT($T$6:$T595)+1,""))</f>
        <v>590</v>
      </c>
    </row>
    <row r="597" customFormat="false" ht="15" hidden="false" customHeight="false" outlineLevel="0" collapsed="false">
      <c r="T597" s="0" t="n">
        <f aca="false">IF(Anforderungen!$B597="","",IF(AND(OR($B5="(alle)",Anforderungen!$K597=$B5),OR($E5="(alle)",Anforderungen!$C597=$E5),OR($H5="(alle)",Anforderungen!$E597=$H5),OR($B7="(alle)",ISNUMBER(SEARCH($B7,Anforderungen!$J597))),OR($E7="(alle)",ISNUMBER(SEARCH($E7,Anforderungen!$I597))),OR($H7="",ISNUMBER(SEARCH($H7,Anforderungen!$F597&amp;" "&amp;Anforderungen!$G597)))),COUNT($T$6:$T596)+1,""))</f>
        <v>591</v>
      </c>
    </row>
    <row r="598" customFormat="false" ht="15" hidden="false" customHeight="false" outlineLevel="0" collapsed="false">
      <c r="T598" s="0" t="n">
        <f aca="false">IF(Anforderungen!$B598="","",IF(AND(OR($B5="(alle)",Anforderungen!$K598=$B5),OR($E5="(alle)",Anforderungen!$C598=$E5),OR($H5="(alle)",Anforderungen!$E598=$H5),OR($B7="(alle)",ISNUMBER(SEARCH($B7,Anforderungen!$J598))),OR($E7="(alle)",ISNUMBER(SEARCH($E7,Anforderungen!$I598))),OR($H7="",ISNUMBER(SEARCH($H7,Anforderungen!$F598&amp;" "&amp;Anforderungen!$G598)))),COUNT($T$6:$T597)+1,""))</f>
        <v>592</v>
      </c>
    </row>
    <row r="599" customFormat="false" ht="15" hidden="false" customHeight="false" outlineLevel="0" collapsed="false">
      <c r="T599" s="0" t="n">
        <f aca="false">IF(Anforderungen!$B599="","",IF(AND(OR($B5="(alle)",Anforderungen!$K599=$B5),OR($E5="(alle)",Anforderungen!$C599=$E5),OR($H5="(alle)",Anforderungen!$E599=$H5),OR($B7="(alle)",ISNUMBER(SEARCH($B7,Anforderungen!$J599))),OR($E7="(alle)",ISNUMBER(SEARCH($E7,Anforderungen!$I599))),OR($H7="",ISNUMBER(SEARCH($H7,Anforderungen!$F599&amp;" "&amp;Anforderungen!$G599)))),COUNT($T$6:$T598)+1,""))</f>
        <v>593</v>
      </c>
    </row>
    <row r="600" customFormat="false" ht="15" hidden="false" customHeight="false" outlineLevel="0" collapsed="false">
      <c r="T600" s="0" t="n">
        <f aca="false">IF(Anforderungen!$B600="","",IF(AND(OR($B5="(alle)",Anforderungen!$K600=$B5),OR($E5="(alle)",Anforderungen!$C600=$E5),OR($H5="(alle)",Anforderungen!$E600=$H5),OR($B7="(alle)",ISNUMBER(SEARCH($B7,Anforderungen!$J600))),OR($E7="(alle)",ISNUMBER(SEARCH($E7,Anforderungen!$I600))),OR($H7="",ISNUMBER(SEARCH($H7,Anforderungen!$F600&amp;" "&amp;Anforderungen!$G600)))),COUNT($T$6:$T599)+1,""))</f>
        <v>594</v>
      </c>
    </row>
    <row r="601" customFormat="false" ht="15" hidden="false" customHeight="false" outlineLevel="0" collapsed="false">
      <c r="T601" s="0" t="n">
        <f aca="false">IF(Anforderungen!$B601="","",IF(AND(OR($B5="(alle)",Anforderungen!$K601=$B5),OR($E5="(alle)",Anforderungen!$C601=$E5),OR($H5="(alle)",Anforderungen!$E601=$H5),OR($B7="(alle)",ISNUMBER(SEARCH($B7,Anforderungen!$J601))),OR($E7="(alle)",ISNUMBER(SEARCH($E7,Anforderungen!$I601))),OR($H7="",ISNUMBER(SEARCH($H7,Anforderungen!$F601&amp;" "&amp;Anforderungen!$G601)))),COUNT($T$6:$T600)+1,""))</f>
        <v>595</v>
      </c>
    </row>
    <row r="602" customFormat="false" ht="15" hidden="false" customHeight="false" outlineLevel="0" collapsed="false">
      <c r="T602" s="0" t="n">
        <f aca="false">IF(Anforderungen!$B602="","",IF(AND(OR($B5="(alle)",Anforderungen!$K602=$B5),OR($E5="(alle)",Anforderungen!$C602=$E5),OR($H5="(alle)",Anforderungen!$E602=$H5),OR($B7="(alle)",ISNUMBER(SEARCH($B7,Anforderungen!$J602))),OR($E7="(alle)",ISNUMBER(SEARCH($E7,Anforderungen!$I602))),OR($H7="",ISNUMBER(SEARCH($H7,Anforderungen!$F602&amp;" "&amp;Anforderungen!$G602)))),COUNT($T$6:$T601)+1,""))</f>
        <v>596</v>
      </c>
    </row>
    <row r="603" customFormat="false" ht="15" hidden="false" customHeight="false" outlineLevel="0" collapsed="false">
      <c r="T603" s="0" t="n">
        <f aca="false">IF(Anforderungen!$B603="","",IF(AND(OR($B5="(alle)",Anforderungen!$K603=$B5),OR($E5="(alle)",Anforderungen!$C603=$E5),OR($H5="(alle)",Anforderungen!$E603=$H5),OR($B7="(alle)",ISNUMBER(SEARCH($B7,Anforderungen!$J603))),OR($E7="(alle)",ISNUMBER(SEARCH($E7,Anforderungen!$I603))),OR($H7="",ISNUMBER(SEARCH($H7,Anforderungen!$F603&amp;" "&amp;Anforderungen!$G603)))),COUNT($T$6:$T602)+1,""))</f>
        <v>597</v>
      </c>
    </row>
    <row r="604" customFormat="false" ht="15" hidden="false" customHeight="false" outlineLevel="0" collapsed="false">
      <c r="T604" s="0" t="n">
        <f aca="false">IF(Anforderungen!$B604="","",IF(AND(OR($B5="(alle)",Anforderungen!$K604=$B5),OR($E5="(alle)",Anforderungen!$C604=$E5),OR($H5="(alle)",Anforderungen!$E604=$H5),OR($B7="(alle)",ISNUMBER(SEARCH($B7,Anforderungen!$J604))),OR($E7="(alle)",ISNUMBER(SEARCH($E7,Anforderungen!$I604))),OR($H7="",ISNUMBER(SEARCH($H7,Anforderungen!$F604&amp;" "&amp;Anforderungen!$G604)))),COUNT($T$6:$T603)+1,""))</f>
        <v>598</v>
      </c>
    </row>
    <row r="605" customFormat="false" ht="15" hidden="false" customHeight="false" outlineLevel="0" collapsed="false">
      <c r="T605" s="0" t="n">
        <f aca="false">IF(Anforderungen!$B605="","",IF(AND(OR($B5="(alle)",Anforderungen!$K605=$B5),OR($E5="(alle)",Anforderungen!$C605=$E5),OR($H5="(alle)",Anforderungen!$E605=$H5),OR($B7="(alle)",ISNUMBER(SEARCH($B7,Anforderungen!$J605))),OR($E7="(alle)",ISNUMBER(SEARCH($E7,Anforderungen!$I605))),OR($H7="",ISNUMBER(SEARCH($H7,Anforderungen!$F605&amp;" "&amp;Anforderungen!$G605)))),COUNT($T$6:$T604)+1,""))</f>
        <v>599</v>
      </c>
    </row>
    <row r="606" customFormat="false" ht="15" hidden="false" customHeight="false" outlineLevel="0" collapsed="false">
      <c r="T606" s="0" t="n">
        <f aca="false">IF(Anforderungen!$B606="","",IF(AND(OR($B5="(alle)",Anforderungen!$K606=$B5),OR($E5="(alle)",Anforderungen!$C606=$E5),OR($H5="(alle)",Anforderungen!$E606=$H5),OR($B7="(alle)",ISNUMBER(SEARCH($B7,Anforderungen!$J606))),OR($E7="(alle)",ISNUMBER(SEARCH($E7,Anforderungen!$I606))),OR($H7="",ISNUMBER(SEARCH($H7,Anforderungen!$F606&amp;" "&amp;Anforderungen!$G606)))),COUNT($T$6:$T605)+1,""))</f>
        <v>600</v>
      </c>
    </row>
    <row r="607" customFormat="false" ht="15" hidden="false" customHeight="false" outlineLevel="0" collapsed="false">
      <c r="T607" s="0" t="n">
        <f aca="false">IF(Anforderungen!$B607="","",IF(AND(OR($B5="(alle)",Anforderungen!$K607=$B5),OR($E5="(alle)",Anforderungen!$C607=$E5),OR($H5="(alle)",Anforderungen!$E607=$H5),OR($B7="(alle)",ISNUMBER(SEARCH($B7,Anforderungen!$J607))),OR($E7="(alle)",ISNUMBER(SEARCH($E7,Anforderungen!$I607))),OR($H7="",ISNUMBER(SEARCH($H7,Anforderungen!$F607&amp;" "&amp;Anforderungen!$G607)))),COUNT($T$6:$T606)+1,""))</f>
        <v>601</v>
      </c>
    </row>
    <row r="608" customFormat="false" ht="15" hidden="false" customHeight="false" outlineLevel="0" collapsed="false">
      <c r="T608" s="0" t="n">
        <f aca="false">IF(Anforderungen!$B608="","",IF(AND(OR($B5="(alle)",Anforderungen!$K608=$B5),OR($E5="(alle)",Anforderungen!$C608=$E5),OR($H5="(alle)",Anforderungen!$E608=$H5),OR($B7="(alle)",ISNUMBER(SEARCH($B7,Anforderungen!$J608))),OR($E7="(alle)",ISNUMBER(SEARCH($E7,Anforderungen!$I608))),OR($H7="",ISNUMBER(SEARCH($H7,Anforderungen!$F608&amp;" "&amp;Anforderungen!$G608)))),COUNT($T$6:$T607)+1,""))</f>
        <v>602</v>
      </c>
    </row>
    <row r="609" customFormat="false" ht="15" hidden="false" customHeight="false" outlineLevel="0" collapsed="false">
      <c r="T609" s="0" t="n">
        <f aca="false">IF(Anforderungen!$B609="","",IF(AND(OR($B5="(alle)",Anforderungen!$K609=$B5),OR($E5="(alle)",Anforderungen!$C609=$E5),OR($H5="(alle)",Anforderungen!$E609=$H5),OR($B7="(alle)",ISNUMBER(SEARCH($B7,Anforderungen!$J609))),OR($E7="(alle)",ISNUMBER(SEARCH($E7,Anforderungen!$I609))),OR($H7="",ISNUMBER(SEARCH($H7,Anforderungen!$F609&amp;" "&amp;Anforderungen!$G609)))),COUNT($T$6:$T608)+1,""))</f>
        <v>603</v>
      </c>
    </row>
    <row r="610" customFormat="false" ht="15" hidden="false" customHeight="false" outlineLevel="0" collapsed="false">
      <c r="T610" s="0" t="n">
        <f aca="false">IF(Anforderungen!$B610="","",IF(AND(OR($B5="(alle)",Anforderungen!$K610=$B5),OR($E5="(alle)",Anforderungen!$C610=$E5),OR($H5="(alle)",Anforderungen!$E610=$H5),OR($B7="(alle)",ISNUMBER(SEARCH($B7,Anforderungen!$J610))),OR($E7="(alle)",ISNUMBER(SEARCH($E7,Anforderungen!$I610))),OR($H7="",ISNUMBER(SEARCH($H7,Anforderungen!$F610&amp;" "&amp;Anforderungen!$G610)))),COUNT($T$6:$T609)+1,""))</f>
        <v>604</v>
      </c>
    </row>
    <row r="611" customFormat="false" ht="15" hidden="false" customHeight="false" outlineLevel="0" collapsed="false">
      <c r="T611" s="0" t="n">
        <f aca="false">IF(Anforderungen!$B611="","",IF(AND(OR($B5="(alle)",Anforderungen!$K611=$B5),OR($E5="(alle)",Anforderungen!$C611=$E5),OR($H5="(alle)",Anforderungen!$E611=$H5),OR($B7="(alle)",ISNUMBER(SEARCH($B7,Anforderungen!$J611))),OR($E7="(alle)",ISNUMBER(SEARCH($E7,Anforderungen!$I611))),OR($H7="",ISNUMBER(SEARCH($H7,Anforderungen!$F611&amp;" "&amp;Anforderungen!$G611)))),COUNT($T$6:$T610)+1,""))</f>
        <v>605</v>
      </c>
    </row>
    <row r="612" customFormat="false" ht="15" hidden="false" customHeight="false" outlineLevel="0" collapsed="false">
      <c r="T612" s="0" t="n">
        <f aca="false">IF(Anforderungen!$B612="","",IF(AND(OR($B5="(alle)",Anforderungen!$K612=$B5),OR($E5="(alle)",Anforderungen!$C612=$E5),OR($H5="(alle)",Anforderungen!$E612=$H5),OR($B7="(alle)",ISNUMBER(SEARCH($B7,Anforderungen!$J612))),OR($E7="(alle)",ISNUMBER(SEARCH($E7,Anforderungen!$I612))),OR($H7="",ISNUMBER(SEARCH($H7,Anforderungen!$F612&amp;" "&amp;Anforderungen!$G612)))),COUNT($T$6:$T611)+1,""))</f>
        <v>606</v>
      </c>
    </row>
    <row r="613" customFormat="false" ht="15" hidden="false" customHeight="false" outlineLevel="0" collapsed="false">
      <c r="T613" s="0" t="n">
        <f aca="false">IF(Anforderungen!$B613="","",IF(AND(OR($B5="(alle)",Anforderungen!$K613=$B5),OR($E5="(alle)",Anforderungen!$C613=$E5),OR($H5="(alle)",Anforderungen!$E613=$H5),OR($B7="(alle)",ISNUMBER(SEARCH($B7,Anforderungen!$J613))),OR($E7="(alle)",ISNUMBER(SEARCH($E7,Anforderungen!$I613))),OR($H7="",ISNUMBER(SEARCH($H7,Anforderungen!$F613&amp;" "&amp;Anforderungen!$G613)))),COUNT($T$6:$T612)+1,""))</f>
        <v>607</v>
      </c>
    </row>
    <row r="614" customFormat="false" ht="15" hidden="false" customHeight="false" outlineLevel="0" collapsed="false">
      <c r="T614" s="0" t="n">
        <f aca="false">IF(Anforderungen!$B614="","",IF(AND(OR($B5="(alle)",Anforderungen!$K614=$B5),OR($E5="(alle)",Anforderungen!$C614=$E5),OR($H5="(alle)",Anforderungen!$E614=$H5),OR($B7="(alle)",ISNUMBER(SEARCH($B7,Anforderungen!$J614))),OR($E7="(alle)",ISNUMBER(SEARCH($E7,Anforderungen!$I614))),OR($H7="",ISNUMBER(SEARCH($H7,Anforderungen!$F614&amp;" "&amp;Anforderungen!$G614)))),COUNT($T$6:$T613)+1,""))</f>
        <v>608</v>
      </c>
    </row>
    <row r="615" customFormat="false" ht="15" hidden="false" customHeight="false" outlineLevel="0" collapsed="false">
      <c r="T615" s="0" t="n">
        <f aca="false">IF(Anforderungen!$B615="","",IF(AND(OR($B5="(alle)",Anforderungen!$K615=$B5),OR($E5="(alle)",Anforderungen!$C615=$E5),OR($H5="(alle)",Anforderungen!$E615=$H5),OR($B7="(alle)",ISNUMBER(SEARCH($B7,Anforderungen!$J615))),OR($E7="(alle)",ISNUMBER(SEARCH($E7,Anforderungen!$I615))),OR($H7="",ISNUMBER(SEARCH($H7,Anforderungen!$F615&amp;" "&amp;Anforderungen!$G615)))),COUNT($T$6:$T614)+1,""))</f>
        <v>609</v>
      </c>
    </row>
    <row r="616" customFormat="false" ht="15" hidden="false" customHeight="false" outlineLevel="0" collapsed="false">
      <c r="T616" s="0" t="n">
        <f aca="false">IF(Anforderungen!$B616="","",IF(AND(OR($B5="(alle)",Anforderungen!$K616=$B5),OR($E5="(alle)",Anforderungen!$C616=$E5),OR($H5="(alle)",Anforderungen!$E616=$H5),OR($B7="(alle)",ISNUMBER(SEARCH($B7,Anforderungen!$J616))),OR($E7="(alle)",ISNUMBER(SEARCH($E7,Anforderungen!$I616))),OR($H7="",ISNUMBER(SEARCH($H7,Anforderungen!$F616&amp;" "&amp;Anforderungen!$G616)))),COUNT($T$6:$T615)+1,""))</f>
        <v>610</v>
      </c>
    </row>
    <row r="617" customFormat="false" ht="15" hidden="false" customHeight="false" outlineLevel="0" collapsed="false">
      <c r="T617" s="0" t="n">
        <f aca="false">IF(Anforderungen!$B617="","",IF(AND(OR($B5="(alle)",Anforderungen!$K617=$B5),OR($E5="(alle)",Anforderungen!$C617=$E5),OR($H5="(alle)",Anforderungen!$E617=$H5),OR($B7="(alle)",ISNUMBER(SEARCH($B7,Anforderungen!$J617))),OR($E7="(alle)",ISNUMBER(SEARCH($E7,Anforderungen!$I617))),OR($H7="",ISNUMBER(SEARCH($H7,Anforderungen!$F617&amp;" "&amp;Anforderungen!$G617)))),COUNT($T$6:$T616)+1,""))</f>
        <v>611</v>
      </c>
    </row>
    <row r="618" customFormat="false" ht="15" hidden="false" customHeight="false" outlineLevel="0" collapsed="false">
      <c r="T618" s="0" t="n">
        <f aca="false">IF(Anforderungen!$B618="","",IF(AND(OR($B5="(alle)",Anforderungen!$K618=$B5),OR($E5="(alle)",Anforderungen!$C618=$E5),OR($H5="(alle)",Anforderungen!$E618=$H5),OR($B7="(alle)",ISNUMBER(SEARCH($B7,Anforderungen!$J618))),OR($E7="(alle)",ISNUMBER(SEARCH($E7,Anforderungen!$I618))),OR($H7="",ISNUMBER(SEARCH($H7,Anforderungen!$F618&amp;" "&amp;Anforderungen!$G618)))),COUNT($T$6:$T617)+1,""))</f>
        <v>612</v>
      </c>
    </row>
    <row r="619" customFormat="false" ht="15" hidden="false" customHeight="false" outlineLevel="0" collapsed="false">
      <c r="T619" s="0" t="n">
        <f aca="false">IF(Anforderungen!$B619="","",IF(AND(OR($B5="(alle)",Anforderungen!$K619=$B5),OR($E5="(alle)",Anforderungen!$C619=$E5),OR($H5="(alle)",Anforderungen!$E619=$H5),OR($B7="(alle)",ISNUMBER(SEARCH($B7,Anforderungen!$J619))),OR($E7="(alle)",ISNUMBER(SEARCH($E7,Anforderungen!$I619))),OR($H7="",ISNUMBER(SEARCH($H7,Anforderungen!$F619&amp;" "&amp;Anforderungen!$G619)))),COUNT($T$6:$T618)+1,""))</f>
        <v>613</v>
      </c>
    </row>
    <row r="620" customFormat="false" ht="15" hidden="false" customHeight="false" outlineLevel="0" collapsed="false">
      <c r="T620" s="0" t="n">
        <f aca="false">IF(Anforderungen!$B620="","",IF(AND(OR($B5="(alle)",Anforderungen!$K620=$B5),OR($E5="(alle)",Anforderungen!$C620=$E5),OR($H5="(alle)",Anforderungen!$E620=$H5),OR($B7="(alle)",ISNUMBER(SEARCH($B7,Anforderungen!$J620))),OR($E7="(alle)",ISNUMBER(SEARCH($E7,Anforderungen!$I620))),OR($H7="",ISNUMBER(SEARCH($H7,Anforderungen!$F620&amp;" "&amp;Anforderungen!$G620)))),COUNT($T$6:$T619)+1,""))</f>
        <v>614</v>
      </c>
    </row>
    <row r="621" customFormat="false" ht="15" hidden="false" customHeight="false" outlineLevel="0" collapsed="false">
      <c r="T621" s="0" t="n">
        <f aca="false">IF(Anforderungen!$B621="","",IF(AND(OR($B5="(alle)",Anforderungen!$K621=$B5),OR($E5="(alle)",Anforderungen!$C621=$E5),OR($H5="(alle)",Anforderungen!$E621=$H5),OR($B7="(alle)",ISNUMBER(SEARCH($B7,Anforderungen!$J621))),OR($E7="(alle)",ISNUMBER(SEARCH($E7,Anforderungen!$I621))),OR($H7="",ISNUMBER(SEARCH($H7,Anforderungen!$F621&amp;" "&amp;Anforderungen!$G621)))),COUNT($T$6:$T620)+1,""))</f>
        <v>615</v>
      </c>
    </row>
    <row r="622" customFormat="false" ht="15" hidden="false" customHeight="false" outlineLevel="0" collapsed="false">
      <c r="T622" s="0" t="n">
        <f aca="false">IF(Anforderungen!$B622="","",IF(AND(OR($B5="(alle)",Anforderungen!$K622=$B5),OR($E5="(alle)",Anforderungen!$C622=$E5),OR($H5="(alle)",Anforderungen!$E622=$H5),OR($B7="(alle)",ISNUMBER(SEARCH($B7,Anforderungen!$J622))),OR($E7="(alle)",ISNUMBER(SEARCH($E7,Anforderungen!$I622))),OR($H7="",ISNUMBER(SEARCH($H7,Anforderungen!$F622&amp;" "&amp;Anforderungen!$G622)))),COUNT($T$6:$T621)+1,""))</f>
        <v>616</v>
      </c>
    </row>
    <row r="623" customFormat="false" ht="15" hidden="false" customHeight="false" outlineLevel="0" collapsed="false">
      <c r="T623" s="0" t="n">
        <f aca="false">IF(Anforderungen!$B623="","",IF(AND(OR($B5="(alle)",Anforderungen!$K623=$B5),OR($E5="(alle)",Anforderungen!$C623=$E5),OR($H5="(alle)",Anforderungen!$E623=$H5),OR($B7="(alle)",ISNUMBER(SEARCH($B7,Anforderungen!$J623))),OR($E7="(alle)",ISNUMBER(SEARCH($E7,Anforderungen!$I623))),OR($H7="",ISNUMBER(SEARCH($H7,Anforderungen!$F623&amp;" "&amp;Anforderungen!$G623)))),COUNT($T$6:$T622)+1,""))</f>
        <v>617</v>
      </c>
    </row>
    <row r="624" customFormat="false" ht="15" hidden="false" customHeight="false" outlineLevel="0" collapsed="false">
      <c r="T624" s="0" t="n">
        <f aca="false">IF(Anforderungen!$B624="","",IF(AND(OR($B5="(alle)",Anforderungen!$K624=$B5),OR($E5="(alle)",Anforderungen!$C624=$E5),OR($H5="(alle)",Anforderungen!$E624=$H5),OR($B7="(alle)",ISNUMBER(SEARCH($B7,Anforderungen!$J624))),OR($E7="(alle)",ISNUMBER(SEARCH($E7,Anforderungen!$I624))),OR($H7="",ISNUMBER(SEARCH($H7,Anforderungen!$F624&amp;" "&amp;Anforderungen!$G624)))),COUNT($T$6:$T623)+1,""))</f>
        <v>618</v>
      </c>
    </row>
    <row r="625" customFormat="false" ht="15" hidden="false" customHeight="false" outlineLevel="0" collapsed="false">
      <c r="T625" s="0" t="n">
        <f aca="false">IF(Anforderungen!$B625="","",IF(AND(OR($B5="(alle)",Anforderungen!$K625=$B5),OR($E5="(alle)",Anforderungen!$C625=$E5),OR($H5="(alle)",Anforderungen!$E625=$H5),OR($B7="(alle)",ISNUMBER(SEARCH($B7,Anforderungen!$J625))),OR($E7="(alle)",ISNUMBER(SEARCH($E7,Anforderungen!$I625))),OR($H7="",ISNUMBER(SEARCH($H7,Anforderungen!$F625&amp;" "&amp;Anforderungen!$G625)))),COUNT($T$6:$T624)+1,""))</f>
        <v>619</v>
      </c>
    </row>
    <row r="626" customFormat="false" ht="15" hidden="false" customHeight="false" outlineLevel="0" collapsed="false">
      <c r="T626" s="0" t="n">
        <f aca="false">IF(Anforderungen!$B626="","",IF(AND(OR($B5="(alle)",Anforderungen!$K626=$B5),OR($E5="(alle)",Anforderungen!$C626=$E5),OR($H5="(alle)",Anforderungen!$E626=$H5),OR($B7="(alle)",ISNUMBER(SEARCH($B7,Anforderungen!$J626))),OR($E7="(alle)",ISNUMBER(SEARCH($E7,Anforderungen!$I626))),OR($H7="",ISNUMBER(SEARCH($H7,Anforderungen!$F626&amp;" "&amp;Anforderungen!$G626)))),COUNT($T$6:$T625)+1,""))</f>
        <v>620</v>
      </c>
    </row>
    <row r="627" customFormat="false" ht="15" hidden="false" customHeight="false" outlineLevel="0" collapsed="false">
      <c r="T627" s="0" t="n">
        <f aca="false">IF(Anforderungen!$B627="","",IF(AND(OR($B5="(alle)",Anforderungen!$K627=$B5),OR($E5="(alle)",Anforderungen!$C627=$E5),OR($H5="(alle)",Anforderungen!$E627=$H5),OR($B7="(alle)",ISNUMBER(SEARCH($B7,Anforderungen!$J627))),OR($E7="(alle)",ISNUMBER(SEARCH($E7,Anforderungen!$I627))),OR($H7="",ISNUMBER(SEARCH($H7,Anforderungen!$F627&amp;" "&amp;Anforderungen!$G627)))),COUNT($T$6:$T626)+1,""))</f>
        <v>621</v>
      </c>
    </row>
    <row r="628" customFormat="false" ht="15" hidden="false" customHeight="false" outlineLevel="0" collapsed="false">
      <c r="T628" s="0" t="n">
        <f aca="false">IF(Anforderungen!$B628="","",IF(AND(OR($B5="(alle)",Anforderungen!$K628=$B5),OR($E5="(alle)",Anforderungen!$C628=$E5),OR($H5="(alle)",Anforderungen!$E628=$H5),OR($B7="(alle)",ISNUMBER(SEARCH($B7,Anforderungen!$J628))),OR($E7="(alle)",ISNUMBER(SEARCH($E7,Anforderungen!$I628))),OR($H7="",ISNUMBER(SEARCH($H7,Anforderungen!$F628&amp;" "&amp;Anforderungen!$G628)))),COUNT($T$6:$T627)+1,""))</f>
        <v>622</v>
      </c>
    </row>
    <row r="629" customFormat="false" ht="15" hidden="false" customHeight="false" outlineLevel="0" collapsed="false">
      <c r="T629" s="0" t="n">
        <f aca="false">IF(Anforderungen!$B629="","",IF(AND(OR($B5="(alle)",Anforderungen!$K629=$B5),OR($E5="(alle)",Anforderungen!$C629=$E5),OR($H5="(alle)",Anforderungen!$E629=$H5),OR($B7="(alle)",ISNUMBER(SEARCH($B7,Anforderungen!$J629))),OR($E7="(alle)",ISNUMBER(SEARCH($E7,Anforderungen!$I629))),OR($H7="",ISNUMBER(SEARCH($H7,Anforderungen!$F629&amp;" "&amp;Anforderungen!$G629)))),COUNT($T$6:$T628)+1,""))</f>
        <v>623</v>
      </c>
    </row>
    <row r="630" customFormat="false" ht="15" hidden="false" customHeight="false" outlineLevel="0" collapsed="false">
      <c r="T630" s="0" t="n">
        <f aca="false">IF(Anforderungen!$B630="","",IF(AND(OR($B5="(alle)",Anforderungen!$K630=$B5),OR($E5="(alle)",Anforderungen!$C630=$E5),OR($H5="(alle)",Anforderungen!$E630=$H5),OR($B7="(alle)",ISNUMBER(SEARCH($B7,Anforderungen!$J630))),OR($E7="(alle)",ISNUMBER(SEARCH($E7,Anforderungen!$I630))),OR($H7="",ISNUMBER(SEARCH($H7,Anforderungen!$F630&amp;" "&amp;Anforderungen!$G630)))),COUNT($T$6:$T629)+1,""))</f>
        <v>624</v>
      </c>
    </row>
    <row r="631" customFormat="false" ht="15" hidden="false" customHeight="false" outlineLevel="0" collapsed="false">
      <c r="T631" s="0" t="n">
        <f aca="false">IF(Anforderungen!$B631="","",IF(AND(OR($B5="(alle)",Anforderungen!$K631=$B5),OR($E5="(alle)",Anforderungen!$C631=$E5),OR($H5="(alle)",Anforderungen!$E631=$H5),OR($B7="(alle)",ISNUMBER(SEARCH($B7,Anforderungen!$J631))),OR($E7="(alle)",ISNUMBER(SEARCH($E7,Anforderungen!$I631))),OR($H7="",ISNUMBER(SEARCH($H7,Anforderungen!$F631&amp;" "&amp;Anforderungen!$G631)))),COUNT($T$6:$T630)+1,""))</f>
        <v>625</v>
      </c>
    </row>
    <row r="632" customFormat="false" ht="15" hidden="false" customHeight="false" outlineLevel="0" collapsed="false">
      <c r="T632" s="0" t="n">
        <f aca="false">IF(Anforderungen!$B632="","",IF(AND(OR($B5="(alle)",Anforderungen!$K632=$B5),OR($E5="(alle)",Anforderungen!$C632=$E5),OR($H5="(alle)",Anforderungen!$E632=$H5),OR($B7="(alle)",ISNUMBER(SEARCH($B7,Anforderungen!$J632))),OR($E7="(alle)",ISNUMBER(SEARCH($E7,Anforderungen!$I632))),OR($H7="",ISNUMBER(SEARCH($H7,Anforderungen!$F632&amp;" "&amp;Anforderungen!$G632)))),COUNT($T$6:$T631)+1,""))</f>
        <v>626</v>
      </c>
    </row>
    <row r="633" customFormat="false" ht="15" hidden="false" customHeight="false" outlineLevel="0" collapsed="false">
      <c r="T633" s="0" t="n">
        <f aca="false">IF(Anforderungen!$B633="","",IF(AND(OR($B5="(alle)",Anforderungen!$K633=$B5),OR($E5="(alle)",Anforderungen!$C633=$E5),OR($H5="(alle)",Anforderungen!$E633=$H5),OR($B7="(alle)",ISNUMBER(SEARCH($B7,Anforderungen!$J633))),OR($E7="(alle)",ISNUMBER(SEARCH($E7,Anforderungen!$I633))),OR($H7="",ISNUMBER(SEARCH($H7,Anforderungen!$F633&amp;" "&amp;Anforderungen!$G633)))),COUNT($T$6:$T632)+1,""))</f>
        <v>627</v>
      </c>
    </row>
    <row r="634" customFormat="false" ht="15" hidden="false" customHeight="false" outlineLevel="0" collapsed="false">
      <c r="T634" s="0" t="n">
        <f aca="false">IF(Anforderungen!$B634="","",IF(AND(OR($B5="(alle)",Anforderungen!$K634=$B5),OR($E5="(alle)",Anforderungen!$C634=$E5),OR($H5="(alle)",Anforderungen!$E634=$H5),OR($B7="(alle)",ISNUMBER(SEARCH($B7,Anforderungen!$J634))),OR($E7="(alle)",ISNUMBER(SEARCH($E7,Anforderungen!$I634))),OR($H7="",ISNUMBER(SEARCH($H7,Anforderungen!$F634&amp;" "&amp;Anforderungen!$G634)))),COUNT($T$6:$T633)+1,""))</f>
        <v>628</v>
      </c>
    </row>
    <row r="635" customFormat="false" ht="15" hidden="false" customHeight="false" outlineLevel="0" collapsed="false">
      <c r="T635" s="0" t="n">
        <f aca="false">IF(Anforderungen!$B635="","",IF(AND(OR($B5="(alle)",Anforderungen!$K635=$B5),OR($E5="(alle)",Anforderungen!$C635=$E5),OR($H5="(alle)",Anforderungen!$E635=$H5),OR($B7="(alle)",ISNUMBER(SEARCH($B7,Anforderungen!$J635))),OR($E7="(alle)",ISNUMBER(SEARCH($E7,Anforderungen!$I635))),OR($H7="",ISNUMBER(SEARCH($H7,Anforderungen!$F635&amp;" "&amp;Anforderungen!$G635)))),COUNT($T$6:$T634)+1,""))</f>
        <v>629</v>
      </c>
    </row>
    <row r="636" customFormat="false" ht="15" hidden="false" customHeight="false" outlineLevel="0" collapsed="false">
      <c r="T636" s="0" t="n">
        <f aca="false">IF(Anforderungen!$B636="","",IF(AND(OR($B5="(alle)",Anforderungen!$K636=$B5),OR($E5="(alle)",Anforderungen!$C636=$E5),OR($H5="(alle)",Anforderungen!$E636=$H5),OR($B7="(alle)",ISNUMBER(SEARCH($B7,Anforderungen!$J636))),OR($E7="(alle)",ISNUMBER(SEARCH($E7,Anforderungen!$I636))),OR($H7="",ISNUMBER(SEARCH($H7,Anforderungen!$F636&amp;" "&amp;Anforderungen!$G636)))),COUNT($T$6:$T635)+1,""))</f>
        <v>630</v>
      </c>
    </row>
    <row r="637" customFormat="false" ht="15" hidden="false" customHeight="false" outlineLevel="0" collapsed="false">
      <c r="T637" s="0" t="n">
        <f aca="false">IF(Anforderungen!$B637="","",IF(AND(OR($B5="(alle)",Anforderungen!$K637=$B5),OR($E5="(alle)",Anforderungen!$C637=$E5),OR($H5="(alle)",Anforderungen!$E637=$H5),OR($B7="(alle)",ISNUMBER(SEARCH($B7,Anforderungen!$J637))),OR($E7="(alle)",ISNUMBER(SEARCH($E7,Anforderungen!$I637))),OR($H7="",ISNUMBER(SEARCH($H7,Anforderungen!$F637&amp;" "&amp;Anforderungen!$G637)))),COUNT($T$6:$T636)+1,""))</f>
        <v>631</v>
      </c>
    </row>
    <row r="638" customFormat="false" ht="15" hidden="false" customHeight="false" outlineLevel="0" collapsed="false">
      <c r="T638" s="0" t="n">
        <f aca="false">IF(Anforderungen!$B638="","",IF(AND(OR($B5="(alle)",Anforderungen!$K638=$B5),OR($E5="(alle)",Anforderungen!$C638=$E5),OR($H5="(alle)",Anforderungen!$E638=$H5),OR($B7="(alle)",ISNUMBER(SEARCH($B7,Anforderungen!$J638))),OR($E7="(alle)",ISNUMBER(SEARCH($E7,Anforderungen!$I638))),OR($H7="",ISNUMBER(SEARCH($H7,Anforderungen!$F638&amp;" "&amp;Anforderungen!$G638)))),COUNT($T$6:$T637)+1,""))</f>
        <v>632</v>
      </c>
    </row>
    <row r="639" customFormat="false" ht="15" hidden="false" customHeight="false" outlineLevel="0" collapsed="false">
      <c r="T639" s="0" t="n">
        <f aca="false">IF(Anforderungen!$B639="","",IF(AND(OR($B5="(alle)",Anforderungen!$K639=$B5),OR($E5="(alle)",Anforderungen!$C639=$E5),OR($H5="(alle)",Anforderungen!$E639=$H5),OR($B7="(alle)",ISNUMBER(SEARCH($B7,Anforderungen!$J639))),OR($E7="(alle)",ISNUMBER(SEARCH($E7,Anforderungen!$I639))),OR($H7="",ISNUMBER(SEARCH($H7,Anforderungen!$F639&amp;" "&amp;Anforderungen!$G639)))),COUNT($T$6:$T638)+1,""))</f>
        <v>633</v>
      </c>
    </row>
    <row r="640" customFormat="false" ht="15" hidden="false" customHeight="false" outlineLevel="0" collapsed="false">
      <c r="T640" s="0" t="n">
        <f aca="false">IF(Anforderungen!$B640="","",IF(AND(OR($B5="(alle)",Anforderungen!$K640=$B5),OR($E5="(alle)",Anforderungen!$C640=$E5),OR($H5="(alle)",Anforderungen!$E640=$H5),OR($B7="(alle)",ISNUMBER(SEARCH($B7,Anforderungen!$J640))),OR($E7="(alle)",ISNUMBER(SEARCH($E7,Anforderungen!$I640))),OR($H7="",ISNUMBER(SEARCH($H7,Anforderungen!$F640&amp;" "&amp;Anforderungen!$G640)))),COUNT($T$6:$T639)+1,""))</f>
        <v>634</v>
      </c>
    </row>
    <row r="641" customFormat="false" ht="15" hidden="false" customHeight="false" outlineLevel="0" collapsed="false">
      <c r="T641" s="0" t="n">
        <f aca="false">IF(Anforderungen!$B641="","",IF(AND(OR($B5="(alle)",Anforderungen!$K641=$B5),OR($E5="(alle)",Anforderungen!$C641=$E5),OR($H5="(alle)",Anforderungen!$E641=$H5),OR($B7="(alle)",ISNUMBER(SEARCH($B7,Anforderungen!$J641))),OR($E7="(alle)",ISNUMBER(SEARCH($E7,Anforderungen!$I641))),OR($H7="",ISNUMBER(SEARCH($H7,Anforderungen!$F641&amp;" "&amp;Anforderungen!$G641)))),COUNT($T$6:$T640)+1,""))</f>
        <v>635</v>
      </c>
    </row>
    <row r="642" customFormat="false" ht="15" hidden="false" customHeight="false" outlineLevel="0" collapsed="false">
      <c r="T642" s="0" t="n">
        <f aca="false">IF(Anforderungen!$B642="","",IF(AND(OR($B5="(alle)",Anforderungen!$K642=$B5),OR($E5="(alle)",Anforderungen!$C642=$E5),OR($H5="(alle)",Anforderungen!$E642=$H5),OR($B7="(alle)",ISNUMBER(SEARCH($B7,Anforderungen!$J642))),OR($E7="(alle)",ISNUMBER(SEARCH($E7,Anforderungen!$I642))),OR($H7="",ISNUMBER(SEARCH($H7,Anforderungen!$F642&amp;" "&amp;Anforderungen!$G642)))),COUNT($T$6:$T641)+1,""))</f>
        <v>636</v>
      </c>
    </row>
    <row r="643" customFormat="false" ht="15" hidden="false" customHeight="false" outlineLevel="0" collapsed="false">
      <c r="T643" s="0" t="n">
        <f aca="false">IF(Anforderungen!$B643="","",IF(AND(OR($B5="(alle)",Anforderungen!$K643=$B5),OR($E5="(alle)",Anforderungen!$C643=$E5),OR($H5="(alle)",Anforderungen!$E643=$H5),OR($B7="(alle)",ISNUMBER(SEARCH($B7,Anforderungen!$J643))),OR($E7="(alle)",ISNUMBER(SEARCH($E7,Anforderungen!$I643))),OR($H7="",ISNUMBER(SEARCH($H7,Anforderungen!$F643&amp;" "&amp;Anforderungen!$G643)))),COUNT($T$6:$T642)+1,""))</f>
        <v>637</v>
      </c>
    </row>
    <row r="644" customFormat="false" ht="15" hidden="false" customHeight="false" outlineLevel="0" collapsed="false">
      <c r="T644" s="0" t="n">
        <f aca="false">IF(Anforderungen!$B644="","",IF(AND(OR($B5="(alle)",Anforderungen!$K644=$B5),OR($E5="(alle)",Anforderungen!$C644=$E5),OR($H5="(alle)",Anforderungen!$E644=$H5),OR($B7="(alle)",ISNUMBER(SEARCH($B7,Anforderungen!$J644))),OR($E7="(alle)",ISNUMBER(SEARCH($E7,Anforderungen!$I644))),OR($H7="",ISNUMBER(SEARCH($H7,Anforderungen!$F644&amp;" "&amp;Anforderungen!$G644)))),COUNT($T$6:$T643)+1,""))</f>
        <v>638</v>
      </c>
    </row>
    <row r="645" customFormat="false" ht="15" hidden="false" customHeight="false" outlineLevel="0" collapsed="false">
      <c r="T645" s="0" t="n">
        <f aca="false">IF(Anforderungen!$B645="","",IF(AND(OR($B5="(alle)",Anforderungen!$K645=$B5),OR($E5="(alle)",Anforderungen!$C645=$E5),OR($H5="(alle)",Anforderungen!$E645=$H5),OR($B7="(alle)",ISNUMBER(SEARCH($B7,Anforderungen!$J645))),OR($E7="(alle)",ISNUMBER(SEARCH($E7,Anforderungen!$I645))),OR($H7="",ISNUMBER(SEARCH($H7,Anforderungen!$F645&amp;" "&amp;Anforderungen!$G645)))),COUNT($T$6:$T644)+1,""))</f>
        <v>639</v>
      </c>
    </row>
    <row r="646" customFormat="false" ht="15" hidden="false" customHeight="false" outlineLevel="0" collapsed="false">
      <c r="T646" s="0" t="n">
        <f aca="false">IF(Anforderungen!$B646="","",IF(AND(OR($B5="(alle)",Anforderungen!$K646=$B5),OR($E5="(alle)",Anforderungen!$C646=$E5),OR($H5="(alle)",Anforderungen!$E646=$H5),OR($B7="(alle)",ISNUMBER(SEARCH($B7,Anforderungen!$J646))),OR($E7="(alle)",ISNUMBER(SEARCH($E7,Anforderungen!$I646))),OR($H7="",ISNUMBER(SEARCH($H7,Anforderungen!$F646&amp;" "&amp;Anforderungen!$G646)))),COUNT($T$6:$T645)+1,""))</f>
        <v>640</v>
      </c>
    </row>
    <row r="647" customFormat="false" ht="15" hidden="false" customHeight="false" outlineLevel="0" collapsed="false">
      <c r="T647" s="0" t="n">
        <f aca="false">IF(Anforderungen!$B647="","",IF(AND(OR($B5="(alle)",Anforderungen!$K647=$B5),OR($E5="(alle)",Anforderungen!$C647=$E5),OR($H5="(alle)",Anforderungen!$E647=$H5),OR($B7="(alle)",ISNUMBER(SEARCH($B7,Anforderungen!$J647))),OR($E7="(alle)",ISNUMBER(SEARCH($E7,Anforderungen!$I647))),OR($H7="",ISNUMBER(SEARCH($H7,Anforderungen!$F647&amp;" "&amp;Anforderungen!$G647)))),COUNT($T$6:$T646)+1,""))</f>
        <v>641</v>
      </c>
    </row>
    <row r="648" customFormat="false" ht="15" hidden="false" customHeight="false" outlineLevel="0" collapsed="false">
      <c r="T648" s="0" t="n">
        <f aca="false">IF(Anforderungen!$B648="","",IF(AND(OR($B5="(alle)",Anforderungen!$K648=$B5),OR($E5="(alle)",Anforderungen!$C648=$E5),OR($H5="(alle)",Anforderungen!$E648=$H5),OR($B7="(alle)",ISNUMBER(SEARCH($B7,Anforderungen!$J648))),OR($E7="(alle)",ISNUMBER(SEARCH($E7,Anforderungen!$I648))),OR($H7="",ISNUMBER(SEARCH($H7,Anforderungen!$F648&amp;" "&amp;Anforderungen!$G648)))),COUNT($T$6:$T647)+1,""))</f>
        <v>642</v>
      </c>
    </row>
    <row r="649" customFormat="false" ht="15" hidden="false" customHeight="false" outlineLevel="0" collapsed="false">
      <c r="T649" s="0" t="n">
        <f aca="false">IF(Anforderungen!$B649="","",IF(AND(OR($B5="(alle)",Anforderungen!$K649=$B5),OR($E5="(alle)",Anforderungen!$C649=$E5),OR($H5="(alle)",Anforderungen!$E649=$H5),OR($B7="(alle)",ISNUMBER(SEARCH($B7,Anforderungen!$J649))),OR($E7="(alle)",ISNUMBER(SEARCH($E7,Anforderungen!$I649))),OR($H7="",ISNUMBER(SEARCH($H7,Anforderungen!$F649&amp;" "&amp;Anforderungen!$G649)))),COUNT($T$6:$T648)+1,""))</f>
        <v>643</v>
      </c>
    </row>
    <row r="650" customFormat="false" ht="15" hidden="false" customHeight="false" outlineLevel="0" collapsed="false">
      <c r="T650" s="0" t="n">
        <f aca="false">IF(Anforderungen!$B650="","",IF(AND(OR($B5="(alle)",Anforderungen!$K650=$B5),OR($E5="(alle)",Anforderungen!$C650=$E5),OR($H5="(alle)",Anforderungen!$E650=$H5),OR($B7="(alle)",ISNUMBER(SEARCH($B7,Anforderungen!$J650))),OR($E7="(alle)",ISNUMBER(SEARCH($E7,Anforderungen!$I650))),OR($H7="",ISNUMBER(SEARCH($H7,Anforderungen!$F650&amp;" "&amp;Anforderungen!$G650)))),COUNT($T$6:$T649)+1,""))</f>
        <v>644</v>
      </c>
    </row>
    <row r="651" customFormat="false" ht="15" hidden="false" customHeight="false" outlineLevel="0" collapsed="false">
      <c r="T651" s="0" t="n">
        <f aca="false">IF(Anforderungen!$B651="","",IF(AND(OR($B5="(alle)",Anforderungen!$K651=$B5),OR($E5="(alle)",Anforderungen!$C651=$E5),OR($H5="(alle)",Anforderungen!$E651=$H5),OR($B7="(alle)",ISNUMBER(SEARCH($B7,Anforderungen!$J651))),OR($E7="(alle)",ISNUMBER(SEARCH($E7,Anforderungen!$I651))),OR($H7="",ISNUMBER(SEARCH($H7,Anforderungen!$F651&amp;" "&amp;Anforderungen!$G651)))),COUNT($T$6:$T650)+1,""))</f>
        <v>645</v>
      </c>
    </row>
    <row r="652" customFormat="false" ht="15" hidden="false" customHeight="false" outlineLevel="0" collapsed="false">
      <c r="T652" s="0" t="n">
        <f aca="false">IF(Anforderungen!$B652="","",IF(AND(OR($B5="(alle)",Anforderungen!$K652=$B5),OR($E5="(alle)",Anforderungen!$C652=$E5),OR($H5="(alle)",Anforderungen!$E652=$H5),OR($B7="(alle)",ISNUMBER(SEARCH($B7,Anforderungen!$J652))),OR($E7="(alle)",ISNUMBER(SEARCH($E7,Anforderungen!$I652))),OR($H7="",ISNUMBER(SEARCH($H7,Anforderungen!$F652&amp;" "&amp;Anforderungen!$G652)))),COUNT($T$6:$T651)+1,""))</f>
        <v>646</v>
      </c>
    </row>
    <row r="653" customFormat="false" ht="15" hidden="false" customHeight="false" outlineLevel="0" collapsed="false">
      <c r="T653" s="0" t="n">
        <f aca="false">IF(Anforderungen!$B653="","",IF(AND(OR($B5="(alle)",Anforderungen!$K653=$B5),OR($E5="(alle)",Anforderungen!$C653=$E5),OR($H5="(alle)",Anforderungen!$E653=$H5),OR($B7="(alle)",ISNUMBER(SEARCH($B7,Anforderungen!$J653))),OR($E7="(alle)",ISNUMBER(SEARCH($E7,Anforderungen!$I653))),OR($H7="",ISNUMBER(SEARCH($H7,Anforderungen!$F653&amp;" "&amp;Anforderungen!$G653)))),COUNT($T$6:$T652)+1,""))</f>
        <v>647</v>
      </c>
    </row>
    <row r="654" customFormat="false" ht="15" hidden="false" customHeight="false" outlineLevel="0" collapsed="false">
      <c r="T654" s="0" t="n">
        <f aca="false">IF(Anforderungen!$B654="","",IF(AND(OR($B5="(alle)",Anforderungen!$K654=$B5),OR($E5="(alle)",Anforderungen!$C654=$E5),OR($H5="(alle)",Anforderungen!$E654=$H5),OR($B7="(alle)",ISNUMBER(SEARCH($B7,Anforderungen!$J654))),OR($E7="(alle)",ISNUMBER(SEARCH($E7,Anforderungen!$I654))),OR($H7="",ISNUMBER(SEARCH($H7,Anforderungen!$F654&amp;" "&amp;Anforderungen!$G654)))),COUNT($T$6:$T653)+1,""))</f>
        <v>648</v>
      </c>
    </row>
    <row r="655" customFormat="false" ht="15" hidden="false" customHeight="false" outlineLevel="0" collapsed="false">
      <c r="T655" s="0" t="n">
        <f aca="false">IF(Anforderungen!$B655="","",IF(AND(OR($B5="(alle)",Anforderungen!$K655=$B5),OR($E5="(alle)",Anforderungen!$C655=$E5),OR($H5="(alle)",Anforderungen!$E655=$H5),OR($B7="(alle)",ISNUMBER(SEARCH($B7,Anforderungen!$J655))),OR($E7="(alle)",ISNUMBER(SEARCH($E7,Anforderungen!$I655))),OR($H7="",ISNUMBER(SEARCH($H7,Anforderungen!$F655&amp;" "&amp;Anforderungen!$G655)))),COUNT($T$6:$T654)+1,""))</f>
        <v>649</v>
      </c>
    </row>
    <row r="656" customFormat="false" ht="15" hidden="false" customHeight="false" outlineLevel="0" collapsed="false">
      <c r="T656" s="0" t="n">
        <f aca="false">IF(Anforderungen!$B656="","",IF(AND(OR($B5="(alle)",Anforderungen!$K656=$B5),OR($E5="(alle)",Anforderungen!$C656=$E5),OR($H5="(alle)",Anforderungen!$E656=$H5),OR($B7="(alle)",ISNUMBER(SEARCH($B7,Anforderungen!$J656))),OR($E7="(alle)",ISNUMBER(SEARCH($E7,Anforderungen!$I656))),OR($H7="",ISNUMBER(SEARCH($H7,Anforderungen!$F656&amp;" "&amp;Anforderungen!$G656)))),COUNT($T$6:$T655)+1,""))</f>
        <v>650</v>
      </c>
    </row>
    <row r="657" customFormat="false" ht="15" hidden="false" customHeight="false" outlineLevel="0" collapsed="false">
      <c r="T657" s="0" t="n">
        <f aca="false">IF(Anforderungen!$B657="","",IF(AND(OR($B5="(alle)",Anforderungen!$K657=$B5),OR($E5="(alle)",Anforderungen!$C657=$E5),OR($H5="(alle)",Anforderungen!$E657=$H5),OR($B7="(alle)",ISNUMBER(SEARCH($B7,Anforderungen!$J657))),OR($E7="(alle)",ISNUMBER(SEARCH($E7,Anforderungen!$I657))),OR($H7="",ISNUMBER(SEARCH($H7,Anforderungen!$F657&amp;" "&amp;Anforderungen!$G657)))),COUNT($T$6:$T656)+1,""))</f>
        <v>651</v>
      </c>
    </row>
    <row r="658" customFormat="false" ht="15" hidden="false" customHeight="false" outlineLevel="0" collapsed="false">
      <c r="T658" s="0" t="n">
        <f aca="false">IF(Anforderungen!$B658="","",IF(AND(OR($B5="(alle)",Anforderungen!$K658=$B5),OR($E5="(alle)",Anforderungen!$C658=$E5),OR($H5="(alle)",Anforderungen!$E658=$H5),OR($B7="(alle)",ISNUMBER(SEARCH($B7,Anforderungen!$J658))),OR($E7="(alle)",ISNUMBER(SEARCH($E7,Anforderungen!$I658))),OR($H7="",ISNUMBER(SEARCH($H7,Anforderungen!$F658&amp;" "&amp;Anforderungen!$G658)))),COUNT($T$6:$T657)+1,""))</f>
        <v>652</v>
      </c>
    </row>
    <row r="659" customFormat="false" ht="15" hidden="false" customHeight="false" outlineLevel="0" collapsed="false">
      <c r="T659" s="0" t="n">
        <f aca="false">IF(Anforderungen!$B659="","",IF(AND(OR($B5="(alle)",Anforderungen!$K659=$B5),OR($E5="(alle)",Anforderungen!$C659=$E5),OR($H5="(alle)",Anforderungen!$E659=$H5),OR($B7="(alle)",ISNUMBER(SEARCH($B7,Anforderungen!$J659))),OR($E7="(alle)",ISNUMBER(SEARCH($E7,Anforderungen!$I659))),OR($H7="",ISNUMBER(SEARCH($H7,Anforderungen!$F659&amp;" "&amp;Anforderungen!$G659)))),COUNT($T$6:$T658)+1,""))</f>
        <v>653</v>
      </c>
    </row>
    <row r="660" customFormat="false" ht="15" hidden="false" customHeight="false" outlineLevel="0" collapsed="false">
      <c r="T660" s="0" t="n">
        <f aca="false">IF(Anforderungen!$B660="","",IF(AND(OR($B5="(alle)",Anforderungen!$K660=$B5),OR($E5="(alle)",Anforderungen!$C660=$E5),OR($H5="(alle)",Anforderungen!$E660=$H5),OR($B7="(alle)",ISNUMBER(SEARCH($B7,Anforderungen!$J660))),OR($E7="(alle)",ISNUMBER(SEARCH($E7,Anforderungen!$I660))),OR($H7="",ISNUMBER(SEARCH($H7,Anforderungen!$F660&amp;" "&amp;Anforderungen!$G660)))),COUNT($T$6:$T659)+1,""))</f>
        <v>654</v>
      </c>
    </row>
    <row r="661" customFormat="false" ht="15" hidden="false" customHeight="false" outlineLevel="0" collapsed="false">
      <c r="T661" s="0" t="n">
        <f aca="false">IF(Anforderungen!$B661="","",IF(AND(OR($B5="(alle)",Anforderungen!$K661=$B5),OR($E5="(alle)",Anforderungen!$C661=$E5),OR($H5="(alle)",Anforderungen!$E661=$H5),OR($B7="(alle)",ISNUMBER(SEARCH($B7,Anforderungen!$J661))),OR($E7="(alle)",ISNUMBER(SEARCH($E7,Anforderungen!$I661))),OR($H7="",ISNUMBER(SEARCH($H7,Anforderungen!$F661&amp;" "&amp;Anforderungen!$G661)))),COUNT($T$6:$T660)+1,""))</f>
        <v>655</v>
      </c>
    </row>
    <row r="662" customFormat="false" ht="15" hidden="false" customHeight="false" outlineLevel="0" collapsed="false">
      <c r="T662" s="0" t="n">
        <f aca="false">IF(Anforderungen!$B662="","",IF(AND(OR($B5="(alle)",Anforderungen!$K662=$B5),OR($E5="(alle)",Anforderungen!$C662=$E5),OR($H5="(alle)",Anforderungen!$E662=$H5),OR($B7="(alle)",ISNUMBER(SEARCH($B7,Anforderungen!$J662))),OR($E7="(alle)",ISNUMBER(SEARCH($E7,Anforderungen!$I662))),OR($H7="",ISNUMBER(SEARCH($H7,Anforderungen!$F662&amp;" "&amp;Anforderungen!$G662)))),COUNT($T$6:$T661)+1,""))</f>
        <v>656</v>
      </c>
    </row>
    <row r="663" customFormat="false" ht="15" hidden="false" customHeight="false" outlineLevel="0" collapsed="false">
      <c r="T663" s="0" t="n">
        <f aca="false">IF(Anforderungen!$B663="","",IF(AND(OR($B5="(alle)",Anforderungen!$K663=$B5),OR($E5="(alle)",Anforderungen!$C663=$E5),OR($H5="(alle)",Anforderungen!$E663=$H5),OR($B7="(alle)",ISNUMBER(SEARCH($B7,Anforderungen!$J663))),OR($E7="(alle)",ISNUMBER(SEARCH($E7,Anforderungen!$I663))),OR($H7="",ISNUMBER(SEARCH($H7,Anforderungen!$F663&amp;" "&amp;Anforderungen!$G663)))),COUNT($T$6:$T662)+1,""))</f>
        <v>657</v>
      </c>
    </row>
    <row r="664" customFormat="false" ht="15" hidden="false" customHeight="false" outlineLevel="0" collapsed="false">
      <c r="T664" s="0" t="n">
        <f aca="false">IF(Anforderungen!$B664="","",IF(AND(OR($B5="(alle)",Anforderungen!$K664=$B5),OR($E5="(alle)",Anforderungen!$C664=$E5),OR($H5="(alle)",Anforderungen!$E664=$H5),OR($B7="(alle)",ISNUMBER(SEARCH($B7,Anforderungen!$J664))),OR($E7="(alle)",ISNUMBER(SEARCH($E7,Anforderungen!$I664))),OR($H7="",ISNUMBER(SEARCH($H7,Anforderungen!$F664&amp;" "&amp;Anforderungen!$G664)))),COUNT($T$6:$T663)+1,""))</f>
        <v>658</v>
      </c>
    </row>
    <row r="665" customFormat="false" ht="15" hidden="false" customHeight="false" outlineLevel="0" collapsed="false">
      <c r="T665" s="0" t="n">
        <f aca="false">IF(Anforderungen!$B665="","",IF(AND(OR($B5="(alle)",Anforderungen!$K665=$B5),OR($E5="(alle)",Anforderungen!$C665=$E5),OR($H5="(alle)",Anforderungen!$E665=$H5),OR($B7="(alle)",ISNUMBER(SEARCH($B7,Anforderungen!$J665))),OR($E7="(alle)",ISNUMBER(SEARCH($E7,Anforderungen!$I665))),OR($H7="",ISNUMBER(SEARCH($H7,Anforderungen!$F665&amp;" "&amp;Anforderungen!$G665)))),COUNT($T$6:$T664)+1,""))</f>
        <v>659</v>
      </c>
    </row>
    <row r="666" customFormat="false" ht="15" hidden="false" customHeight="false" outlineLevel="0" collapsed="false">
      <c r="T666" s="0" t="n">
        <f aca="false">IF(Anforderungen!$B666="","",IF(AND(OR($B5="(alle)",Anforderungen!$K666=$B5),OR($E5="(alle)",Anforderungen!$C666=$E5),OR($H5="(alle)",Anforderungen!$E666=$H5),OR($B7="(alle)",ISNUMBER(SEARCH($B7,Anforderungen!$J666))),OR($E7="(alle)",ISNUMBER(SEARCH($E7,Anforderungen!$I666))),OR($H7="",ISNUMBER(SEARCH($H7,Anforderungen!$F666&amp;" "&amp;Anforderungen!$G666)))),COUNT($T$6:$T665)+1,""))</f>
        <v>660</v>
      </c>
    </row>
    <row r="667" customFormat="false" ht="15" hidden="false" customHeight="false" outlineLevel="0" collapsed="false">
      <c r="T667" s="0" t="n">
        <f aca="false">IF(Anforderungen!$B667="","",IF(AND(OR($B5="(alle)",Anforderungen!$K667=$B5),OR($E5="(alle)",Anforderungen!$C667=$E5),OR($H5="(alle)",Anforderungen!$E667=$H5),OR($B7="(alle)",ISNUMBER(SEARCH($B7,Anforderungen!$J667))),OR($E7="(alle)",ISNUMBER(SEARCH($E7,Anforderungen!$I667))),OR($H7="",ISNUMBER(SEARCH($H7,Anforderungen!$F667&amp;" "&amp;Anforderungen!$G667)))),COUNT($T$6:$T666)+1,""))</f>
        <v>661</v>
      </c>
    </row>
    <row r="668" customFormat="false" ht="15" hidden="false" customHeight="false" outlineLevel="0" collapsed="false">
      <c r="T668" s="0" t="n">
        <f aca="false">IF(Anforderungen!$B668="","",IF(AND(OR($B5="(alle)",Anforderungen!$K668=$B5),OR($E5="(alle)",Anforderungen!$C668=$E5),OR($H5="(alle)",Anforderungen!$E668=$H5),OR($B7="(alle)",ISNUMBER(SEARCH($B7,Anforderungen!$J668))),OR($E7="(alle)",ISNUMBER(SEARCH($E7,Anforderungen!$I668))),OR($H7="",ISNUMBER(SEARCH($H7,Anforderungen!$F668&amp;" "&amp;Anforderungen!$G668)))),COUNT($T$6:$T667)+1,""))</f>
        <v>662</v>
      </c>
    </row>
    <row r="669" customFormat="false" ht="15" hidden="false" customHeight="false" outlineLevel="0" collapsed="false">
      <c r="T669" s="0" t="n">
        <f aca="false">IF(Anforderungen!$B669="","",IF(AND(OR($B5="(alle)",Anforderungen!$K669=$B5),OR($E5="(alle)",Anforderungen!$C669=$E5),OR($H5="(alle)",Anforderungen!$E669=$H5),OR($B7="(alle)",ISNUMBER(SEARCH($B7,Anforderungen!$J669))),OR($E7="(alle)",ISNUMBER(SEARCH($E7,Anforderungen!$I669))),OR($H7="",ISNUMBER(SEARCH($H7,Anforderungen!$F669&amp;" "&amp;Anforderungen!$G669)))),COUNT($T$6:$T668)+1,""))</f>
        <v>663</v>
      </c>
    </row>
    <row r="670" customFormat="false" ht="15" hidden="false" customHeight="false" outlineLevel="0" collapsed="false">
      <c r="T670" s="0" t="n">
        <f aca="false">IF(Anforderungen!$B670="","",IF(AND(OR($B5="(alle)",Anforderungen!$K670=$B5),OR($E5="(alle)",Anforderungen!$C670=$E5),OR($H5="(alle)",Anforderungen!$E670=$H5),OR($B7="(alle)",ISNUMBER(SEARCH($B7,Anforderungen!$J670))),OR($E7="(alle)",ISNUMBER(SEARCH($E7,Anforderungen!$I670))),OR($H7="",ISNUMBER(SEARCH($H7,Anforderungen!$F670&amp;" "&amp;Anforderungen!$G670)))),COUNT($T$6:$T669)+1,""))</f>
        <v>664</v>
      </c>
    </row>
    <row r="671" customFormat="false" ht="15" hidden="false" customHeight="false" outlineLevel="0" collapsed="false">
      <c r="T671" s="0" t="n">
        <f aca="false">IF(Anforderungen!$B671="","",IF(AND(OR($B5="(alle)",Anforderungen!$K671=$B5),OR($E5="(alle)",Anforderungen!$C671=$E5),OR($H5="(alle)",Anforderungen!$E671=$H5),OR($B7="(alle)",ISNUMBER(SEARCH($B7,Anforderungen!$J671))),OR($E7="(alle)",ISNUMBER(SEARCH($E7,Anforderungen!$I671))),OR($H7="",ISNUMBER(SEARCH($H7,Anforderungen!$F671&amp;" "&amp;Anforderungen!$G671)))),COUNT($T$6:$T670)+1,""))</f>
        <v>665</v>
      </c>
    </row>
    <row r="672" customFormat="false" ht="15" hidden="false" customHeight="false" outlineLevel="0" collapsed="false">
      <c r="T672" s="0" t="n">
        <f aca="false">IF(Anforderungen!$B672="","",IF(AND(OR($B5="(alle)",Anforderungen!$K672=$B5),OR($E5="(alle)",Anforderungen!$C672=$E5),OR($H5="(alle)",Anforderungen!$E672=$H5),OR($B7="(alle)",ISNUMBER(SEARCH($B7,Anforderungen!$J672))),OR($E7="(alle)",ISNUMBER(SEARCH($E7,Anforderungen!$I672))),OR($H7="",ISNUMBER(SEARCH($H7,Anforderungen!$F672&amp;" "&amp;Anforderungen!$G672)))),COUNT($T$6:$T671)+1,""))</f>
        <v>666</v>
      </c>
    </row>
    <row r="673" customFormat="false" ht="15" hidden="false" customHeight="false" outlineLevel="0" collapsed="false">
      <c r="T673" s="0" t="n">
        <f aca="false">IF(Anforderungen!$B673="","",IF(AND(OR($B5="(alle)",Anforderungen!$K673=$B5),OR($E5="(alle)",Anforderungen!$C673=$E5),OR($H5="(alle)",Anforderungen!$E673=$H5),OR($B7="(alle)",ISNUMBER(SEARCH($B7,Anforderungen!$J673))),OR($E7="(alle)",ISNUMBER(SEARCH($E7,Anforderungen!$I673))),OR($H7="",ISNUMBER(SEARCH($H7,Anforderungen!$F673&amp;" "&amp;Anforderungen!$G673)))),COUNT($T$6:$T672)+1,""))</f>
        <v>667</v>
      </c>
    </row>
    <row r="674" customFormat="false" ht="15" hidden="false" customHeight="false" outlineLevel="0" collapsed="false">
      <c r="T674" s="0" t="n">
        <f aca="false">IF(Anforderungen!$B674="","",IF(AND(OR($B5="(alle)",Anforderungen!$K674=$B5),OR($E5="(alle)",Anforderungen!$C674=$E5),OR($H5="(alle)",Anforderungen!$E674=$H5),OR($B7="(alle)",ISNUMBER(SEARCH($B7,Anforderungen!$J674))),OR($E7="(alle)",ISNUMBER(SEARCH($E7,Anforderungen!$I674))),OR($H7="",ISNUMBER(SEARCH($H7,Anforderungen!$F674&amp;" "&amp;Anforderungen!$G674)))),COUNT($T$6:$T673)+1,""))</f>
        <v>668</v>
      </c>
    </row>
    <row r="675" customFormat="false" ht="15" hidden="false" customHeight="false" outlineLevel="0" collapsed="false">
      <c r="T675" s="0" t="n">
        <f aca="false">IF(Anforderungen!$B675="","",IF(AND(OR($B5="(alle)",Anforderungen!$K675=$B5),OR($E5="(alle)",Anforderungen!$C675=$E5),OR($H5="(alle)",Anforderungen!$E675=$H5),OR($B7="(alle)",ISNUMBER(SEARCH($B7,Anforderungen!$J675))),OR($E7="(alle)",ISNUMBER(SEARCH($E7,Anforderungen!$I675))),OR($H7="",ISNUMBER(SEARCH($H7,Anforderungen!$F675&amp;" "&amp;Anforderungen!$G675)))),COUNT($T$6:$T674)+1,""))</f>
        <v>669</v>
      </c>
    </row>
    <row r="676" customFormat="false" ht="15" hidden="false" customHeight="false" outlineLevel="0" collapsed="false">
      <c r="T676" s="0" t="n">
        <f aca="false">IF(Anforderungen!$B676="","",IF(AND(OR($B5="(alle)",Anforderungen!$K676=$B5),OR($E5="(alle)",Anforderungen!$C676=$E5),OR($H5="(alle)",Anforderungen!$E676=$H5),OR($B7="(alle)",ISNUMBER(SEARCH($B7,Anforderungen!$J676))),OR($E7="(alle)",ISNUMBER(SEARCH($E7,Anforderungen!$I676))),OR($H7="",ISNUMBER(SEARCH($H7,Anforderungen!$F676&amp;" "&amp;Anforderungen!$G676)))),COUNT($T$6:$T675)+1,""))</f>
        <v>670</v>
      </c>
    </row>
    <row r="677" customFormat="false" ht="15" hidden="false" customHeight="false" outlineLevel="0" collapsed="false">
      <c r="T677" s="0" t="n">
        <f aca="false">IF(Anforderungen!$B677="","",IF(AND(OR($B5="(alle)",Anforderungen!$K677=$B5),OR($E5="(alle)",Anforderungen!$C677=$E5),OR($H5="(alle)",Anforderungen!$E677=$H5),OR($B7="(alle)",ISNUMBER(SEARCH($B7,Anforderungen!$J677))),OR($E7="(alle)",ISNUMBER(SEARCH($E7,Anforderungen!$I677))),OR($H7="",ISNUMBER(SEARCH($H7,Anforderungen!$F677&amp;" "&amp;Anforderungen!$G677)))),COUNT($T$6:$T676)+1,""))</f>
        <v>671</v>
      </c>
    </row>
    <row r="678" customFormat="false" ht="15" hidden="false" customHeight="false" outlineLevel="0" collapsed="false">
      <c r="T678" s="0" t="n">
        <f aca="false">IF(Anforderungen!$B678="","",IF(AND(OR($B5="(alle)",Anforderungen!$K678=$B5),OR($E5="(alle)",Anforderungen!$C678=$E5),OR($H5="(alle)",Anforderungen!$E678=$H5),OR($B7="(alle)",ISNUMBER(SEARCH($B7,Anforderungen!$J678))),OR($E7="(alle)",ISNUMBER(SEARCH($E7,Anforderungen!$I678))),OR($H7="",ISNUMBER(SEARCH($H7,Anforderungen!$F678&amp;" "&amp;Anforderungen!$G678)))),COUNT($T$6:$T677)+1,""))</f>
        <v>672</v>
      </c>
    </row>
    <row r="679" customFormat="false" ht="15" hidden="false" customHeight="false" outlineLevel="0" collapsed="false">
      <c r="T679" s="0" t="n">
        <f aca="false">IF(Anforderungen!$B679="","",IF(AND(OR($B5="(alle)",Anforderungen!$K679=$B5),OR($E5="(alle)",Anforderungen!$C679=$E5),OR($H5="(alle)",Anforderungen!$E679=$H5),OR($B7="(alle)",ISNUMBER(SEARCH($B7,Anforderungen!$J679))),OR($E7="(alle)",ISNUMBER(SEARCH($E7,Anforderungen!$I679))),OR($H7="",ISNUMBER(SEARCH($H7,Anforderungen!$F679&amp;" "&amp;Anforderungen!$G679)))),COUNT($T$6:$T678)+1,""))</f>
        <v>673</v>
      </c>
    </row>
    <row r="680" customFormat="false" ht="15" hidden="false" customHeight="false" outlineLevel="0" collapsed="false">
      <c r="T680" s="0" t="n">
        <f aca="false">IF(Anforderungen!$B680="","",IF(AND(OR($B5="(alle)",Anforderungen!$K680=$B5),OR($E5="(alle)",Anforderungen!$C680=$E5),OR($H5="(alle)",Anforderungen!$E680=$H5),OR($B7="(alle)",ISNUMBER(SEARCH($B7,Anforderungen!$J680))),OR($E7="(alle)",ISNUMBER(SEARCH($E7,Anforderungen!$I680))),OR($H7="",ISNUMBER(SEARCH($H7,Anforderungen!$F680&amp;" "&amp;Anforderungen!$G680)))),COUNT($T$6:$T679)+1,""))</f>
        <v>674</v>
      </c>
    </row>
    <row r="681" customFormat="false" ht="15" hidden="false" customHeight="false" outlineLevel="0" collapsed="false">
      <c r="T681" s="0" t="n">
        <f aca="false">IF(Anforderungen!$B681="","",IF(AND(OR($B5="(alle)",Anforderungen!$K681=$B5),OR($E5="(alle)",Anforderungen!$C681=$E5),OR($H5="(alle)",Anforderungen!$E681=$H5),OR($B7="(alle)",ISNUMBER(SEARCH($B7,Anforderungen!$J681))),OR($E7="(alle)",ISNUMBER(SEARCH($E7,Anforderungen!$I681))),OR($H7="",ISNUMBER(SEARCH($H7,Anforderungen!$F681&amp;" "&amp;Anforderungen!$G681)))),COUNT($T$6:$T680)+1,""))</f>
        <v>675</v>
      </c>
    </row>
    <row r="682" customFormat="false" ht="15" hidden="false" customHeight="false" outlineLevel="0" collapsed="false">
      <c r="T682" s="0" t="n">
        <f aca="false">IF(Anforderungen!$B682="","",IF(AND(OR($B5="(alle)",Anforderungen!$K682=$B5),OR($E5="(alle)",Anforderungen!$C682=$E5),OR($H5="(alle)",Anforderungen!$E682=$H5),OR($B7="(alle)",ISNUMBER(SEARCH($B7,Anforderungen!$J682))),OR($E7="(alle)",ISNUMBER(SEARCH($E7,Anforderungen!$I682))),OR($H7="",ISNUMBER(SEARCH($H7,Anforderungen!$F682&amp;" "&amp;Anforderungen!$G682)))),COUNT($T$6:$T681)+1,""))</f>
        <v>676</v>
      </c>
    </row>
    <row r="683" customFormat="false" ht="15" hidden="false" customHeight="false" outlineLevel="0" collapsed="false">
      <c r="T683" s="0" t="n">
        <f aca="false">IF(Anforderungen!$B683="","",IF(AND(OR($B5="(alle)",Anforderungen!$K683=$B5),OR($E5="(alle)",Anforderungen!$C683=$E5),OR($H5="(alle)",Anforderungen!$E683=$H5),OR($B7="(alle)",ISNUMBER(SEARCH($B7,Anforderungen!$J683))),OR($E7="(alle)",ISNUMBER(SEARCH($E7,Anforderungen!$I683))),OR($H7="",ISNUMBER(SEARCH($H7,Anforderungen!$F683&amp;" "&amp;Anforderungen!$G683)))),COUNT($T$6:$T682)+1,""))</f>
        <v>677</v>
      </c>
    </row>
    <row r="684" customFormat="false" ht="15" hidden="false" customHeight="false" outlineLevel="0" collapsed="false">
      <c r="T684" s="0" t="n">
        <f aca="false">IF(Anforderungen!$B684="","",IF(AND(OR($B5="(alle)",Anforderungen!$K684=$B5),OR($E5="(alle)",Anforderungen!$C684=$E5),OR($H5="(alle)",Anforderungen!$E684=$H5),OR($B7="(alle)",ISNUMBER(SEARCH($B7,Anforderungen!$J684))),OR($E7="(alle)",ISNUMBER(SEARCH($E7,Anforderungen!$I684))),OR($H7="",ISNUMBER(SEARCH($H7,Anforderungen!$F684&amp;" "&amp;Anforderungen!$G684)))),COUNT($T$6:$T683)+1,""))</f>
        <v>678</v>
      </c>
    </row>
    <row r="685" customFormat="false" ht="15" hidden="false" customHeight="false" outlineLevel="0" collapsed="false">
      <c r="T685" s="0" t="n">
        <f aca="false">IF(Anforderungen!$B685="","",IF(AND(OR($B5="(alle)",Anforderungen!$K685=$B5),OR($E5="(alle)",Anforderungen!$C685=$E5),OR($H5="(alle)",Anforderungen!$E685=$H5),OR($B7="(alle)",ISNUMBER(SEARCH($B7,Anforderungen!$J685))),OR($E7="(alle)",ISNUMBER(SEARCH($E7,Anforderungen!$I685))),OR($H7="",ISNUMBER(SEARCH($H7,Anforderungen!$F685&amp;" "&amp;Anforderungen!$G685)))),COUNT($T$6:$T684)+1,""))</f>
        <v>679</v>
      </c>
    </row>
    <row r="686" customFormat="false" ht="15" hidden="false" customHeight="false" outlineLevel="0" collapsed="false">
      <c r="T686" s="0" t="n">
        <f aca="false">IF(Anforderungen!$B686="","",IF(AND(OR($B5="(alle)",Anforderungen!$K686=$B5),OR($E5="(alle)",Anforderungen!$C686=$E5),OR($H5="(alle)",Anforderungen!$E686=$H5),OR($B7="(alle)",ISNUMBER(SEARCH($B7,Anforderungen!$J686))),OR($E7="(alle)",ISNUMBER(SEARCH($E7,Anforderungen!$I686))),OR($H7="",ISNUMBER(SEARCH($H7,Anforderungen!$F686&amp;" "&amp;Anforderungen!$G686)))),COUNT($T$6:$T685)+1,""))</f>
        <v>680</v>
      </c>
    </row>
    <row r="687" customFormat="false" ht="15" hidden="false" customHeight="false" outlineLevel="0" collapsed="false">
      <c r="T687" s="0" t="n">
        <f aca="false">IF(Anforderungen!$B687="","",IF(AND(OR($B5="(alle)",Anforderungen!$K687=$B5),OR($E5="(alle)",Anforderungen!$C687=$E5),OR($H5="(alle)",Anforderungen!$E687=$H5),OR($B7="(alle)",ISNUMBER(SEARCH($B7,Anforderungen!$J687))),OR($E7="(alle)",ISNUMBER(SEARCH($E7,Anforderungen!$I687))),OR($H7="",ISNUMBER(SEARCH($H7,Anforderungen!$F687&amp;" "&amp;Anforderungen!$G687)))),COUNT($T$6:$T686)+1,""))</f>
        <v>681</v>
      </c>
    </row>
    <row r="688" customFormat="false" ht="15" hidden="false" customHeight="false" outlineLevel="0" collapsed="false">
      <c r="T688" s="0" t="n">
        <f aca="false">IF(Anforderungen!$B688="","",IF(AND(OR($B5="(alle)",Anforderungen!$K688=$B5),OR($E5="(alle)",Anforderungen!$C688=$E5),OR($H5="(alle)",Anforderungen!$E688=$H5),OR($B7="(alle)",ISNUMBER(SEARCH($B7,Anforderungen!$J688))),OR($E7="(alle)",ISNUMBER(SEARCH($E7,Anforderungen!$I688))),OR($H7="",ISNUMBER(SEARCH($H7,Anforderungen!$F688&amp;" "&amp;Anforderungen!$G688)))),COUNT($T$6:$T687)+1,""))</f>
        <v>682</v>
      </c>
    </row>
    <row r="689" customFormat="false" ht="15" hidden="false" customHeight="false" outlineLevel="0" collapsed="false">
      <c r="T689" s="0" t="n">
        <f aca="false">IF(Anforderungen!$B689="","",IF(AND(OR($B5="(alle)",Anforderungen!$K689=$B5),OR($E5="(alle)",Anforderungen!$C689=$E5),OR($H5="(alle)",Anforderungen!$E689=$H5),OR($B7="(alle)",ISNUMBER(SEARCH($B7,Anforderungen!$J689))),OR($E7="(alle)",ISNUMBER(SEARCH($E7,Anforderungen!$I689))),OR($H7="",ISNUMBER(SEARCH($H7,Anforderungen!$F689&amp;" "&amp;Anforderungen!$G689)))),COUNT($T$6:$T688)+1,""))</f>
        <v>683</v>
      </c>
    </row>
    <row r="690" customFormat="false" ht="15" hidden="false" customHeight="false" outlineLevel="0" collapsed="false">
      <c r="T690" s="0" t="n">
        <f aca="false">IF(Anforderungen!$B690="","",IF(AND(OR($B5="(alle)",Anforderungen!$K690=$B5),OR($E5="(alle)",Anforderungen!$C690=$E5),OR($H5="(alle)",Anforderungen!$E690=$H5),OR($B7="(alle)",ISNUMBER(SEARCH($B7,Anforderungen!$J690))),OR($E7="(alle)",ISNUMBER(SEARCH($E7,Anforderungen!$I690))),OR($H7="",ISNUMBER(SEARCH($H7,Anforderungen!$F690&amp;" "&amp;Anforderungen!$G690)))),COUNT($T$6:$T689)+1,""))</f>
        <v>684</v>
      </c>
    </row>
    <row r="691" customFormat="false" ht="15" hidden="false" customHeight="false" outlineLevel="0" collapsed="false">
      <c r="T691" s="0" t="n">
        <f aca="false">IF(Anforderungen!$B691="","",IF(AND(OR($B5="(alle)",Anforderungen!$K691=$B5),OR($E5="(alle)",Anforderungen!$C691=$E5),OR($H5="(alle)",Anforderungen!$E691=$H5),OR($B7="(alle)",ISNUMBER(SEARCH($B7,Anforderungen!$J691))),OR($E7="(alle)",ISNUMBER(SEARCH($E7,Anforderungen!$I691))),OR($H7="",ISNUMBER(SEARCH($H7,Anforderungen!$F691&amp;" "&amp;Anforderungen!$G691)))),COUNT($T$6:$T690)+1,""))</f>
        <v>685</v>
      </c>
    </row>
    <row r="692" customFormat="false" ht="15" hidden="false" customHeight="false" outlineLevel="0" collapsed="false">
      <c r="T692" s="0" t="n">
        <f aca="false">IF(Anforderungen!$B692="","",IF(AND(OR($B5="(alle)",Anforderungen!$K692=$B5),OR($E5="(alle)",Anforderungen!$C692=$E5),OR($H5="(alle)",Anforderungen!$E692=$H5),OR($B7="(alle)",ISNUMBER(SEARCH($B7,Anforderungen!$J692))),OR($E7="(alle)",ISNUMBER(SEARCH($E7,Anforderungen!$I692))),OR($H7="",ISNUMBER(SEARCH($H7,Anforderungen!$F692&amp;" "&amp;Anforderungen!$G692)))),COUNT($T$6:$T691)+1,""))</f>
        <v>686</v>
      </c>
    </row>
    <row r="693" customFormat="false" ht="15" hidden="false" customHeight="false" outlineLevel="0" collapsed="false">
      <c r="T693" s="0" t="n">
        <f aca="false">IF(Anforderungen!$B693="","",IF(AND(OR($B5="(alle)",Anforderungen!$K693=$B5),OR($E5="(alle)",Anforderungen!$C693=$E5),OR($H5="(alle)",Anforderungen!$E693=$H5),OR($B7="(alle)",ISNUMBER(SEARCH($B7,Anforderungen!$J693))),OR($E7="(alle)",ISNUMBER(SEARCH($E7,Anforderungen!$I693))),OR($H7="",ISNUMBER(SEARCH($H7,Anforderungen!$F693&amp;" "&amp;Anforderungen!$G693)))),COUNT($T$6:$T692)+1,""))</f>
        <v>687</v>
      </c>
    </row>
    <row r="694" customFormat="false" ht="15" hidden="false" customHeight="false" outlineLevel="0" collapsed="false">
      <c r="T694" s="0" t="n">
        <f aca="false">IF(Anforderungen!$B694="","",IF(AND(OR($B5="(alle)",Anforderungen!$K694=$B5),OR($E5="(alle)",Anforderungen!$C694=$E5),OR($H5="(alle)",Anforderungen!$E694=$H5),OR($B7="(alle)",ISNUMBER(SEARCH($B7,Anforderungen!$J694))),OR($E7="(alle)",ISNUMBER(SEARCH($E7,Anforderungen!$I694))),OR($H7="",ISNUMBER(SEARCH($H7,Anforderungen!$F694&amp;" "&amp;Anforderungen!$G694)))),COUNT($T$6:$T693)+1,""))</f>
        <v>688</v>
      </c>
    </row>
    <row r="695" customFormat="false" ht="15" hidden="false" customHeight="false" outlineLevel="0" collapsed="false">
      <c r="T695" s="0" t="n">
        <f aca="false">IF(Anforderungen!$B695="","",IF(AND(OR($B5="(alle)",Anforderungen!$K695=$B5),OR($E5="(alle)",Anforderungen!$C695=$E5),OR($H5="(alle)",Anforderungen!$E695=$H5),OR($B7="(alle)",ISNUMBER(SEARCH($B7,Anforderungen!$J695))),OR($E7="(alle)",ISNUMBER(SEARCH($E7,Anforderungen!$I695))),OR($H7="",ISNUMBER(SEARCH($H7,Anforderungen!$F695&amp;" "&amp;Anforderungen!$G695)))),COUNT($T$6:$T694)+1,""))</f>
        <v>689</v>
      </c>
    </row>
    <row r="696" customFormat="false" ht="15" hidden="false" customHeight="false" outlineLevel="0" collapsed="false">
      <c r="T696" s="0" t="n">
        <f aca="false">IF(Anforderungen!$B696="","",IF(AND(OR($B5="(alle)",Anforderungen!$K696=$B5),OR($E5="(alle)",Anforderungen!$C696=$E5),OR($H5="(alle)",Anforderungen!$E696=$H5),OR($B7="(alle)",ISNUMBER(SEARCH($B7,Anforderungen!$J696))),OR($E7="(alle)",ISNUMBER(SEARCH($E7,Anforderungen!$I696))),OR($H7="",ISNUMBER(SEARCH($H7,Anforderungen!$F696&amp;" "&amp;Anforderungen!$G696)))),COUNT($T$6:$T695)+1,""))</f>
        <v>690</v>
      </c>
    </row>
    <row r="697" customFormat="false" ht="15" hidden="false" customHeight="false" outlineLevel="0" collapsed="false">
      <c r="T697" s="0" t="n">
        <f aca="false">IF(Anforderungen!$B697="","",IF(AND(OR($B5="(alle)",Anforderungen!$K697=$B5),OR($E5="(alle)",Anforderungen!$C697=$E5),OR($H5="(alle)",Anforderungen!$E697=$H5),OR($B7="(alle)",ISNUMBER(SEARCH($B7,Anforderungen!$J697))),OR($E7="(alle)",ISNUMBER(SEARCH($E7,Anforderungen!$I697))),OR($H7="",ISNUMBER(SEARCH($H7,Anforderungen!$F697&amp;" "&amp;Anforderungen!$G697)))),COUNT($T$6:$T696)+1,""))</f>
        <v>691</v>
      </c>
    </row>
    <row r="698" customFormat="false" ht="15" hidden="false" customHeight="false" outlineLevel="0" collapsed="false">
      <c r="T698" s="0" t="n">
        <f aca="false">IF(Anforderungen!$B698="","",IF(AND(OR($B5="(alle)",Anforderungen!$K698=$B5),OR($E5="(alle)",Anforderungen!$C698=$E5),OR($H5="(alle)",Anforderungen!$E698=$H5),OR($B7="(alle)",ISNUMBER(SEARCH($B7,Anforderungen!$J698))),OR($E7="(alle)",ISNUMBER(SEARCH($E7,Anforderungen!$I698))),OR($H7="",ISNUMBER(SEARCH($H7,Anforderungen!$F698&amp;" "&amp;Anforderungen!$G698)))),COUNT($T$6:$T697)+1,""))</f>
        <v>692</v>
      </c>
    </row>
    <row r="699" customFormat="false" ht="15" hidden="false" customHeight="false" outlineLevel="0" collapsed="false">
      <c r="T699" s="0" t="n">
        <f aca="false">IF(Anforderungen!$B699="","",IF(AND(OR($B5="(alle)",Anforderungen!$K699=$B5),OR($E5="(alle)",Anforderungen!$C699=$E5),OR($H5="(alle)",Anforderungen!$E699=$H5),OR($B7="(alle)",ISNUMBER(SEARCH($B7,Anforderungen!$J699))),OR($E7="(alle)",ISNUMBER(SEARCH($E7,Anforderungen!$I699))),OR($H7="",ISNUMBER(SEARCH($H7,Anforderungen!$F699&amp;" "&amp;Anforderungen!$G699)))),COUNT($T$6:$T698)+1,""))</f>
        <v>693</v>
      </c>
    </row>
    <row r="700" customFormat="false" ht="15" hidden="false" customHeight="false" outlineLevel="0" collapsed="false">
      <c r="T700" s="0" t="n">
        <f aca="false">IF(Anforderungen!$B700="","",IF(AND(OR($B5="(alle)",Anforderungen!$K700=$B5),OR($E5="(alle)",Anforderungen!$C700=$E5),OR($H5="(alle)",Anforderungen!$E700=$H5),OR($B7="(alle)",ISNUMBER(SEARCH($B7,Anforderungen!$J700))),OR($E7="(alle)",ISNUMBER(SEARCH($E7,Anforderungen!$I700))),OR($H7="",ISNUMBER(SEARCH($H7,Anforderungen!$F700&amp;" "&amp;Anforderungen!$G700)))),COUNT($T$6:$T699)+1,""))</f>
        <v>694</v>
      </c>
    </row>
    <row r="701" customFormat="false" ht="15" hidden="false" customHeight="false" outlineLevel="0" collapsed="false">
      <c r="T701" s="0" t="n">
        <f aca="false">IF(Anforderungen!$B701="","",IF(AND(OR($B5="(alle)",Anforderungen!$K701=$B5),OR($E5="(alle)",Anforderungen!$C701=$E5),OR($H5="(alle)",Anforderungen!$E701=$H5),OR($B7="(alle)",ISNUMBER(SEARCH($B7,Anforderungen!$J701))),OR($E7="(alle)",ISNUMBER(SEARCH($E7,Anforderungen!$I701))),OR($H7="",ISNUMBER(SEARCH($H7,Anforderungen!$F701&amp;" "&amp;Anforderungen!$G701)))),COUNT($T$6:$T700)+1,""))</f>
        <v>695</v>
      </c>
    </row>
    <row r="702" customFormat="false" ht="15" hidden="false" customHeight="false" outlineLevel="0" collapsed="false">
      <c r="T702" s="0" t="n">
        <f aca="false">IF(Anforderungen!$B702="","",IF(AND(OR($B5="(alle)",Anforderungen!$K702=$B5),OR($E5="(alle)",Anforderungen!$C702=$E5),OR($H5="(alle)",Anforderungen!$E702=$H5),OR($B7="(alle)",ISNUMBER(SEARCH($B7,Anforderungen!$J702))),OR($E7="(alle)",ISNUMBER(SEARCH($E7,Anforderungen!$I702))),OR($H7="",ISNUMBER(SEARCH($H7,Anforderungen!$F702&amp;" "&amp;Anforderungen!$G702)))),COUNT($T$6:$T701)+1,""))</f>
        <v>696</v>
      </c>
    </row>
    <row r="703" customFormat="false" ht="15" hidden="false" customHeight="false" outlineLevel="0" collapsed="false">
      <c r="T703" s="0" t="n">
        <f aca="false">IF(Anforderungen!$B703="","",IF(AND(OR($B5="(alle)",Anforderungen!$K703=$B5),OR($E5="(alle)",Anforderungen!$C703=$E5),OR($H5="(alle)",Anforderungen!$E703=$H5),OR($B7="(alle)",ISNUMBER(SEARCH($B7,Anforderungen!$J703))),OR($E7="(alle)",ISNUMBER(SEARCH($E7,Anforderungen!$I703))),OR($H7="",ISNUMBER(SEARCH($H7,Anforderungen!$F703&amp;" "&amp;Anforderungen!$G703)))),COUNT($T$6:$T702)+1,""))</f>
        <v>697</v>
      </c>
    </row>
    <row r="704" customFormat="false" ht="15" hidden="false" customHeight="false" outlineLevel="0" collapsed="false">
      <c r="T704" s="0" t="n">
        <f aca="false">IF(Anforderungen!$B704="","",IF(AND(OR($B5="(alle)",Anforderungen!$K704=$B5),OR($E5="(alle)",Anforderungen!$C704=$E5),OR($H5="(alle)",Anforderungen!$E704=$H5),OR($B7="(alle)",ISNUMBER(SEARCH($B7,Anforderungen!$J704))),OR($E7="(alle)",ISNUMBER(SEARCH($E7,Anforderungen!$I704))),OR($H7="",ISNUMBER(SEARCH($H7,Anforderungen!$F704&amp;" "&amp;Anforderungen!$G704)))),COUNT($T$6:$T703)+1,""))</f>
        <v>698</v>
      </c>
    </row>
    <row r="705" customFormat="false" ht="15" hidden="false" customHeight="false" outlineLevel="0" collapsed="false">
      <c r="T705" s="0" t="n">
        <f aca="false">IF(Anforderungen!$B705="","",IF(AND(OR($B5="(alle)",Anforderungen!$K705=$B5),OR($E5="(alle)",Anforderungen!$C705=$E5),OR($H5="(alle)",Anforderungen!$E705=$H5),OR($B7="(alle)",ISNUMBER(SEARCH($B7,Anforderungen!$J705))),OR($E7="(alle)",ISNUMBER(SEARCH($E7,Anforderungen!$I705))),OR($H7="",ISNUMBER(SEARCH($H7,Anforderungen!$F705&amp;" "&amp;Anforderungen!$G705)))),COUNT($T$6:$T704)+1,""))</f>
        <v>699</v>
      </c>
    </row>
    <row r="706" customFormat="false" ht="15" hidden="false" customHeight="false" outlineLevel="0" collapsed="false">
      <c r="T706" s="0" t="n">
        <f aca="false">IF(Anforderungen!$B706="","",IF(AND(OR($B5="(alle)",Anforderungen!$K706=$B5),OR($E5="(alle)",Anforderungen!$C706=$E5),OR($H5="(alle)",Anforderungen!$E706=$H5),OR($B7="(alle)",ISNUMBER(SEARCH($B7,Anforderungen!$J706))),OR($E7="(alle)",ISNUMBER(SEARCH($E7,Anforderungen!$I706))),OR($H7="",ISNUMBER(SEARCH($H7,Anforderungen!$F706&amp;" "&amp;Anforderungen!$G706)))),COUNT($T$6:$T705)+1,""))</f>
        <v>700</v>
      </c>
    </row>
    <row r="707" customFormat="false" ht="15" hidden="false" customHeight="false" outlineLevel="0" collapsed="false">
      <c r="T707" s="0" t="n">
        <f aca="false">IF(Anforderungen!$B707="","",IF(AND(OR($B5="(alle)",Anforderungen!$K707=$B5),OR($E5="(alle)",Anforderungen!$C707=$E5),OR($H5="(alle)",Anforderungen!$E707=$H5),OR($B7="(alle)",ISNUMBER(SEARCH($B7,Anforderungen!$J707))),OR($E7="(alle)",ISNUMBER(SEARCH($E7,Anforderungen!$I707))),OR($H7="",ISNUMBER(SEARCH($H7,Anforderungen!$F707&amp;" "&amp;Anforderungen!$G707)))),COUNT($T$6:$T706)+1,""))</f>
        <v>701</v>
      </c>
    </row>
    <row r="708" customFormat="false" ht="15" hidden="false" customHeight="false" outlineLevel="0" collapsed="false">
      <c r="T708" s="0" t="n">
        <f aca="false">IF(Anforderungen!$B708="","",IF(AND(OR($B5="(alle)",Anforderungen!$K708=$B5),OR($E5="(alle)",Anforderungen!$C708=$E5),OR($H5="(alle)",Anforderungen!$E708=$H5),OR($B7="(alle)",ISNUMBER(SEARCH($B7,Anforderungen!$J708))),OR($E7="(alle)",ISNUMBER(SEARCH($E7,Anforderungen!$I708))),OR($H7="",ISNUMBER(SEARCH($H7,Anforderungen!$F708&amp;" "&amp;Anforderungen!$G708)))),COUNT($T$6:$T707)+1,""))</f>
        <v>702</v>
      </c>
    </row>
    <row r="709" customFormat="false" ht="15" hidden="false" customHeight="false" outlineLevel="0" collapsed="false">
      <c r="T709" s="0" t="n">
        <f aca="false">IF(Anforderungen!$B709="","",IF(AND(OR($B5="(alle)",Anforderungen!$K709=$B5),OR($E5="(alle)",Anforderungen!$C709=$E5),OR($H5="(alle)",Anforderungen!$E709=$H5),OR($B7="(alle)",ISNUMBER(SEARCH($B7,Anforderungen!$J709))),OR($E7="(alle)",ISNUMBER(SEARCH($E7,Anforderungen!$I709))),OR($H7="",ISNUMBER(SEARCH($H7,Anforderungen!$F709&amp;" "&amp;Anforderungen!$G709)))),COUNT($T$6:$T708)+1,""))</f>
        <v>703</v>
      </c>
    </row>
    <row r="710" customFormat="false" ht="15" hidden="false" customHeight="false" outlineLevel="0" collapsed="false">
      <c r="T710" s="0" t="n">
        <f aca="false">IF(Anforderungen!$B710="","",IF(AND(OR($B5="(alle)",Anforderungen!$K710=$B5),OR($E5="(alle)",Anforderungen!$C710=$E5),OR($H5="(alle)",Anforderungen!$E710=$H5),OR($B7="(alle)",ISNUMBER(SEARCH($B7,Anforderungen!$J710))),OR($E7="(alle)",ISNUMBER(SEARCH($E7,Anforderungen!$I710))),OR($H7="",ISNUMBER(SEARCH($H7,Anforderungen!$F710&amp;" "&amp;Anforderungen!$G710)))),COUNT($T$6:$T709)+1,""))</f>
        <v>704</v>
      </c>
    </row>
    <row r="711" customFormat="false" ht="15" hidden="false" customHeight="false" outlineLevel="0" collapsed="false">
      <c r="T711" s="0" t="n">
        <f aca="false">IF(Anforderungen!$B711="","",IF(AND(OR($B5="(alle)",Anforderungen!$K711=$B5),OR($E5="(alle)",Anforderungen!$C711=$E5),OR($H5="(alle)",Anforderungen!$E711=$H5),OR($B7="(alle)",ISNUMBER(SEARCH($B7,Anforderungen!$J711))),OR($E7="(alle)",ISNUMBER(SEARCH($E7,Anforderungen!$I711))),OR($H7="",ISNUMBER(SEARCH($H7,Anforderungen!$F711&amp;" "&amp;Anforderungen!$G711)))),COUNT($T$6:$T710)+1,""))</f>
        <v>705</v>
      </c>
    </row>
    <row r="712" customFormat="false" ht="15" hidden="false" customHeight="false" outlineLevel="0" collapsed="false">
      <c r="T712" s="0" t="n">
        <f aca="false">IF(Anforderungen!$B712="","",IF(AND(OR($B5="(alle)",Anforderungen!$K712=$B5),OR($E5="(alle)",Anforderungen!$C712=$E5),OR($H5="(alle)",Anforderungen!$E712=$H5),OR($B7="(alle)",ISNUMBER(SEARCH($B7,Anforderungen!$J712))),OR($E7="(alle)",ISNUMBER(SEARCH($E7,Anforderungen!$I712))),OR($H7="",ISNUMBER(SEARCH($H7,Anforderungen!$F712&amp;" "&amp;Anforderungen!$G712)))),COUNT($T$6:$T711)+1,""))</f>
        <v>706</v>
      </c>
    </row>
    <row r="713" customFormat="false" ht="15" hidden="false" customHeight="false" outlineLevel="0" collapsed="false">
      <c r="T713" s="0" t="n">
        <f aca="false">IF(Anforderungen!$B713="","",IF(AND(OR($B5="(alle)",Anforderungen!$K713=$B5),OR($E5="(alle)",Anforderungen!$C713=$E5),OR($H5="(alle)",Anforderungen!$E713=$H5),OR($B7="(alle)",ISNUMBER(SEARCH($B7,Anforderungen!$J713))),OR($E7="(alle)",ISNUMBER(SEARCH($E7,Anforderungen!$I713))),OR($H7="",ISNUMBER(SEARCH($H7,Anforderungen!$F713&amp;" "&amp;Anforderungen!$G713)))),COUNT($T$6:$T712)+1,""))</f>
        <v>707</v>
      </c>
    </row>
    <row r="714" customFormat="false" ht="15" hidden="false" customHeight="false" outlineLevel="0" collapsed="false">
      <c r="T714" s="0" t="n">
        <f aca="false">IF(Anforderungen!$B714="","",IF(AND(OR($B5="(alle)",Anforderungen!$K714=$B5),OR($E5="(alle)",Anforderungen!$C714=$E5),OR($H5="(alle)",Anforderungen!$E714=$H5),OR($B7="(alle)",ISNUMBER(SEARCH($B7,Anforderungen!$J714))),OR($E7="(alle)",ISNUMBER(SEARCH($E7,Anforderungen!$I714))),OR($H7="",ISNUMBER(SEARCH($H7,Anforderungen!$F714&amp;" "&amp;Anforderungen!$G714)))),COUNT($T$6:$T713)+1,""))</f>
        <v>708</v>
      </c>
    </row>
    <row r="715" customFormat="false" ht="15" hidden="false" customHeight="false" outlineLevel="0" collapsed="false">
      <c r="T715" s="0" t="n">
        <f aca="false">IF(Anforderungen!$B715="","",IF(AND(OR($B5="(alle)",Anforderungen!$K715=$B5),OR($E5="(alle)",Anforderungen!$C715=$E5),OR($H5="(alle)",Anforderungen!$E715=$H5),OR($B7="(alle)",ISNUMBER(SEARCH($B7,Anforderungen!$J715))),OR($E7="(alle)",ISNUMBER(SEARCH($E7,Anforderungen!$I715))),OR($H7="",ISNUMBER(SEARCH($H7,Anforderungen!$F715&amp;" "&amp;Anforderungen!$G715)))),COUNT($T$6:$T714)+1,""))</f>
        <v>709</v>
      </c>
    </row>
    <row r="716" customFormat="false" ht="15" hidden="false" customHeight="false" outlineLevel="0" collapsed="false">
      <c r="T716" s="0" t="n">
        <f aca="false">IF(Anforderungen!$B716="","",IF(AND(OR($B5="(alle)",Anforderungen!$K716=$B5),OR($E5="(alle)",Anforderungen!$C716=$E5),OR($H5="(alle)",Anforderungen!$E716=$H5),OR($B7="(alle)",ISNUMBER(SEARCH($B7,Anforderungen!$J716))),OR($E7="(alle)",ISNUMBER(SEARCH($E7,Anforderungen!$I716))),OR($H7="",ISNUMBER(SEARCH($H7,Anforderungen!$F716&amp;" "&amp;Anforderungen!$G716)))),COUNT($T$6:$T715)+1,""))</f>
        <v>710</v>
      </c>
    </row>
    <row r="717" customFormat="false" ht="15" hidden="false" customHeight="false" outlineLevel="0" collapsed="false">
      <c r="T717" s="0" t="n">
        <f aca="false">IF(Anforderungen!$B717="","",IF(AND(OR($B5="(alle)",Anforderungen!$K717=$B5),OR($E5="(alle)",Anforderungen!$C717=$E5),OR($H5="(alle)",Anforderungen!$E717=$H5),OR($B7="(alle)",ISNUMBER(SEARCH($B7,Anforderungen!$J717))),OR($E7="(alle)",ISNUMBER(SEARCH($E7,Anforderungen!$I717))),OR($H7="",ISNUMBER(SEARCH($H7,Anforderungen!$F717&amp;" "&amp;Anforderungen!$G717)))),COUNT($T$6:$T716)+1,""))</f>
        <v>711</v>
      </c>
    </row>
    <row r="718" customFormat="false" ht="15" hidden="false" customHeight="false" outlineLevel="0" collapsed="false">
      <c r="T718" s="0" t="n">
        <f aca="false">IF(Anforderungen!$B718="","",IF(AND(OR($B5="(alle)",Anforderungen!$K718=$B5),OR($E5="(alle)",Anforderungen!$C718=$E5),OR($H5="(alle)",Anforderungen!$E718=$H5),OR($B7="(alle)",ISNUMBER(SEARCH($B7,Anforderungen!$J718))),OR($E7="(alle)",ISNUMBER(SEARCH($E7,Anforderungen!$I718))),OR($H7="",ISNUMBER(SEARCH($H7,Anforderungen!$F718&amp;" "&amp;Anforderungen!$G718)))),COUNT($T$6:$T717)+1,""))</f>
        <v>712</v>
      </c>
    </row>
    <row r="719" customFormat="false" ht="15" hidden="false" customHeight="false" outlineLevel="0" collapsed="false">
      <c r="T719" s="0" t="n">
        <f aca="false">IF(Anforderungen!$B719="","",IF(AND(OR($B5="(alle)",Anforderungen!$K719=$B5),OR($E5="(alle)",Anforderungen!$C719=$E5),OR($H5="(alle)",Anforderungen!$E719=$H5),OR($B7="(alle)",ISNUMBER(SEARCH($B7,Anforderungen!$J719))),OR($E7="(alle)",ISNUMBER(SEARCH($E7,Anforderungen!$I719))),OR($H7="",ISNUMBER(SEARCH($H7,Anforderungen!$F719&amp;" "&amp;Anforderungen!$G719)))),COUNT($T$6:$T718)+1,""))</f>
        <v>713</v>
      </c>
    </row>
    <row r="720" customFormat="false" ht="15" hidden="false" customHeight="false" outlineLevel="0" collapsed="false">
      <c r="T720" s="0" t="n">
        <f aca="false">IF(Anforderungen!$B720="","",IF(AND(OR($B5="(alle)",Anforderungen!$K720=$B5),OR($E5="(alle)",Anforderungen!$C720=$E5),OR($H5="(alle)",Anforderungen!$E720=$H5),OR($B7="(alle)",ISNUMBER(SEARCH($B7,Anforderungen!$J720))),OR($E7="(alle)",ISNUMBER(SEARCH($E7,Anforderungen!$I720))),OR($H7="",ISNUMBER(SEARCH($H7,Anforderungen!$F720&amp;" "&amp;Anforderungen!$G720)))),COUNT($T$6:$T719)+1,""))</f>
        <v>714</v>
      </c>
    </row>
    <row r="721" customFormat="false" ht="15" hidden="false" customHeight="false" outlineLevel="0" collapsed="false">
      <c r="T721" s="0" t="n">
        <f aca="false">IF(Anforderungen!$B721="","",IF(AND(OR($B5="(alle)",Anforderungen!$K721=$B5),OR($E5="(alle)",Anforderungen!$C721=$E5),OR($H5="(alle)",Anforderungen!$E721=$H5),OR($B7="(alle)",ISNUMBER(SEARCH($B7,Anforderungen!$J721))),OR($E7="(alle)",ISNUMBER(SEARCH($E7,Anforderungen!$I721))),OR($H7="",ISNUMBER(SEARCH($H7,Anforderungen!$F721&amp;" "&amp;Anforderungen!$G721)))),COUNT($T$6:$T720)+1,""))</f>
        <v>715</v>
      </c>
    </row>
    <row r="722" customFormat="false" ht="15" hidden="false" customHeight="false" outlineLevel="0" collapsed="false">
      <c r="T722" s="0" t="n">
        <f aca="false">IF(Anforderungen!$B722="","",IF(AND(OR($B5="(alle)",Anforderungen!$K722=$B5),OR($E5="(alle)",Anforderungen!$C722=$E5),OR($H5="(alle)",Anforderungen!$E722=$H5),OR($B7="(alle)",ISNUMBER(SEARCH($B7,Anforderungen!$J722))),OR($E7="(alle)",ISNUMBER(SEARCH($E7,Anforderungen!$I722))),OR($H7="",ISNUMBER(SEARCH($H7,Anforderungen!$F722&amp;" "&amp;Anforderungen!$G722)))),COUNT($T$6:$T721)+1,""))</f>
        <v>716</v>
      </c>
    </row>
    <row r="723" customFormat="false" ht="15" hidden="false" customHeight="false" outlineLevel="0" collapsed="false">
      <c r="T723" s="0" t="n">
        <f aca="false">IF(Anforderungen!$B723="","",IF(AND(OR($B5="(alle)",Anforderungen!$K723=$B5),OR($E5="(alle)",Anforderungen!$C723=$E5),OR($H5="(alle)",Anforderungen!$E723=$H5),OR($B7="(alle)",ISNUMBER(SEARCH($B7,Anforderungen!$J723))),OR($E7="(alle)",ISNUMBER(SEARCH($E7,Anforderungen!$I723))),OR($H7="",ISNUMBER(SEARCH($H7,Anforderungen!$F723&amp;" "&amp;Anforderungen!$G723)))),COUNT($T$6:$T722)+1,""))</f>
        <v>717</v>
      </c>
    </row>
    <row r="724" customFormat="false" ht="15" hidden="false" customHeight="false" outlineLevel="0" collapsed="false">
      <c r="T724" s="0" t="n">
        <f aca="false">IF(Anforderungen!$B724="","",IF(AND(OR($B5="(alle)",Anforderungen!$K724=$B5),OR($E5="(alle)",Anforderungen!$C724=$E5),OR($H5="(alle)",Anforderungen!$E724=$H5),OR($B7="(alle)",ISNUMBER(SEARCH($B7,Anforderungen!$J724))),OR($E7="(alle)",ISNUMBER(SEARCH($E7,Anforderungen!$I724))),OR($H7="",ISNUMBER(SEARCH($H7,Anforderungen!$F724&amp;" "&amp;Anforderungen!$G724)))),COUNT($T$6:$T723)+1,""))</f>
        <v>718</v>
      </c>
    </row>
    <row r="725" customFormat="false" ht="15" hidden="false" customHeight="false" outlineLevel="0" collapsed="false">
      <c r="T725" s="0" t="n">
        <f aca="false">IF(Anforderungen!$B725="","",IF(AND(OR($B5="(alle)",Anforderungen!$K725=$B5),OR($E5="(alle)",Anforderungen!$C725=$E5),OR($H5="(alle)",Anforderungen!$E725=$H5),OR($B7="(alle)",ISNUMBER(SEARCH($B7,Anforderungen!$J725))),OR($E7="(alle)",ISNUMBER(SEARCH($E7,Anforderungen!$I725))),OR($H7="",ISNUMBER(SEARCH($H7,Anforderungen!$F725&amp;" "&amp;Anforderungen!$G725)))),COUNT($T$6:$T724)+1,""))</f>
        <v>719</v>
      </c>
    </row>
    <row r="726" customFormat="false" ht="15" hidden="false" customHeight="false" outlineLevel="0" collapsed="false">
      <c r="T726" s="0" t="n">
        <f aca="false">IF(Anforderungen!$B726="","",IF(AND(OR($B5="(alle)",Anforderungen!$K726=$B5),OR($E5="(alle)",Anforderungen!$C726=$E5),OR($H5="(alle)",Anforderungen!$E726=$H5),OR($B7="(alle)",ISNUMBER(SEARCH($B7,Anforderungen!$J726))),OR($E7="(alle)",ISNUMBER(SEARCH($E7,Anforderungen!$I726))),OR($H7="",ISNUMBER(SEARCH($H7,Anforderungen!$F726&amp;" "&amp;Anforderungen!$G726)))),COUNT($T$6:$T725)+1,""))</f>
        <v>720</v>
      </c>
    </row>
    <row r="727" customFormat="false" ht="15" hidden="false" customHeight="false" outlineLevel="0" collapsed="false">
      <c r="T727" s="0" t="n">
        <f aca="false">IF(Anforderungen!$B727="","",IF(AND(OR($B5="(alle)",Anforderungen!$K727=$B5),OR($E5="(alle)",Anforderungen!$C727=$E5),OR($H5="(alle)",Anforderungen!$E727=$H5),OR($B7="(alle)",ISNUMBER(SEARCH($B7,Anforderungen!$J727))),OR($E7="(alle)",ISNUMBER(SEARCH($E7,Anforderungen!$I727))),OR($H7="",ISNUMBER(SEARCH($H7,Anforderungen!$F727&amp;" "&amp;Anforderungen!$G727)))),COUNT($T$6:$T726)+1,""))</f>
        <v>721</v>
      </c>
    </row>
    <row r="728" customFormat="false" ht="15" hidden="false" customHeight="false" outlineLevel="0" collapsed="false">
      <c r="T728" s="0" t="n">
        <f aca="false">IF(Anforderungen!$B728="","",IF(AND(OR($B5="(alle)",Anforderungen!$K728=$B5),OR($E5="(alle)",Anforderungen!$C728=$E5),OR($H5="(alle)",Anforderungen!$E728=$H5),OR($B7="(alle)",ISNUMBER(SEARCH($B7,Anforderungen!$J728))),OR($E7="(alle)",ISNUMBER(SEARCH($E7,Anforderungen!$I728))),OR($H7="",ISNUMBER(SEARCH($H7,Anforderungen!$F728&amp;" "&amp;Anforderungen!$G728)))),COUNT($T$6:$T727)+1,""))</f>
        <v>722</v>
      </c>
    </row>
    <row r="729" customFormat="false" ht="15" hidden="false" customHeight="false" outlineLevel="0" collapsed="false">
      <c r="T729" s="0" t="n">
        <f aca="false">IF(Anforderungen!$B729="","",IF(AND(OR($B5="(alle)",Anforderungen!$K729=$B5),OR($E5="(alle)",Anforderungen!$C729=$E5),OR($H5="(alle)",Anforderungen!$E729=$H5),OR($B7="(alle)",ISNUMBER(SEARCH($B7,Anforderungen!$J729))),OR($E7="(alle)",ISNUMBER(SEARCH($E7,Anforderungen!$I729))),OR($H7="",ISNUMBER(SEARCH($H7,Anforderungen!$F729&amp;" "&amp;Anforderungen!$G729)))),COUNT($T$6:$T728)+1,""))</f>
        <v>723</v>
      </c>
    </row>
    <row r="730" customFormat="false" ht="15" hidden="false" customHeight="false" outlineLevel="0" collapsed="false">
      <c r="T730" s="0" t="n">
        <f aca="false">IF(Anforderungen!$B730="","",IF(AND(OR($B5="(alle)",Anforderungen!$K730=$B5),OR($E5="(alle)",Anforderungen!$C730=$E5),OR($H5="(alle)",Anforderungen!$E730=$H5),OR($B7="(alle)",ISNUMBER(SEARCH($B7,Anforderungen!$J730))),OR($E7="(alle)",ISNUMBER(SEARCH($E7,Anforderungen!$I730))),OR($H7="",ISNUMBER(SEARCH($H7,Anforderungen!$F730&amp;" "&amp;Anforderungen!$G730)))),COUNT($T$6:$T729)+1,""))</f>
        <v>724</v>
      </c>
    </row>
    <row r="731" customFormat="false" ht="15" hidden="false" customHeight="false" outlineLevel="0" collapsed="false">
      <c r="T731" s="0" t="n">
        <f aca="false">IF(Anforderungen!$B731="","",IF(AND(OR($B5="(alle)",Anforderungen!$K731=$B5),OR($E5="(alle)",Anforderungen!$C731=$E5),OR($H5="(alle)",Anforderungen!$E731=$H5),OR($B7="(alle)",ISNUMBER(SEARCH($B7,Anforderungen!$J731))),OR($E7="(alle)",ISNUMBER(SEARCH($E7,Anforderungen!$I731))),OR($H7="",ISNUMBER(SEARCH($H7,Anforderungen!$F731&amp;" "&amp;Anforderungen!$G731)))),COUNT($T$6:$T730)+1,""))</f>
        <v>725</v>
      </c>
    </row>
    <row r="732" customFormat="false" ht="15" hidden="false" customHeight="false" outlineLevel="0" collapsed="false">
      <c r="T732" s="0" t="n">
        <f aca="false">IF(Anforderungen!$B732="","",IF(AND(OR($B5="(alle)",Anforderungen!$K732=$B5),OR($E5="(alle)",Anforderungen!$C732=$E5),OR($H5="(alle)",Anforderungen!$E732=$H5),OR($B7="(alle)",ISNUMBER(SEARCH($B7,Anforderungen!$J732))),OR($E7="(alle)",ISNUMBER(SEARCH($E7,Anforderungen!$I732))),OR($H7="",ISNUMBER(SEARCH($H7,Anforderungen!$F732&amp;" "&amp;Anforderungen!$G732)))),COUNT($T$6:$T731)+1,""))</f>
        <v>726</v>
      </c>
    </row>
    <row r="733" customFormat="false" ht="15" hidden="false" customHeight="false" outlineLevel="0" collapsed="false">
      <c r="T733" s="0" t="n">
        <f aca="false">IF(Anforderungen!$B733="","",IF(AND(OR($B5="(alle)",Anforderungen!$K733=$B5),OR($E5="(alle)",Anforderungen!$C733=$E5),OR($H5="(alle)",Anforderungen!$E733=$H5),OR($B7="(alle)",ISNUMBER(SEARCH($B7,Anforderungen!$J733))),OR($E7="(alle)",ISNUMBER(SEARCH($E7,Anforderungen!$I733))),OR($H7="",ISNUMBER(SEARCH($H7,Anforderungen!$F733&amp;" "&amp;Anforderungen!$G733)))),COUNT($T$6:$T732)+1,""))</f>
        <v>727</v>
      </c>
    </row>
    <row r="734" customFormat="false" ht="15" hidden="false" customHeight="false" outlineLevel="0" collapsed="false">
      <c r="T734" s="0" t="n">
        <f aca="false">IF(Anforderungen!$B734="","",IF(AND(OR($B5="(alle)",Anforderungen!$K734=$B5),OR($E5="(alle)",Anforderungen!$C734=$E5),OR($H5="(alle)",Anforderungen!$E734=$H5),OR($B7="(alle)",ISNUMBER(SEARCH($B7,Anforderungen!$J734))),OR($E7="(alle)",ISNUMBER(SEARCH($E7,Anforderungen!$I734))),OR($H7="",ISNUMBER(SEARCH($H7,Anforderungen!$F734&amp;" "&amp;Anforderungen!$G734)))),COUNT($T$6:$T733)+1,""))</f>
        <v>728</v>
      </c>
    </row>
    <row r="735" customFormat="false" ht="15" hidden="false" customHeight="false" outlineLevel="0" collapsed="false">
      <c r="T735" s="0" t="n">
        <f aca="false">IF(Anforderungen!$B735="","",IF(AND(OR($B5="(alle)",Anforderungen!$K735=$B5),OR($E5="(alle)",Anforderungen!$C735=$E5),OR($H5="(alle)",Anforderungen!$E735=$H5),OR($B7="(alle)",ISNUMBER(SEARCH($B7,Anforderungen!$J735))),OR($E7="(alle)",ISNUMBER(SEARCH($E7,Anforderungen!$I735))),OR($H7="",ISNUMBER(SEARCH($H7,Anforderungen!$F735&amp;" "&amp;Anforderungen!$G735)))),COUNT($T$6:$T734)+1,""))</f>
        <v>729</v>
      </c>
    </row>
    <row r="736" customFormat="false" ht="15" hidden="false" customHeight="false" outlineLevel="0" collapsed="false">
      <c r="T736" s="0" t="n">
        <f aca="false">IF(Anforderungen!$B736="","",IF(AND(OR($B5="(alle)",Anforderungen!$K736=$B5),OR($E5="(alle)",Anforderungen!$C736=$E5),OR($H5="(alle)",Anforderungen!$E736=$H5),OR($B7="(alle)",ISNUMBER(SEARCH($B7,Anforderungen!$J736))),OR($E7="(alle)",ISNUMBER(SEARCH($E7,Anforderungen!$I736))),OR($H7="",ISNUMBER(SEARCH($H7,Anforderungen!$F736&amp;" "&amp;Anforderungen!$G736)))),COUNT($T$6:$T735)+1,""))</f>
        <v>730</v>
      </c>
    </row>
    <row r="737" customFormat="false" ht="15" hidden="false" customHeight="false" outlineLevel="0" collapsed="false">
      <c r="T737" s="0" t="n">
        <f aca="false">IF(Anforderungen!$B737="","",IF(AND(OR($B5="(alle)",Anforderungen!$K737=$B5),OR($E5="(alle)",Anforderungen!$C737=$E5),OR($H5="(alle)",Anforderungen!$E737=$H5),OR($B7="(alle)",ISNUMBER(SEARCH($B7,Anforderungen!$J737))),OR($E7="(alle)",ISNUMBER(SEARCH($E7,Anforderungen!$I737))),OR($H7="",ISNUMBER(SEARCH($H7,Anforderungen!$F737&amp;" "&amp;Anforderungen!$G737)))),COUNT($T$6:$T736)+1,""))</f>
        <v>731</v>
      </c>
    </row>
    <row r="738" customFormat="false" ht="15" hidden="false" customHeight="false" outlineLevel="0" collapsed="false">
      <c r="T738" s="0" t="n">
        <f aca="false">IF(Anforderungen!$B738="","",IF(AND(OR($B5="(alle)",Anforderungen!$K738=$B5),OR($E5="(alle)",Anforderungen!$C738=$E5),OR($H5="(alle)",Anforderungen!$E738=$H5),OR($B7="(alle)",ISNUMBER(SEARCH($B7,Anforderungen!$J738))),OR($E7="(alle)",ISNUMBER(SEARCH($E7,Anforderungen!$I738))),OR($H7="",ISNUMBER(SEARCH($H7,Anforderungen!$F738&amp;" "&amp;Anforderungen!$G738)))),COUNT($T$6:$T737)+1,""))</f>
        <v>732</v>
      </c>
    </row>
    <row r="739" customFormat="false" ht="15" hidden="false" customHeight="false" outlineLevel="0" collapsed="false">
      <c r="T739" s="0" t="n">
        <f aca="false">IF(Anforderungen!$B739="","",IF(AND(OR($B5="(alle)",Anforderungen!$K739=$B5),OR($E5="(alle)",Anforderungen!$C739=$E5),OR($H5="(alle)",Anforderungen!$E739=$H5),OR($B7="(alle)",ISNUMBER(SEARCH($B7,Anforderungen!$J739))),OR($E7="(alle)",ISNUMBER(SEARCH($E7,Anforderungen!$I739))),OR($H7="",ISNUMBER(SEARCH($H7,Anforderungen!$F739&amp;" "&amp;Anforderungen!$G739)))),COUNT($T$6:$T738)+1,""))</f>
        <v>733</v>
      </c>
    </row>
    <row r="740" customFormat="false" ht="15" hidden="false" customHeight="false" outlineLevel="0" collapsed="false">
      <c r="T740" s="0" t="n">
        <f aca="false">IF(Anforderungen!$B740="","",IF(AND(OR($B5="(alle)",Anforderungen!$K740=$B5),OR($E5="(alle)",Anforderungen!$C740=$E5),OR($H5="(alle)",Anforderungen!$E740=$H5),OR($B7="(alle)",ISNUMBER(SEARCH($B7,Anforderungen!$J740))),OR($E7="(alle)",ISNUMBER(SEARCH($E7,Anforderungen!$I740))),OR($H7="",ISNUMBER(SEARCH($H7,Anforderungen!$F740&amp;" "&amp;Anforderungen!$G740)))),COUNT($T$6:$T739)+1,""))</f>
        <v>734</v>
      </c>
    </row>
    <row r="741" customFormat="false" ht="15" hidden="false" customHeight="false" outlineLevel="0" collapsed="false">
      <c r="T741" s="0" t="n">
        <f aca="false">IF(Anforderungen!$B741="","",IF(AND(OR($B5="(alle)",Anforderungen!$K741=$B5),OR($E5="(alle)",Anforderungen!$C741=$E5),OR($H5="(alle)",Anforderungen!$E741=$H5),OR($B7="(alle)",ISNUMBER(SEARCH($B7,Anforderungen!$J741))),OR($E7="(alle)",ISNUMBER(SEARCH($E7,Anforderungen!$I741))),OR($H7="",ISNUMBER(SEARCH($H7,Anforderungen!$F741&amp;" "&amp;Anforderungen!$G741)))),COUNT($T$6:$T740)+1,""))</f>
        <v>735</v>
      </c>
    </row>
    <row r="742" customFormat="false" ht="15" hidden="false" customHeight="false" outlineLevel="0" collapsed="false">
      <c r="T742" s="0" t="n">
        <f aca="false">IF(Anforderungen!$B742="","",IF(AND(OR($B5="(alle)",Anforderungen!$K742=$B5),OR($E5="(alle)",Anforderungen!$C742=$E5),OR($H5="(alle)",Anforderungen!$E742=$H5),OR($B7="(alle)",ISNUMBER(SEARCH($B7,Anforderungen!$J742))),OR($E7="(alle)",ISNUMBER(SEARCH($E7,Anforderungen!$I742))),OR($H7="",ISNUMBER(SEARCH($H7,Anforderungen!$F742&amp;" "&amp;Anforderungen!$G742)))),COUNT($T$6:$T741)+1,""))</f>
        <v>736</v>
      </c>
    </row>
    <row r="743" customFormat="false" ht="15" hidden="false" customHeight="false" outlineLevel="0" collapsed="false">
      <c r="T743" s="0" t="n">
        <f aca="false">IF(Anforderungen!$B743="","",IF(AND(OR($B5="(alle)",Anforderungen!$K743=$B5),OR($E5="(alle)",Anforderungen!$C743=$E5),OR($H5="(alle)",Anforderungen!$E743=$H5),OR($B7="(alle)",ISNUMBER(SEARCH($B7,Anforderungen!$J743))),OR($E7="(alle)",ISNUMBER(SEARCH($E7,Anforderungen!$I743))),OR($H7="",ISNUMBER(SEARCH($H7,Anforderungen!$F743&amp;" "&amp;Anforderungen!$G743)))),COUNT($T$6:$T742)+1,""))</f>
        <v>737</v>
      </c>
    </row>
    <row r="744" customFormat="false" ht="15" hidden="false" customHeight="false" outlineLevel="0" collapsed="false">
      <c r="T744" s="0" t="n">
        <f aca="false">IF(Anforderungen!$B744="","",IF(AND(OR($B5="(alle)",Anforderungen!$K744=$B5),OR($E5="(alle)",Anforderungen!$C744=$E5),OR($H5="(alle)",Anforderungen!$E744=$H5),OR($B7="(alle)",ISNUMBER(SEARCH($B7,Anforderungen!$J744))),OR($E7="(alle)",ISNUMBER(SEARCH($E7,Anforderungen!$I744))),OR($H7="",ISNUMBER(SEARCH($H7,Anforderungen!$F744&amp;" "&amp;Anforderungen!$G744)))),COUNT($T$6:$T743)+1,""))</f>
        <v>738</v>
      </c>
    </row>
    <row r="745" customFormat="false" ht="15" hidden="false" customHeight="false" outlineLevel="0" collapsed="false">
      <c r="T745" s="0" t="n">
        <f aca="false">IF(Anforderungen!$B745="","",IF(AND(OR($B5="(alle)",Anforderungen!$K745=$B5),OR($E5="(alle)",Anforderungen!$C745=$E5),OR($H5="(alle)",Anforderungen!$E745=$H5),OR($B7="(alle)",ISNUMBER(SEARCH($B7,Anforderungen!$J745))),OR($E7="(alle)",ISNUMBER(SEARCH($E7,Anforderungen!$I745))),OR($H7="",ISNUMBER(SEARCH($H7,Anforderungen!$F745&amp;" "&amp;Anforderungen!$G745)))),COUNT($T$6:$T744)+1,""))</f>
        <v>739</v>
      </c>
    </row>
    <row r="746" customFormat="false" ht="15" hidden="false" customHeight="false" outlineLevel="0" collapsed="false">
      <c r="T746" s="0" t="n">
        <f aca="false">IF(Anforderungen!$B746="","",IF(AND(OR($B5="(alle)",Anforderungen!$K746=$B5),OR($E5="(alle)",Anforderungen!$C746=$E5),OR($H5="(alle)",Anforderungen!$E746=$H5),OR($B7="(alle)",ISNUMBER(SEARCH($B7,Anforderungen!$J746))),OR($E7="(alle)",ISNUMBER(SEARCH($E7,Anforderungen!$I746))),OR($H7="",ISNUMBER(SEARCH($H7,Anforderungen!$F746&amp;" "&amp;Anforderungen!$G746)))),COUNT($T$6:$T745)+1,""))</f>
        <v>740</v>
      </c>
    </row>
    <row r="747" customFormat="false" ht="15" hidden="false" customHeight="false" outlineLevel="0" collapsed="false">
      <c r="T747" s="0" t="n">
        <f aca="false">IF(Anforderungen!$B747="","",IF(AND(OR($B5="(alle)",Anforderungen!$K747=$B5),OR($E5="(alle)",Anforderungen!$C747=$E5),OR($H5="(alle)",Anforderungen!$E747=$H5),OR($B7="(alle)",ISNUMBER(SEARCH($B7,Anforderungen!$J747))),OR($E7="(alle)",ISNUMBER(SEARCH($E7,Anforderungen!$I747))),OR($H7="",ISNUMBER(SEARCH($H7,Anforderungen!$F747&amp;" "&amp;Anforderungen!$G747)))),COUNT($T$6:$T746)+1,""))</f>
        <v>741</v>
      </c>
    </row>
    <row r="748" customFormat="false" ht="15" hidden="false" customHeight="false" outlineLevel="0" collapsed="false">
      <c r="T748" s="0" t="n">
        <f aca="false">IF(Anforderungen!$B748="","",IF(AND(OR($B5="(alle)",Anforderungen!$K748=$B5),OR($E5="(alle)",Anforderungen!$C748=$E5),OR($H5="(alle)",Anforderungen!$E748=$H5),OR($B7="(alle)",ISNUMBER(SEARCH($B7,Anforderungen!$J748))),OR($E7="(alle)",ISNUMBER(SEARCH($E7,Anforderungen!$I748))),OR($H7="",ISNUMBER(SEARCH($H7,Anforderungen!$F748&amp;" "&amp;Anforderungen!$G748)))),COUNT($T$6:$T747)+1,""))</f>
        <v>742</v>
      </c>
    </row>
    <row r="749" customFormat="false" ht="15" hidden="false" customHeight="false" outlineLevel="0" collapsed="false">
      <c r="T749" s="0" t="n">
        <f aca="false">IF(Anforderungen!$B749="","",IF(AND(OR($B5="(alle)",Anforderungen!$K749=$B5),OR($E5="(alle)",Anforderungen!$C749=$E5),OR($H5="(alle)",Anforderungen!$E749=$H5),OR($B7="(alle)",ISNUMBER(SEARCH($B7,Anforderungen!$J749))),OR($E7="(alle)",ISNUMBER(SEARCH($E7,Anforderungen!$I749))),OR($H7="",ISNUMBER(SEARCH($H7,Anforderungen!$F749&amp;" "&amp;Anforderungen!$G749)))),COUNT($T$6:$T748)+1,""))</f>
        <v>743</v>
      </c>
    </row>
    <row r="750" customFormat="false" ht="15" hidden="false" customHeight="false" outlineLevel="0" collapsed="false">
      <c r="T750" s="0" t="n">
        <f aca="false">IF(Anforderungen!$B750="","",IF(AND(OR($B5="(alle)",Anforderungen!$K750=$B5),OR($E5="(alle)",Anforderungen!$C750=$E5),OR($H5="(alle)",Anforderungen!$E750=$H5),OR($B7="(alle)",ISNUMBER(SEARCH($B7,Anforderungen!$J750))),OR($E7="(alle)",ISNUMBER(SEARCH($E7,Anforderungen!$I750))),OR($H7="",ISNUMBER(SEARCH($H7,Anforderungen!$F750&amp;" "&amp;Anforderungen!$G750)))),COUNT($T$6:$T749)+1,""))</f>
        <v>744</v>
      </c>
    </row>
    <row r="751" customFormat="false" ht="15" hidden="false" customHeight="false" outlineLevel="0" collapsed="false">
      <c r="T751" s="0" t="n">
        <f aca="false">IF(Anforderungen!$B751="","",IF(AND(OR($B5="(alle)",Anforderungen!$K751=$B5),OR($E5="(alle)",Anforderungen!$C751=$E5),OR($H5="(alle)",Anforderungen!$E751=$H5),OR($B7="(alle)",ISNUMBER(SEARCH($B7,Anforderungen!$J751))),OR($E7="(alle)",ISNUMBER(SEARCH($E7,Anforderungen!$I751))),OR($H7="",ISNUMBER(SEARCH($H7,Anforderungen!$F751&amp;" "&amp;Anforderungen!$G751)))),COUNT($T$6:$T750)+1,""))</f>
        <v>745</v>
      </c>
    </row>
    <row r="752" customFormat="false" ht="15" hidden="false" customHeight="false" outlineLevel="0" collapsed="false">
      <c r="T752" s="0" t="n">
        <f aca="false">IF(Anforderungen!$B752="","",IF(AND(OR($B5="(alle)",Anforderungen!$K752=$B5),OR($E5="(alle)",Anforderungen!$C752=$E5),OR($H5="(alle)",Anforderungen!$E752=$H5),OR($B7="(alle)",ISNUMBER(SEARCH($B7,Anforderungen!$J752))),OR($E7="(alle)",ISNUMBER(SEARCH($E7,Anforderungen!$I752))),OR($H7="",ISNUMBER(SEARCH($H7,Anforderungen!$F752&amp;" "&amp;Anforderungen!$G752)))),COUNT($T$6:$T751)+1,""))</f>
        <v>746</v>
      </c>
    </row>
    <row r="753" customFormat="false" ht="15" hidden="false" customHeight="false" outlineLevel="0" collapsed="false">
      <c r="T753" s="0" t="n">
        <f aca="false">IF(Anforderungen!$B753="","",IF(AND(OR($B5="(alle)",Anforderungen!$K753=$B5),OR($E5="(alle)",Anforderungen!$C753=$E5),OR($H5="(alle)",Anforderungen!$E753=$H5),OR($B7="(alle)",ISNUMBER(SEARCH($B7,Anforderungen!$J753))),OR($E7="(alle)",ISNUMBER(SEARCH($E7,Anforderungen!$I753))),OR($H7="",ISNUMBER(SEARCH($H7,Anforderungen!$F753&amp;" "&amp;Anforderungen!$G753)))),COUNT($T$6:$T752)+1,""))</f>
        <v>747</v>
      </c>
    </row>
    <row r="754" customFormat="false" ht="15" hidden="false" customHeight="false" outlineLevel="0" collapsed="false">
      <c r="T754" s="0" t="n">
        <f aca="false">IF(Anforderungen!$B754="","",IF(AND(OR($B5="(alle)",Anforderungen!$K754=$B5),OR($E5="(alle)",Anforderungen!$C754=$E5),OR($H5="(alle)",Anforderungen!$E754=$H5),OR($B7="(alle)",ISNUMBER(SEARCH($B7,Anforderungen!$J754))),OR($E7="(alle)",ISNUMBER(SEARCH($E7,Anforderungen!$I754))),OR($H7="",ISNUMBER(SEARCH($H7,Anforderungen!$F754&amp;" "&amp;Anforderungen!$G754)))),COUNT($T$6:$T753)+1,""))</f>
        <v>748</v>
      </c>
    </row>
    <row r="755" customFormat="false" ht="15" hidden="false" customHeight="false" outlineLevel="0" collapsed="false">
      <c r="T755" s="0" t="n">
        <f aca="false">IF(Anforderungen!$B755="","",IF(AND(OR($B5="(alle)",Anforderungen!$K755=$B5),OR($E5="(alle)",Anforderungen!$C755=$E5),OR($H5="(alle)",Anforderungen!$E755=$H5),OR($B7="(alle)",ISNUMBER(SEARCH($B7,Anforderungen!$J755))),OR($E7="(alle)",ISNUMBER(SEARCH($E7,Anforderungen!$I755))),OR($H7="",ISNUMBER(SEARCH($H7,Anforderungen!$F755&amp;" "&amp;Anforderungen!$G755)))),COUNT($T$6:$T754)+1,""))</f>
        <v>749</v>
      </c>
    </row>
    <row r="756" customFormat="false" ht="15" hidden="false" customHeight="false" outlineLevel="0" collapsed="false">
      <c r="T756" s="0" t="n">
        <f aca="false">IF(Anforderungen!$B756="","",IF(AND(OR($B5="(alle)",Anforderungen!$K756=$B5),OR($E5="(alle)",Anforderungen!$C756=$E5),OR($H5="(alle)",Anforderungen!$E756=$H5),OR($B7="(alle)",ISNUMBER(SEARCH($B7,Anforderungen!$J756))),OR($E7="(alle)",ISNUMBER(SEARCH($E7,Anforderungen!$I756))),OR($H7="",ISNUMBER(SEARCH($H7,Anforderungen!$F756&amp;" "&amp;Anforderungen!$G756)))),COUNT($T$6:$T755)+1,""))</f>
        <v>750</v>
      </c>
    </row>
    <row r="757" customFormat="false" ht="15" hidden="false" customHeight="false" outlineLevel="0" collapsed="false">
      <c r="T757" s="0" t="n">
        <f aca="false">IF(Anforderungen!$B757="","",IF(AND(OR($B5="(alle)",Anforderungen!$K757=$B5),OR($E5="(alle)",Anforderungen!$C757=$E5),OR($H5="(alle)",Anforderungen!$E757=$H5),OR($B7="(alle)",ISNUMBER(SEARCH($B7,Anforderungen!$J757))),OR($E7="(alle)",ISNUMBER(SEARCH($E7,Anforderungen!$I757))),OR($H7="",ISNUMBER(SEARCH($H7,Anforderungen!$F757&amp;" "&amp;Anforderungen!$G757)))),COUNT($T$6:$T756)+1,""))</f>
        <v>751</v>
      </c>
    </row>
    <row r="758" customFormat="false" ht="15" hidden="false" customHeight="false" outlineLevel="0" collapsed="false">
      <c r="T758" s="0" t="n">
        <f aca="false">IF(Anforderungen!$B758="","",IF(AND(OR($B5="(alle)",Anforderungen!$K758=$B5),OR($E5="(alle)",Anforderungen!$C758=$E5),OR($H5="(alle)",Anforderungen!$E758=$H5),OR($B7="(alle)",ISNUMBER(SEARCH($B7,Anforderungen!$J758))),OR($E7="(alle)",ISNUMBER(SEARCH($E7,Anforderungen!$I758))),OR($H7="",ISNUMBER(SEARCH($H7,Anforderungen!$F758&amp;" "&amp;Anforderungen!$G758)))),COUNT($T$6:$T757)+1,""))</f>
        <v>752</v>
      </c>
    </row>
    <row r="759" customFormat="false" ht="15" hidden="false" customHeight="false" outlineLevel="0" collapsed="false">
      <c r="T759" s="0" t="n">
        <f aca="false">IF(Anforderungen!$B759="","",IF(AND(OR($B5="(alle)",Anforderungen!$K759=$B5),OR($E5="(alle)",Anforderungen!$C759=$E5),OR($H5="(alle)",Anforderungen!$E759=$H5),OR($B7="(alle)",ISNUMBER(SEARCH($B7,Anforderungen!$J759))),OR($E7="(alle)",ISNUMBER(SEARCH($E7,Anforderungen!$I759))),OR($H7="",ISNUMBER(SEARCH($H7,Anforderungen!$F759&amp;" "&amp;Anforderungen!$G759)))),COUNT($T$6:$T758)+1,""))</f>
        <v>753</v>
      </c>
    </row>
    <row r="760" customFormat="false" ht="15" hidden="false" customHeight="false" outlineLevel="0" collapsed="false">
      <c r="T760" s="0" t="n">
        <f aca="false">IF(Anforderungen!$B760="","",IF(AND(OR($B5="(alle)",Anforderungen!$K760=$B5),OR($E5="(alle)",Anforderungen!$C760=$E5),OR($H5="(alle)",Anforderungen!$E760=$H5),OR($B7="(alle)",ISNUMBER(SEARCH($B7,Anforderungen!$J760))),OR($E7="(alle)",ISNUMBER(SEARCH($E7,Anforderungen!$I760))),OR($H7="",ISNUMBER(SEARCH($H7,Anforderungen!$F760&amp;" "&amp;Anforderungen!$G760)))),COUNT($T$6:$T759)+1,""))</f>
        <v>754</v>
      </c>
    </row>
    <row r="761" customFormat="false" ht="15" hidden="false" customHeight="false" outlineLevel="0" collapsed="false">
      <c r="T761" s="0" t="n">
        <f aca="false">IF(Anforderungen!$B761="","",IF(AND(OR($B5="(alle)",Anforderungen!$K761=$B5),OR($E5="(alle)",Anforderungen!$C761=$E5),OR($H5="(alle)",Anforderungen!$E761=$H5),OR($B7="(alle)",ISNUMBER(SEARCH($B7,Anforderungen!$J761))),OR($E7="(alle)",ISNUMBER(SEARCH($E7,Anforderungen!$I761))),OR($H7="",ISNUMBER(SEARCH($H7,Anforderungen!$F761&amp;" "&amp;Anforderungen!$G761)))),COUNT($T$6:$T760)+1,""))</f>
        <v>755</v>
      </c>
    </row>
    <row r="762" customFormat="false" ht="15" hidden="false" customHeight="false" outlineLevel="0" collapsed="false">
      <c r="T762" s="0" t="n">
        <f aca="false">IF(Anforderungen!$B762="","",IF(AND(OR($B5="(alle)",Anforderungen!$K762=$B5),OR($E5="(alle)",Anforderungen!$C762=$E5),OR($H5="(alle)",Anforderungen!$E762=$H5),OR($B7="(alle)",ISNUMBER(SEARCH($B7,Anforderungen!$J762))),OR($E7="(alle)",ISNUMBER(SEARCH($E7,Anforderungen!$I762))),OR($H7="",ISNUMBER(SEARCH($H7,Anforderungen!$F762&amp;" "&amp;Anforderungen!$G762)))),COUNT($T$6:$T761)+1,""))</f>
        <v>756</v>
      </c>
    </row>
    <row r="763" customFormat="false" ht="15" hidden="false" customHeight="false" outlineLevel="0" collapsed="false">
      <c r="T763" s="0" t="n">
        <f aca="false">IF(Anforderungen!$B763="","",IF(AND(OR($B5="(alle)",Anforderungen!$K763=$B5),OR($E5="(alle)",Anforderungen!$C763=$E5),OR($H5="(alle)",Anforderungen!$E763=$H5),OR($B7="(alle)",ISNUMBER(SEARCH($B7,Anforderungen!$J763))),OR($E7="(alle)",ISNUMBER(SEARCH($E7,Anforderungen!$I763))),OR($H7="",ISNUMBER(SEARCH($H7,Anforderungen!$F763&amp;" "&amp;Anforderungen!$G763)))),COUNT($T$6:$T762)+1,""))</f>
        <v>757</v>
      </c>
    </row>
    <row r="764" customFormat="false" ht="15" hidden="false" customHeight="false" outlineLevel="0" collapsed="false">
      <c r="T764" s="0" t="n">
        <f aca="false">IF(Anforderungen!$B764="","",IF(AND(OR($B5="(alle)",Anforderungen!$K764=$B5),OR($E5="(alle)",Anforderungen!$C764=$E5),OR($H5="(alle)",Anforderungen!$E764=$H5),OR($B7="(alle)",ISNUMBER(SEARCH($B7,Anforderungen!$J764))),OR($E7="(alle)",ISNUMBER(SEARCH($E7,Anforderungen!$I764))),OR($H7="",ISNUMBER(SEARCH($H7,Anforderungen!$F764&amp;" "&amp;Anforderungen!$G764)))),COUNT($T$6:$T763)+1,""))</f>
        <v>758</v>
      </c>
    </row>
    <row r="765" customFormat="false" ht="15" hidden="false" customHeight="false" outlineLevel="0" collapsed="false">
      <c r="T765" s="0" t="n">
        <f aca="false">IF(Anforderungen!$B765="","",IF(AND(OR($B5="(alle)",Anforderungen!$K765=$B5),OR($E5="(alle)",Anforderungen!$C765=$E5),OR($H5="(alle)",Anforderungen!$E765=$H5),OR($B7="(alle)",ISNUMBER(SEARCH($B7,Anforderungen!$J765))),OR($E7="(alle)",ISNUMBER(SEARCH($E7,Anforderungen!$I765))),OR($H7="",ISNUMBER(SEARCH($H7,Anforderungen!$F765&amp;" "&amp;Anforderungen!$G765)))),COUNT($T$6:$T764)+1,""))</f>
        <v>759</v>
      </c>
    </row>
    <row r="766" customFormat="false" ht="15" hidden="false" customHeight="false" outlineLevel="0" collapsed="false">
      <c r="T766" s="0" t="n">
        <f aca="false">IF(Anforderungen!$B766="","",IF(AND(OR($B5="(alle)",Anforderungen!$K766=$B5),OR($E5="(alle)",Anforderungen!$C766=$E5),OR($H5="(alle)",Anforderungen!$E766=$H5),OR($B7="(alle)",ISNUMBER(SEARCH($B7,Anforderungen!$J766))),OR($E7="(alle)",ISNUMBER(SEARCH($E7,Anforderungen!$I766))),OR($H7="",ISNUMBER(SEARCH($H7,Anforderungen!$F766&amp;" "&amp;Anforderungen!$G766)))),COUNT($T$6:$T765)+1,""))</f>
        <v>760</v>
      </c>
    </row>
    <row r="767" customFormat="false" ht="15" hidden="false" customHeight="false" outlineLevel="0" collapsed="false">
      <c r="T767" s="0" t="n">
        <f aca="false">IF(Anforderungen!$B767="","",IF(AND(OR($B5="(alle)",Anforderungen!$K767=$B5),OR($E5="(alle)",Anforderungen!$C767=$E5),OR($H5="(alle)",Anforderungen!$E767=$H5),OR($B7="(alle)",ISNUMBER(SEARCH($B7,Anforderungen!$J767))),OR($E7="(alle)",ISNUMBER(SEARCH($E7,Anforderungen!$I767))),OR($H7="",ISNUMBER(SEARCH($H7,Anforderungen!$F767&amp;" "&amp;Anforderungen!$G767)))),COUNT($T$6:$T766)+1,""))</f>
        <v>761</v>
      </c>
    </row>
    <row r="768" customFormat="false" ht="15" hidden="false" customHeight="false" outlineLevel="0" collapsed="false">
      <c r="T768" s="0" t="n">
        <f aca="false">IF(Anforderungen!$B768="","",IF(AND(OR($B5="(alle)",Anforderungen!$K768=$B5),OR($E5="(alle)",Anforderungen!$C768=$E5),OR($H5="(alle)",Anforderungen!$E768=$H5),OR($B7="(alle)",ISNUMBER(SEARCH($B7,Anforderungen!$J768))),OR($E7="(alle)",ISNUMBER(SEARCH($E7,Anforderungen!$I768))),OR($H7="",ISNUMBER(SEARCH($H7,Anforderungen!$F768&amp;" "&amp;Anforderungen!$G768)))),COUNT($T$6:$T767)+1,""))</f>
        <v>762</v>
      </c>
    </row>
    <row r="769" customFormat="false" ht="15" hidden="false" customHeight="false" outlineLevel="0" collapsed="false">
      <c r="T769" s="0" t="n">
        <f aca="false">IF(Anforderungen!$B769="","",IF(AND(OR($B5="(alle)",Anforderungen!$K769=$B5),OR($E5="(alle)",Anforderungen!$C769=$E5),OR($H5="(alle)",Anforderungen!$E769=$H5),OR($B7="(alle)",ISNUMBER(SEARCH($B7,Anforderungen!$J769))),OR($E7="(alle)",ISNUMBER(SEARCH($E7,Anforderungen!$I769))),OR($H7="",ISNUMBER(SEARCH($H7,Anforderungen!$F769&amp;" "&amp;Anforderungen!$G769)))),COUNT($T$6:$T768)+1,""))</f>
        <v>763</v>
      </c>
    </row>
    <row r="770" customFormat="false" ht="15" hidden="false" customHeight="false" outlineLevel="0" collapsed="false">
      <c r="T770" s="0" t="n">
        <f aca="false">IF(Anforderungen!$B770="","",IF(AND(OR($B5="(alle)",Anforderungen!$K770=$B5),OR($E5="(alle)",Anforderungen!$C770=$E5),OR($H5="(alle)",Anforderungen!$E770=$H5),OR($B7="(alle)",ISNUMBER(SEARCH($B7,Anforderungen!$J770))),OR($E7="(alle)",ISNUMBER(SEARCH($E7,Anforderungen!$I770))),OR($H7="",ISNUMBER(SEARCH($H7,Anforderungen!$F770&amp;" "&amp;Anforderungen!$G770)))),COUNT($T$6:$T769)+1,""))</f>
        <v>764</v>
      </c>
    </row>
    <row r="771" customFormat="false" ht="15" hidden="false" customHeight="false" outlineLevel="0" collapsed="false">
      <c r="T771" s="0" t="n">
        <f aca="false">IF(Anforderungen!$B771="","",IF(AND(OR($B5="(alle)",Anforderungen!$K771=$B5),OR($E5="(alle)",Anforderungen!$C771=$E5),OR($H5="(alle)",Anforderungen!$E771=$H5),OR($B7="(alle)",ISNUMBER(SEARCH($B7,Anforderungen!$J771))),OR($E7="(alle)",ISNUMBER(SEARCH($E7,Anforderungen!$I771))),OR($H7="",ISNUMBER(SEARCH($H7,Anforderungen!$F771&amp;" "&amp;Anforderungen!$G771)))),COUNT($T$6:$T770)+1,""))</f>
        <v>765</v>
      </c>
    </row>
    <row r="772" customFormat="false" ht="15" hidden="false" customHeight="false" outlineLevel="0" collapsed="false">
      <c r="T772" s="0" t="n">
        <f aca="false">IF(Anforderungen!$B772="","",IF(AND(OR($B5="(alle)",Anforderungen!$K772=$B5),OR($E5="(alle)",Anforderungen!$C772=$E5),OR($H5="(alle)",Anforderungen!$E772=$H5),OR($B7="(alle)",ISNUMBER(SEARCH($B7,Anforderungen!$J772))),OR($E7="(alle)",ISNUMBER(SEARCH($E7,Anforderungen!$I772))),OR($H7="",ISNUMBER(SEARCH($H7,Anforderungen!$F772&amp;" "&amp;Anforderungen!$G772)))),COUNT($T$6:$T771)+1,""))</f>
        <v>766</v>
      </c>
    </row>
    <row r="773" customFormat="false" ht="15" hidden="false" customHeight="false" outlineLevel="0" collapsed="false">
      <c r="T773" s="0" t="n">
        <f aca="false">IF(Anforderungen!$B773="","",IF(AND(OR($B5="(alle)",Anforderungen!$K773=$B5),OR($E5="(alle)",Anforderungen!$C773=$E5),OR($H5="(alle)",Anforderungen!$E773=$H5),OR($B7="(alle)",ISNUMBER(SEARCH($B7,Anforderungen!$J773))),OR($E7="(alle)",ISNUMBER(SEARCH($E7,Anforderungen!$I773))),OR($H7="",ISNUMBER(SEARCH($H7,Anforderungen!$F773&amp;" "&amp;Anforderungen!$G773)))),COUNT($T$6:$T772)+1,""))</f>
        <v>767</v>
      </c>
    </row>
    <row r="774" customFormat="false" ht="15" hidden="false" customHeight="false" outlineLevel="0" collapsed="false">
      <c r="T774" s="0" t="n">
        <f aca="false">IF(Anforderungen!$B774="","",IF(AND(OR($B5="(alle)",Anforderungen!$K774=$B5),OR($E5="(alle)",Anforderungen!$C774=$E5),OR($H5="(alle)",Anforderungen!$E774=$H5),OR($B7="(alle)",ISNUMBER(SEARCH($B7,Anforderungen!$J774))),OR($E7="(alle)",ISNUMBER(SEARCH($E7,Anforderungen!$I774))),OR($H7="",ISNUMBER(SEARCH($H7,Anforderungen!$F774&amp;" "&amp;Anforderungen!$G774)))),COUNT($T$6:$T773)+1,""))</f>
        <v>768</v>
      </c>
    </row>
    <row r="775" customFormat="false" ht="15" hidden="false" customHeight="false" outlineLevel="0" collapsed="false">
      <c r="T775" s="0" t="n">
        <f aca="false">IF(Anforderungen!$B775="","",IF(AND(OR($B5="(alle)",Anforderungen!$K775=$B5),OR($E5="(alle)",Anforderungen!$C775=$E5),OR($H5="(alle)",Anforderungen!$E775=$H5),OR($B7="(alle)",ISNUMBER(SEARCH($B7,Anforderungen!$J775))),OR($E7="(alle)",ISNUMBER(SEARCH($E7,Anforderungen!$I775))),OR($H7="",ISNUMBER(SEARCH($H7,Anforderungen!$F775&amp;" "&amp;Anforderungen!$G775)))),COUNT($T$6:$T774)+1,""))</f>
        <v>769</v>
      </c>
    </row>
    <row r="776" customFormat="false" ht="15" hidden="false" customHeight="false" outlineLevel="0" collapsed="false">
      <c r="T776" s="0" t="n">
        <f aca="false">IF(Anforderungen!$B776="","",IF(AND(OR($B5="(alle)",Anforderungen!$K776=$B5),OR($E5="(alle)",Anforderungen!$C776=$E5),OR($H5="(alle)",Anforderungen!$E776=$H5),OR($B7="(alle)",ISNUMBER(SEARCH($B7,Anforderungen!$J776))),OR($E7="(alle)",ISNUMBER(SEARCH($E7,Anforderungen!$I776))),OR($H7="",ISNUMBER(SEARCH($H7,Anforderungen!$F776&amp;" "&amp;Anforderungen!$G776)))),COUNT($T$6:$T775)+1,""))</f>
        <v>770</v>
      </c>
    </row>
    <row r="777" customFormat="false" ht="15" hidden="false" customHeight="false" outlineLevel="0" collapsed="false">
      <c r="T777" s="0" t="n">
        <f aca="false">IF(Anforderungen!$B777="","",IF(AND(OR($B5="(alle)",Anforderungen!$K777=$B5),OR($E5="(alle)",Anforderungen!$C777=$E5),OR($H5="(alle)",Anforderungen!$E777=$H5),OR($B7="(alle)",ISNUMBER(SEARCH($B7,Anforderungen!$J777))),OR($E7="(alle)",ISNUMBER(SEARCH($E7,Anforderungen!$I777))),OR($H7="",ISNUMBER(SEARCH($H7,Anforderungen!$F777&amp;" "&amp;Anforderungen!$G777)))),COUNT($T$6:$T776)+1,""))</f>
        <v>771</v>
      </c>
    </row>
    <row r="778" customFormat="false" ht="15" hidden="false" customHeight="false" outlineLevel="0" collapsed="false">
      <c r="T778" s="0" t="n">
        <f aca="false">IF(Anforderungen!$B778="","",IF(AND(OR($B5="(alle)",Anforderungen!$K778=$B5),OR($E5="(alle)",Anforderungen!$C778=$E5),OR($H5="(alle)",Anforderungen!$E778=$H5),OR($B7="(alle)",ISNUMBER(SEARCH($B7,Anforderungen!$J778))),OR($E7="(alle)",ISNUMBER(SEARCH($E7,Anforderungen!$I778))),OR($H7="",ISNUMBER(SEARCH($H7,Anforderungen!$F778&amp;" "&amp;Anforderungen!$G778)))),COUNT($T$6:$T777)+1,""))</f>
        <v>772</v>
      </c>
    </row>
    <row r="779" customFormat="false" ht="15" hidden="false" customHeight="false" outlineLevel="0" collapsed="false">
      <c r="T779" s="0" t="n">
        <f aca="false">IF(Anforderungen!$B779="","",IF(AND(OR($B5="(alle)",Anforderungen!$K779=$B5),OR($E5="(alle)",Anforderungen!$C779=$E5),OR($H5="(alle)",Anforderungen!$E779=$H5),OR($B7="(alle)",ISNUMBER(SEARCH($B7,Anforderungen!$J779))),OR($E7="(alle)",ISNUMBER(SEARCH($E7,Anforderungen!$I779))),OR($H7="",ISNUMBER(SEARCH($H7,Anforderungen!$F779&amp;" "&amp;Anforderungen!$G779)))),COUNT($T$6:$T778)+1,""))</f>
        <v>773</v>
      </c>
    </row>
    <row r="780" customFormat="false" ht="15" hidden="false" customHeight="false" outlineLevel="0" collapsed="false">
      <c r="T780" s="0" t="n">
        <f aca="false">IF(Anforderungen!$B780="","",IF(AND(OR($B5="(alle)",Anforderungen!$K780=$B5),OR($E5="(alle)",Anforderungen!$C780=$E5),OR($H5="(alle)",Anforderungen!$E780=$H5),OR($B7="(alle)",ISNUMBER(SEARCH($B7,Anforderungen!$J780))),OR($E7="(alle)",ISNUMBER(SEARCH($E7,Anforderungen!$I780))),OR($H7="",ISNUMBER(SEARCH($H7,Anforderungen!$F780&amp;" "&amp;Anforderungen!$G780)))),COUNT($T$6:$T779)+1,""))</f>
        <v>774</v>
      </c>
    </row>
    <row r="781" customFormat="false" ht="15" hidden="false" customHeight="false" outlineLevel="0" collapsed="false">
      <c r="T781" s="0" t="n">
        <f aca="false">IF(Anforderungen!$B781="","",IF(AND(OR($B5="(alle)",Anforderungen!$K781=$B5),OR($E5="(alle)",Anforderungen!$C781=$E5),OR($H5="(alle)",Anforderungen!$E781=$H5),OR($B7="(alle)",ISNUMBER(SEARCH($B7,Anforderungen!$J781))),OR($E7="(alle)",ISNUMBER(SEARCH($E7,Anforderungen!$I781))),OR($H7="",ISNUMBER(SEARCH($H7,Anforderungen!$F781&amp;" "&amp;Anforderungen!$G781)))),COUNT($T$6:$T780)+1,""))</f>
        <v>775</v>
      </c>
    </row>
    <row r="782" customFormat="false" ht="15" hidden="false" customHeight="false" outlineLevel="0" collapsed="false">
      <c r="T782" s="0" t="n">
        <f aca="false">IF(Anforderungen!$B782="","",IF(AND(OR($B5="(alle)",Anforderungen!$K782=$B5),OR($E5="(alle)",Anforderungen!$C782=$E5),OR($H5="(alle)",Anforderungen!$E782=$H5),OR($B7="(alle)",ISNUMBER(SEARCH($B7,Anforderungen!$J782))),OR($E7="(alle)",ISNUMBER(SEARCH($E7,Anforderungen!$I782))),OR($H7="",ISNUMBER(SEARCH($H7,Anforderungen!$F782&amp;" "&amp;Anforderungen!$G782)))),COUNT($T$6:$T781)+1,""))</f>
        <v>776</v>
      </c>
    </row>
    <row r="783" customFormat="false" ht="15" hidden="false" customHeight="false" outlineLevel="0" collapsed="false">
      <c r="T783" s="0" t="n">
        <f aca="false">IF(Anforderungen!$B783="","",IF(AND(OR($B5="(alle)",Anforderungen!$K783=$B5),OR($E5="(alle)",Anforderungen!$C783=$E5),OR($H5="(alle)",Anforderungen!$E783=$H5),OR($B7="(alle)",ISNUMBER(SEARCH($B7,Anforderungen!$J783))),OR($E7="(alle)",ISNUMBER(SEARCH($E7,Anforderungen!$I783))),OR($H7="",ISNUMBER(SEARCH($H7,Anforderungen!$F783&amp;" "&amp;Anforderungen!$G783)))),COUNT($T$6:$T782)+1,""))</f>
        <v>777</v>
      </c>
    </row>
    <row r="784" customFormat="false" ht="15" hidden="false" customHeight="false" outlineLevel="0" collapsed="false">
      <c r="T784" s="0" t="n">
        <f aca="false">IF(Anforderungen!$B784="","",IF(AND(OR($B5="(alle)",Anforderungen!$K784=$B5),OR($E5="(alle)",Anforderungen!$C784=$E5),OR($H5="(alle)",Anforderungen!$E784=$H5),OR($B7="(alle)",ISNUMBER(SEARCH($B7,Anforderungen!$J784))),OR($E7="(alle)",ISNUMBER(SEARCH($E7,Anforderungen!$I784))),OR($H7="",ISNUMBER(SEARCH($H7,Anforderungen!$F784&amp;" "&amp;Anforderungen!$G784)))),COUNT($T$6:$T783)+1,""))</f>
        <v>778</v>
      </c>
    </row>
    <row r="785" customFormat="false" ht="15" hidden="false" customHeight="false" outlineLevel="0" collapsed="false">
      <c r="T785" s="0" t="n">
        <f aca="false">IF(Anforderungen!$B785="","",IF(AND(OR($B5="(alle)",Anforderungen!$K785=$B5),OR($E5="(alle)",Anforderungen!$C785=$E5),OR($H5="(alle)",Anforderungen!$E785=$H5),OR($B7="(alle)",ISNUMBER(SEARCH($B7,Anforderungen!$J785))),OR($E7="(alle)",ISNUMBER(SEARCH($E7,Anforderungen!$I785))),OR($H7="",ISNUMBER(SEARCH($H7,Anforderungen!$F785&amp;" "&amp;Anforderungen!$G785)))),COUNT($T$6:$T784)+1,""))</f>
        <v>779</v>
      </c>
    </row>
    <row r="786" customFormat="false" ht="15" hidden="false" customHeight="false" outlineLevel="0" collapsed="false">
      <c r="T786" s="0" t="n">
        <f aca="false">IF(Anforderungen!$B786="","",IF(AND(OR($B5="(alle)",Anforderungen!$K786=$B5),OR($E5="(alle)",Anforderungen!$C786=$E5),OR($H5="(alle)",Anforderungen!$E786=$H5),OR($B7="(alle)",ISNUMBER(SEARCH($B7,Anforderungen!$J786))),OR($E7="(alle)",ISNUMBER(SEARCH($E7,Anforderungen!$I786))),OR($H7="",ISNUMBER(SEARCH($H7,Anforderungen!$F786&amp;" "&amp;Anforderungen!$G786)))),COUNT($T$6:$T785)+1,""))</f>
        <v>780</v>
      </c>
    </row>
    <row r="787" customFormat="false" ht="15" hidden="false" customHeight="false" outlineLevel="0" collapsed="false">
      <c r="T787" s="0" t="n">
        <f aca="false">IF(Anforderungen!$B787="","",IF(AND(OR($B5="(alle)",Anforderungen!$K787=$B5),OR($E5="(alle)",Anforderungen!$C787=$E5),OR($H5="(alle)",Anforderungen!$E787=$H5),OR($B7="(alle)",ISNUMBER(SEARCH($B7,Anforderungen!$J787))),OR($E7="(alle)",ISNUMBER(SEARCH($E7,Anforderungen!$I787))),OR($H7="",ISNUMBER(SEARCH($H7,Anforderungen!$F787&amp;" "&amp;Anforderungen!$G787)))),COUNT($T$6:$T786)+1,""))</f>
        <v>781</v>
      </c>
    </row>
    <row r="788" customFormat="false" ht="15" hidden="false" customHeight="false" outlineLevel="0" collapsed="false">
      <c r="T788" s="0" t="n">
        <f aca="false">IF(Anforderungen!$B788="","",IF(AND(OR($B5="(alle)",Anforderungen!$K788=$B5),OR($E5="(alle)",Anforderungen!$C788=$E5),OR($H5="(alle)",Anforderungen!$E788=$H5),OR($B7="(alle)",ISNUMBER(SEARCH($B7,Anforderungen!$J788))),OR($E7="(alle)",ISNUMBER(SEARCH($E7,Anforderungen!$I788))),OR($H7="",ISNUMBER(SEARCH($H7,Anforderungen!$F788&amp;" "&amp;Anforderungen!$G788)))),COUNT($T$6:$T787)+1,""))</f>
        <v>782</v>
      </c>
    </row>
    <row r="789" customFormat="false" ht="15" hidden="false" customHeight="false" outlineLevel="0" collapsed="false">
      <c r="T789" s="0" t="n">
        <f aca="false">IF(Anforderungen!$B789="","",IF(AND(OR($B5="(alle)",Anforderungen!$K789=$B5),OR($E5="(alle)",Anforderungen!$C789=$E5),OR($H5="(alle)",Anforderungen!$E789=$H5),OR($B7="(alle)",ISNUMBER(SEARCH($B7,Anforderungen!$J789))),OR($E7="(alle)",ISNUMBER(SEARCH($E7,Anforderungen!$I789))),OR($H7="",ISNUMBER(SEARCH($H7,Anforderungen!$F789&amp;" "&amp;Anforderungen!$G789)))),COUNT($T$6:$T788)+1,""))</f>
        <v>783</v>
      </c>
    </row>
    <row r="790" customFormat="false" ht="15" hidden="false" customHeight="false" outlineLevel="0" collapsed="false">
      <c r="T790" s="0" t="n">
        <f aca="false">IF(Anforderungen!$B790="","",IF(AND(OR($B5="(alle)",Anforderungen!$K790=$B5),OR($E5="(alle)",Anforderungen!$C790=$E5),OR($H5="(alle)",Anforderungen!$E790=$H5),OR($B7="(alle)",ISNUMBER(SEARCH($B7,Anforderungen!$J790))),OR($E7="(alle)",ISNUMBER(SEARCH($E7,Anforderungen!$I790))),OR($H7="",ISNUMBER(SEARCH($H7,Anforderungen!$F790&amp;" "&amp;Anforderungen!$G790)))),COUNT($T$6:$T789)+1,""))</f>
        <v>784</v>
      </c>
    </row>
    <row r="791" customFormat="false" ht="15" hidden="false" customHeight="false" outlineLevel="0" collapsed="false">
      <c r="T791" s="0" t="n">
        <f aca="false">IF(Anforderungen!$B791="","",IF(AND(OR($B5="(alle)",Anforderungen!$K791=$B5),OR($E5="(alle)",Anforderungen!$C791=$E5),OR($H5="(alle)",Anforderungen!$E791=$H5),OR($B7="(alle)",ISNUMBER(SEARCH($B7,Anforderungen!$J791))),OR($E7="(alle)",ISNUMBER(SEARCH($E7,Anforderungen!$I791))),OR($H7="",ISNUMBER(SEARCH($H7,Anforderungen!$F791&amp;" "&amp;Anforderungen!$G791)))),COUNT($T$6:$T790)+1,""))</f>
        <v>785</v>
      </c>
    </row>
    <row r="792" customFormat="false" ht="15" hidden="false" customHeight="false" outlineLevel="0" collapsed="false">
      <c r="T792" s="0" t="n">
        <f aca="false">IF(Anforderungen!$B792="","",IF(AND(OR($B5="(alle)",Anforderungen!$K792=$B5),OR($E5="(alle)",Anforderungen!$C792=$E5),OR($H5="(alle)",Anforderungen!$E792=$H5),OR($B7="(alle)",ISNUMBER(SEARCH($B7,Anforderungen!$J792))),OR($E7="(alle)",ISNUMBER(SEARCH($E7,Anforderungen!$I792))),OR($H7="",ISNUMBER(SEARCH($H7,Anforderungen!$F792&amp;" "&amp;Anforderungen!$G792)))),COUNT($T$6:$T791)+1,""))</f>
        <v>786</v>
      </c>
    </row>
    <row r="793" customFormat="false" ht="15" hidden="false" customHeight="false" outlineLevel="0" collapsed="false">
      <c r="T793" s="0" t="n">
        <f aca="false">IF(Anforderungen!$B793="","",IF(AND(OR($B5="(alle)",Anforderungen!$K793=$B5),OR($E5="(alle)",Anforderungen!$C793=$E5),OR($H5="(alle)",Anforderungen!$E793=$H5),OR($B7="(alle)",ISNUMBER(SEARCH($B7,Anforderungen!$J793))),OR($E7="(alle)",ISNUMBER(SEARCH($E7,Anforderungen!$I793))),OR($H7="",ISNUMBER(SEARCH($H7,Anforderungen!$F793&amp;" "&amp;Anforderungen!$G793)))),COUNT($T$6:$T792)+1,""))</f>
        <v>787</v>
      </c>
    </row>
    <row r="794" customFormat="false" ht="15" hidden="false" customHeight="false" outlineLevel="0" collapsed="false">
      <c r="T794" s="0" t="n">
        <f aca="false">IF(Anforderungen!$B794="","",IF(AND(OR($B5="(alle)",Anforderungen!$K794=$B5),OR($E5="(alle)",Anforderungen!$C794=$E5),OR($H5="(alle)",Anforderungen!$E794=$H5),OR($B7="(alle)",ISNUMBER(SEARCH($B7,Anforderungen!$J794))),OR($E7="(alle)",ISNUMBER(SEARCH($E7,Anforderungen!$I794))),OR($H7="",ISNUMBER(SEARCH($H7,Anforderungen!$F794&amp;" "&amp;Anforderungen!$G794)))),COUNT($T$6:$T793)+1,""))</f>
        <v>788</v>
      </c>
    </row>
    <row r="795" customFormat="false" ht="15" hidden="false" customHeight="false" outlineLevel="0" collapsed="false">
      <c r="T795" s="0" t="n">
        <f aca="false">IF(Anforderungen!$B795="","",IF(AND(OR($B5="(alle)",Anforderungen!$K795=$B5),OR($E5="(alle)",Anforderungen!$C795=$E5),OR($H5="(alle)",Anforderungen!$E795=$H5),OR($B7="(alle)",ISNUMBER(SEARCH($B7,Anforderungen!$J795))),OR($E7="(alle)",ISNUMBER(SEARCH($E7,Anforderungen!$I795))),OR($H7="",ISNUMBER(SEARCH($H7,Anforderungen!$F795&amp;" "&amp;Anforderungen!$G795)))),COUNT($T$6:$T794)+1,""))</f>
        <v>789</v>
      </c>
    </row>
    <row r="796" customFormat="false" ht="15" hidden="false" customHeight="false" outlineLevel="0" collapsed="false">
      <c r="T796" s="0" t="n">
        <f aca="false">IF(Anforderungen!$B796="","",IF(AND(OR($B5="(alle)",Anforderungen!$K796=$B5),OR($E5="(alle)",Anforderungen!$C796=$E5),OR($H5="(alle)",Anforderungen!$E796=$H5),OR($B7="(alle)",ISNUMBER(SEARCH($B7,Anforderungen!$J796))),OR($E7="(alle)",ISNUMBER(SEARCH($E7,Anforderungen!$I796))),OR($H7="",ISNUMBER(SEARCH($H7,Anforderungen!$F796&amp;" "&amp;Anforderungen!$G796)))),COUNT($T$6:$T795)+1,""))</f>
        <v>790</v>
      </c>
    </row>
    <row r="797" customFormat="false" ht="15" hidden="false" customHeight="false" outlineLevel="0" collapsed="false">
      <c r="T797" s="0" t="n">
        <f aca="false">IF(Anforderungen!$B797="","",IF(AND(OR($B5="(alle)",Anforderungen!$K797=$B5),OR($E5="(alle)",Anforderungen!$C797=$E5),OR($H5="(alle)",Anforderungen!$E797=$H5),OR($B7="(alle)",ISNUMBER(SEARCH($B7,Anforderungen!$J797))),OR($E7="(alle)",ISNUMBER(SEARCH($E7,Anforderungen!$I797))),OR($H7="",ISNUMBER(SEARCH($H7,Anforderungen!$F797&amp;" "&amp;Anforderungen!$G797)))),COUNT($T$6:$T796)+1,""))</f>
        <v>791</v>
      </c>
    </row>
    <row r="798" customFormat="false" ht="15" hidden="false" customHeight="false" outlineLevel="0" collapsed="false">
      <c r="T798" s="0" t="n">
        <f aca="false">IF(Anforderungen!$B798="","",IF(AND(OR($B5="(alle)",Anforderungen!$K798=$B5),OR($E5="(alle)",Anforderungen!$C798=$E5),OR($H5="(alle)",Anforderungen!$E798=$H5),OR($B7="(alle)",ISNUMBER(SEARCH($B7,Anforderungen!$J798))),OR($E7="(alle)",ISNUMBER(SEARCH($E7,Anforderungen!$I798))),OR($H7="",ISNUMBER(SEARCH($H7,Anforderungen!$F798&amp;" "&amp;Anforderungen!$G798)))),COUNT($T$6:$T797)+1,""))</f>
        <v>792</v>
      </c>
    </row>
    <row r="799" customFormat="false" ht="15" hidden="false" customHeight="false" outlineLevel="0" collapsed="false">
      <c r="T799" s="0" t="n">
        <f aca="false">IF(Anforderungen!$B799="","",IF(AND(OR($B5="(alle)",Anforderungen!$K799=$B5),OR($E5="(alle)",Anforderungen!$C799=$E5),OR($H5="(alle)",Anforderungen!$E799=$H5),OR($B7="(alle)",ISNUMBER(SEARCH($B7,Anforderungen!$J799))),OR($E7="(alle)",ISNUMBER(SEARCH($E7,Anforderungen!$I799))),OR($H7="",ISNUMBER(SEARCH($H7,Anforderungen!$F799&amp;" "&amp;Anforderungen!$G799)))),COUNT($T$6:$T798)+1,""))</f>
        <v>793</v>
      </c>
    </row>
    <row r="800" customFormat="false" ht="15" hidden="false" customHeight="false" outlineLevel="0" collapsed="false">
      <c r="T800" s="0" t="n">
        <f aca="false">IF(Anforderungen!$B800="","",IF(AND(OR($B5="(alle)",Anforderungen!$K800=$B5),OR($E5="(alle)",Anforderungen!$C800=$E5),OR($H5="(alle)",Anforderungen!$E800=$H5),OR($B7="(alle)",ISNUMBER(SEARCH($B7,Anforderungen!$J800))),OR($E7="(alle)",ISNUMBER(SEARCH($E7,Anforderungen!$I800))),OR($H7="",ISNUMBER(SEARCH($H7,Anforderungen!$F800&amp;" "&amp;Anforderungen!$G800)))),COUNT($T$6:$T799)+1,""))</f>
        <v>794</v>
      </c>
    </row>
    <row r="801" customFormat="false" ht="15" hidden="false" customHeight="false" outlineLevel="0" collapsed="false">
      <c r="T801" s="0" t="n">
        <f aca="false">IF(Anforderungen!$B801="","",IF(AND(OR($B5="(alle)",Anforderungen!$K801=$B5),OR($E5="(alle)",Anforderungen!$C801=$E5),OR($H5="(alle)",Anforderungen!$E801=$H5),OR($B7="(alle)",ISNUMBER(SEARCH($B7,Anforderungen!$J801))),OR($E7="(alle)",ISNUMBER(SEARCH($E7,Anforderungen!$I801))),OR($H7="",ISNUMBER(SEARCH($H7,Anforderungen!$F801&amp;" "&amp;Anforderungen!$G801)))),COUNT($T$6:$T800)+1,""))</f>
        <v>795</v>
      </c>
    </row>
    <row r="802" customFormat="false" ht="15" hidden="false" customHeight="false" outlineLevel="0" collapsed="false">
      <c r="T802" s="0" t="n">
        <f aca="false">IF(Anforderungen!$B802="","",IF(AND(OR($B5="(alle)",Anforderungen!$K802=$B5),OR($E5="(alle)",Anforderungen!$C802=$E5),OR($H5="(alle)",Anforderungen!$E802=$H5),OR($B7="(alle)",ISNUMBER(SEARCH($B7,Anforderungen!$J802))),OR($E7="(alle)",ISNUMBER(SEARCH($E7,Anforderungen!$I802))),OR($H7="",ISNUMBER(SEARCH($H7,Anforderungen!$F802&amp;" "&amp;Anforderungen!$G802)))),COUNT($T$6:$T801)+1,""))</f>
        <v>796</v>
      </c>
    </row>
    <row r="803" customFormat="false" ht="15" hidden="false" customHeight="false" outlineLevel="0" collapsed="false">
      <c r="T803" s="0" t="n">
        <f aca="false">IF(Anforderungen!$B803="","",IF(AND(OR($B5="(alle)",Anforderungen!$K803=$B5),OR($E5="(alle)",Anforderungen!$C803=$E5),OR($H5="(alle)",Anforderungen!$E803=$H5),OR($B7="(alle)",ISNUMBER(SEARCH($B7,Anforderungen!$J803))),OR($E7="(alle)",ISNUMBER(SEARCH($E7,Anforderungen!$I803))),OR($H7="",ISNUMBER(SEARCH($H7,Anforderungen!$F803&amp;" "&amp;Anforderungen!$G803)))),COUNT($T$6:$T802)+1,""))</f>
        <v>797</v>
      </c>
    </row>
    <row r="804" customFormat="false" ht="15" hidden="false" customHeight="false" outlineLevel="0" collapsed="false">
      <c r="T804" s="0" t="n">
        <f aca="false">IF(Anforderungen!$B804="","",IF(AND(OR($B5="(alle)",Anforderungen!$K804=$B5),OR($E5="(alle)",Anforderungen!$C804=$E5),OR($H5="(alle)",Anforderungen!$E804=$H5),OR($B7="(alle)",ISNUMBER(SEARCH($B7,Anforderungen!$J804))),OR($E7="(alle)",ISNUMBER(SEARCH($E7,Anforderungen!$I804))),OR($H7="",ISNUMBER(SEARCH($H7,Anforderungen!$F804&amp;" "&amp;Anforderungen!$G804)))),COUNT($T$6:$T803)+1,""))</f>
        <v>798</v>
      </c>
    </row>
    <row r="805" customFormat="false" ht="15" hidden="false" customHeight="false" outlineLevel="0" collapsed="false">
      <c r="T805" s="0" t="n">
        <f aca="false">IF(Anforderungen!$B805="","",IF(AND(OR($B5="(alle)",Anforderungen!$K805=$B5),OR($E5="(alle)",Anforderungen!$C805=$E5),OR($H5="(alle)",Anforderungen!$E805=$H5),OR($B7="(alle)",ISNUMBER(SEARCH($B7,Anforderungen!$J805))),OR($E7="(alle)",ISNUMBER(SEARCH($E7,Anforderungen!$I805))),OR($H7="",ISNUMBER(SEARCH($H7,Anforderungen!$F805&amp;" "&amp;Anforderungen!$G805)))),COUNT($T$6:$T804)+1,""))</f>
        <v>799</v>
      </c>
    </row>
    <row r="806" customFormat="false" ht="15" hidden="false" customHeight="false" outlineLevel="0" collapsed="false">
      <c r="T806" s="0" t="n">
        <f aca="false">IF(Anforderungen!$B806="","",IF(AND(OR($B5="(alle)",Anforderungen!$K806=$B5),OR($E5="(alle)",Anforderungen!$C806=$E5),OR($H5="(alle)",Anforderungen!$E806=$H5),OR($B7="(alle)",ISNUMBER(SEARCH($B7,Anforderungen!$J806))),OR($E7="(alle)",ISNUMBER(SEARCH($E7,Anforderungen!$I806))),OR($H7="",ISNUMBER(SEARCH($H7,Anforderungen!$F806&amp;" "&amp;Anforderungen!$G806)))),COUNT($T$6:$T805)+1,""))</f>
        <v>800</v>
      </c>
    </row>
    <row r="807" customFormat="false" ht="15" hidden="false" customHeight="false" outlineLevel="0" collapsed="false">
      <c r="T807" s="0" t="n">
        <f aca="false">IF(Anforderungen!$B807="","",IF(AND(OR($B5="(alle)",Anforderungen!$K807=$B5),OR($E5="(alle)",Anforderungen!$C807=$E5),OR($H5="(alle)",Anforderungen!$E807=$H5),OR($B7="(alle)",ISNUMBER(SEARCH($B7,Anforderungen!$J807))),OR($E7="(alle)",ISNUMBER(SEARCH($E7,Anforderungen!$I807))),OR($H7="",ISNUMBER(SEARCH($H7,Anforderungen!$F807&amp;" "&amp;Anforderungen!$G807)))),COUNT($T$6:$T806)+1,""))</f>
        <v>801</v>
      </c>
    </row>
    <row r="808" customFormat="false" ht="15" hidden="false" customHeight="false" outlineLevel="0" collapsed="false">
      <c r="T808" s="0" t="n">
        <f aca="false">IF(Anforderungen!$B808="","",IF(AND(OR($B5="(alle)",Anforderungen!$K808=$B5),OR($E5="(alle)",Anforderungen!$C808=$E5),OR($H5="(alle)",Anforderungen!$E808=$H5),OR($B7="(alle)",ISNUMBER(SEARCH($B7,Anforderungen!$J808))),OR($E7="(alle)",ISNUMBER(SEARCH($E7,Anforderungen!$I808))),OR($H7="",ISNUMBER(SEARCH($H7,Anforderungen!$F808&amp;" "&amp;Anforderungen!$G808)))),COUNT($T$6:$T807)+1,""))</f>
        <v>802</v>
      </c>
    </row>
    <row r="809" customFormat="false" ht="15" hidden="false" customHeight="false" outlineLevel="0" collapsed="false">
      <c r="T809" s="0" t="n">
        <f aca="false">IF(Anforderungen!$B809="","",IF(AND(OR($B5="(alle)",Anforderungen!$K809=$B5),OR($E5="(alle)",Anforderungen!$C809=$E5),OR($H5="(alle)",Anforderungen!$E809=$H5),OR($B7="(alle)",ISNUMBER(SEARCH($B7,Anforderungen!$J809))),OR($E7="(alle)",ISNUMBER(SEARCH($E7,Anforderungen!$I809))),OR($H7="",ISNUMBER(SEARCH($H7,Anforderungen!$F809&amp;" "&amp;Anforderungen!$G809)))),COUNT($T$6:$T808)+1,""))</f>
        <v>803</v>
      </c>
    </row>
    <row r="810" customFormat="false" ht="15" hidden="false" customHeight="false" outlineLevel="0" collapsed="false">
      <c r="T810" s="0" t="n">
        <f aca="false">IF(Anforderungen!$B810="","",IF(AND(OR($B5="(alle)",Anforderungen!$K810=$B5),OR($E5="(alle)",Anforderungen!$C810=$E5),OR($H5="(alle)",Anforderungen!$E810=$H5),OR($B7="(alle)",ISNUMBER(SEARCH($B7,Anforderungen!$J810))),OR($E7="(alle)",ISNUMBER(SEARCH($E7,Anforderungen!$I810))),OR($H7="",ISNUMBER(SEARCH($H7,Anforderungen!$F810&amp;" "&amp;Anforderungen!$G810)))),COUNT($T$6:$T809)+1,""))</f>
        <v>804</v>
      </c>
    </row>
    <row r="811" customFormat="false" ht="15" hidden="false" customHeight="false" outlineLevel="0" collapsed="false">
      <c r="T811" s="0" t="n">
        <f aca="false">IF(Anforderungen!$B811="","",IF(AND(OR($B5="(alle)",Anforderungen!$K811=$B5),OR($E5="(alle)",Anforderungen!$C811=$E5),OR($H5="(alle)",Anforderungen!$E811=$H5),OR($B7="(alle)",ISNUMBER(SEARCH($B7,Anforderungen!$J811))),OR($E7="(alle)",ISNUMBER(SEARCH($E7,Anforderungen!$I811))),OR($H7="",ISNUMBER(SEARCH($H7,Anforderungen!$F811&amp;" "&amp;Anforderungen!$G811)))),COUNT($T$6:$T810)+1,""))</f>
        <v>805</v>
      </c>
    </row>
    <row r="812" customFormat="false" ht="15" hidden="false" customHeight="false" outlineLevel="0" collapsed="false">
      <c r="T812" s="0" t="n">
        <f aca="false">IF(Anforderungen!$B812="","",IF(AND(OR($B5="(alle)",Anforderungen!$K812=$B5),OR($E5="(alle)",Anforderungen!$C812=$E5),OR($H5="(alle)",Anforderungen!$E812=$H5),OR($B7="(alle)",ISNUMBER(SEARCH($B7,Anforderungen!$J812))),OR($E7="(alle)",ISNUMBER(SEARCH($E7,Anforderungen!$I812))),OR($H7="",ISNUMBER(SEARCH($H7,Anforderungen!$F812&amp;" "&amp;Anforderungen!$G812)))),COUNT($T$6:$T811)+1,""))</f>
        <v>806</v>
      </c>
    </row>
    <row r="813" customFormat="false" ht="15" hidden="false" customHeight="false" outlineLevel="0" collapsed="false">
      <c r="T813" s="0" t="n">
        <f aca="false">IF(Anforderungen!$B813="","",IF(AND(OR($B5="(alle)",Anforderungen!$K813=$B5),OR($E5="(alle)",Anforderungen!$C813=$E5),OR($H5="(alle)",Anforderungen!$E813=$H5),OR($B7="(alle)",ISNUMBER(SEARCH($B7,Anforderungen!$J813))),OR($E7="(alle)",ISNUMBER(SEARCH($E7,Anforderungen!$I813))),OR($H7="",ISNUMBER(SEARCH($H7,Anforderungen!$F813&amp;" "&amp;Anforderungen!$G813)))),COUNT($T$6:$T812)+1,""))</f>
        <v>807</v>
      </c>
    </row>
    <row r="814" customFormat="false" ht="15" hidden="false" customHeight="false" outlineLevel="0" collapsed="false">
      <c r="T814" s="0" t="n">
        <f aca="false">IF(Anforderungen!$B814="","",IF(AND(OR($B5="(alle)",Anforderungen!$K814=$B5),OR($E5="(alle)",Anforderungen!$C814=$E5),OR($H5="(alle)",Anforderungen!$E814=$H5),OR($B7="(alle)",ISNUMBER(SEARCH($B7,Anforderungen!$J814))),OR($E7="(alle)",ISNUMBER(SEARCH($E7,Anforderungen!$I814))),OR($H7="",ISNUMBER(SEARCH($H7,Anforderungen!$F814&amp;" "&amp;Anforderungen!$G814)))),COUNT($T$6:$T813)+1,""))</f>
        <v>808</v>
      </c>
    </row>
    <row r="815" customFormat="false" ht="15" hidden="false" customHeight="false" outlineLevel="0" collapsed="false">
      <c r="T815" s="0" t="n">
        <f aca="false">IF(Anforderungen!$B815="","",IF(AND(OR($B5="(alle)",Anforderungen!$K815=$B5),OR($E5="(alle)",Anforderungen!$C815=$E5),OR($H5="(alle)",Anforderungen!$E815=$H5),OR($B7="(alle)",ISNUMBER(SEARCH($B7,Anforderungen!$J815))),OR($E7="(alle)",ISNUMBER(SEARCH($E7,Anforderungen!$I815))),OR($H7="",ISNUMBER(SEARCH($H7,Anforderungen!$F815&amp;" "&amp;Anforderungen!$G815)))),COUNT($T$6:$T814)+1,""))</f>
        <v>809</v>
      </c>
    </row>
    <row r="816" customFormat="false" ht="15" hidden="false" customHeight="false" outlineLevel="0" collapsed="false">
      <c r="T816" s="0" t="n">
        <f aca="false">IF(Anforderungen!$B816="","",IF(AND(OR($B5="(alle)",Anforderungen!$K816=$B5),OR($E5="(alle)",Anforderungen!$C816=$E5),OR($H5="(alle)",Anforderungen!$E816=$H5),OR($B7="(alle)",ISNUMBER(SEARCH($B7,Anforderungen!$J816))),OR($E7="(alle)",ISNUMBER(SEARCH($E7,Anforderungen!$I816))),OR($H7="",ISNUMBER(SEARCH($H7,Anforderungen!$F816&amp;" "&amp;Anforderungen!$G816)))),COUNT($T$6:$T815)+1,""))</f>
        <v>810</v>
      </c>
    </row>
    <row r="817" customFormat="false" ht="15" hidden="false" customHeight="false" outlineLevel="0" collapsed="false">
      <c r="T817" s="0" t="n">
        <f aca="false">IF(Anforderungen!$B817="","",IF(AND(OR($B5="(alle)",Anforderungen!$K817=$B5),OR($E5="(alle)",Anforderungen!$C817=$E5),OR($H5="(alle)",Anforderungen!$E817=$H5),OR($B7="(alle)",ISNUMBER(SEARCH($B7,Anforderungen!$J817))),OR($E7="(alle)",ISNUMBER(SEARCH($E7,Anforderungen!$I817))),OR($H7="",ISNUMBER(SEARCH($H7,Anforderungen!$F817&amp;" "&amp;Anforderungen!$G817)))),COUNT($T$6:$T816)+1,""))</f>
        <v>811</v>
      </c>
    </row>
    <row r="818" customFormat="false" ht="15" hidden="false" customHeight="false" outlineLevel="0" collapsed="false">
      <c r="T818" s="0" t="n">
        <f aca="false">IF(Anforderungen!$B818="","",IF(AND(OR($B5="(alle)",Anforderungen!$K818=$B5),OR($E5="(alle)",Anforderungen!$C818=$E5),OR($H5="(alle)",Anforderungen!$E818=$H5),OR($B7="(alle)",ISNUMBER(SEARCH($B7,Anforderungen!$J818))),OR($E7="(alle)",ISNUMBER(SEARCH($E7,Anforderungen!$I818))),OR($H7="",ISNUMBER(SEARCH($H7,Anforderungen!$F818&amp;" "&amp;Anforderungen!$G818)))),COUNT($T$6:$T817)+1,""))</f>
        <v>812</v>
      </c>
    </row>
    <row r="819" customFormat="false" ht="15" hidden="false" customHeight="false" outlineLevel="0" collapsed="false">
      <c r="T819" s="0" t="n">
        <f aca="false">IF(Anforderungen!$B819="","",IF(AND(OR($B5="(alle)",Anforderungen!$K819=$B5),OR($E5="(alle)",Anforderungen!$C819=$E5),OR($H5="(alle)",Anforderungen!$E819=$H5),OR($B7="(alle)",ISNUMBER(SEARCH($B7,Anforderungen!$J819))),OR($E7="(alle)",ISNUMBER(SEARCH($E7,Anforderungen!$I819))),OR($H7="",ISNUMBER(SEARCH($H7,Anforderungen!$F819&amp;" "&amp;Anforderungen!$G819)))),COUNT($T$6:$T818)+1,""))</f>
        <v>813</v>
      </c>
    </row>
    <row r="820" customFormat="false" ht="15" hidden="false" customHeight="false" outlineLevel="0" collapsed="false">
      <c r="T820" s="0" t="n">
        <f aca="false">IF(Anforderungen!$B820="","",IF(AND(OR($B5="(alle)",Anforderungen!$K820=$B5),OR($E5="(alle)",Anforderungen!$C820=$E5),OR($H5="(alle)",Anforderungen!$E820=$H5),OR($B7="(alle)",ISNUMBER(SEARCH($B7,Anforderungen!$J820))),OR($E7="(alle)",ISNUMBER(SEARCH($E7,Anforderungen!$I820))),OR($H7="",ISNUMBER(SEARCH($H7,Anforderungen!$F820&amp;" "&amp;Anforderungen!$G820)))),COUNT($T$6:$T819)+1,""))</f>
        <v>814</v>
      </c>
    </row>
    <row r="821" customFormat="false" ht="15" hidden="false" customHeight="false" outlineLevel="0" collapsed="false">
      <c r="T821" s="0" t="n">
        <f aca="false">IF(Anforderungen!$B821="","",IF(AND(OR($B5="(alle)",Anforderungen!$K821=$B5),OR($E5="(alle)",Anforderungen!$C821=$E5),OR($H5="(alle)",Anforderungen!$E821=$H5),OR($B7="(alle)",ISNUMBER(SEARCH($B7,Anforderungen!$J821))),OR($E7="(alle)",ISNUMBER(SEARCH($E7,Anforderungen!$I821))),OR($H7="",ISNUMBER(SEARCH($H7,Anforderungen!$F821&amp;" "&amp;Anforderungen!$G821)))),COUNT($T$6:$T820)+1,""))</f>
        <v>815</v>
      </c>
    </row>
    <row r="822" customFormat="false" ht="15" hidden="false" customHeight="false" outlineLevel="0" collapsed="false">
      <c r="T822" s="0" t="n">
        <f aca="false">IF(Anforderungen!$B822="","",IF(AND(OR($B5="(alle)",Anforderungen!$K822=$B5),OR($E5="(alle)",Anforderungen!$C822=$E5),OR($H5="(alle)",Anforderungen!$E822=$H5),OR($B7="(alle)",ISNUMBER(SEARCH($B7,Anforderungen!$J822))),OR($E7="(alle)",ISNUMBER(SEARCH($E7,Anforderungen!$I822))),OR($H7="",ISNUMBER(SEARCH($H7,Anforderungen!$F822&amp;" "&amp;Anforderungen!$G822)))),COUNT($T$6:$T821)+1,""))</f>
        <v>816</v>
      </c>
    </row>
    <row r="823" customFormat="false" ht="15" hidden="false" customHeight="false" outlineLevel="0" collapsed="false">
      <c r="T823" s="0" t="n">
        <f aca="false">IF(Anforderungen!$B823="","",IF(AND(OR($B5="(alle)",Anforderungen!$K823=$B5),OR($E5="(alle)",Anforderungen!$C823=$E5),OR($H5="(alle)",Anforderungen!$E823=$H5),OR($B7="(alle)",ISNUMBER(SEARCH($B7,Anforderungen!$J823))),OR($E7="(alle)",ISNUMBER(SEARCH($E7,Anforderungen!$I823))),OR($H7="",ISNUMBER(SEARCH($H7,Anforderungen!$F823&amp;" "&amp;Anforderungen!$G823)))),COUNT($T$6:$T822)+1,""))</f>
        <v>817</v>
      </c>
    </row>
    <row r="824" customFormat="false" ht="15" hidden="false" customHeight="false" outlineLevel="0" collapsed="false">
      <c r="T824" s="0" t="n">
        <f aca="false">IF(Anforderungen!$B824="","",IF(AND(OR($B5="(alle)",Anforderungen!$K824=$B5),OR($E5="(alle)",Anforderungen!$C824=$E5),OR($H5="(alle)",Anforderungen!$E824=$H5),OR($B7="(alle)",ISNUMBER(SEARCH($B7,Anforderungen!$J824))),OR($E7="(alle)",ISNUMBER(SEARCH($E7,Anforderungen!$I824))),OR($H7="",ISNUMBER(SEARCH($H7,Anforderungen!$F824&amp;" "&amp;Anforderungen!$G824)))),COUNT($T$6:$T823)+1,""))</f>
        <v>818</v>
      </c>
    </row>
    <row r="825" customFormat="false" ht="15" hidden="false" customHeight="false" outlineLevel="0" collapsed="false">
      <c r="T825" s="0" t="n">
        <f aca="false">IF(Anforderungen!$B825="","",IF(AND(OR($B5="(alle)",Anforderungen!$K825=$B5),OR($E5="(alle)",Anforderungen!$C825=$E5),OR($H5="(alle)",Anforderungen!$E825=$H5),OR($B7="(alle)",ISNUMBER(SEARCH($B7,Anforderungen!$J825))),OR($E7="(alle)",ISNUMBER(SEARCH($E7,Anforderungen!$I825))),OR($H7="",ISNUMBER(SEARCH($H7,Anforderungen!$F825&amp;" "&amp;Anforderungen!$G825)))),COUNT($T$6:$T824)+1,""))</f>
        <v>819</v>
      </c>
    </row>
    <row r="826" customFormat="false" ht="15" hidden="false" customHeight="false" outlineLevel="0" collapsed="false">
      <c r="T826" s="0" t="n">
        <f aca="false">IF(Anforderungen!$B826="","",IF(AND(OR($B5="(alle)",Anforderungen!$K826=$B5),OR($E5="(alle)",Anforderungen!$C826=$E5),OR($H5="(alle)",Anforderungen!$E826=$H5),OR($B7="(alle)",ISNUMBER(SEARCH($B7,Anforderungen!$J826))),OR($E7="(alle)",ISNUMBER(SEARCH($E7,Anforderungen!$I826))),OR($H7="",ISNUMBER(SEARCH($H7,Anforderungen!$F826&amp;" "&amp;Anforderungen!$G826)))),COUNT($T$6:$T825)+1,""))</f>
        <v>820</v>
      </c>
    </row>
    <row r="827" customFormat="false" ht="15" hidden="false" customHeight="false" outlineLevel="0" collapsed="false">
      <c r="T827" s="0" t="n">
        <f aca="false">IF(Anforderungen!$B827="","",IF(AND(OR($B5="(alle)",Anforderungen!$K827=$B5),OR($E5="(alle)",Anforderungen!$C827=$E5),OR($H5="(alle)",Anforderungen!$E827=$H5),OR($B7="(alle)",ISNUMBER(SEARCH($B7,Anforderungen!$J827))),OR($E7="(alle)",ISNUMBER(SEARCH($E7,Anforderungen!$I827))),OR($H7="",ISNUMBER(SEARCH($H7,Anforderungen!$F827&amp;" "&amp;Anforderungen!$G827)))),COUNT($T$6:$T826)+1,""))</f>
        <v>821</v>
      </c>
    </row>
    <row r="828" customFormat="false" ht="15" hidden="false" customHeight="false" outlineLevel="0" collapsed="false">
      <c r="T828" s="0" t="n">
        <f aca="false">IF(Anforderungen!$B828="","",IF(AND(OR($B5="(alle)",Anforderungen!$K828=$B5),OR($E5="(alle)",Anforderungen!$C828=$E5),OR($H5="(alle)",Anforderungen!$E828=$H5),OR($B7="(alle)",ISNUMBER(SEARCH($B7,Anforderungen!$J828))),OR($E7="(alle)",ISNUMBER(SEARCH($E7,Anforderungen!$I828))),OR($H7="",ISNUMBER(SEARCH($H7,Anforderungen!$F828&amp;" "&amp;Anforderungen!$G828)))),COUNT($T$6:$T827)+1,""))</f>
        <v>822</v>
      </c>
    </row>
    <row r="829" customFormat="false" ht="15" hidden="false" customHeight="false" outlineLevel="0" collapsed="false">
      <c r="T829" s="0" t="n">
        <f aca="false">IF(Anforderungen!$B829="","",IF(AND(OR($B5="(alle)",Anforderungen!$K829=$B5),OR($E5="(alle)",Anforderungen!$C829=$E5),OR($H5="(alle)",Anforderungen!$E829=$H5),OR($B7="(alle)",ISNUMBER(SEARCH($B7,Anforderungen!$J829))),OR($E7="(alle)",ISNUMBER(SEARCH($E7,Anforderungen!$I829))),OR($H7="",ISNUMBER(SEARCH($H7,Anforderungen!$F829&amp;" "&amp;Anforderungen!$G829)))),COUNT($T$6:$T828)+1,""))</f>
        <v>823</v>
      </c>
    </row>
    <row r="830" customFormat="false" ht="15" hidden="false" customHeight="false" outlineLevel="0" collapsed="false">
      <c r="T830" s="0" t="n">
        <f aca="false">IF(Anforderungen!$B830="","",IF(AND(OR($B5="(alle)",Anforderungen!$K830=$B5),OR($E5="(alle)",Anforderungen!$C830=$E5),OR($H5="(alle)",Anforderungen!$E830=$H5),OR($B7="(alle)",ISNUMBER(SEARCH($B7,Anforderungen!$J830))),OR($E7="(alle)",ISNUMBER(SEARCH($E7,Anforderungen!$I830))),OR($H7="",ISNUMBER(SEARCH($H7,Anforderungen!$F830&amp;" "&amp;Anforderungen!$G830)))),COUNT($T$6:$T829)+1,""))</f>
        <v>824</v>
      </c>
    </row>
    <row r="831" customFormat="false" ht="15" hidden="false" customHeight="false" outlineLevel="0" collapsed="false">
      <c r="T831" s="0" t="n">
        <f aca="false">IF(Anforderungen!$B831="","",IF(AND(OR($B5="(alle)",Anforderungen!$K831=$B5),OR($E5="(alle)",Anforderungen!$C831=$E5),OR($H5="(alle)",Anforderungen!$E831=$H5),OR($B7="(alle)",ISNUMBER(SEARCH($B7,Anforderungen!$J831))),OR($E7="(alle)",ISNUMBER(SEARCH($E7,Anforderungen!$I831))),OR($H7="",ISNUMBER(SEARCH($H7,Anforderungen!$F831&amp;" "&amp;Anforderungen!$G831)))),COUNT($T$6:$T830)+1,""))</f>
        <v>825</v>
      </c>
    </row>
    <row r="832" customFormat="false" ht="15" hidden="false" customHeight="false" outlineLevel="0" collapsed="false">
      <c r="T832" s="0" t="n">
        <f aca="false">IF(Anforderungen!$B832="","",IF(AND(OR($B5="(alle)",Anforderungen!$K832=$B5),OR($E5="(alle)",Anforderungen!$C832=$E5),OR($H5="(alle)",Anforderungen!$E832=$H5),OR($B7="(alle)",ISNUMBER(SEARCH($B7,Anforderungen!$J832))),OR($E7="(alle)",ISNUMBER(SEARCH($E7,Anforderungen!$I832))),OR($H7="",ISNUMBER(SEARCH($H7,Anforderungen!$F832&amp;" "&amp;Anforderungen!$G832)))),COUNT($T$6:$T831)+1,""))</f>
        <v>826</v>
      </c>
    </row>
    <row r="833" customFormat="false" ht="15" hidden="false" customHeight="false" outlineLevel="0" collapsed="false">
      <c r="T833" s="0" t="n">
        <f aca="false">IF(Anforderungen!$B833="","",IF(AND(OR($B5="(alle)",Anforderungen!$K833=$B5),OR($E5="(alle)",Anforderungen!$C833=$E5),OR($H5="(alle)",Anforderungen!$E833=$H5),OR($B7="(alle)",ISNUMBER(SEARCH($B7,Anforderungen!$J833))),OR($E7="(alle)",ISNUMBER(SEARCH($E7,Anforderungen!$I833))),OR($H7="",ISNUMBER(SEARCH($H7,Anforderungen!$F833&amp;" "&amp;Anforderungen!$G833)))),COUNT($T$6:$T832)+1,""))</f>
        <v>827</v>
      </c>
    </row>
    <row r="834" customFormat="false" ht="15" hidden="false" customHeight="false" outlineLevel="0" collapsed="false">
      <c r="T834" s="0" t="n">
        <f aca="false">IF(Anforderungen!$B834="","",IF(AND(OR($B5="(alle)",Anforderungen!$K834=$B5),OR($E5="(alle)",Anforderungen!$C834=$E5),OR($H5="(alle)",Anforderungen!$E834=$H5),OR($B7="(alle)",ISNUMBER(SEARCH($B7,Anforderungen!$J834))),OR($E7="(alle)",ISNUMBER(SEARCH($E7,Anforderungen!$I834))),OR($H7="",ISNUMBER(SEARCH($H7,Anforderungen!$F834&amp;" "&amp;Anforderungen!$G834)))),COUNT($T$6:$T833)+1,""))</f>
        <v>828</v>
      </c>
    </row>
    <row r="835" customFormat="false" ht="15" hidden="false" customHeight="false" outlineLevel="0" collapsed="false">
      <c r="T835" s="0" t="n">
        <f aca="false">IF(Anforderungen!$B835="","",IF(AND(OR($B5="(alle)",Anforderungen!$K835=$B5),OR($E5="(alle)",Anforderungen!$C835=$E5),OR($H5="(alle)",Anforderungen!$E835=$H5),OR($B7="(alle)",ISNUMBER(SEARCH($B7,Anforderungen!$J835))),OR($E7="(alle)",ISNUMBER(SEARCH($E7,Anforderungen!$I835))),OR($H7="",ISNUMBER(SEARCH($H7,Anforderungen!$F835&amp;" "&amp;Anforderungen!$G835)))),COUNT($T$6:$T834)+1,""))</f>
        <v>829</v>
      </c>
    </row>
    <row r="836" customFormat="false" ht="15" hidden="false" customHeight="false" outlineLevel="0" collapsed="false">
      <c r="T836" s="0" t="n">
        <f aca="false">IF(Anforderungen!$B836="","",IF(AND(OR($B5="(alle)",Anforderungen!$K836=$B5),OR($E5="(alle)",Anforderungen!$C836=$E5),OR($H5="(alle)",Anforderungen!$E836=$H5),OR($B7="(alle)",ISNUMBER(SEARCH($B7,Anforderungen!$J836))),OR($E7="(alle)",ISNUMBER(SEARCH($E7,Anforderungen!$I836))),OR($H7="",ISNUMBER(SEARCH($H7,Anforderungen!$F836&amp;" "&amp;Anforderungen!$G836)))),COUNT($T$6:$T835)+1,""))</f>
        <v>830</v>
      </c>
    </row>
    <row r="837" customFormat="false" ht="15" hidden="false" customHeight="false" outlineLevel="0" collapsed="false">
      <c r="T837" s="0" t="n">
        <f aca="false">IF(Anforderungen!$B837="","",IF(AND(OR($B5="(alle)",Anforderungen!$K837=$B5),OR($E5="(alle)",Anforderungen!$C837=$E5),OR($H5="(alle)",Anforderungen!$E837=$H5),OR($B7="(alle)",ISNUMBER(SEARCH($B7,Anforderungen!$J837))),OR($E7="(alle)",ISNUMBER(SEARCH($E7,Anforderungen!$I837))),OR($H7="",ISNUMBER(SEARCH($H7,Anforderungen!$F837&amp;" "&amp;Anforderungen!$G837)))),COUNT($T$6:$T836)+1,""))</f>
        <v>831</v>
      </c>
    </row>
    <row r="838" customFormat="false" ht="15" hidden="false" customHeight="false" outlineLevel="0" collapsed="false">
      <c r="T838" s="0" t="n">
        <f aca="false">IF(Anforderungen!$B838="","",IF(AND(OR($B5="(alle)",Anforderungen!$K838=$B5),OR($E5="(alle)",Anforderungen!$C838=$E5),OR($H5="(alle)",Anforderungen!$E838=$H5),OR($B7="(alle)",ISNUMBER(SEARCH($B7,Anforderungen!$J838))),OR($E7="(alle)",ISNUMBER(SEARCH($E7,Anforderungen!$I838))),OR($H7="",ISNUMBER(SEARCH($H7,Anforderungen!$F838&amp;" "&amp;Anforderungen!$G838)))),COUNT($T$6:$T837)+1,""))</f>
        <v>832</v>
      </c>
    </row>
    <row r="839" customFormat="false" ht="15" hidden="false" customHeight="false" outlineLevel="0" collapsed="false">
      <c r="T839" s="0" t="n">
        <f aca="false">IF(Anforderungen!$B839="","",IF(AND(OR($B5="(alle)",Anforderungen!$K839=$B5),OR($E5="(alle)",Anforderungen!$C839=$E5),OR($H5="(alle)",Anforderungen!$E839=$H5),OR($B7="(alle)",ISNUMBER(SEARCH($B7,Anforderungen!$J839))),OR($E7="(alle)",ISNUMBER(SEARCH($E7,Anforderungen!$I839))),OR($H7="",ISNUMBER(SEARCH($H7,Anforderungen!$F839&amp;" "&amp;Anforderungen!$G839)))),COUNT($T$6:$T838)+1,""))</f>
        <v>833</v>
      </c>
    </row>
    <row r="840" customFormat="false" ht="15" hidden="false" customHeight="false" outlineLevel="0" collapsed="false">
      <c r="T840" s="0" t="n">
        <f aca="false">IF(Anforderungen!$B840="","",IF(AND(OR($B5="(alle)",Anforderungen!$K840=$B5),OR($E5="(alle)",Anforderungen!$C840=$E5),OR($H5="(alle)",Anforderungen!$E840=$H5),OR($B7="(alle)",ISNUMBER(SEARCH($B7,Anforderungen!$J840))),OR($E7="(alle)",ISNUMBER(SEARCH($E7,Anforderungen!$I840))),OR($H7="",ISNUMBER(SEARCH($H7,Anforderungen!$F840&amp;" "&amp;Anforderungen!$G840)))),COUNT($T$6:$T839)+1,""))</f>
        <v>834</v>
      </c>
    </row>
    <row r="841" customFormat="false" ht="15" hidden="false" customHeight="false" outlineLevel="0" collapsed="false">
      <c r="T841" s="0" t="n">
        <f aca="false">IF(Anforderungen!$B841="","",IF(AND(OR($B5="(alle)",Anforderungen!$K841=$B5),OR($E5="(alle)",Anforderungen!$C841=$E5),OR($H5="(alle)",Anforderungen!$E841=$H5),OR($B7="(alle)",ISNUMBER(SEARCH($B7,Anforderungen!$J841))),OR($E7="(alle)",ISNUMBER(SEARCH($E7,Anforderungen!$I841))),OR($H7="",ISNUMBER(SEARCH($H7,Anforderungen!$F841&amp;" "&amp;Anforderungen!$G841)))),COUNT($T$6:$T840)+1,""))</f>
        <v>835</v>
      </c>
    </row>
    <row r="842" customFormat="false" ht="15" hidden="false" customHeight="false" outlineLevel="0" collapsed="false">
      <c r="T842" s="0" t="n">
        <f aca="false">IF(Anforderungen!$B842="","",IF(AND(OR($B5="(alle)",Anforderungen!$K842=$B5),OR($E5="(alle)",Anforderungen!$C842=$E5),OR($H5="(alle)",Anforderungen!$E842=$H5),OR($B7="(alle)",ISNUMBER(SEARCH($B7,Anforderungen!$J842))),OR($E7="(alle)",ISNUMBER(SEARCH($E7,Anforderungen!$I842))),OR($H7="",ISNUMBER(SEARCH($H7,Anforderungen!$F842&amp;" "&amp;Anforderungen!$G842)))),COUNT($T$6:$T841)+1,""))</f>
        <v>836</v>
      </c>
    </row>
    <row r="843" customFormat="false" ht="15" hidden="false" customHeight="false" outlineLevel="0" collapsed="false">
      <c r="T843" s="0" t="n">
        <f aca="false">IF(Anforderungen!$B843="","",IF(AND(OR($B5="(alle)",Anforderungen!$K843=$B5),OR($E5="(alle)",Anforderungen!$C843=$E5),OR($H5="(alle)",Anforderungen!$E843=$H5),OR($B7="(alle)",ISNUMBER(SEARCH($B7,Anforderungen!$J843))),OR($E7="(alle)",ISNUMBER(SEARCH($E7,Anforderungen!$I843))),OR($H7="",ISNUMBER(SEARCH($H7,Anforderungen!$F843&amp;" "&amp;Anforderungen!$G843)))),COUNT($T$6:$T842)+1,""))</f>
        <v>837</v>
      </c>
    </row>
    <row r="844" customFormat="false" ht="15" hidden="false" customHeight="false" outlineLevel="0" collapsed="false">
      <c r="T844" s="0" t="n">
        <f aca="false">IF(Anforderungen!$B844="","",IF(AND(OR($B5="(alle)",Anforderungen!$K844=$B5),OR($E5="(alle)",Anforderungen!$C844=$E5),OR($H5="(alle)",Anforderungen!$E844=$H5),OR($B7="(alle)",ISNUMBER(SEARCH($B7,Anforderungen!$J844))),OR($E7="(alle)",ISNUMBER(SEARCH($E7,Anforderungen!$I844))),OR($H7="",ISNUMBER(SEARCH($H7,Anforderungen!$F844&amp;" "&amp;Anforderungen!$G844)))),COUNT($T$6:$T843)+1,""))</f>
        <v>838</v>
      </c>
    </row>
    <row r="845" customFormat="false" ht="15" hidden="false" customHeight="false" outlineLevel="0" collapsed="false">
      <c r="T845" s="0" t="n">
        <f aca="false">IF(Anforderungen!$B845="","",IF(AND(OR($B5="(alle)",Anforderungen!$K845=$B5),OR($E5="(alle)",Anforderungen!$C845=$E5),OR($H5="(alle)",Anforderungen!$E845=$H5),OR($B7="(alle)",ISNUMBER(SEARCH($B7,Anforderungen!$J845))),OR($E7="(alle)",ISNUMBER(SEARCH($E7,Anforderungen!$I845))),OR($H7="",ISNUMBER(SEARCH($H7,Anforderungen!$F845&amp;" "&amp;Anforderungen!$G845)))),COUNT($T$6:$T844)+1,""))</f>
        <v>839</v>
      </c>
    </row>
    <row r="846" customFormat="false" ht="15" hidden="false" customHeight="false" outlineLevel="0" collapsed="false">
      <c r="T846" s="0" t="n">
        <f aca="false">IF(Anforderungen!$B846="","",IF(AND(OR($B5="(alle)",Anforderungen!$K846=$B5),OR($E5="(alle)",Anforderungen!$C846=$E5),OR($H5="(alle)",Anforderungen!$E846=$H5),OR($B7="(alle)",ISNUMBER(SEARCH($B7,Anforderungen!$J846))),OR($E7="(alle)",ISNUMBER(SEARCH($E7,Anforderungen!$I846))),OR($H7="",ISNUMBER(SEARCH($H7,Anforderungen!$F846&amp;" "&amp;Anforderungen!$G846)))),COUNT($T$6:$T845)+1,""))</f>
        <v>840</v>
      </c>
    </row>
    <row r="847" customFormat="false" ht="15" hidden="false" customHeight="false" outlineLevel="0" collapsed="false">
      <c r="T847" s="0" t="n">
        <f aca="false">IF(Anforderungen!$B847="","",IF(AND(OR($B5="(alle)",Anforderungen!$K847=$B5),OR($E5="(alle)",Anforderungen!$C847=$E5),OR($H5="(alle)",Anforderungen!$E847=$H5),OR($B7="(alle)",ISNUMBER(SEARCH($B7,Anforderungen!$J847))),OR($E7="(alle)",ISNUMBER(SEARCH($E7,Anforderungen!$I847))),OR($H7="",ISNUMBER(SEARCH($H7,Anforderungen!$F847&amp;" "&amp;Anforderungen!$G847)))),COUNT($T$6:$T846)+1,""))</f>
        <v>841</v>
      </c>
    </row>
    <row r="848" customFormat="false" ht="15" hidden="false" customHeight="false" outlineLevel="0" collapsed="false">
      <c r="T848" s="0" t="n">
        <f aca="false">IF(Anforderungen!$B848="","",IF(AND(OR($B5="(alle)",Anforderungen!$K848=$B5),OR($E5="(alle)",Anforderungen!$C848=$E5),OR($H5="(alle)",Anforderungen!$E848=$H5),OR($B7="(alle)",ISNUMBER(SEARCH($B7,Anforderungen!$J848))),OR($E7="(alle)",ISNUMBER(SEARCH($E7,Anforderungen!$I848))),OR($H7="",ISNUMBER(SEARCH($H7,Anforderungen!$F848&amp;" "&amp;Anforderungen!$G848)))),COUNT($T$6:$T847)+1,""))</f>
        <v>842</v>
      </c>
    </row>
    <row r="849" customFormat="false" ht="15" hidden="false" customHeight="false" outlineLevel="0" collapsed="false">
      <c r="T849" s="0" t="n">
        <f aca="false">IF(Anforderungen!$B849="","",IF(AND(OR($B5="(alle)",Anforderungen!$K849=$B5),OR($E5="(alle)",Anforderungen!$C849=$E5),OR($H5="(alle)",Anforderungen!$E849=$H5),OR($B7="(alle)",ISNUMBER(SEARCH($B7,Anforderungen!$J849))),OR($E7="(alle)",ISNUMBER(SEARCH($E7,Anforderungen!$I849))),OR($H7="",ISNUMBER(SEARCH($H7,Anforderungen!$F849&amp;" "&amp;Anforderungen!$G849)))),COUNT($T$6:$T848)+1,""))</f>
        <v>843</v>
      </c>
    </row>
    <row r="850" customFormat="false" ht="15" hidden="false" customHeight="false" outlineLevel="0" collapsed="false">
      <c r="T850" s="0" t="n">
        <f aca="false">IF(Anforderungen!$B850="","",IF(AND(OR($B5="(alle)",Anforderungen!$K850=$B5),OR($E5="(alle)",Anforderungen!$C850=$E5),OR($H5="(alle)",Anforderungen!$E850=$H5),OR($B7="(alle)",ISNUMBER(SEARCH($B7,Anforderungen!$J850))),OR($E7="(alle)",ISNUMBER(SEARCH($E7,Anforderungen!$I850))),OR($H7="",ISNUMBER(SEARCH($H7,Anforderungen!$F850&amp;" "&amp;Anforderungen!$G850)))),COUNT($T$6:$T849)+1,""))</f>
        <v>844</v>
      </c>
    </row>
    <row r="851" customFormat="false" ht="15" hidden="false" customHeight="false" outlineLevel="0" collapsed="false">
      <c r="T851" s="0" t="n">
        <f aca="false">IF(Anforderungen!$B851="","",IF(AND(OR($B5="(alle)",Anforderungen!$K851=$B5),OR($E5="(alle)",Anforderungen!$C851=$E5),OR($H5="(alle)",Anforderungen!$E851=$H5),OR($B7="(alle)",ISNUMBER(SEARCH($B7,Anforderungen!$J851))),OR($E7="(alle)",ISNUMBER(SEARCH($E7,Anforderungen!$I851))),OR($H7="",ISNUMBER(SEARCH($H7,Anforderungen!$F851&amp;" "&amp;Anforderungen!$G851)))),COUNT($T$6:$T850)+1,""))</f>
        <v>845</v>
      </c>
    </row>
    <row r="852" customFormat="false" ht="15" hidden="false" customHeight="false" outlineLevel="0" collapsed="false">
      <c r="T852" s="0" t="n">
        <f aca="false">IF(Anforderungen!$B852="","",IF(AND(OR($B5="(alle)",Anforderungen!$K852=$B5),OR($E5="(alle)",Anforderungen!$C852=$E5),OR($H5="(alle)",Anforderungen!$E852=$H5),OR($B7="(alle)",ISNUMBER(SEARCH($B7,Anforderungen!$J852))),OR($E7="(alle)",ISNUMBER(SEARCH($E7,Anforderungen!$I852))),OR($H7="",ISNUMBER(SEARCH($H7,Anforderungen!$F852&amp;" "&amp;Anforderungen!$G852)))),COUNT($T$6:$T851)+1,""))</f>
        <v>846</v>
      </c>
    </row>
    <row r="853" customFormat="false" ht="15" hidden="false" customHeight="false" outlineLevel="0" collapsed="false">
      <c r="T853" s="0" t="n">
        <f aca="false">IF(Anforderungen!$B853="","",IF(AND(OR($B5="(alle)",Anforderungen!$K853=$B5),OR($E5="(alle)",Anforderungen!$C853=$E5),OR($H5="(alle)",Anforderungen!$E853=$H5),OR($B7="(alle)",ISNUMBER(SEARCH($B7,Anforderungen!$J853))),OR($E7="(alle)",ISNUMBER(SEARCH($E7,Anforderungen!$I853))),OR($H7="",ISNUMBER(SEARCH($H7,Anforderungen!$F853&amp;" "&amp;Anforderungen!$G853)))),COUNT($T$6:$T852)+1,""))</f>
        <v>847</v>
      </c>
    </row>
    <row r="854" customFormat="false" ht="15" hidden="false" customHeight="false" outlineLevel="0" collapsed="false">
      <c r="T854" s="0" t="n">
        <f aca="false">IF(Anforderungen!$B854="","",IF(AND(OR($B5="(alle)",Anforderungen!$K854=$B5),OR($E5="(alle)",Anforderungen!$C854=$E5),OR($H5="(alle)",Anforderungen!$E854=$H5),OR($B7="(alle)",ISNUMBER(SEARCH($B7,Anforderungen!$J854))),OR($E7="(alle)",ISNUMBER(SEARCH($E7,Anforderungen!$I854))),OR($H7="",ISNUMBER(SEARCH($H7,Anforderungen!$F854&amp;" "&amp;Anforderungen!$G854)))),COUNT($T$6:$T853)+1,""))</f>
        <v>848</v>
      </c>
    </row>
    <row r="855" customFormat="false" ht="15" hidden="false" customHeight="false" outlineLevel="0" collapsed="false">
      <c r="T855" s="0" t="n">
        <f aca="false">IF(Anforderungen!$B855="","",IF(AND(OR($B5="(alle)",Anforderungen!$K855=$B5),OR($E5="(alle)",Anforderungen!$C855=$E5),OR($H5="(alle)",Anforderungen!$E855=$H5),OR($B7="(alle)",ISNUMBER(SEARCH($B7,Anforderungen!$J855))),OR($E7="(alle)",ISNUMBER(SEARCH($E7,Anforderungen!$I855))),OR($H7="",ISNUMBER(SEARCH($H7,Anforderungen!$F855&amp;" "&amp;Anforderungen!$G855)))),COUNT($T$6:$T854)+1,""))</f>
        <v>849</v>
      </c>
    </row>
    <row r="856" customFormat="false" ht="15" hidden="false" customHeight="false" outlineLevel="0" collapsed="false">
      <c r="T856" s="0" t="n">
        <f aca="false">IF(Anforderungen!$B856="","",IF(AND(OR($B5="(alle)",Anforderungen!$K856=$B5),OR($E5="(alle)",Anforderungen!$C856=$E5),OR($H5="(alle)",Anforderungen!$E856=$H5),OR($B7="(alle)",ISNUMBER(SEARCH($B7,Anforderungen!$J856))),OR($E7="(alle)",ISNUMBER(SEARCH($E7,Anforderungen!$I856))),OR($H7="",ISNUMBER(SEARCH($H7,Anforderungen!$F856&amp;" "&amp;Anforderungen!$G856)))),COUNT($T$6:$T855)+1,""))</f>
        <v>850</v>
      </c>
    </row>
    <row r="857" customFormat="false" ht="15" hidden="false" customHeight="false" outlineLevel="0" collapsed="false">
      <c r="T857" s="0" t="n">
        <f aca="false">IF(Anforderungen!$B857="","",IF(AND(OR($B5="(alle)",Anforderungen!$K857=$B5),OR($E5="(alle)",Anforderungen!$C857=$E5),OR($H5="(alle)",Anforderungen!$E857=$H5),OR($B7="(alle)",ISNUMBER(SEARCH($B7,Anforderungen!$J857))),OR($E7="(alle)",ISNUMBER(SEARCH($E7,Anforderungen!$I857))),OR($H7="",ISNUMBER(SEARCH($H7,Anforderungen!$F857&amp;" "&amp;Anforderungen!$G857)))),COUNT($T$6:$T856)+1,""))</f>
        <v>851</v>
      </c>
    </row>
    <row r="858" customFormat="false" ht="15" hidden="false" customHeight="false" outlineLevel="0" collapsed="false">
      <c r="T858" s="0" t="n">
        <f aca="false">IF(Anforderungen!$B858="","",IF(AND(OR($B5="(alle)",Anforderungen!$K858=$B5),OR($E5="(alle)",Anforderungen!$C858=$E5),OR($H5="(alle)",Anforderungen!$E858=$H5),OR($B7="(alle)",ISNUMBER(SEARCH($B7,Anforderungen!$J858))),OR($E7="(alle)",ISNUMBER(SEARCH($E7,Anforderungen!$I858))),OR($H7="",ISNUMBER(SEARCH($H7,Anforderungen!$F858&amp;" "&amp;Anforderungen!$G858)))),COUNT($T$6:$T857)+1,""))</f>
        <v>852</v>
      </c>
    </row>
    <row r="859" customFormat="false" ht="15" hidden="false" customHeight="false" outlineLevel="0" collapsed="false">
      <c r="T859" s="0" t="n">
        <f aca="false">IF(Anforderungen!$B859="","",IF(AND(OR($B5="(alle)",Anforderungen!$K859=$B5),OR($E5="(alle)",Anforderungen!$C859=$E5),OR($H5="(alle)",Anforderungen!$E859=$H5),OR($B7="(alle)",ISNUMBER(SEARCH($B7,Anforderungen!$J859))),OR($E7="(alle)",ISNUMBER(SEARCH($E7,Anforderungen!$I859))),OR($H7="",ISNUMBER(SEARCH($H7,Anforderungen!$F859&amp;" "&amp;Anforderungen!$G859)))),COUNT($T$6:$T858)+1,""))</f>
        <v>853</v>
      </c>
    </row>
    <row r="860" customFormat="false" ht="15" hidden="false" customHeight="false" outlineLevel="0" collapsed="false">
      <c r="T860" s="0" t="n">
        <f aca="false">IF(Anforderungen!$B860="","",IF(AND(OR($B5="(alle)",Anforderungen!$K860=$B5),OR($E5="(alle)",Anforderungen!$C860=$E5),OR($H5="(alle)",Anforderungen!$E860=$H5),OR($B7="(alle)",ISNUMBER(SEARCH($B7,Anforderungen!$J860))),OR($E7="(alle)",ISNUMBER(SEARCH($E7,Anforderungen!$I860))),OR($H7="",ISNUMBER(SEARCH($H7,Anforderungen!$F860&amp;" "&amp;Anforderungen!$G860)))),COUNT($T$6:$T859)+1,""))</f>
        <v>854</v>
      </c>
    </row>
    <row r="861" customFormat="false" ht="15" hidden="false" customHeight="false" outlineLevel="0" collapsed="false">
      <c r="T861" s="0" t="n">
        <f aca="false">IF(Anforderungen!$B861="","",IF(AND(OR($B5="(alle)",Anforderungen!$K861=$B5),OR($E5="(alle)",Anforderungen!$C861=$E5),OR($H5="(alle)",Anforderungen!$E861=$H5),OR($B7="(alle)",ISNUMBER(SEARCH($B7,Anforderungen!$J861))),OR($E7="(alle)",ISNUMBER(SEARCH($E7,Anforderungen!$I861))),OR($H7="",ISNUMBER(SEARCH($H7,Anforderungen!$F861&amp;" "&amp;Anforderungen!$G861)))),COUNT($T$6:$T860)+1,""))</f>
        <v>855</v>
      </c>
    </row>
    <row r="862" customFormat="false" ht="15" hidden="false" customHeight="false" outlineLevel="0" collapsed="false">
      <c r="T862" s="0" t="n">
        <f aca="false">IF(Anforderungen!$B862="","",IF(AND(OR($B5="(alle)",Anforderungen!$K862=$B5),OR($E5="(alle)",Anforderungen!$C862=$E5),OR($H5="(alle)",Anforderungen!$E862=$H5),OR($B7="(alle)",ISNUMBER(SEARCH($B7,Anforderungen!$J862))),OR($E7="(alle)",ISNUMBER(SEARCH($E7,Anforderungen!$I862))),OR($H7="",ISNUMBER(SEARCH($H7,Anforderungen!$F862&amp;" "&amp;Anforderungen!$G862)))),COUNT($T$6:$T861)+1,""))</f>
        <v>856</v>
      </c>
    </row>
    <row r="863" customFormat="false" ht="15" hidden="false" customHeight="false" outlineLevel="0" collapsed="false">
      <c r="T863" s="0" t="n">
        <f aca="false">IF(Anforderungen!$B863="","",IF(AND(OR($B5="(alle)",Anforderungen!$K863=$B5),OR($E5="(alle)",Anforderungen!$C863=$E5),OR($H5="(alle)",Anforderungen!$E863=$H5),OR($B7="(alle)",ISNUMBER(SEARCH($B7,Anforderungen!$J863))),OR($E7="(alle)",ISNUMBER(SEARCH($E7,Anforderungen!$I863))),OR($H7="",ISNUMBER(SEARCH($H7,Anforderungen!$F863&amp;" "&amp;Anforderungen!$G863)))),COUNT($T$6:$T862)+1,""))</f>
        <v>857</v>
      </c>
    </row>
    <row r="864" customFormat="false" ht="15" hidden="false" customHeight="false" outlineLevel="0" collapsed="false">
      <c r="T864" s="0" t="n">
        <f aca="false">IF(Anforderungen!$B864="","",IF(AND(OR($B5="(alle)",Anforderungen!$K864=$B5),OR($E5="(alle)",Anforderungen!$C864=$E5),OR($H5="(alle)",Anforderungen!$E864=$H5),OR($B7="(alle)",ISNUMBER(SEARCH($B7,Anforderungen!$J864))),OR($E7="(alle)",ISNUMBER(SEARCH($E7,Anforderungen!$I864))),OR($H7="",ISNUMBER(SEARCH($H7,Anforderungen!$F864&amp;" "&amp;Anforderungen!$G864)))),COUNT($T$6:$T863)+1,""))</f>
        <v>858</v>
      </c>
    </row>
    <row r="865" customFormat="false" ht="15" hidden="false" customHeight="false" outlineLevel="0" collapsed="false">
      <c r="T865" s="0" t="n">
        <f aca="false">IF(Anforderungen!$B865="","",IF(AND(OR($B5="(alle)",Anforderungen!$K865=$B5),OR($E5="(alle)",Anforderungen!$C865=$E5),OR($H5="(alle)",Anforderungen!$E865=$H5),OR($B7="(alle)",ISNUMBER(SEARCH($B7,Anforderungen!$J865))),OR($E7="(alle)",ISNUMBER(SEARCH($E7,Anforderungen!$I865))),OR($H7="",ISNUMBER(SEARCH($H7,Anforderungen!$F865&amp;" "&amp;Anforderungen!$G865)))),COUNT($T$6:$T864)+1,""))</f>
        <v>859</v>
      </c>
    </row>
    <row r="866" customFormat="false" ht="15" hidden="false" customHeight="false" outlineLevel="0" collapsed="false">
      <c r="T866" s="0" t="n">
        <f aca="false">IF(Anforderungen!$B866="","",IF(AND(OR($B5="(alle)",Anforderungen!$K866=$B5),OR($E5="(alle)",Anforderungen!$C866=$E5),OR($H5="(alle)",Anforderungen!$E866=$H5),OR($B7="(alle)",ISNUMBER(SEARCH($B7,Anforderungen!$J866))),OR($E7="(alle)",ISNUMBER(SEARCH($E7,Anforderungen!$I866))),OR($H7="",ISNUMBER(SEARCH($H7,Anforderungen!$F866&amp;" "&amp;Anforderungen!$G866)))),COUNT($T$6:$T865)+1,""))</f>
        <v>860</v>
      </c>
    </row>
    <row r="867" customFormat="false" ht="15" hidden="false" customHeight="false" outlineLevel="0" collapsed="false">
      <c r="T867" s="0" t="n">
        <f aca="false">IF(Anforderungen!$B867="","",IF(AND(OR($B5="(alle)",Anforderungen!$K867=$B5),OR($E5="(alle)",Anforderungen!$C867=$E5),OR($H5="(alle)",Anforderungen!$E867=$H5),OR($B7="(alle)",ISNUMBER(SEARCH($B7,Anforderungen!$J867))),OR($E7="(alle)",ISNUMBER(SEARCH($E7,Anforderungen!$I867))),OR($H7="",ISNUMBER(SEARCH($H7,Anforderungen!$F867&amp;" "&amp;Anforderungen!$G867)))),COUNT($T$6:$T866)+1,""))</f>
        <v>861</v>
      </c>
    </row>
    <row r="868" customFormat="false" ht="15" hidden="false" customHeight="false" outlineLevel="0" collapsed="false">
      <c r="T868" s="0" t="n">
        <f aca="false">IF(Anforderungen!$B868="","",IF(AND(OR($B5="(alle)",Anforderungen!$K868=$B5),OR($E5="(alle)",Anforderungen!$C868=$E5),OR($H5="(alle)",Anforderungen!$E868=$H5),OR($B7="(alle)",ISNUMBER(SEARCH($B7,Anforderungen!$J868))),OR($E7="(alle)",ISNUMBER(SEARCH($E7,Anforderungen!$I868))),OR($H7="",ISNUMBER(SEARCH($H7,Anforderungen!$F868&amp;" "&amp;Anforderungen!$G868)))),COUNT($T$6:$T867)+1,""))</f>
        <v>862</v>
      </c>
    </row>
    <row r="869" customFormat="false" ht="15" hidden="false" customHeight="false" outlineLevel="0" collapsed="false">
      <c r="T869" s="0" t="n">
        <f aca="false">IF(Anforderungen!$B869="","",IF(AND(OR($B5="(alle)",Anforderungen!$K869=$B5),OR($E5="(alle)",Anforderungen!$C869=$E5),OR($H5="(alle)",Anforderungen!$E869=$H5),OR($B7="(alle)",ISNUMBER(SEARCH($B7,Anforderungen!$J869))),OR($E7="(alle)",ISNUMBER(SEARCH($E7,Anforderungen!$I869))),OR($H7="",ISNUMBER(SEARCH($H7,Anforderungen!$F869&amp;" "&amp;Anforderungen!$G869)))),COUNT($T$6:$T868)+1,""))</f>
        <v>863</v>
      </c>
    </row>
    <row r="870" customFormat="false" ht="15" hidden="false" customHeight="false" outlineLevel="0" collapsed="false">
      <c r="T870" s="0" t="n">
        <f aca="false">IF(Anforderungen!$B870="","",IF(AND(OR($B5="(alle)",Anforderungen!$K870=$B5),OR($E5="(alle)",Anforderungen!$C870=$E5),OR($H5="(alle)",Anforderungen!$E870=$H5),OR($B7="(alle)",ISNUMBER(SEARCH($B7,Anforderungen!$J870))),OR($E7="(alle)",ISNUMBER(SEARCH($E7,Anforderungen!$I870))),OR($H7="",ISNUMBER(SEARCH($H7,Anforderungen!$F870&amp;" "&amp;Anforderungen!$G870)))),COUNT($T$6:$T869)+1,""))</f>
        <v>864</v>
      </c>
    </row>
    <row r="871" customFormat="false" ht="15" hidden="false" customHeight="false" outlineLevel="0" collapsed="false">
      <c r="T871" s="0" t="n">
        <f aca="false">IF(Anforderungen!$B871="","",IF(AND(OR($B5="(alle)",Anforderungen!$K871=$B5),OR($E5="(alle)",Anforderungen!$C871=$E5),OR($H5="(alle)",Anforderungen!$E871=$H5),OR($B7="(alle)",ISNUMBER(SEARCH($B7,Anforderungen!$J871))),OR($E7="(alle)",ISNUMBER(SEARCH($E7,Anforderungen!$I871))),OR($H7="",ISNUMBER(SEARCH($H7,Anforderungen!$F871&amp;" "&amp;Anforderungen!$G871)))),COUNT($T$6:$T870)+1,""))</f>
        <v>865</v>
      </c>
    </row>
    <row r="872" customFormat="false" ht="15" hidden="false" customHeight="false" outlineLevel="0" collapsed="false">
      <c r="T872" s="0" t="n">
        <f aca="false">IF(Anforderungen!$B872="","",IF(AND(OR($B5="(alle)",Anforderungen!$K872=$B5),OR($E5="(alle)",Anforderungen!$C872=$E5),OR($H5="(alle)",Anforderungen!$E872=$H5),OR($B7="(alle)",ISNUMBER(SEARCH($B7,Anforderungen!$J872))),OR($E7="(alle)",ISNUMBER(SEARCH($E7,Anforderungen!$I872))),OR($H7="",ISNUMBER(SEARCH($H7,Anforderungen!$F872&amp;" "&amp;Anforderungen!$G872)))),COUNT($T$6:$T871)+1,""))</f>
        <v>866</v>
      </c>
    </row>
    <row r="873" customFormat="false" ht="15" hidden="false" customHeight="false" outlineLevel="0" collapsed="false">
      <c r="T873" s="0" t="n">
        <f aca="false">IF(Anforderungen!$B873="","",IF(AND(OR($B5="(alle)",Anforderungen!$K873=$B5),OR($E5="(alle)",Anforderungen!$C873=$E5),OR($H5="(alle)",Anforderungen!$E873=$H5),OR($B7="(alle)",ISNUMBER(SEARCH($B7,Anforderungen!$J873))),OR($E7="(alle)",ISNUMBER(SEARCH($E7,Anforderungen!$I873))),OR($H7="",ISNUMBER(SEARCH($H7,Anforderungen!$F873&amp;" "&amp;Anforderungen!$G873)))),COUNT($T$6:$T872)+1,""))</f>
        <v>867</v>
      </c>
    </row>
    <row r="874" customFormat="false" ht="15" hidden="false" customHeight="false" outlineLevel="0" collapsed="false">
      <c r="T874" s="0" t="n">
        <f aca="false">IF(Anforderungen!$B874="","",IF(AND(OR($B5="(alle)",Anforderungen!$K874=$B5),OR($E5="(alle)",Anforderungen!$C874=$E5),OR($H5="(alle)",Anforderungen!$E874=$H5),OR($B7="(alle)",ISNUMBER(SEARCH($B7,Anforderungen!$J874))),OR($E7="(alle)",ISNUMBER(SEARCH($E7,Anforderungen!$I874))),OR($H7="",ISNUMBER(SEARCH($H7,Anforderungen!$F874&amp;" "&amp;Anforderungen!$G874)))),COUNT($T$6:$T873)+1,""))</f>
        <v>868</v>
      </c>
    </row>
    <row r="875" customFormat="false" ht="15" hidden="false" customHeight="false" outlineLevel="0" collapsed="false">
      <c r="T875" s="0" t="n">
        <f aca="false">IF(Anforderungen!$B875="","",IF(AND(OR($B5="(alle)",Anforderungen!$K875=$B5),OR($E5="(alle)",Anforderungen!$C875=$E5),OR($H5="(alle)",Anforderungen!$E875=$H5),OR($B7="(alle)",ISNUMBER(SEARCH($B7,Anforderungen!$J875))),OR($E7="(alle)",ISNUMBER(SEARCH($E7,Anforderungen!$I875))),OR($H7="",ISNUMBER(SEARCH($H7,Anforderungen!$F875&amp;" "&amp;Anforderungen!$G875)))),COUNT($T$6:$T874)+1,""))</f>
        <v>869</v>
      </c>
    </row>
    <row r="876" customFormat="false" ht="15" hidden="false" customHeight="false" outlineLevel="0" collapsed="false">
      <c r="T876" s="0" t="n">
        <f aca="false">IF(Anforderungen!$B876="","",IF(AND(OR($B5="(alle)",Anforderungen!$K876=$B5),OR($E5="(alle)",Anforderungen!$C876=$E5),OR($H5="(alle)",Anforderungen!$E876=$H5),OR($B7="(alle)",ISNUMBER(SEARCH($B7,Anforderungen!$J876))),OR($E7="(alle)",ISNUMBER(SEARCH($E7,Anforderungen!$I876))),OR($H7="",ISNUMBER(SEARCH($H7,Anforderungen!$F876&amp;" "&amp;Anforderungen!$G876)))),COUNT($T$6:$T875)+1,""))</f>
        <v>870</v>
      </c>
    </row>
    <row r="877" customFormat="false" ht="15" hidden="false" customHeight="false" outlineLevel="0" collapsed="false">
      <c r="T877" s="0" t="n">
        <f aca="false">IF(Anforderungen!$B877="","",IF(AND(OR($B5="(alle)",Anforderungen!$K877=$B5),OR($E5="(alle)",Anforderungen!$C877=$E5),OR($H5="(alle)",Anforderungen!$E877=$H5),OR($B7="(alle)",ISNUMBER(SEARCH($B7,Anforderungen!$J877))),OR($E7="(alle)",ISNUMBER(SEARCH($E7,Anforderungen!$I877))),OR($H7="",ISNUMBER(SEARCH($H7,Anforderungen!$F877&amp;" "&amp;Anforderungen!$G877)))),COUNT($T$6:$T876)+1,""))</f>
        <v>871</v>
      </c>
    </row>
    <row r="878" customFormat="false" ht="15" hidden="false" customHeight="false" outlineLevel="0" collapsed="false">
      <c r="T878" s="0" t="n">
        <f aca="false">IF(Anforderungen!$B878="","",IF(AND(OR($B5="(alle)",Anforderungen!$K878=$B5),OR($E5="(alle)",Anforderungen!$C878=$E5),OR($H5="(alle)",Anforderungen!$E878=$H5),OR($B7="(alle)",ISNUMBER(SEARCH($B7,Anforderungen!$J878))),OR($E7="(alle)",ISNUMBER(SEARCH($E7,Anforderungen!$I878))),OR($H7="",ISNUMBER(SEARCH($H7,Anforderungen!$F878&amp;" "&amp;Anforderungen!$G878)))),COUNT($T$6:$T877)+1,""))</f>
        <v>872</v>
      </c>
    </row>
    <row r="879" customFormat="false" ht="15" hidden="false" customHeight="false" outlineLevel="0" collapsed="false">
      <c r="T879" s="0" t="n">
        <f aca="false">IF(Anforderungen!$B879="","",IF(AND(OR($B5="(alle)",Anforderungen!$K879=$B5),OR($E5="(alle)",Anforderungen!$C879=$E5),OR($H5="(alle)",Anforderungen!$E879=$H5),OR($B7="(alle)",ISNUMBER(SEARCH($B7,Anforderungen!$J879))),OR($E7="(alle)",ISNUMBER(SEARCH($E7,Anforderungen!$I879))),OR($H7="",ISNUMBER(SEARCH($H7,Anforderungen!$F879&amp;" "&amp;Anforderungen!$G879)))),COUNT($T$6:$T878)+1,""))</f>
        <v>873</v>
      </c>
    </row>
    <row r="880" customFormat="false" ht="15" hidden="false" customHeight="false" outlineLevel="0" collapsed="false">
      <c r="T880" s="0" t="n">
        <f aca="false">IF(Anforderungen!$B880="","",IF(AND(OR($B5="(alle)",Anforderungen!$K880=$B5),OR($E5="(alle)",Anforderungen!$C880=$E5),OR($H5="(alle)",Anforderungen!$E880=$H5),OR($B7="(alle)",ISNUMBER(SEARCH($B7,Anforderungen!$J880))),OR($E7="(alle)",ISNUMBER(SEARCH($E7,Anforderungen!$I880))),OR($H7="",ISNUMBER(SEARCH($H7,Anforderungen!$F880&amp;" "&amp;Anforderungen!$G880)))),COUNT($T$6:$T879)+1,""))</f>
        <v>874</v>
      </c>
    </row>
    <row r="881" customFormat="false" ht="15" hidden="false" customHeight="false" outlineLevel="0" collapsed="false">
      <c r="T881" s="0" t="n">
        <f aca="false">IF(Anforderungen!$B881="","",IF(AND(OR($B5="(alle)",Anforderungen!$K881=$B5),OR($E5="(alle)",Anforderungen!$C881=$E5),OR($H5="(alle)",Anforderungen!$E881=$H5),OR($B7="(alle)",ISNUMBER(SEARCH($B7,Anforderungen!$J881))),OR($E7="(alle)",ISNUMBER(SEARCH($E7,Anforderungen!$I881))),OR($H7="",ISNUMBER(SEARCH($H7,Anforderungen!$F881&amp;" "&amp;Anforderungen!$G881)))),COUNT($T$6:$T880)+1,""))</f>
        <v>875</v>
      </c>
    </row>
    <row r="882" customFormat="false" ht="15" hidden="false" customHeight="false" outlineLevel="0" collapsed="false">
      <c r="T882" s="0" t="n">
        <f aca="false">IF(Anforderungen!$B882="","",IF(AND(OR($B5="(alle)",Anforderungen!$K882=$B5),OR($E5="(alle)",Anforderungen!$C882=$E5),OR($H5="(alle)",Anforderungen!$E882=$H5),OR($B7="(alle)",ISNUMBER(SEARCH($B7,Anforderungen!$J882))),OR($E7="(alle)",ISNUMBER(SEARCH($E7,Anforderungen!$I882))),OR($H7="",ISNUMBER(SEARCH($H7,Anforderungen!$F882&amp;" "&amp;Anforderungen!$G882)))),COUNT($T$6:$T881)+1,""))</f>
        <v>876</v>
      </c>
    </row>
    <row r="883" customFormat="false" ht="15" hidden="false" customHeight="false" outlineLevel="0" collapsed="false">
      <c r="T883" s="0" t="n">
        <f aca="false">IF(Anforderungen!$B883="","",IF(AND(OR($B5="(alle)",Anforderungen!$K883=$B5),OR($E5="(alle)",Anforderungen!$C883=$E5),OR($H5="(alle)",Anforderungen!$E883=$H5),OR($B7="(alle)",ISNUMBER(SEARCH($B7,Anforderungen!$J883))),OR($E7="(alle)",ISNUMBER(SEARCH($E7,Anforderungen!$I883))),OR($H7="",ISNUMBER(SEARCH($H7,Anforderungen!$F883&amp;" "&amp;Anforderungen!$G883)))),COUNT($T$6:$T882)+1,""))</f>
        <v>877</v>
      </c>
    </row>
    <row r="884" customFormat="false" ht="15" hidden="false" customHeight="false" outlineLevel="0" collapsed="false">
      <c r="T884" s="0" t="n">
        <f aca="false">IF(Anforderungen!$B884="","",IF(AND(OR($B5="(alle)",Anforderungen!$K884=$B5),OR($E5="(alle)",Anforderungen!$C884=$E5),OR($H5="(alle)",Anforderungen!$E884=$H5),OR($B7="(alle)",ISNUMBER(SEARCH($B7,Anforderungen!$J884))),OR($E7="(alle)",ISNUMBER(SEARCH($E7,Anforderungen!$I884))),OR($H7="",ISNUMBER(SEARCH($H7,Anforderungen!$F884&amp;" "&amp;Anforderungen!$G884)))),COUNT($T$6:$T883)+1,""))</f>
        <v>878</v>
      </c>
    </row>
    <row r="885" customFormat="false" ht="15" hidden="false" customHeight="false" outlineLevel="0" collapsed="false">
      <c r="T885" s="0" t="n">
        <f aca="false">IF(Anforderungen!$B885="","",IF(AND(OR($B5="(alle)",Anforderungen!$K885=$B5),OR($E5="(alle)",Anforderungen!$C885=$E5),OR($H5="(alle)",Anforderungen!$E885=$H5),OR($B7="(alle)",ISNUMBER(SEARCH($B7,Anforderungen!$J885))),OR($E7="(alle)",ISNUMBER(SEARCH($E7,Anforderungen!$I885))),OR($H7="",ISNUMBER(SEARCH($H7,Anforderungen!$F885&amp;" "&amp;Anforderungen!$G885)))),COUNT($T$6:$T884)+1,""))</f>
        <v>879</v>
      </c>
    </row>
    <row r="886" customFormat="false" ht="15" hidden="false" customHeight="false" outlineLevel="0" collapsed="false">
      <c r="T886" s="0" t="n">
        <f aca="false">IF(Anforderungen!$B886="","",IF(AND(OR($B5="(alle)",Anforderungen!$K886=$B5),OR($E5="(alle)",Anforderungen!$C886=$E5),OR($H5="(alle)",Anforderungen!$E886=$H5),OR($B7="(alle)",ISNUMBER(SEARCH($B7,Anforderungen!$J886))),OR($E7="(alle)",ISNUMBER(SEARCH($E7,Anforderungen!$I886))),OR($H7="",ISNUMBER(SEARCH($H7,Anforderungen!$F886&amp;" "&amp;Anforderungen!$G886)))),COUNT($T$6:$T885)+1,""))</f>
        <v>880</v>
      </c>
    </row>
    <row r="887" customFormat="false" ht="15" hidden="false" customHeight="false" outlineLevel="0" collapsed="false">
      <c r="T887" s="0" t="n">
        <f aca="false">IF(Anforderungen!$B887="","",IF(AND(OR($B5="(alle)",Anforderungen!$K887=$B5),OR($E5="(alle)",Anforderungen!$C887=$E5),OR($H5="(alle)",Anforderungen!$E887=$H5),OR($B7="(alle)",ISNUMBER(SEARCH($B7,Anforderungen!$J887))),OR($E7="(alle)",ISNUMBER(SEARCH($E7,Anforderungen!$I887))),OR($H7="",ISNUMBER(SEARCH($H7,Anforderungen!$F887&amp;" "&amp;Anforderungen!$G887)))),COUNT($T$6:$T886)+1,""))</f>
        <v>881</v>
      </c>
    </row>
    <row r="888" customFormat="false" ht="15" hidden="false" customHeight="false" outlineLevel="0" collapsed="false">
      <c r="T888" s="0" t="n">
        <f aca="false">IF(Anforderungen!$B888="","",IF(AND(OR($B5="(alle)",Anforderungen!$K888=$B5),OR($E5="(alle)",Anforderungen!$C888=$E5),OR($H5="(alle)",Anforderungen!$E888=$H5),OR($B7="(alle)",ISNUMBER(SEARCH($B7,Anforderungen!$J888))),OR($E7="(alle)",ISNUMBER(SEARCH($E7,Anforderungen!$I888))),OR($H7="",ISNUMBER(SEARCH($H7,Anforderungen!$F888&amp;" "&amp;Anforderungen!$G888)))),COUNT($T$6:$T887)+1,""))</f>
        <v>882</v>
      </c>
    </row>
    <row r="889" customFormat="false" ht="15" hidden="false" customHeight="false" outlineLevel="0" collapsed="false">
      <c r="T889" s="0" t="n">
        <f aca="false">IF(Anforderungen!$B889="","",IF(AND(OR($B5="(alle)",Anforderungen!$K889=$B5),OR($E5="(alle)",Anforderungen!$C889=$E5),OR($H5="(alle)",Anforderungen!$E889=$H5),OR($B7="(alle)",ISNUMBER(SEARCH($B7,Anforderungen!$J889))),OR($E7="(alle)",ISNUMBER(SEARCH($E7,Anforderungen!$I889))),OR($H7="",ISNUMBER(SEARCH($H7,Anforderungen!$F889&amp;" "&amp;Anforderungen!$G889)))),COUNT($T$6:$T888)+1,""))</f>
        <v>883</v>
      </c>
    </row>
    <row r="890" customFormat="false" ht="15" hidden="false" customHeight="false" outlineLevel="0" collapsed="false">
      <c r="T890" s="0" t="n">
        <f aca="false">IF(Anforderungen!$B890="","",IF(AND(OR($B5="(alle)",Anforderungen!$K890=$B5),OR($E5="(alle)",Anforderungen!$C890=$E5),OR($H5="(alle)",Anforderungen!$E890=$H5),OR($B7="(alle)",ISNUMBER(SEARCH($B7,Anforderungen!$J890))),OR($E7="(alle)",ISNUMBER(SEARCH($E7,Anforderungen!$I890))),OR($H7="",ISNUMBER(SEARCH($H7,Anforderungen!$F890&amp;" "&amp;Anforderungen!$G890)))),COUNT($T$6:$T889)+1,""))</f>
        <v>884</v>
      </c>
    </row>
    <row r="891" customFormat="false" ht="15" hidden="false" customHeight="false" outlineLevel="0" collapsed="false">
      <c r="T891" s="0" t="n">
        <f aca="false">IF(Anforderungen!$B891="","",IF(AND(OR($B5="(alle)",Anforderungen!$K891=$B5),OR($E5="(alle)",Anforderungen!$C891=$E5),OR($H5="(alle)",Anforderungen!$E891=$H5),OR($B7="(alle)",ISNUMBER(SEARCH($B7,Anforderungen!$J891))),OR($E7="(alle)",ISNUMBER(SEARCH($E7,Anforderungen!$I891))),OR($H7="",ISNUMBER(SEARCH($H7,Anforderungen!$F891&amp;" "&amp;Anforderungen!$G891)))),COUNT($T$6:$T890)+1,""))</f>
        <v>885</v>
      </c>
    </row>
    <row r="892" customFormat="false" ht="15" hidden="false" customHeight="false" outlineLevel="0" collapsed="false">
      <c r="T892" s="0" t="n">
        <f aca="false">IF(Anforderungen!$B892="","",IF(AND(OR($B5="(alle)",Anforderungen!$K892=$B5),OR($E5="(alle)",Anforderungen!$C892=$E5),OR($H5="(alle)",Anforderungen!$E892=$H5),OR($B7="(alle)",ISNUMBER(SEARCH($B7,Anforderungen!$J892))),OR($E7="(alle)",ISNUMBER(SEARCH($E7,Anforderungen!$I892))),OR($H7="",ISNUMBER(SEARCH($H7,Anforderungen!$F892&amp;" "&amp;Anforderungen!$G892)))),COUNT($T$6:$T891)+1,""))</f>
        <v>886</v>
      </c>
    </row>
    <row r="893" customFormat="false" ht="15" hidden="false" customHeight="false" outlineLevel="0" collapsed="false">
      <c r="T893" s="0" t="n">
        <f aca="false">IF(Anforderungen!$B893="","",IF(AND(OR($B5="(alle)",Anforderungen!$K893=$B5),OR($E5="(alle)",Anforderungen!$C893=$E5),OR($H5="(alle)",Anforderungen!$E893=$H5),OR($B7="(alle)",ISNUMBER(SEARCH($B7,Anforderungen!$J893))),OR($E7="(alle)",ISNUMBER(SEARCH($E7,Anforderungen!$I893))),OR($H7="",ISNUMBER(SEARCH($H7,Anforderungen!$F893&amp;" "&amp;Anforderungen!$G893)))),COUNT($T$6:$T892)+1,""))</f>
        <v>887</v>
      </c>
    </row>
    <row r="894" customFormat="false" ht="15" hidden="false" customHeight="false" outlineLevel="0" collapsed="false">
      <c r="T894" s="0" t="n">
        <f aca="false">IF(Anforderungen!$B894="","",IF(AND(OR($B5="(alle)",Anforderungen!$K894=$B5),OR($E5="(alle)",Anforderungen!$C894=$E5),OR($H5="(alle)",Anforderungen!$E894=$H5),OR($B7="(alle)",ISNUMBER(SEARCH($B7,Anforderungen!$J894))),OR($E7="(alle)",ISNUMBER(SEARCH($E7,Anforderungen!$I894))),OR($H7="",ISNUMBER(SEARCH($H7,Anforderungen!$F894&amp;" "&amp;Anforderungen!$G894)))),COUNT($T$6:$T893)+1,""))</f>
        <v>888</v>
      </c>
    </row>
    <row r="895" customFormat="false" ht="15" hidden="false" customHeight="false" outlineLevel="0" collapsed="false">
      <c r="T895" s="0" t="n">
        <f aca="false">IF(Anforderungen!$B895="","",IF(AND(OR($B5="(alle)",Anforderungen!$K895=$B5),OR($E5="(alle)",Anforderungen!$C895=$E5),OR($H5="(alle)",Anforderungen!$E895=$H5),OR($B7="(alle)",ISNUMBER(SEARCH($B7,Anforderungen!$J895))),OR($E7="(alle)",ISNUMBER(SEARCH($E7,Anforderungen!$I895))),OR($H7="",ISNUMBER(SEARCH($H7,Anforderungen!$F895&amp;" "&amp;Anforderungen!$G895)))),COUNT($T$6:$T894)+1,""))</f>
        <v>889</v>
      </c>
    </row>
    <row r="896" customFormat="false" ht="15" hidden="false" customHeight="false" outlineLevel="0" collapsed="false">
      <c r="T896" s="0" t="n">
        <f aca="false">IF(Anforderungen!$B896="","",IF(AND(OR($B5="(alle)",Anforderungen!$K896=$B5),OR($E5="(alle)",Anforderungen!$C896=$E5),OR($H5="(alle)",Anforderungen!$E896=$H5),OR($B7="(alle)",ISNUMBER(SEARCH($B7,Anforderungen!$J896))),OR($E7="(alle)",ISNUMBER(SEARCH($E7,Anforderungen!$I896))),OR($H7="",ISNUMBER(SEARCH($H7,Anforderungen!$F896&amp;" "&amp;Anforderungen!$G896)))),COUNT($T$6:$T895)+1,""))</f>
        <v>890</v>
      </c>
    </row>
    <row r="897" customFormat="false" ht="15" hidden="false" customHeight="false" outlineLevel="0" collapsed="false">
      <c r="T897" s="0" t="n">
        <f aca="false">IF(Anforderungen!$B897="","",IF(AND(OR($B5="(alle)",Anforderungen!$K897=$B5),OR($E5="(alle)",Anforderungen!$C897=$E5),OR($H5="(alle)",Anforderungen!$E897=$H5),OR($B7="(alle)",ISNUMBER(SEARCH($B7,Anforderungen!$J897))),OR($E7="(alle)",ISNUMBER(SEARCH($E7,Anforderungen!$I897))),OR($H7="",ISNUMBER(SEARCH($H7,Anforderungen!$F897&amp;" "&amp;Anforderungen!$G897)))),COUNT($T$6:$T896)+1,""))</f>
        <v>891</v>
      </c>
    </row>
    <row r="898" customFormat="false" ht="15" hidden="false" customHeight="false" outlineLevel="0" collapsed="false">
      <c r="T898" s="0" t="n">
        <f aca="false">IF(Anforderungen!$B898="","",IF(AND(OR($B5="(alle)",Anforderungen!$K898=$B5),OR($E5="(alle)",Anforderungen!$C898=$E5),OR($H5="(alle)",Anforderungen!$E898=$H5),OR($B7="(alle)",ISNUMBER(SEARCH($B7,Anforderungen!$J898))),OR($E7="(alle)",ISNUMBER(SEARCH($E7,Anforderungen!$I898))),OR($H7="",ISNUMBER(SEARCH($H7,Anforderungen!$F898&amp;" "&amp;Anforderungen!$G898)))),COUNT($T$6:$T897)+1,""))</f>
        <v>892</v>
      </c>
    </row>
    <row r="899" customFormat="false" ht="15" hidden="false" customHeight="false" outlineLevel="0" collapsed="false">
      <c r="T899" s="0" t="n">
        <f aca="false">IF(Anforderungen!$B899="","",IF(AND(OR($B5="(alle)",Anforderungen!$K899=$B5),OR($E5="(alle)",Anforderungen!$C899=$E5),OR($H5="(alle)",Anforderungen!$E899=$H5),OR($B7="(alle)",ISNUMBER(SEARCH($B7,Anforderungen!$J899))),OR($E7="(alle)",ISNUMBER(SEARCH($E7,Anforderungen!$I899))),OR($H7="",ISNUMBER(SEARCH($H7,Anforderungen!$F899&amp;" "&amp;Anforderungen!$G899)))),COUNT($T$6:$T898)+1,""))</f>
        <v>893</v>
      </c>
    </row>
    <row r="900" customFormat="false" ht="15" hidden="false" customHeight="false" outlineLevel="0" collapsed="false">
      <c r="T900" s="0" t="n">
        <f aca="false">IF(Anforderungen!$B900="","",IF(AND(OR($B5="(alle)",Anforderungen!$K900=$B5),OR($E5="(alle)",Anforderungen!$C900=$E5),OR($H5="(alle)",Anforderungen!$E900=$H5),OR($B7="(alle)",ISNUMBER(SEARCH($B7,Anforderungen!$J900))),OR($E7="(alle)",ISNUMBER(SEARCH($E7,Anforderungen!$I900))),OR($H7="",ISNUMBER(SEARCH($H7,Anforderungen!$F900&amp;" "&amp;Anforderungen!$G900)))),COUNT($T$6:$T899)+1,""))</f>
        <v>894</v>
      </c>
    </row>
    <row r="901" customFormat="false" ht="15" hidden="false" customHeight="false" outlineLevel="0" collapsed="false">
      <c r="T901" s="0" t="n">
        <f aca="false">IF(Anforderungen!$B901="","",IF(AND(OR($B5="(alle)",Anforderungen!$K901=$B5),OR($E5="(alle)",Anforderungen!$C901=$E5),OR($H5="(alle)",Anforderungen!$E901=$H5),OR($B7="(alle)",ISNUMBER(SEARCH($B7,Anforderungen!$J901))),OR($E7="(alle)",ISNUMBER(SEARCH($E7,Anforderungen!$I901))),OR($H7="",ISNUMBER(SEARCH($H7,Anforderungen!$F901&amp;" "&amp;Anforderungen!$G901)))),COUNT($T$6:$T900)+1,""))</f>
        <v>895</v>
      </c>
    </row>
    <row r="902" customFormat="false" ht="15" hidden="false" customHeight="false" outlineLevel="0" collapsed="false">
      <c r="T902" s="0" t="n">
        <f aca="false">IF(Anforderungen!$B902="","",IF(AND(OR($B5="(alle)",Anforderungen!$K902=$B5),OR($E5="(alle)",Anforderungen!$C902=$E5),OR($H5="(alle)",Anforderungen!$E902=$H5),OR($B7="(alle)",ISNUMBER(SEARCH($B7,Anforderungen!$J902))),OR($E7="(alle)",ISNUMBER(SEARCH($E7,Anforderungen!$I902))),OR($H7="",ISNUMBER(SEARCH($H7,Anforderungen!$F902&amp;" "&amp;Anforderungen!$G902)))),COUNT($T$6:$T901)+1,""))</f>
        <v>896</v>
      </c>
    </row>
    <row r="903" customFormat="false" ht="15" hidden="false" customHeight="false" outlineLevel="0" collapsed="false">
      <c r="T903" s="0" t="n">
        <f aca="false">IF(Anforderungen!$B903="","",IF(AND(OR($B5="(alle)",Anforderungen!$K903=$B5),OR($E5="(alle)",Anforderungen!$C903=$E5),OR($H5="(alle)",Anforderungen!$E903=$H5),OR($B7="(alle)",ISNUMBER(SEARCH($B7,Anforderungen!$J903))),OR($E7="(alle)",ISNUMBER(SEARCH($E7,Anforderungen!$I903))),OR($H7="",ISNUMBER(SEARCH($H7,Anforderungen!$F903&amp;" "&amp;Anforderungen!$G903)))),COUNT($T$6:$T902)+1,""))</f>
        <v>897</v>
      </c>
    </row>
    <row r="904" customFormat="false" ht="15" hidden="false" customHeight="false" outlineLevel="0" collapsed="false">
      <c r="T904" s="0" t="n">
        <f aca="false">IF(Anforderungen!$B904="","",IF(AND(OR($B5="(alle)",Anforderungen!$K904=$B5),OR($E5="(alle)",Anforderungen!$C904=$E5),OR($H5="(alle)",Anforderungen!$E904=$H5),OR($B7="(alle)",ISNUMBER(SEARCH($B7,Anforderungen!$J904))),OR($E7="(alle)",ISNUMBER(SEARCH($E7,Anforderungen!$I904))),OR($H7="",ISNUMBER(SEARCH($H7,Anforderungen!$F904&amp;" "&amp;Anforderungen!$G904)))),COUNT($T$6:$T903)+1,""))</f>
        <v>898</v>
      </c>
    </row>
    <row r="905" customFormat="false" ht="15" hidden="false" customHeight="false" outlineLevel="0" collapsed="false">
      <c r="T905" s="0" t="n">
        <f aca="false">IF(Anforderungen!$B905="","",IF(AND(OR($B5="(alle)",Anforderungen!$K905=$B5),OR($E5="(alle)",Anforderungen!$C905=$E5),OR($H5="(alle)",Anforderungen!$E905=$H5),OR($B7="(alle)",ISNUMBER(SEARCH($B7,Anforderungen!$J905))),OR($E7="(alle)",ISNUMBER(SEARCH($E7,Anforderungen!$I905))),OR($H7="",ISNUMBER(SEARCH($H7,Anforderungen!$F905&amp;" "&amp;Anforderungen!$G905)))),COUNT($T$6:$T904)+1,""))</f>
        <v>899</v>
      </c>
    </row>
    <row r="906" customFormat="false" ht="15" hidden="false" customHeight="false" outlineLevel="0" collapsed="false">
      <c r="T906" s="0" t="n">
        <f aca="false">IF(Anforderungen!$B906="","",IF(AND(OR($B5="(alle)",Anforderungen!$K906=$B5),OR($E5="(alle)",Anforderungen!$C906=$E5),OR($H5="(alle)",Anforderungen!$E906=$H5),OR($B7="(alle)",ISNUMBER(SEARCH($B7,Anforderungen!$J906))),OR($E7="(alle)",ISNUMBER(SEARCH($E7,Anforderungen!$I906))),OR($H7="",ISNUMBER(SEARCH($H7,Anforderungen!$F906&amp;" "&amp;Anforderungen!$G906)))),COUNT($T$6:$T905)+1,""))</f>
        <v>900</v>
      </c>
    </row>
    <row r="907" customFormat="false" ht="15" hidden="false" customHeight="false" outlineLevel="0" collapsed="false">
      <c r="T907" s="0" t="n">
        <f aca="false">IF(Anforderungen!$B907="","",IF(AND(OR($B5="(alle)",Anforderungen!$K907=$B5),OR($E5="(alle)",Anforderungen!$C907=$E5),OR($H5="(alle)",Anforderungen!$E907=$H5),OR($B7="(alle)",ISNUMBER(SEARCH($B7,Anforderungen!$J907))),OR($E7="(alle)",ISNUMBER(SEARCH($E7,Anforderungen!$I907))),OR($H7="",ISNUMBER(SEARCH($H7,Anforderungen!$F907&amp;" "&amp;Anforderungen!$G907)))),COUNT($T$6:$T906)+1,""))</f>
        <v>901</v>
      </c>
    </row>
    <row r="908" customFormat="false" ht="15" hidden="false" customHeight="false" outlineLevel="0" collapsed="false">
      <c r="T908" s="0" t="n">
        <f aca="false">IF(Anforderungen!$B908="","",IF(AND(OR($B5="(alle)",Anforderungen!$K908=$B5),OR($E5="(alle)",Anforderungen!$C908=$E5),OR($H5="(alle)",Anforderungen!$E908=$H5),OR($B7="(alle)",ISNUMBER(SEARCH($B7,Anforderungen!$J908))),OR($E7="(alle)",ISNUMBER(SEARCH($E7,Anforderungen!$I908))),OR($H7="",ISNUMBER(SEARCH($H7,Anforderungen!$F908&amp;" "&amp;Anforderungen!$G908)))),COUNT($T$6:$T907)+1,""))</f>
        <v>902</v>
      </c>
    </row>
    <row r="909" customFormat="false" ht="15" hidden="false" customHeight="false" outlineLevel="0" collapsed="false">
      <c r="T909" s="0" t="n">
        <f aca="false">IF(Anforderungen!$B909="","",IF(AND(OR($B5="(alle)",Anforderungen!$K909=$B5),OR($E5="(alle)",Anforderungen!$C909=$E5),OR($H5="(alle)",Anforderungen!$E909=$H5),OR($B7="(alle)",ISNUMBER(SEARCH($B7,Anforderungen!$J909))),OR($E7="(alle)",ISNUMBER(SEARCH($E7,Anforderungen!$I909))),OR($H7="",ISNUMBER(SEARCH($H7,Anforderungen!$F909&amp;" "&amp;Anforderungen!$G909)))),COUNT($T$6:$T908)+1,""))</f>
        <v>903</v>
      </c>
    </row>
    <row r="910" customFormat="false" ht="15" hidden="false" customHeight="false" outlineLevel="0" collapsed="false">
      <c r="T910" s="0" t="n">
        <f aca="false">IF(Anforderungen!$B910="","",IF(AND(OR($B5="(alle)",Anforderungen!$K910=$B5),OR($E5="(alle)",Anforderungen!$C910=$E5),OR($H5="(alle)",Anforderungen!$E910=$H5),OR($B7="(alle)",ISNUMBER(SEARCH($B7,Anforderungen!$J910))),OR($E7="(alle)",ISNUMBER(SEARCH($E7,Anforderungen!$I910))),OR($H7="",ISNUMBER(SEARCH($H7,Anforderungen!$F910&amp;" "&amp;Anforderungen!$G910)))),COUNT($T$6:$T909)+1,""))</f>
        <v>904</v>
      </c>
    </row>
    <row r="911" customFormat="false" ht="15" hidden="false" customHeight="false" outlineLevel="0" collapsed="false">
      <c r="T911" s="0" t="n">
        <f aca="false">IF(Anforderungen!$B911="","",IF(AND(OR($B5="(alle)",Anforderungen!$K911=$B5),OR($E5="(alle)",Anforderungen!$C911=$E5),OR($H5="(alle)",Anforderungen!$E911=$H5),OR($B7="(alle)",ISNUMBER(SEARCH($B7,Anforderungen!$J911))),OR($E7="(alle)",ISNUMBER(SEARCH($E7,Anforderungen!$I911))),OR($H7="",ISNUMBER(SEARCH($H7,Anforderungen!$F911&amp;" "&amp;Anforderungen!$G911)))),COUNT($T$6:$T910)+1,""))</f>
        <v>905</v>
      </c>
    </row>
    <row r="912" customFormat="false" ht="15" hidden="false" customHeight="false" outlineLevel="0" collapsed="false">
      <c r="T912" s="0" t="n">
        <f aca="false">IF(Anforderungen!$B912="","",IF(AND(OR($B5="(alle)",Anforderungen!$K912=$B5),OR($E5="(alle)",Anforderungen!$C912=$E5),OR($H5="(alle)",Anforderungen!$E912=$H5),OR($B7="(alle)",ISNUMBER(SEARCH($B7,Anforderungen!$J912))),OR($E7="(alle)",ISNUMBER(SEARCH($E7,Anforderungen!$I912))),OR($H7="",ISNUMBER(SEARCH($H7,Anforderungen!$F912&amp;" "&amp;Anforderungen!$G912)))),COUNT($T$6:$T911)+1,""))</f>
        <v>906</v>
      </c>
    </row>
    <row r="913" customFormat="false" ht="15" hidden="false" customHeight="false" outlineLevel="0" collapsed="false">
      <c r="T913" s="0" t="n">
        <f aca="false">IF(Anforderungen!$B913="","",IF(AND(OR($B5="(alle)",Anforderungen!$K913=$B5),OR($E5="(alle)",Anforderungen!$C913=$E5),OR($H5="(alle)",Anforderungen!$E913=$H5),OR($B7="(alle)",ISNUMBER(SEARCH($B7,Anforderungen!$J913))),OR($E7="(alle)",ISNUMBER(SEARCH($E7,Anforderungen!$I913))),OR($H7="",ISNUMBER(SEARCH($H7,Anforderungen!$F913&amp;" "&amp;Anforderungen!$G913)))),COUNT($T$6:$T912)+1,""))</f>
        <v>907</v>
      </c>
    </row>
    <row r="914" customFormat="false" ht="15" hidden="false" customHeight="false" outlineLevel="0" collapsed="false">
      <c r="T914" s="0" t="n">
        <f aca="false">IF(Anforderungen!$B914="","",IF(AND(OR($B5="(alle)",Anforderungen!$K914=$B5),OR($E5="(alle)",Anforderungen!$C914=$E5),OR($H5="(alle)",Anforderungen!$E914=$H5),OR($B7="(alle)",ISNUMBER(SEARCH($B7,Anforderungen!$J914))),OR($E7="(alle)",ISNUMBER(SEARCH($E7,Anforderungen!$I914))),OR($H7="",ISNUMBER(SEARCH($H7,Anforderungen!$F914&amp;" "&amp;Anforderungen!$G914)))),COUNT($T$6:$T913)+1,""))</f>
        <v>908</v>
      </c>
    </row>
    <row r="915" customFormat="false" ht="15" hidden="false" customHeight="false" outlineLevel="0" collapsed="false">
      <c r="T915" s="0" t="n">
        <f aca="false">IF(Anforderungen!$B915="","",IF(AND(OR($B5="(alle)",Anforderungen!$K915=$B5),OR($E5="(alle)",Anforderungen!$C915=$E5),OR($H5="(alle)",Anforderungen!$E915=$H5),OR($B7="(alle)",ISNUMBER(SEARCH($B7,Anforderungen!$J915))),OR($E7="(alle)",ISNUMBER(SEARCH($E7,Anforderungen!$I915))),OR($H7="",ISNUMBER(SEARCH($H7,Anforderungen!$F915&amp;" "&amp;Anforderungen!$G915)))),COUNT($T$6:$T914)+1,""))</f>
        <v>909</v>
      </c>
    </row>
    <row r="916" customFormat="false" ht="15" hidden="false" customHeight="false" outlineLevel="0" collapsed="false">
      <c r="T916" s="0" t="n">
        <f aca="false">IF(Anforderungen!$B916="","",IF(AND(OR($B5="(alle)",Anforderungen!$K916=$B5),OR($E5="(alle)",Anforderungen!$C916=$E5),OR($H5="(alle)",Anforderungen!$E916=$H5),OR($B7="(alle)",ISNUMBER(SEARCH($B7,Anforderungen!$J916))),OR($E7="(alle)",ISNUMBER(SEARCH($E7,Anforderungen!$I916))),OR($H7="",ISNUMBER(SEARCH($H7,Anforderungen!$F916&amp;" "&amp;Anforderungen!$G916)))),COUNT($T$6:$T915)+1,""))</f>
        <v>910</v>
      </c>
    </row>
    <row r="917" customFormat="false" ht="15" hidden="false" customHeight="false" outlineLevel="0" collapsed="false">
      <c r="T917" s="0" t="n">
        <f aca="false">IF(Anforderungen!$B917="","",IF(AND(OR($B5="(alle)",Anforderungen!$K917=$B5),OR($E5="(alle)",Anforderungen!$C917=$E5),OR($H5="(alle)",Anforderungen!$E917=$H5),OR($B7="(alle)",ISNUMBER(SEARCH($B7,Anforderungen!$J917))),OR($E7="(alle)",ISNUMBER(SEARCH($E7,Anforderungen!$I917))),OR($H7="",ISNUMBER(SEARCH($H7,Anforderungen!$F917&amp;" "&amp;Anforderungen!$G917)))),COUNT($T$6:$T916)+1,""))</f>
        <v>911</v>
      </c>
    </row>
    <row r="918" customFormat="false" ht="15" hidden="false" customHeight="false" outlineLevel="0" collapsed="false">
      <c r="T918" s="0" t="n">
        <f aca="false">IF(Anforderungen!$B918="","",IF(AND(OR($B5="(alle)",Anforderungen!$K918=$B5),OR($E5="(alle)",Anforderungen!$C918=$E5),OR($H5="(alle)",Anforderungen!$E918=$H5),OR($B7="(alle)",ISNUMBER(SEARCH($B7,Anforderungen!$J918))),OR($E7="(alle)",ISNUMBER(SEARCH($E7,Anforderungen!$I918))),OR($H7="",ISNUMBER(SEARCH($H7,Anforderungen!$F918&amp;" "&amp;Anforderungen!$G918)))),COUNT($T$6:$T917)+1,""))</f>
        <v>912</v>
      </c>
    </row>
    <row r="919" customFormat="false" ht="15" hidden="false" customHeight="false" outlineLevel="0" collapsed="false">
      <c r="T919" s="0" t="n">
        <f aca="false">IF(Anforderungen!$B919="","",IF(AND(OR($B5="(alle)",Anforderungen!$K919=$B5),OR($E5="(alle)",Anforderungen!$C919=$E5),OR($H5="(alle)",Anforderungen!$E919=$H5),OR($B7="(alle)",ISNUMBER(SEARCH($B7,Anforderungen!$J919))),OR($E7="(alle)",ISNUMBER(SEARCH($E7,Anforderungen!$I919))),OR($H7="",ISNUMBER(SEARCH($H7,Anforderungen!$F919&amp;" "&amp;Anforderungen!$G919)))),COUNT($T$6:$T918)+1,""))</f>
        <v>913</v>
      </c>
    </row>
    <row r="920" customFormat="false" ht="15" hidden="false" customHeight="false" outlineLevel="0" collapsed="false">
      <c r="T920" s="0" t="n">
        <f aca="false">IF(Anforderungen!$B920="","",IF(AND(OR($B5="(alle)",Anforderungen!$K920=$B5),OR($E5="(alle)",Anforderungen!$C920=$E5),OR($H5="(alle)",Anforderungen!$E920=$H5),OR($B7="(alle)",ISNUMBER(SEARCH($B7,Anforderungen!$J920))),OR($E7="(alle)",ISNUMBER(SEARCH($E7,Anforderungen!$I920))),OR($H7="",ISNUMBER(SEARCH($H7,Anforderungen!$F920&amp;" "&amp;Anforderungen!$G920)))),COUNT($T$6:$T919)+1,""))</f>
        <v>914</v>
      </c>
    </row>
    <row r="921" customFormat="false" ht="15" hidden="false" customHeight="false" outlineLevel="0" collapsed="false">
      <c r="T921" s="0" t="n">
        <f aca="false">IF(Anforderungen!$B921="","",IF(AND(OR($B5="(alle)",Anforderungen!$K921=$B5),OR($E5="(alle)",Anforderungen!$C921=$E5),OR($H5="(alle)",Anforderungen!$E921=$H5),OR($B7="(alle)",ISNUMBER(SEARCH($B7,Anforderungen!$J921))),OR($E7="(alle)",ISNUMBER(SEARCH($E7,Anforderungen!$I921))),OR($H7="",ISNUMBER(SEARCH($H7,Anforderungen!$F921&amp;" "&amp;Anforderungen!$G921)))),COUNT($T$6:$T920)+1,""))</f>
        <v>915</v>
      </c>
    </row>
    <row r="922" customFormat="false" ht="15" hidden="false" customHeight="false" outlineLevel="0" collapsed="false">
      <c r="T922" s="0" t="n">
        <f aca="false">IF(Anforderungen!$B922="","",IF(AND(OR($B5="(alle)",Anforderungen!$K922=$B5),OR($E5="(alle)",Anforderungen!$C922=$E5),OR($H5="(alle)",Anforderungen!$E922=$H5),OR($B7="(alle)",ISNUMBER(SEARCH($B7,Anforderungen!$J922))),OR($E7="(alle)",ISNUMBER(SEARCH($E7,Anforderungen!$I922))),OR($H7="",ISNUMBER(SEARCH($H7,Anforderungen!$F922&amp;" "&amp;Anforderungen!$G922)))),COUNT($T$6:$T921)+1,""))</f>
        <v>916</v>
      </c>
    </row>
    <row r="923" customFormat="false" ht="15" hidden="false" customHeight="false" outlineLevel="0" collapsed="false">
      <c r="T923" s="0" t="n">
        <f aca="false">IF(Anforderungen!$B923="","",IF(AND(OR($B5="(alle)",Anforderungen!$K923=$B5),OR($E5="(alle)",Anforderungen!$C923=$E5),OR($H5="(alle)",Anforderungen!$E923=$H5),OR($B7="(alle)",ISNUMBER(SEARCH($B7,Anforderungen!$J923))),OR($E7="(alle)",ISNUMBER(SEARCH($E7,Anforderungen!$I923))),OR($H7="",ISNUMBER(SEARCH($H7,Anforderungen!$F923&amp;" "&amp;Anforderungen!$G923)))),COUNT($T$6:$T922)+1,""))</f>
        <v>917</v>
      </c>
    </row>
    <row r="924" customFormat="false" ht="15" hidden="false" customHeight="false" outlineLevel="0" collapsed="false">
      <c r="T924" s="0" t="n">
        <f aca="false">IF(Anforderungen!$B924="","",IF(AND(OR($B5="(alle)",Anforderungen!$K924=$B5),OR($E5="(alle)",Anforderungen!$C924=$E5),OR($H5="(alle)",Anforderungen!$E924=$H5),OR($B7="(alle)",ISNUMBER(SEARCH($B7,Anforderungen!$J924))),OR($E7="(alle)",ISNUMBER(SEARCH($E7,Anforderungen!$I924))),OR($H7="",ISNUMBER(SEARCH($H7,Anforderungen!$F924&amp;" "&amp;Anforderungen!$G924)))),COUNT($T$6:$T923)+1,""))</f>
        <v>918</v>
      </c>
    </row>
    <row r="925" customFormat="false" ht="15" hidden="false" customHeight="false" outlineLevel="0" collapsed="false">
      <c r="T925" s="0" t="n">
        <f aca="false">IF(Anforderungen!$B925="","",IF(AND(OR($B5="(alle)",Anforderungen!$K925=$B5),OR($E5="(alle)",Anforderungen!$C925=$E5),OR($H5="(alle)",Anforderungen!$E925=$H5),OR($B7="(alle)",ISNUMBER(SEARCH($B7,Anforderungen!$J925))),OR($E7="(alle)",ISNUMBER(SEARCH($E7,Anforderungen!$I925))),OR($H7="",ISNUMBER(SEARCH($H7,Anforderungen!$F925&amp;" "&amp;Anforderungen!$G925)))),COUNT($T$6:$T924)+1,""))</f>
        <v>919</v>
      </c>
    </row>
    <row r="926" customFormat="false" ht="15" hidden="false" customHeight="false" outlineLevel="0" collapsed="false">
      <c r="T926" s="0" t="n">
        <f aca="false">IF(Anforderungen!$B926="","",IF(AND(OR($B5="(alle)",Anforderungen!$K926=$B5),OR($E5="(alle)",Anforderungen!$C926=$E5),OR($H5="(alle)",Anforderungen!$E926=$H5),OR($B7="(alle)",ISNUMBER(SEARCH($B7,Anforderungen!$J926))),OR($E7="(alle)",ISNUMBER(SEARCH($E7,Anforderungen!$I926))),OR($H7="",ISNUMBER(SEARCH($H7,Anforderungen!$F926&amp;" "&amp;Anforderungen!$G926)))),COUNT($T$6:$T925)+1,""))</f>
        <v>920</v>
      </c>
    </row>
    <row r="927" customFormat="false" ht="15" hidden="false" customHeight="false" outlineLevel="0" collapsed="false">
      <c r="T927" s="0" t="n">
        <f aca="false">IF(Anforderungen!$B927="","",IF(AND(OR($B5="(alle)",Anforderungen!$K927=$B5),OR($E5="(alle)",Anforderungen!$C927=$E5),OR($H5="(alle)",Anforderungen!$E927=$H5),OR($B7="(alle)",ISNUMBER(SEARCH($B7,Anforderungen!$J927))),OR($E7="(alle)",ISNUMBER(SEARCH($E7,Anforderungen!$I927))),OR($H7="",ISNUMBER(SEARCH($H7,Anforderungen!$F927&amp;" "&amp;Anforderungen!$G927)))),COUNT($T$6:$T926)+1,""))</f>
        <v>921</v>
      </c>
    </row>
    <row r="928" customFormat="false" ht="15" hidden="false" customHeight="false" outlineLevel="0" collapsed="false">
      <c r="T928" s="0" t="n">
        <f aca="false">IF(Anforderungen!$B928="","",IF(AND(OR($B5="(alle)",Anforderungen!$K928=$B5),OR($E5="(alle)",Anforderungen!$C928=$E5),OR($H5="(alle)",Anforderungen!$E928=$H5),OR($B7="(alle)",ISNUMBER(SEARCH($B7,Anforderungen!$J928))),OR($E7="(alle)",ISNUMBER(SEARCH($E7,Anforderungen!$I928))),OR($H7="",ISNUMBER(SEARCH($H7,Anforderungen!$F928&amp;" "&amp;Anforderungen!$G928)))),COUNT($T$6:$T927)+1,""))</f>
        <v>922</v>
      </c>
    </row>
    <row r="929" customFormat="false" ht="15" hidden="false" customHeight="false" outlineLevel="0" collapsed="false">
      <c r="T929" s="0" t="n">
        <f aca="false">IF(Anforderungen!$B929="","",IF(AND(OR($B5="(alle)",Anforderungen!$K929=$B5),OR($E5="(alle)",Anforderungen!$C929=$E5),OR($H5="(alle)",Anforderungen!$E929=$H5),OR($B7="(alle)",ISNUMBER(SEARCH($B7,Anforderungen!$J929))),OR($E7="(alle)",ISNUMBER(SEARCH($E7,Anforderungen!$I929))),OR($H7="",ISNUMBER(SEARCH($H7,Anforderungen!$F929&amp;" "&amp;Anforderungen!$G929)))),COUNT($T$6:$T928)+1,""))</f>
        <v>923</v>
      </c>
    </row>
    <row r="930" customFormat="false" ht="15" hidden="false" customHeight="false" outlineLevel="0" collapsed="false">
      <c r="T930" s="0" t="n">
        <f aca="false">IF(Anforderungen!$B930="","",IF(AND(OR($B5="(alle)",Anforderungen!$K930=$B5),OR($E5="(alle)",Anforderungen!$C930=$E5),OR($H5="(alle)",Anforderungen!$E930=$H5),OR($B7="(alle)",ISNUMBER(SEARCH($B7,Anforderungen!$J930))),OR($E7="(alle)",ISNUMBER(SEARCH($E7,Anforderungen!$I930))),OR($H7="",ISNUMBER(SEARCH($H7,Anforderungen!$F930&amp;" "&amp;Anforderungen!$G930)))),COUNT($T$6:$T929)+1,""))</f>
        <v>924</v>
      </c>
    </row>
    <row r="931" customFormat="false" ht="15" hidden="false" customHeight="false" outlineLevel="0" collapsed="false">
      <c r="T931" s="0" t="n">
        <f aca="false">IF(Anforderungen!$B931="","",IF(AND(OR($B5="(alle)",Anforderungen!$K931=$B5),OR($E5="(alle)",Anforderungen!$C931=$E5),OR($H5="(alle)",Anforderungen!$E931=$H5),OR($B7="(alle)",ISNUMBER(SEARCH($B7,Anforderungen!$J931))),OR($E7="(alle)",ISNUMBER(SEARCH($E7,Anforderungen!$I931))),OR($H7="",ISNUMBER(SEARCH($H7,Anforderungen!$F931&amp;" "&amp;Anforderungen!$G931)))),COUNT($T$6:$T930)+1,""))</f>
        <v>925</v>
      </c>
    </row>
    <row r="932" customFormat="false" ht="15" hidden="false" customHeight="false" outlineLevel="0" collapsed="false">
      <c r="T932" s="0" t="n">
        <f aca="false">IF(Anforderungen!$B932="","",IF(AND(OR($B5="(alle)",Anforderungen!$K932=$B5),OR($E5="(alle)",Anforderungen!$C932=$E5),OR($H5="(alle)",Anforderungen!$E932=$H5),OR($B7="(alle)",ISNUMBER(SEARCH($B7,Anforderungen!$J932))),OR($E7="(alle)",ISNUMBER(SEARCH($E7,Anforderungen!$I932))),OR($H7="",ISNUMBER(SEARCH($H7,Anforderungen!$F932&amp;" "&amp;Anforderungen!$G932)))),COUNT($T$6:$T931)+1,""))</f>
        <v>926</v>
      </c>
    </row>
    <row r="933" customFormat="false" ht="15" hidden="false" customHeight="false" outlineLevel="0" collapsed="false">
      <c r="T933" s="0" t="n">
        <f aca="false">IF(Anforderungen!$B933="","",IF(AND(OR($B5="(alle)",Anforderungen!$K933=$B5),OR($E5="(alle)",Anforderungen!$C933=$E5),OR($H5="(alle)",Anforderungen!$E933=$H5),OR($B7="(alle)",ISNUMBER(SEARCH($B7,Anforderungen!$J933))),OR($E7="(alle)",ISNUMBER(SEARCH($E7,Anforderungen!$I933))),OR($H7="",ISNUMBER(SEARCH($H7,Anforderungen!$F933&amp;" "&amp;Anforderungen!$G933)))),COUNT($T$6:$T932)+1,""))</f>
        <v>927</v>
      </c>
    </row>
    <row r="934" customFormat="false" ht="15" hidden="false" customHeight="false" outlineLevel="0" collapsed="false">
      <c r="T934" s="0" t="n">
        <f aca="false">IF(Anforderungen!$B934="","",IF(AND(OR($B5="(alle)",Anforderungen!$K934=$B5),OR($E5="(alle)",Anforderungen!$C934=$E5),OR($H5="(alle)",Anforderungen!$E934=$H5),OR($B7="(alle)",ISNUMBER(SEARCH($B7,Anforderungen!$J934))),OR($E7="(alle)",ISNUMBER(SEARCH($E7,Anforderungen!$I934))),OR($H7="",ISNUMBER(SEARCH($H7,Anforderungen!$F934&amp;" "&amp;Anforderungen!$G934)))),COUNT($T$6:$T933)+1,""))</f>
        <v>928</v>
      </c>
    </row>
    <row r="935" customFormat="false" ht="15" hidden="false" customHeight="false" outlineLevel="0" collapsed="false">
      <c r="T935" s="0" t="n">
        <f aca="false">IF(Anforderungen!$B935="","",IF(AND(OR($B5="(alle)",Anforderungen!$K935=$B5),OR($E5="(alle)",Anforderungen!$C935=$E5),OR($H5="(alle)",Anforderungen!$E935=$H5),OR($B7="(alle)",ISNUMBER(SEARCH($B7,Anforderungen!$J935))),OR($E7="(alle)",ISNUMBER(SEARCH($E7,Anforderungen!$I935))),OR($H7="",ISNUMBER(SEARCH($H7,Anforderungen!$F935&amp;" "&amp;Anforderungen!$G935)))),COUNT($T$6:$T934)+1,""))</f>
        <v>929</v>
      </c>
    </row>
    <row r="936" customFormat="false" ht="15" hidden="false" customHeight="false" outlineLevel="0" collapsed="false">
      <c r="T936" s="0" t="n">
        <f aca="false">IF(Anforderungen!$B936="","",IF(AND(OR($B5="(alle)",Anforderungen!$K936=$B5),OR($E5="(alle)",Anforderungen!$C936=$E5),OR($H5="(alle)",Anforderungen!$E936=$H5),OR($B7="(alle)",ISNUMBER(SEARCH($B7,Anforderungen!$J936))),OR($E7="(alle)",ISNUMBER(SEARCH($E7,Anforderungen!$I936))),OR($H7="",ISNUMBER(SEARCH($H7,Anforderungen!$F936&amp;" "&amp;Anforderungen!$G936)))),COUNT($T$6:$T935)+1,""))</f>
        <v>930</v>
      </c>
    </row>
    <row r="937" customFormat="false" ht="15" hidden="false" customHeight="false" outlineLevel="0" collapsed="false">
      <c r="T937" s="0" t="n">
        <f aca="false">IF(Anforderungen!$B937="","",IF(AND(OR($B5="(alle)",Anforderungen!$K937=$B5),OR($E5="(alle)",Anforderungen!$C937=$E5),OR($H5="(alle)",Anforderungen!$E937=$H5),OR($B7="(alle)",ISNUMBER(SEARCH($B7,Anforderungen!$J937))),OR($E7="(alle)",ISNUMBER(SEARCH($E7,Anforderungen!$I937))),OR($H7="",ISNUMBER(SEARCH($H7,Anforderungen!$F937&amp;" "&amp;Anforderungen!$G937)))),COUNT($T$6:$T936)+1,""))</f>
        <v>931</v>
      </c>
    </row>
    <row r="938" customFormat="false" ht="15" hidden="false" customHeight="false" outlineLevel="0" collapsed="false">
      <c r="T938" s="0" t="n">
        <f aca="false">IF(Anforderungen!$B938="","",IF(AND(OR($B5="(alle)",Anforderungen!$K938=$B5),OR($E5="(alle)",Anforderungen!$C938=$E5),OR($H5="(alle)",Anforderungen!$E938=$H5),OR($B7="(alle)",ISNUMBER(SEARCH($B7,Anforderungen!$J938))),OR($E7="(alle)",ISNUMBER(SEARCH($E7,Anforderungen!$I938))),OR($H7="",ISNUMBER(SEARCH($H7,Anforderungen!$F938&amp;" "&amp;Anforderungen!$G938)))),COUNT($T$6:$T937)+1,""))</f>
        <v>932</v>
      </c>
    </row>
    <row r="939" customFormat="false" ht="15" hidden="false" customHeight="false" outlineLevel="0" collapsed="false">
      <c r="T939" s="0" t="n">
        <f aca="false">IF(Anforderungen!$B939="","",IF(AND(OR($B5="(alle)",Anforderungen!$K939=$B5),OR($E5="(alle)",Anforderungen!$C939=$E5),OR($H5="(alle)",Anforderungen!$E939=$H5),OR($B7="(alle)",ISNUMBER(SEARCH($B7,Anforderungen!$J939))),OR($E7="(alle)",ISNUMBER(SEARCH($E7,Anforderungen!$I939))),OR($H7="",ISNUMBER(SEARCH($H7,Anforderungen!$F939&amp;" "&amp;Anforderungen!$G939)))),COUNT($T$6:$T938)+1,""))</f>
        <v>933</v>
      </c>
    </row>
    <row r="940" customFormat="false" ht="15" hidden="false" customHeight="false" outlineLevel="0" collapsed="false">
      <c r="T940" s="0" t="n">
        <f aca="false">IF(Anforderungen!$B940="","",IF(AND(OR($B5="(alle)",Anforderungen!$K940=$B5),OR($E5="(alle)",Anforderungen!$C940=$E5),OR($H5="(alle)",Anforderungen!$E940=$H5),OR($B7="(alle)",ISNUMBER(SEARCH($B7,Anforderungen!$J940))),OR($E7="(alle)",ISNUMBER(SEARCH($E7,Anforderungen!$I940))),OR($H7="",ISNUMBER(SEARCH($H7,Anforderungen!$F940&amp;" "&amp;Anforderungen!$G940)))),COUNT($T$6:$T939)+1,""))</f>
        <v>934</v>
      </c>
    </row>
    <row r="941" customFormat="false" ht="15" hidden="false" customHeight="false" outlineLevel="0" collapsed="false">
      <c r="T941" s="0" t="n">
        <f aca="false">IF(Anforderungen!$B941="","",IF(AND(OR($B5="(alle)",Anforderungen!$K941=$B5),OR($E5="(alle)",Anforderungen!$C941=$E5),OR($H5="(alle)",Anforderungen!$E941=$H5),OR($B7="(alle)",ISNUMBER(SEARCH($B7,Anforderungen!$J941))),OR($E7="(alle)",ISNUMBER(SEARCH($E7,Anforderungen!$I941))),OR($H7="",ISNUMBER(SEARCH($H7,Anforderungen!$F941&amp;" "&amp;Anforderungen!$G941)))),COUNT($T$6:$T940)+1,""))</f>
        <v>935</v>
      </c>
    </row>
    <row r="942" customFormat="false" ht="15" hidden="false" customHeight="false" outlineLevel="0" collapsed="false">
      <c r="T942" s="0" t="n">
        <f aca="false">IF(Anforderungen!$B942="","",IF(AND(OR($B5="(alle)",Anforderungen!$K942=$B5),OR($E5="(alle)",Anforderungen!$C942=$E5),OR($H5="(alle)",Anforderungen!$E942=$H5),OR($B7="(alle)",ISNUMBER(SEARCH($B7,Anforderungen!$J942))),OR($E7="(alle)",ISNUMBER(SEARCH($E7,Anforderungen!$I942))),OR($H7="",ISNUMBER(SEARCH($H7,Anforderungen!$F942&amp;" "&amp;Anforderungen!$G942)))),COUNT($T$6:$T941)+1,""))</f>
        <v>936</v>
      </c>
    </row>
    <row r="943" customFormat="false" ht="15" hidden="false" customHeight="false" outlineLevel="0" collapsed="false">
      <c r="T943" s="0" t="n">
        <f aca="false">IF(Anforderungen!$B943="","",IF(AND(OR($B5="(alle)",Anforderungen!$K943=$B5),OR($E5="(alle)",Anforderungen!$C943=$E5),OR($H5="(alle)",Anforderungen!$E943=$H5),OR($B7="(alle)",ISNUMBER(SEARCH($B7,Anforderungen!$J943))),OR($E7="(alle)",ISNUMBER(SEARCH($E7,Anforderungen!$I943))),OR($H7="",ISNUMBER(SEARCH($H7,Anforderungen!$F943&amp;" "&amp;Anforderungen!$G943)))),COUNT($T$6:$T942)+1,""))</f>
        <v>937</v>
      </c>
    </row>
    <row r="944" customFormat="false" ht="15" hidden="false" customHeight="false" outlineLevel="0" collapsed="false">
      <c r="T944" s="0" t="n">
        <f aca="false">IF(Anforderungen!$B944="","",IF(AND(OR($B5="(alle)",Anforderungen!$K944=$B5),OR($E5="(alle)",Anforderungen!$C944=$E5),OR($H5="(alle)",Anforderungen!$E944=$H5),OR($B7="(alle)",ISNUMBER(SEARCH($B7,Anforderungen!$J944))),OR($E7="(alle)",ISNUMBER(SEARCH($E7,Anforderungen!$I944))),OR($H7="",ISNUMBER(SEARCH($H7,Anforderungen!$F944&amp;" "&amp;Anforderungen!$G944)))),COUNT($T$6:$T943)+1,""))</f>
        <v>938</v>
      </c>
    </row>
    <row r="945" customFormat="false" ht="15" hidden="false" customHeight="false" outlineLevel="0" collapsed="false">
      <c r="T945" s="0" t="n">
        <f aca="false">IF(Anforderungen!$B945="","",IF(AND(OR($B5="(alle)",Anforderungen!$K945=$B5),OR($E5="(alle)",Anforderungen!$C945=$E5),OR($H5="(alle)",Anforderungen!$E945=$H5),OR($B7="(alle)",ISNUMBER(SEARCH($B7,Anforderungen!$J945))),OR($E7="(alle)",ISNUMBER(SEARCH($E7,Anforderungen!$I945))),OR($H7="",ISNUMBER(SEARCH($H7,Anforderungen!$F945&amp;" "&amp;Anforderungen!$G945)))),COUNT($T$6:$T944)+1,""))</f>
        <v>939</v>
      </c>
    </row>
    <row r="946" customFormat="false" ht="15" hidden="false" customHeight="false" outlineLevel="0" collapsed="false">
      <c r="T946" s="0" t="n">
        <f aca="false">IF(Anforderungen!$B946="","",IF(AND(OR($B5="(alle)",Anforderungen!$K946=$B5),OR($E5="(alle)",Anforderungen!$C946=$E5),OR($H5="(alle)",Anforderungen!$E946=$H5),OR($B7="(alle)",ISNUMBER(SEARCH($B7,Anforderungen!$J946))),OR($E7="(alle)",ISNUMBER(SEARCH($E7,Anforderungen!$I946))),OR($H7="",ISNUMBER(SEARCH($H7,Anforderungen!$F946&amp;" "&amp;Anforderungen!$G946)))),COUNT($T$6:$T945)+1,""))</f>
        <v>940</v>
      </c>
    </row>
    <row r="947" customFormat="false" ht="15" hidden="false" customHeight="false" outlineLevel="0" collapsed="false">
      <c r="T947" s="0" t="n">
        <f aca="false">IF(Anforderungen!$B947="","",IF(AND(OR($B5="(alle)",Anforderungen!$K947=$B5),OR($E5="(alle)",Anforderungen!$C947=$E5),OR($H5="(alle)",Anforderungen!$E947=$H5),OR($B7="(alle)",ISNUMBER(SEARCH($B7,Anforderungen!$J947))),OR($E7="(alle)",ISNUMBER(SEARCH($E7,Anforderungen!$I947))),OR($H7="",ISNUMBER(SEARCH($H7,Anforderungen!$F947&amp;" "&amp;Anforderungen!$G947)))),COUNT($T$6:$T946)+1,""))</f>
        <v>941</v>
      </c>
    </row>
    <row r="948" customFormat="false" ht="15" hidden="false" customHeight="false" outlineLevel="0" collapsed="false">
      <c r="T948" s="0" t="n">
        <f aca="false">IF(Anforderungen!$B948="","",IF(AND(OR($B5="(alle)",Anforderungen!$K948=$B5),OR($E5="(alle)",Anforderungen!$C948=$E5),OR($H5="(alle)",Anforderungen!$E948=$H5),OR($B7="(alle)",ISNUMBER(SEARCH($B7,Anforderungen!$J948))),OR($E7="(alle)",ISNUMBER(SEARCH($E7,Anforderungen!$I948))),OR($H7="",ISNUMBER(SEARCH($H7,Anforderungen!$F948&amp;" "&amp;Anforderungen!$G948)))),COUNT($T$6:$T947)+1,""))</f>
        <v>942</v>
      </c>
    </row>
    <row r="949" customFormat="false" ht="15" hidden="false" customHeight="false" outlineLevel="0" collapsed="false">
      <c r="T949" s="0" t="n">
        <f aca="false">IF(Anforderungen!$B949="","",IF(AND(OR($B5="(alle)",Anforderungen!$K949=$B5),OR($E5="(alle)",Anforderungen!$C949=$E5),OR($H5="(alle)",Anforderungen!$E949=$H5),OR($B7="(alle)",ISNUMBER(SEARCH($B7,Anforderungen!$J949))),OR($E7="(alle)",ISNUMBER(SEARCH($E7,Anforderungen!$I949))),OR($H7="",ISNUMBER(SEARCH($H7,Anforderungen!$F949&amp;" "&amp;Anforderungen!$G949)))),COUNT($T$6:$T948)+1,""))</f>
        <v>943</v>
      </c>
    </row>
    <row r="950" customFormat="false" ht="15" hidden="false" customHeight="false" outlineLevel="0" collapsed="false">
      <c r="T950" s="0" t="n">
        <f aca="false">IF(Anforderungen!$B950="","",IF(AND(OR($B5="(alle)",Anforderungen!$K950=$B5),OR($E5="(alle)",Anforderungen!$C950=$E5),OR($H5="(alle)",Anforderungen!$E950=$H5),OR($B7="(alle)",ISNUMBER(SEARCH($B7,Anforderungen!$J950))),OR($E7="(alle)",ISNUMBER(SEARCH($E7,Anforderungen!$I950))),OR($H7="",ISNUMBER(SEARCH($H7,Anforderungen!$F950&amp;" "&amp;Anforderungen!$G950)))),COUNT($T$6:$T949)+1,""))</f>
        <v>944</v>
      </c>
    </row>
    <row r="951" customFormat="false" ht="15" hidden="false" customHeight="false" outlineLevel="0" collapsed="false">
      <c r="T951" s="0" t="n">
        <f aca="false">IF(Anforderungen!$B951="","",IF(AND(OR($B5="(alle)",Anforderungen!$K951=$B5),OR($E5="(alle)",Anforderungen!$C951=$E5),OR($H5="(alle)",Anforderungen!$E951=$H5),OR($B7="(alle)",ISNUMBER(SEARCH($B7,Anforderungen!$J951))),OR($E7="(alle)",ISNUMBER(SEARCH($E7,Anforderungen!$I951))),OR($H7="",ISNUMBER(SEARCH($H7,Anforderungen!$F951&amp;" "&amp;Anforderungen!$G951)))),COUNT($T$6:$T950)+1,""))</f>
        <v>945</v>
      </c>
    </row>
    <row r="952" customFormat="false" ht="15" hidden="false" customHeight="false" outlineLevel="0" collapsed="false">
      <c r="T952" s="0" t="n">
        <f aca="false">IF(Anforderungen!$B952="","",IF(AND(OR($B5="(alle)",Anforderungen!$K952=$B5),OR($E5="(alle)",Anforderungen!$C952=$E5),OR($H5="(alle)",Anforderungen!$E952=$H5),OR($B7="(alle)",ISNUMBER(SEARCH($B7,Anforderungen!$J952))),OR($E7="(alle)",ISNUMBER(SEARCH($E7,Anforderungen!$I952))),OR($H7="",ISNUMBER(SEARCH($H7,Anforderungen!$F952&amp;" "&amp;Anforderungen!$G952)))),COUNT($T$6:$T951)+1,""))</f>
        <v>946</v>
      </c>
    </row>
    <row r="953" customFormat="false" ht="15" hidden="false" customHeight="false" outlineLevel="0" collapsed="false">
      <c r="T953" s="0" t="n">
        <f aca="false">IF(Anforderungen!$B953="","",IF(AND(OR($B5="(alle)",Anforderungen!$K953=$B5),OR($E5="(alle)",Anforderungen!$C953=$E5),OR($H5="(alle)",Anforderungen!$E953=$H5),OR($B7="(alle)",ISNUMBER(SEARCH($B7,Anforderungen!$J953))),OR($E7="(alle)",ISNUMBER(SEARCH($E7,Anforderungen!$I953))),OR($H7="",ISNUMBER(SEARCH($H7,Anforderungen!$F953&amp;" "&amp;Anforderungen!$G953)))),COUNT($T$6:$T952)+1,""))</f>
        <v>947</v>
      </c>
    </row>
    <row r="954" customFormat="false" ht="15" hidden="false" customHeight="false" outlineLevel="0" collapsed="false">
      <c r="T954" s="0" t="n">
        <f aca="false">IF(Anforderungen!$B954="","",IF(AND(OR($B5="(alle)",Anforderungen!$K954=$B5),OR($E5="(alle)",Anforderungen!$C954=$E5),OR($H5="(alle)",Anforderungen!$E954=$H5),OR($B7="(alle)",ISNUMBER(SEARCH($B7,Anforderungen!$J954))),OR($E7="(alle)",ISNUMBER(SEARCH($E7,Anforderungen!$I954))),OR($H7="",ISNUMBER(SEARCH($H7,Anforderungen!$F954&amp;" "&amp;Anforderungen!$G954)))),COUNT($T$6:$T953)+1,""))</f>
        <v>948</v>
      </c>
    </row>
    <row r="955" customFormat="false" ht="15" hidden="false" customHeight="false" outlineLevel="0" collapsed="false">
      <c r="T955" s="0" t="n">
        <f aca="false">IF(Anforderungen!$B955="","",IF(AND(OR($B5="(alle)",Anforderungen!$K955=$B5),OR($E5="(alle)",Anforderungen!$C955=$E5),OR($H5="(alle)",Anforderungen!$E955=$H5),OR($B7="(alle)",ISNUMBER(SEARCH($B7,Anforderungen!$J955))),OR($E7="(alle)",ISNUMBER(SEARCH($E7,Anforderungen!$I955))),OR($H7="",ISNUMBER(SEARCH($H7,Anforderungen!$F955&amp;" "&amp;Anforderungen!$G955)))),COUNT($T$6:$T954)+1,""))</f>
        <v>949</v>
      </c>
    </row>
    <row r="956" customFormat="false" ht="15" hidden="false" customHeight="false" outlineLevel="0" collapsed="false">
      <c r="T956" s="0" t="n">
        <f aca="false">IF(Anforderungen!$B956="","",IF(AND(OR($B5="(alle)",Anforderungen!$K956=$B5),OR($E5="(alle)",Anforderungen!$C956=$E5),OR($H5="(alle)",Anforderungen!$E956=$H5),OR($B7="(alle)",ISNUMBER(SEARCH($B7,Anforderungen!$J956))),OR($E7="(alle)",ISNUMBER(SEARCH($E7,Anforderungen!$I956))),OR($H7="",ISNUMBER(SEARCH($H7,Anforderungen!$F956&amp;" "&amp;Anforderungen!$G956)))),COUNT($T$6:$T955)+1,""))</f>
        <v>950</v>
      </c>
    </row>
    <row r="957" customFormat="false" ht="15" hidden="false" customHeight="false" outlineLevel="0" collapsed="false">
      <c r="T957" s="0" t="n">
        <f aca="false">IF(Anforderungen!$B957="","",IF(AND(OR($B5="(alle)",Anforderungen!$K957=$B5),OR($E5="(alle)",Anforderungen!$C957=$E5),OR($H5="(alle)",Anforderungen!$E957=$H5),OR($B7="(alle)",ISNUMBER(SEARCH($B7,Anforderungen!$J957))),OR($E7="(alle)",ISNUMBER(SEARCH($E7,Anforderungen!$I957))),OR($H7="",ISNUMBER(SEARCH($H7,Anforderungen!$F957&amp;" "&amp;Anforderungen!$G957)))),COUNT($T$6:$T956)+1,""))</f>
        <v>951</v>
      </c>
    </row>
    <row r="958" customFormat="false" ht="15" hidden="false" customHeight="false" outlineLevel="0" collapsed="false">
      <c r="T958" s="0" t="n">
        <f aca="false">IF(Anforderungen!$B958="","",IF(AND(OR($B5="(alle)",Anforderungen!$K958=$B5),OR($E5="(alle)",Anforderungen!$C958=$E5),OR($H5="(alle)",Anforderungen!$E958=$H5),OR($B7="(alle)",ISNUMBER(SEARCH($B7,Anforderungen!$J958))),OR($E7="(alle)",ISNUMBER(SEARCH($E7,Anforderungen!$I958))),OR($H7="",ISNUMBER(SEARCH($H7,Anforderungen!$F958&amp;" "&amp;Anforderungen!$G958)))),COUNT($T$6:$T957)+1,""))</f>
        <v>952</v>
      </c>
    </row>
    <row r="959" customFormat="false" ht="15" hidden="false" customHeight="false" outlineLevel="0" collapsed="false">
      <c r="T959" s="0" t="n">
        <f aca="false">IF(Anforderungen!$B959="","",IF(AND(OR($B5="(alle)",Anforderungen!$K959=$B5),OR($E5="(alle)",Anforderungen!$C959=$E5),OR($H5="(alle)",Anforderungen!$E959=$H5),OR($B7="(alle)",ISNUMBER(SEARCH($B7,Anforderungen!$J959))),OR($E7="(alle)",ISNUMBER(SEARCH($E7,Anforderungen!$I959))),OR($H7="",ISNUMBER(SEARCH($H7,Anforderungen!$F959&amp;" "&amp;Anforderungen!$G959)))),COUNT($T$6:$T958)+1,""))</f>
        <v>953</v>
      </c>
    </row>
    <row r="960" customFormat="false" ht="15" hidden="false" customHeight="false" outlineLevel="0" collapsed="false">
      <c r="T960" s="0" t="n">
        <f aca="false">IF(Anforderungen!$B960="","",IF(AND(OR($B5="(alle)",Anforderungen!$K960=$B5),OR($E5="(alle)",Anforderungen!$C960=$E5),OR($H5="(alle)",Anforderungen!$E960=$H5),OR($B7="(alle)",ISNUMBER(SEARCH($B7,Anforderungen!$J960))),OR($E7="(alle)",ISNUMBER(SEARCH($E7,Anforderungen!$I960))),OR($H7="",ISNUMBER(SEARCH($H7,Anforderungen!$F960&amp;" "&amp;Anforderungen!$G960)))),COUNT($T$6:$T959)+1,""))</f>
        <v>954</v>
      </c>
    </row>
    <row r="961" customFormat="false" ht="15" hidden="false" customHeight="false" outlineLevel="0" collapsed="false">
      <c r="T961" s="0" t="n">
        <f aca="false">IF(Anforderungen!$B961="","",IF(AND(OR($B5="(alle)",Anforderungen!$K961=$B5),OR($E5="(alle)",Anforderungen!$C961=$E5),OR($H5="(alle)",Anforderungen!$E961=$H5),OR($B7="(alle)",ISNUMBER(SEARCH($B7,Anforderungen!$J961))),OR($E7="(alle)",ISNUMBER(SEARCH($E7,Anforderungen!$I961))),OR($H7="",ISNUMBER(SEARCH($H7,Anforderungen!$F961&amp;" "&amp;Anforderungen!$G961)))),COUNT($T$6:$T960)+1,""))</f>
        <v>955</v>
      </c>
    </row>
    <row r="962" customFormat="false" ht="15" hidden="false" customHeight="false" outlineLevel="0" collapsed="false">
      <c r="T962" s="0" t="n">
        <f aca="false">IF(Anforderungen!$B962="","",IF(AND(OR($B5="(alle)",Anforderungen!$K962=$B5),OR($E5="(alle)",Anforderungen!$C962=$E5),OR($H5="(alle)",Anforderungen!$E962=$H5),OR($B7="(alle)",ISNUMBER(SEARCH($B7,Anforderungen!$J962))),OR($E7="(alle)",ISNUMBER(SEARCH($E7,Anforderungen!$I962))),OR($H7="",ISNUMBER(SEARCH($H7,Anforderungen!$F962&amp;" "&amp;Anforderungen!$G962)))),COUNT($T$6:$T961)+1,""))</f>
        <v>956</v>
      </c>
    </row>
    <row r="963" customFormat="false" ht="15" hidden="false" customHeight="false" outlineLevel="0" collapsed="false">
      <c r="T963" s="0" t="n">
        <f aca="false">IF(Anforderungen!$B963="","",IF(AND(OR($B5="(alle)",Anforderungen!$K963=$B5),OR($E5="(alle)",Anforderungen!$C963=$E5),OR($H5="(alle)",Anforderungen!$E963=$H5),OR($B7="(alle)",ISNUMBER(SEARCH($B7,Anforderungen!$J963))),OR($E7="(alle)",ISNUMBER(SEARCH($E7,Anforderungen!$I963))),OR($H7="",ISNUMBER(SEARCH($H7,Anforderungen!$F963&amp;" "&amp;Anforderungen!$G963)))),COUNT($T$6:$T962)+1,""))</f>
        <v>957</v>
      </c>
    </row>
    <row r="964" customFormat="false" ht="15" hidden="false" customHeight="false" outlineLevel="0" collapsed="false">
      <c r="T964" s="0" t="n">
        <f aca="false">IF(Anforderungen!$B964="","",IF(AND(OR($B5="(alle)",Anforderungen!$K964=$B5),OR($E5="(alle)",Anforderungen!$C964=$E5),OR($H5="(alle)",Anforderungen!$E964=$H5),OR($B7="(alle)",ISNUMBER(SEARCH($B7,Anforderungen!$J964))),OR($E7="(alle)",ISNUMBER(SEARCH($E7,Anforderungen!$I964))),OR($H7="",ISNUMBER(SEARCH($H7,Anforderungen!$F964&amp;" "&amp;Anforderungen!$G964)))),COUNT($T$6:$T963)+1,""))</f>
        <v>958</v>
      </c>
    </row>
    <row r="965" customFormat="false" ht="15" hidden="false" customHeight="false" outlineLevel="0" collapsed="false">
      <c r="T965" s="0" t="n">
        <f aca="false">IF(Anforderungen!$B965="","",IF(AND(OR($B5="(alle)",Anforderungen!$K965=$B5),OR($E5="(alle)",Anforderungen!$C965=$E5),OR($H5="(alle)",Anforderungen!$E965=$H5),OR($B7="(alle)",ISNUMBER(SEARCH($B7,Anforderungen!$J965))),OR($E7="(alle)",ISNUMBER(SEARCH($E7,Anforderungen!$I965))),OR($H7="",ISNUMBER(SEARCH($H7,Anforderungen!$F965&amp;" "&amp;Anforderungen!$G965)))),COUNT($T$6:$T964)+1,""))</f>
        <v>959</v>
      </c>
    </row>
    <row r="966" customFormat="false" ht="15" hidden="false" customHeight="false" outlineLevel="0" collapsed="false">
      <c r="T966" s="0" t="n">
        <f aca="false">IF(Anforderungen!$B966="","",IF(AND(OR($B5="(alle)",Anforderungen!$K966=$B5),OR($E5="(alle)",Anforderungen!$C966=$E5),OR($H5="(alle)",Anforderungen!$E966=$H5),OR($B7="(alle)",ISNUMBER(SEARCH($B7,Anforderungen!$J966))),OR($E7="(alle)",ISNUMBER(SEARCH($E7,Anforderungen!$I966))),OR($H7="",ISNUMBER(SEARCH($H7,Anforderungen!$F966&amp;" "&amp;Anforderungen!$G966)))),COUNT($T$6:$T965)+1,""))</f>
        <v>960</v>
      </c>
    </row>
    <row r="967" customFormat="false" ht="15" hidden="false" customHeight="false" outlineLevel="0" collapsed="false">
      <c r="T967" s="0" t="n">
        <f aca="false">IF(Anforderungen!$B967="","",IF(AND(OR($B5="(alle)",Anforderungen!$K967=$B5),OR($E5="(alle)",Anforderungen!$C967=$E5),OR($H5="(alle)",Anforderungen!$E967=$H5),OR($B7="(alle)",ISNUMBER(SEARCH($B7,Anforderungen!$J967))),OR($E7="(alle)",ISNUMBER(SEARCH($E7,Anforderungen!$I967))),OR($H7="",ISNUMBER(SEARCH($H7,Anforderungen!$F967&amp;" "&amp;Anforderungen!$G967)))),COUNT($T$6:$T966)+1,""))</f>
        <v>961</v>
      </c>
    </row>
    <row r="968" customFormat="false" ht="15" hidden="false" customHeight="false" outlineLevel="0" collapsed="false">
      <c r="T968" s="0" t="n">
        <f aca="false">IF(Anforderungen!$B968="","",IF(AND(OR($B5="(alle)",Anforderungen!$K968=$B5),OR($E5="(alle)",Anforderungen!$C968=$E5),OR($H5="(alle)",Anforderungen!$E968=$H5),OR($B7="(alle)",ISNUMBER(SEARCH($B7,Anforderungen!$J968))),OR($E7="(alle)",ISNUMBER(SEARCH($E7,Anforderungen!$I968))),OR($H7="",ISNUMBER(SEARCH($H7,Anforderungen!$F968&amp;" "&amp;Anforderungen!$G968)))),COUNT($T$6:$T967)+1,""))</f>
        <v>962</v>
      </c>
    </row>
    <row r="969" customFormat="false" ht="15" hidden="false" customHeight="false" outlineLevel="0" collapsed="false">
      <c r="T969" s="0" t="n">
        <f aca="false">IF(Anforderungen!$B969="","",IF(AND(OR($B5="(alle)",Anforderungen!$K969=$B5),OR($E5="(alle)",Anforderungen!$C969=$E5),OR($H5="(alle)",Anforderungen!$E969=$H5),OR($B7="(alle)",ISNUMBER(SEARCH($B7,Anforderungen!$J969))),OR($E7="(alle)",ISNUMBER(SEARCH($E7,Anforderungen!$I969))),OR($H7="",ISNUMBER(SEARCH($H7,Anforderungen!$F969&amp;" "&amp;Anforderungen!$G969)))),COUNT($T$6:$T968)+1,""))</f>
        <v>963</v>
      </c>
    </row>
    <row r="970" customFormat="false" ht="15" hidden="false" customHeight="false" outlineLevel="0" collapsed="false">
      <c r="T970" s="0" t="n">
        <f aca="false">IF(Anforderungen!$B970="","",IF(AND(OR($B5="(alle)",Anforderungen!$K970=$B5),OR($E5="(alle)",Anforderungen!$C970=$E5),OR($H5="(alle)",Anforderungen!$E970=$H5),OR($B7="(alle)",ISNUMBER(SEARCH($B7,Anforderungen!$J970))),OR($E7="(alle)",ISNUMBER(SEARCH($E7,Anforderungen!$I970))),OR($H7="",ISNUMBER(SEARCH($H7,Anforderungen!$F970&amp;" "&amp;Anforderungen!$G970)))),COUNT($T$6:$T969)+1,""))</f>
        <v>964</v>
      </c>
    </row>
    <row r="971" customFormat="false" ht="15" hidden="false" customHeight="false" outlineLevel="0" collapsed="false">
      <c r="T971" s="0" t="n">
        <f aca="false">IF(Anforderungen!$B971="","",IF(AND(OR($B5="(alle)",Anforderungen!$K971=$B5),OR($E5="(alle)",Anforderungen!$C971=$E5),OR($H5="(alle)",Anforderungen!$E971=$H5),OR($B7="(alle)",ISNUMBER(SEARCH($B7,Anforderungen!$J971))),OR($E7="(alle)",ISNUMBER(SEARCH($E7,Anforderungen!$I971))),OR($H7="",ISNUMBER(SEARCH($H7,Anforderungen!$F971&amp;" "&amp;Anforderungen!$G971)))),COUNT($T$6:$T970)+1,""))</f>
        <v>965</v>
      </c>
    </row>
    <row r="972" customFormat="false" ht="15" hidden="false" customHeight="false" outlineLevel="0" collapsed="false">
      <c r="T972" s="0" t="n">
        <f aca="false">IF(Anforderungen!$B972="","",IF(AND(OR($B5="(alle)",Anforderungen!$K972=$B5),OR($E5="(alle)",Anforderungen!$C972=$E5),OR($H5="(alle)",Anforderungen!$E972=$H5),OR($B7="(alle)",ISNUMBER(SEARCH($B7,Anforderungen!$J972))),OR($E7="(alle)",ISNUMBER(SEARCH($E7,Anforderungen!$I972))),OR($H7="",ISNUMBER(SEARCH($H7,Anforderungen!$F972&amp;" "&amp;Anforderungen!$G972)))),COUNT($T$6:$T971)+1,""))</f>
        <v>966</v>
      </c>
    </row>
    <row r="973" customFormat="false" ht="15" hidden="false" customHeight="false" outlineLevel="0" collapsed="false">
      <c r="T973" s="0" t="n">
        <f aca="false">IF(Anforderungen!$B973="","",IF(AND(OR($B5="(alle)",Anforderungen!$K973=$B5),OR($E5="(alle)",Anforderungen!$C973=$E5),OR($H5="(alle)",Anforderungen!$E973=$H5),OR($B7="(alle)",ISNUMBER(SEARCH($B7,Anforderungen!$J973))),OR($E7="(alle)",ISNUMBER(SEARCH($E7,Anforderungen!$I973))),OR($H7="",ISNUMBER(SEARCH($H7,Anforderungen!$F973&amp;" "&amp;Anforderungen!$G973)))),COUNT($T$6:$T972)+1,""))</f>
        <v>967</v>
      </c>
    </row>
    <row r="974" customFormat="false" ht="15" hidden="false" customHeight="false" outlineLevel="0" collapsed="false">
      <c r="T974" s="0" t="n">
        <f aca="false">IF(Anforderungen!$B974="","",IF(AND(OR($B5="(alle)",Anforderungen!$K974=$B5),OR($E5="(alle)",Anforderungen!$C974=$E5),OR($H5="(alle)",Anforderungen!$E974=$H5),OR($B7="(alle)",ISNUMBER(SEARCH($B7,Anforderungen!$J974))),OR($E7="(alle)",ISNUMBER(SEARCH($E7,Anforderungen!$I974))),OR($H7="",ISNUMBER(SEARCH($H7,Anforderungen!$F974&amp;" "&amp;Anforderungen!$G974)))),COUNT($T$6:$T973)+1,""))</f>
        <v>968</v>
      </c>
    </row>
    <row r="975" customFormat="false" ht="15" hidden="false" customHeight="false" outlineLevel="0" collapsed="false">
      <c r="T975" s="0" t="n">
        <f aca="false">IF(Anforderungen!$B975="","",IF(AND(OR($B5="(alle)",Anforderungen!$K975=$B5),OR($E5="(alle)",Anforderungen!$C975=$E5),OR($H5="(alle)",Anforderungen!$E975=$H5),OR($B7="(alle)",ISNUMBER(SEARCH($B7,Anforderungen!$J975))),OR($E7="(alle)",ISNUMBER(SEARCH($E7,Anforderungen!$I975))),OR($H7="",ISNUMBER(SEARCH($H7,Anforderungen!$F975&amp;" "&amp;Anforderungen!$G975)))),COUNT($T$6:$T974)+1,""))</f>
        <v>969</v>
      </c>
    </row>
    <row r="976" customFormat="false" ht="15" hidden="false" customHeight="false" outlineLevel="0" collapsed="false">
      <c r="T976" s="0" t="n">
        <f aca="false">IF(Anforderungen!$B976="","",IF(AND(OR($B5="(alle)",Anforderungen!$K976=$B5),OR($E5="(alle)",Anforderungen!$C976=$E5),OR($H5="(alle)",Anforderungen!$E976=$H5),OR($B7="(alle)",ISNUMBER(SEARCH($B7,Anforderungen!$J976))),OR($E7="(alle)",ISNUMBER(SEARCH($E7,Anforderungen!$I976))),OR($H7="",ISNUMBER(SEARCH($H7,Anforderungen!$F976&amp;" "&amp;Anforderungen!$G976)))),COUNT($T$6:$T975)+1,""))</f>
        <v>970</v>
      </c>
    </row>
    <row r="977" customFormat="false" ht="15" hidden="false" customHeight="false" outlineLevel="0" collapsed="false">
      <c r="T977" s="0" t="n">
        <f aca="false">IF(Anforderungen!$B977="","",IF(AND(OR($B5="(alle)",Anforderungen!$K977=$B5),OR($E5="(alle)",Anforderungen!$C977=$E5),OR($H5="(alle)",Anforderungen!$E977=$H5),OR($B7="(alle)",ISNUMBER(SEARCH($B7,Anforderungen!$J977))),OR($E7="(alle)",ISNUMBER(SEARCH($E7,Anforderungen!$I977))),OR($H7="",ISNUMBER(SEARCH($H7,Anforderungen!$F977&amp;" "&amp;Anforderungen!$G977)))),COUNT($T$6:$T976)+1,""))</f>
        <v>971</v>
      </c>
    </row>
    <row r="978" customFormat="false" ht="15" hidden="false" customHeight="false" outlineLevel="0" collapsed="false">
      <c r="T978" s="0" t="n">
        <f aca="false">IF(Anforderungen!$B978="","",IF(AND(OR($B5="(alle)",Anforderungen!$K978=$B5),OR($E5="(alle)",Anforderungen!$C978=$E5),OR($H5="(alle)",Anforderungen!$E978=$H5),OR($B7="(alle)",ISNUMBER(SEARCH($B7,Anforderungen!$J978))),OR($E7="(alle)",ISNUMBER(SEARCH($E7,Anforderungen!$I978))),OR($H7="",ISNUMBER(SEARCH($H7,Anforderungen!$F978&amp;" "&amp;Anforderungen!$G978)))),COUNT($T$6:$T977)+1,""))</f>
        <v>972</v>
      </c>
    </row>
    <row r="979" customFormat="false" ht="15" hidden="false" customHeight="false" outlineLevel="0" collapsed="false">
      <c r="T979" s="0" t="n">
        <f aca="false">IF(Anforderungen!$B979="","",IF(AND(OR($B5="(alle)",Anforderungen!$K979=$B5),OR($E5="(alle)",Anforderungen!$C979=$E5),OR($H5="(alle)",Anforderungen!$E979=$H5),OR($B7="(alle)",ISNUMBER(SEARCH($B7,Anforderungen!$J979))),OR($E7="(alle)",ISNUMBER(SEARCH($E7,Anforderungen!$I979))),OR($H7="",ISNUMBER(SEARCH($H7,Anforderungen!$F979&amp;" "&amp;Anforderungen!$G979)))),COUNT($T$6:$T978)+1,""))</f>
        <v>973</v>
      </c>
    </row>
    <row r="980" customFormat="false" ht="15" hidden="false" customHeight="false" outlineLevel="0" collapsed="false">
      <c r="T980" s="0" t="n">
        <f aca="false">IF(Anforderungen!$B980="","",IF(AND(OR($B5="(alle)",Anforderungen!$K980=$B5),OR($E5="(alle)",Anforderungen!$C980=$E5),OR($H5="(alle)",Anforderungen!$E980=$H5),OR($B7="(alle)",ISNUMBER(SEARCH($B7,Anforderungen!$J980))),OR($E7="(alle)",ISNUMBER(SEARCH($E7,Anforderungen!$I980))),OR($H7="",ISNUMBER(SEARCH($H7,Anforderungen!$F980&amp;" "&amp;Anforderungen!$G980)))),COUNT($T$6:$T979)+1,""))</f>
        <v>974</v>
      </c>
    </row>
    <row r="981" customFormat="false" ht="15" hidden="false" customHeight="false" outlineLevel="0" collapsed="false">
      <c r="T981" s="0" t="n">
        <f aca="false">IF(Anforderungen!$B981="","",IF(AND(OR($B5="(alle)",Anforderungen!$K981=$B5),OR($E5="(alle)",Anforderungen!$C981=$E5),OR($H5="(alle)",Anforderungen!$E981=$H5),OR($B7="(alle)",ISNUMBER(SEARCH($B7,Anforderungen!$J981))),OR($E7="(alle)",ISNUMBER(SEARCH($E7,Anforderungen!$I981))),OR($H7="",ISNUMBER(SEARCH($H7,Anforderungen!$F981&amp;" "&amp;Anforderungen!$G981)))),COUNT($T$6:$T980)+1,""))</f>
        <v>975</v>
      </c>
    </row>
    <row r="982" customFormat="false" ht="15" hidden="false" customHeight="false" outlineLevel="0" collapsed="false">
      <c r="T982" s="0" t="n">
        <f aca="false">IF(Anforderungen!$B982="","",IF(AND(OR($B5="(alle)",Anforderungen!$K982=$B5),OR($E5="(alle)",Anforderungen!$C982=$E5),OR($H5="(alle)",Anforderungen!$E982=$H5),OR($B7="(alle)",ISNUMBER(SEARCH($B7,Anforderungen!$J982))),OR($E7="(alle)",ISNUMBER(SEARCH($E7,Anforderungen!$I982))),OR($H7="",ISNUMBER(SEARCH($H7,Anforderungen!$F982&amp;" "&amp;Anforderungen!$G982)))),COUNT($T$6:$T981)+1,""))</f>
        <v>976</v>
      </c>
    </row>
    <row r="983" customFormat="false" ht="15" hidden="false" customHeight="false" outlineLevel="0" collapsed="false">
      <c r="T983" s="0" t="n">
        <f aca="false">IF(Anforderungen!$B983="","",IF(AND(OR($B5="(alle)",Anforderungen!$K983=$B5),OR($E5="(alle)",Anforderungen!$C983=$E5),OR($H5="(alle)",Anforderungen!$E983=$H5),OR($B7="(alle)",ISNUMBER(SEARCH($B7,Anforderungen!$J983))),OR($E7="(alle)",ISNUMBER(SEARCH($E7,Anforderungen!$I983))),OR($H7="",ISNUMBER(SEARCH($H7,Anforderungen!$F983&amp;" "&amp;Anforderungen!$G983)))),COUNT($T$6:$T982)+1,""))</f>
        <v>977</v>
      </c>
    </row>
    <row r="984" customFormat="false" ht="15" hidden="false" customHeight="false" outlineLevel="0" collapsed="false">
      <c r="T984" s="0" t="n">
        <f aca="false">IF(Anforderungen!$B984="","",IF(AND(OR($B5="(alle)",Anforderungen!$K984=$B5),OR($E5="(alle)",Anforderungen!$C984=$E5),OR($H5="(alle)",Anforderungen!$E984=$H5),OR($B7="(alle)",ISNUMBER(SEARCH($B7,Anforderungen!$J984))),OR($E7="(alle)",ISNUMBER(SEARCH($E7,Anforderungen!$I984))),OR($H7="",ISNUMBER(SEARCH($H7,Anforderungen!$F984&amp;" "&amp;Anforderungen!$G984)))),COUNT($T$6:$T983)+1,""))</f>
        <v>978</v>
      </c>
    </row>
    <row r="985" customFormat="false" ht="15" hidden="false" customHeight="false" outlineLevel="0" collapsed="false">
      <c r="T985" s="0" t="n">
        <f aca="false">IF(Anforderungen!$B985="","",IF(AND(OR($B5="(alle)",Anforderungen!$K985=$B5),OR($E5="(alle)",Anforderungen!$C985=$E5),OR($H5="(alle)",Anforderungen!$E985=$H5),OR($B7="(alle)",ISNUMBER(SEARCH($B7,Anforderungen!$J985))),OR($E7="(alle)",ISNUMBER(SEARCH($E7,Anforderungen!$I985))),OR($H7="",ISNUMBER(SEARCH($H7,Anforderungen!$F985&amp;" "&amp;Anforderungen!$G985)))),COUNT($T$6:$T984)+1,""))</f>
        <v>979</v>
      </c>
    </row>
    <row r="986" customFormat="false" ht="15" hidden="false" customHeight="false" outlineLevel="0" collapsed="false">
      <c r="T986" s="0" t="n">
        <f aca="false">IF(Anforderungen!$B986="","",IF(AND(OR($B5="(alle)",Anforderungen!$K986=$B5),OR($E5="(alle)",Anforderungen!$C986=$E5),OR($H5="(alle)",Anforderungen!$E986=$H5),OR($B7="(alle)",ISNUMBER(SEARCH($B7,Anforderungen!$J986))),OR($E7="(alle)",ISNUMBER(SEARCH($E7,Anforderungen!$I986))),OR($H7="",ISNUMBER(SEARCH($H7,Anforderungen!$F986&amp;" "&amp;Anforderungen!$G986)))),COUNT($T$6:$T985)+1,""))</f>
        <v>980</v>
      </c>
    </row>
    <row r="987" customFormat="false" ht="15" hidden="false" customHeight="false" outlineLevel="0" collapsed="false">
      <c r="T987" s="0" t="n">
        <f aca="false">IF(Anforderungen!$B987="","",IF(AND(OR($B5="(alle)",Anforderungen!$K987=$B5),OR($E5="(alle)",Anforderungen!$C987=$E5),OR($H5="(alle)",Anforderungen!$E987=$H5),OR($B7="(alle)",ISNUMBER(SEARCH($B7,Anforderungen!$J987))),OR($E7="(alle)",ISNUMBER(SEARCH($E7,Anforderungen!$I987))),OR($H7="",ISNUMBER(SEARCH($H7,Anforderungen!$F987&amp;" "&amp;Anforderungen!$G987)))),COUNT($T$6:$T986)+1,""))</f>
        <v>981</v>
      </c>
    </row>
    <row r="988" customFormat="false" ht="15" hidden="false" customHeight="false" outlineLevel="0" collapsed="false">
      <c r="T988" s="0" t="n">
        <f aca="false">IF(Anforderungen!$B988="","",IF(AND(OR($B5="(alle)",Anforderungen!$K988=$B5),OR($E5="(alle)",Anforderungen!$C988=$E5),OR($H5="(alle)",Anforderungen!$E988=$H5),OR($B7="(alle)",ISNUMBER(SEARCH($B7,Anforderungen!$J988))),OR($E7="(alle)",ISNUMBER(SEARCH($E7,Anforderungen!$I988))),OR($H7="",ISNUMBER(SEARCH($H7,Anforderungen!$F988&amp;" "&amp;Anforderungen!$G988)))),COUNT($T$6:$T987)+1,""))</f>
        <v>982</v>
      </c>
    </row>
    <row r="989" customFormat="false" ht="15" hidden="false" customHeight="false" outlineLevel="0" collapsed="false">
      <c r="T989" s="0" t="n">
        <f aca="false">IF(Anforderungen!$B989="","",IF(AND(OR($B5="(alle)",Anforderungen!$K989=$B5),OR($E5="(alle)",Anforderungen!$C989=$E5),OR($H5="(alle)",Anforderungen!$E989=$H5),OR($B7="(alle)",ISNUMBER(SEARCH($B7,Anforderungen!$J989))),OR($E7="(alle)",ISNUMBER(SEARCH($E7,Anforderungen!$I989))),OR($H7="",ISNUMBER(SEARCH($H7,Anforderungen!$F989&amp;" "&amp;Anforderungen!$G989)))),COUNT($T$6:$T988)+1,""))</f>
        <v>983</v>
      </c>
    </row>
    <row r="990" customFormat="false" ht="15" hidden="false" customHeight="false" outlineLevel="0" collapsed="false">
      <c r="T990" s="0" t="n">
        <f aca="false">IF(Anforderungen!$B990="","",IF(AND(OR($B5="(alle)",Anforderungen!$K990=$B5),OR($E5="(alle)",Anforderungen!$C990=$E5),OR($H5="(alle)",Anforderungen!$E990=$H5),OR($B7="(alle)",ISNUMBER(SEARCH($B7,Anforderungen!$J990))),OR($E7="(alle)",ISNUMBER(SEARCH($E7,Anforderungen!$I990))),OR($H7="",ISNUMBER(SEARCH($H7,Anforderungen!$F990&amp;" "&amp;Anforderungen!$G990)))),COUNT($T$6:$T989)+1,""))</f>
        <v>984</v>
      </c>
    </row>
    <row r="991" customFormat="false" ht="15" hidden="false" customHeight="false" outlineLevel="0" collapsed="false">
      <c r="T991" s="0" t="n">
        <f aca="false">IF(Anforderungen!$B991="","",IF(AND(OR($B5="(alle)",Anforderungen!$K991=$B5),OR($E5="(alle)",Anforderungen!$C991=$E5),OR($H5="(alle)",Anforderungen!$E991=$H5),OR($B7="(alle)",ISNUMBER(SEARCH($B7,Anforderungen!$J991))),OR($E7="(alle)",ISNUMBER(SEARCH($E7,Anforderungen!$I991))),OR($H7="",ISNUMBER(SEARCH($H7,Anforderungen!$F991&amp;" "&amp;Anforderungen!$G991)))),COUNT($T$6:$T990)+1,""))</f>
        <v>985</v>
      </c>
    </row>
    <row r="992" customFormat="false" ht="15" hidden="false" customHeight="false" outlineLevel="0" collapsed="false">
      <c r="T992" s="0" t="n">
        <f aca="false">IF(Anforderungen!$B992="","",IF(AND(OR($B5="(alle)",Anforderungen!$K992=$B5),OR($E5="(alle)",Anforderungen!$C992=$E5),OR($H5="(alle)",Anforderungen!$E992=$H5),OR($B7="(alle)",ISNUMBER(SEARCH($B7,Anforderungen!$J992))),OR($E7="(alle)",ISNUMBER(SEARCH($E7,Anforderungen!$I992))),OR($H7="",ISNUMBER(SEARCH($H7,Anforderungen!$F992&amp;" "&amp;Anforderungen!$G992)))),COUNT($T$6:$T991)+1,""))</f>
        <v>986</v>
      </c>
    </row>
    <row r="993" customFormat="false" ht="15" hidden="false" customHeight="false" outlineLevel="0" collapsed="false">
      <c r="T993" s="0" t="n">
        <f aca="false">IF(Anforderungen!$B993="","",IF(AND(OR($B5="(alle)",Anforderungen!$K993=$B5),OR($E5="(alle)",Anforderungen!$C993=$E5),OR($H5="(alle)",Anforderungen!$E993=$H5),OR($B7="(alle)",ISNUMBER(SEARCH($B7,Anforderungen!$J993))),OR($E7="(alle)",ISNUMBER(SEARCH($E7,Anforderungen!$I993))),OR($H7="",ISNUMBER(SEARCH($H7,Anforderungen!$F993&amp;" "&amp;Anforderungen!$G993)))),COUNT($T$6:$T992)+1,""))</f>
        <v>987</v>
      </c>
    </row>
    <row r="994" customFormat="false" ht="15" hidden="false" customHeight="false" outlineLevel="0" collapsed="false">
      <c r="T994" s="0" t="n">
        <f aca="false">IF(Anforderungen!$B994="","",IF(AND(OR($B5="(alle)",Anforderungen!$K994=$B5),OR($E5="(alle)",Anforderungen!$C994=$E5),OR($H5="(alle)",Anforderungen!$E994=$H5),OR($B7="(alle)",ISNUMBER(SEARCH($B7,Anforderungen!$J994))),OR($E7="(alle)",ISNUMBER(SEARCH($E7,Anforderungen!$I994))),OR($H7="",ISNUMBER(SEARCH($H7,Anforderungen!$F994&amp;" "&amp;Anforderungen!$G994)))),COUNT($T$6:$T993)+1,""))</f>
        <v>988</v>
      </c>
    </row>
    <row r="995" customFormat="false" ht="15" hidden="false" customHeight="false" outlineLevel="0" collapsed="false">
      <c r="T995" s="0" t="n">
        <f aca="false">IF(Anforderungen!$B995="","",IF(AND(OR($B5="(alle)",Anforderungen!$K995=$B5),OR($E5="(alle)",Anforderungen!$C995=$E5),OR($H5="(alle)",Anforderungen!$E995=$H5),OR($B7="(alle)",ISNUMBER(SEARCH($B7,Anforderungen!$J995))),OR($E7="(alle)",ISNUMBER(SEARCH($E7,Anforderungen!$I995))),OR($H7="",ISNUMBER(SEARCH($H7,Anforderungen!$F995&amp;" "&amp;Anforderungen!$G995)))),COUNT($T$6:$T994)+1,""))</f>
        <v>989</v>
      </c>
    </row>
    <row r="996" customFormat="false" ht="15" hidden="false" customHeight="false" outlineLevel="0" collapsed="false">
      <c r="T996" s="0" t="n">
        <f aca="false">IF(Anforderungen!$B996="","",IF(AND(OR($B5="(alle)",Anforderungen!$K996=$B5),OR($E5="(alle)",Anforderungen!$C996=$E5),OR($H5="(alle)",Anforderungen!$E996=$H5),OR($B7="(alle)",ISNUMBER(SEARCH($B7,Anforderungen!$J996))),OR($E7="(alle)",ISNUMBER(SEARCH($E7,Anforderungen!$I996))),OR($H7="",ISNUMBER(SEARCH($H7,Anforderungen!$F996&amp;" "&amp;Anforderungen!$G996)))),COUNT($T$6:$T995)+1,""))</f>
        <v>990</v>
      </c>
    </row>
    <row r="997" customFormat="false" ht="15" hidden="false" customHeight="false" outlineLevel="0" collapsed="false">
      <c r="T997" s="0" t="n">
        <f aca="false">IF(Anforderungen!$B997="","",IF(AND(OR($B5="(alle)",Anforderungen!$K997=$B5),OR($E5="(alle)",Anforderungen!$C997=$E5),OR($H5="(alle)",Anforderungen!$E997=$H5),OR($B7="(alle)",ISNUMBER(SEARCH($B7,Anforderungen!$J997))),OR($E7="(alle)",ISNUMBER(SEARCH($E7,Anforderungen!$I997))),OR($H7="",ISNUMBER(SEARCH($H7,Anforderungen!$F997&amp;" "&amp;Anforderungen!$G997)))),COUNT($T$6:$T996)+1,""))</f>
        <v>991</v>
      </c>
    </row>
    <row r="998" customFormat="false" ht="15" hidden="false" customHeight="false" outlineLevel="0" collapsed="false">
      <c r="T998" s="0" t="n">
        <f aca="false">IF(Anforderungen!$B998="","",IF(AND(OR($B5="(alle)",Anforderungen!$K998=$B5),OR($E5="(alle)",Anforderungen!$C998=$E5),OR($H5="(alle)",Anforderungen!$E998=$H5),OR($B7="(alle)",ISNUMBER(SEARCH($B7,Anforderungen!$J998))),OR($E7="(alle)",ISNUMBER(SEARCH($E7,Anforderungen!$I998))),OR($H7="",ISNUMBER(SEARCH($H7,Anforderungen!$F998&amp;" "&amp;Anforderungen!$G998)))),COUNT($T$6:$T997)+1,""))</f>
        <v>992</v>
      </c>
    </row>
    <row r="999" customFormat="false" ht="15" hidden="false" customHeight="false" outlineLevel="0" collapsed="false">
      <c r="T999" s="0" t="n">
        <f aca="false">IF(Anforderungen!$B999="","",IF(AND(OR($B5="(alle)",Anforderungen!$K999=$B5),OR($E5="(alle)",Anforderungen!$C999=$E5),OR($H5="(alle)",Anforderungen!$E999=$H5),OR($B7="(alle)",ISNUMBER(SEARCH($B7,Anforderungen!$J999))),OR($E7="(alle)",ISNUMBER(SEARCH($E7,Anforderungen!$I999))),OR($H7="",ISNUMBER(SEARCH($H7,Anforderungen!$F999&amp;" "&amp;Anforderungen!$G999)))),COUNT($T$6:$T998)+1,""))</f>
        <v>993</v>
      </c>
    </row>
    <row r="1000" customFormat="false" ht="15" hidden="false" customHeight="false" outlineLevel="0" collapsed="false">
      <c r="T1000" s="0" t="n">
        <f aca="false">IF(Anforderungen!$B1000="","",IF(AND(OR($B5="(alle)",Anforderungen!$K1000=$B5),OR($E5="(alle)",Anforderungen!$C1000=$E5),OR($H5="(alle)",Anforderungen!$E1000=$H5),OR($B7="(alle)",ISNUMBER(SEARCH($B7,Anforderungen!$J1000))),OR($E7="(alle)",ISNUMBER(SEARCH($E7,Anforderungen!$I1000))),OR($H7="",ISNUMBER(SEARCH($H7,Anforderungen!$F1000&amp;" "&amp;Anforderungen!$G1000)))),COUNT($T$6:$T999)+1,""))</f>
        <v>994</v>
      </c>
    </row>
    <row r="1001" customFormat="false" ht="15" hidden="false" customHeight="false" outlineLevel="0" collapsed="false">
      <c r="T1001" s="0" t="n">
        <f aca="false">IF(Anforderungen!$B1001="","",IF(AND(OR($B5="(alle)",Anforderungen!$K1001=$B5),OR($E5="(alle)",Anforderungen!$C1001=$E5),OR($H5="(alle)",Anforderungen!$E1001=$H5),OR($B7="(alle)",ISNUMBER(SEARCH($B7,Anforderungen!$J1001))),OR($E7="(alle)",ISNUMBER(SEARCH($E7,Anforderungen!$I1001))),OR($H7="",ISNUMBER(SEARCH($H7,Anforderungen!$F1001&amp;" "&amp;Anforderungen!$G1001)))),COUNT($T$6:$T1000)+1,""))</f>
        <v>995</v>
      </c>
    </row>
    <row r="1002" customFormat="false" ht="15" hidden="false" customHeight="false" outlineLevel="0" collapsed="false">
      <c r="T1002" s="0" t="n">
        <f aca="false">IF(Anforderungen!$B1002="","",IF(AND(OR($B5="(alle)",Anforderungen!$K1002=$B5),OR($E5="(alle)",Anforderungen!$C1002=$E5),OR($H5="(alle)",Anforderungen!$E1002=$H5),OR($B7="(alle)",ISNUMBER(SEARCH($B7,Anforderungen!$J1002))),OR($E7="(alle)",ISNUMBER(SEARCH($E7,Anforderungen!$I1002))),OR($H7="",ISNUMBER(SEARCH($H7,Anforderungen!$F1002&amp;" "&amp;Anforderungen!$G1002)))),COUNT($T$6:$T1001)+1,""))</f>
        <v>996</v>
      </c>
    </row>
    <row r="1003" customFormat="false" ht="15" hidden="false" customHeight="false" outlineLevel="0" collapsed="false">
      <c r="T1003" s="0" t="n">
        <f aca="false">IF(Anforderungen!$B1003="","",IF(AND(OR($B5="(alle)",Anforderungen!$K1003=$B5),OR($E5="(alle)",Anforderungen!$C1003=$E5),OR($H5="(alle)",Anforderungen!$E1003=$H5),OR($B7="(alle)",ISNUMBER(SEARCH($B7,Anforderungen!$J1003))),OR($E7="(alle)",ISNUMBER(SEARCH($E7,Anforderungen!$I1003))),OR($H7="",ISNUMBER(SEARCH($H7,Anforderungen!$F1003&amp;" "&amp;Anforderungen!$G1003)))),COUNT($T$6:$T1002)+1,""))</f>
        <v>997</v>
      </c>
    </row>
    <row r="1004" customFormat="false" ht="15" hidden="false" customHeight="false" outlineLevel="0" collapsed="false">
      <c r="T1004" s="0" t="n">
        <f aca="false">IF(Anforderungen!$B1004="","",IF(AND(OR($B5="(alle)",Anforderungen!$K1004=$B5),OR($E5="(alle)",Anforderungen!$C1004=$E5),OR($H5="(alle)",Anforderungen!$E1004=$H5),OR($B7="(alle)",ISNUMBER(SEARCH($B7,Anforderungen!$J1004))),OR($E7="(alle)",ISNUMBER(SEARCH($E7,Anforderungen!$I1004))),OR($H7="",ISNUMBER(SEARCH($H7,Anforderungen!$F1004&amp;" "&amp;Anforderungen!$G1004)))),COUNT($T$6:$T1003)+1,""))</f>
        <v>998</v>
      </c>
    </row>
    <row r="1005" customFormat="false" ht="15" hidden="false" customHeight="false" outlineLevel="0" collapsed="false">
      <c r="T1005" s="0" t="n">
        <f aca="false">IF(Anforderungen!$B1005="","",IF(AND(OR($B5="(alle)",Anforderungen!$K1005=$B5),OR($E5="(alle)",Anforderungen!$C1005=$E5),OR($H5="(alle)",Anforderungen!$E1005=$H5),OR($B7="(alle)",ISNUMBER(SEARCH($B7,Anforderungen!$J1005))),OR($E7="(alle)",ISNUMBER(SEARCH($E7,Anforderungen!$I1005))),OR($H7="",ISNUMBER(SEARCH($H7,Anforderungen!$F1005&amp;" "&amp;Anforderungen!$G1005)))),COUNT($T$6:$T1004)+1,""))</f>
        <v>999</v>
      </c>
    </row>
    <row r="1006" customFormat="false" ht="15" hidden="false" customHeight="false" outlineLevel="0" collapsed="false">
      <c r="T1006" s="0" t="n">
        <f aca="false">IF(Anforderungen!$B1006="","",IF(AND(OR($B5="(alle)",Anforderungen!$K1006=$B5),OR($E5="(alle)",Anforderungen!$C1006=$E5),OR($H5="(alle)",Anforderungen!$E1006=$H5),OR($B7="(alle)",ISNUMBER(SEARCH($B7,Anforderungen!$J1006))),OR($E7="(alle)",ISNUMBER(SEARCH($E7,Anforderungen!$I1006))),OR($H7="",ISNUMBER(SEARCH($H7,Anforderungen!$F1006&amp;" "&amp;Anforderungen!$G1006)))),COUNT($T$6:$T1005)+1,""))</f>
        <v>1000</v>
      </c>
    </row>
    <row r="1007" customFormat="false" ht="15" hidden="false" customHeight="false" outlineLevel="0" collapsed="false">
      <c r="T1007" s="0" t="n">
        <f aca="false">IF(Anforderungen!$B1007="","",IF(AND(OR($B5="(alle)",Anforderungen!$K1007=$B5),OR($E5="(alle)",Anforderungen!$C1007=$E5),OR($H5="(alle)",Anforderungen!$E1007=$H5),OR($B7="(alle)",ISNUMBER(SEARCH($B7,Anforderungen!$J1007))),OR($E7="(alle)",ISNUMBER(SEARCH($E7,Anforderungen!$I1007))),OR($H7="",ISNUMBER(SEARCH($H7,Anforderungen!$F1007&amp;" "&amp;Anforderungen!$G1007)))),COUNT($T$6:$T1006)+1,""))</f>
        <v>1001</v>
      </c>
    </row>
    <row r="1008" customFormat="false" ht="15" hidden="false" customHeight="false" outlineLevel="0" collapsed="false">
      <c r="T1008" s="0" t="n">
        <f aca="false">IF(Anforderungen!$B1008="","",IF(AND(OR($B5="(alle)",Anforderungen!$K1008=$B5),OR($E5="(alle)",Anforderungen!$C1008=$E5),OR($H5="(alle)",Anforderungen!$E1008=$H5),OR($B7="(alle)",ISNUMBER(SEARCH($B7,Anforderungen!$J1008))),OR($E7="(alle)",ISNUMBER(SEARCH($E7,Anforderungen!$I1008))),OR($H7="",ISNUMBER(SEARCH($H7,Anforderungen!$F1008&amp;" "&amp;Anforderungen!$G1008)))),COUNT($T$6:$T1007)+1,""))</f>
        <v>1002</v>
      </c>
    </row>
    <row r="1009" customFormat="false" ht="15" hidden="false" customHeight="false" outlineLevel="0" collapsed="false">
      <c r="T1009" s="0" t="n">
        <f aca="false">IF(Anforderungen!$B1009="","",IF(AND(OR($B5="(alle)",Anforderungen!$K1009=$B5),OR($E5="(alle)",Anforderungen!$C1009=$E5),OR($H5="(alle)",Anforderungen!$E1009=$H5),OR($B7="(alle)",ISNUMBER(SEARCH($B7,Anforderungen!$J1009))),OR($E7="(alle)",ISNUMBER(SEARCH($E7,Anforderungen!$I1009))),OR($H7="",ISNUMBER(SEARCH($H7,Anforderungen!$F1009&amp;" "&amp;Anforderungen!$G1009)))),COUNT($T$6:$T1008)+1,""))</f>
        <v>1003</v>
      </c>
    </row>
    <row r="1010" customFormat="false" ht="15" hidden="false" customHeight="false" outlineLevel="0" collapsed="false">
      <c r="T1010" s="0" t="n">
        <f aca="false">IF(Anforderungen!$B1010="","",IF(AND(OR($B5="(alle)",Anforderungen!$K1010=$B5),OR($E5="(alle)",Anforderungen!$C1010=$E5),OR($H5="(alle)",Anforderungen!$E1010=$H5),OR($B7="(alle)",ISNUMBER(SEARCH($B7,Anforderungen!$J1010))),OR($E7="(alle)",ISNUMBER(SEARCH($E7,Anforderungen!$I1010))),OR($H7="",ISNUMBER(SEARCH($H7,Anforderungen!$F1010&amp;" "&amp;Anforderungen!$G1010)))),COUNT($T$6:$T1009)+1,""))</f>
        <v>1004</v>
      </c>
    </row>
    <row r="1011" customFormat="false" ht="15" hidden="false" customHeight="false" outlineLevel="0" collapsed="false">
      <c r="T1011" s="0" t="n">
        <f aca="false">IF(Anforderungen!$B1011="","",IF(AND(OR($B5="(alle)",Anforderungen!$K1011=$B5),OR($E5="(alle)",Anforderungen!$C1011=$E5),OR($H5="(alle)",Anforderungen!$E1011=$H5),OR($B7="(alle)",ISNUMBER(SEARCH($B7,Anforderungen!$J1011))),OR($E7="(alle)",ISNUMBER(SEARCH($E7,Anforderungen!$I1011))),OR($H7="",ISNUMBER(SEARCH($H7,Anforderungen!$F1011&amp;" "&amp;Anforderungen!$G1011)))),COUNT($T$6:$T1010)+1,""))</f>
        <v>1005</v>
      </c>
    </row>
    <row r="1012" customFormat="false" ht="15" hidden="false" customHeight="false" outlineLevel="0" collapsed="false">
      <c r="T1012" s="0" t="n">
        <f aca="false">IF(Anforderungen!$B1012="","",IF(AND(OR($B5="(alle)",Anforderungen!$K1012=$B5),OR($E5="(alle)",Anforderungen!$C1012=$E5),OR($H5="(alle)",Anforderungen!$E1012=$H5),OR($B7="(alle)",ISNUMBER(SEARCH($B7,Anforderungen!$J1012))),OR($E7="(alle)",ISNUMBER(SEARCH($E7,Anforderungen!$I1012))),OR($H7="",ISNUMBER(SEARCH($H7,Anforderungen!$F1012&amp;" "&amp;Anforderungen!$G1012)))),COUNT($T$6:$T1011)+1,""))</f>
        <v>1006</v>
      </c>
    </row>
    <row r="1013" customFormat="false" ht="15" hidden="false" customHeight="false" outlineLevel="0" collapsed="false">
      <c r="T1013" s="0" t="n">
        <f aca="false">IF(Anforderungen!$B1013="","",IF(AND(OR($B5="(alle)",Anforderungen!$K1013=$B5),OR($E5="(alle)",Anforderungen!$C1013=$E5),OR($H5="(alle)",Anforderungen!$E1013=$H5),OR($B7="(alle)",ISNUMBER(SEARCH($B7,Anforderungen!$J1013))),OR($E7="(alle)",ISNUMBER(SEARCH($E7,Anforderungen!$I1013))),OR($H7="",ISNUMBER(SEARCH($H7,Anforderungen!$F1013&amp;" "&amp;Anforderungen!$G1013)))),COUNT($T$6:$T1012)+1,""))</f>
        <v>1007</v>
      </c>
    </row>
    <row r="1014" customFormat="false" ht="15" hidden="false" customHeight="false" outlineLevel="0" collapsed="false">
      <c r="T1014" s="0" t="n">
        <f aca="false">IF(Anforderungen!$B1014="","",IF(AND(OR($B5="(alle)",Anforderungen!$K1014=$B5),OR($E5="(alle)",Anforderungen!$C1014=$E5),OR($H5="(alle)",Anforderungen!$E1014=$H5),OR($B7="(alle)",ISNUMBER(SEARCH($B7,Anforderungen!$J1014))),OR($E7="(alle)",ISNUMBER(SEARCH($E7,Anforderungen!$I1014))),OR($H7="",ISNUMBER(SEARCH($H7,Anforderungen!$F1014&amp;" "&amp;Anforderungen!$G1014)))),COUNT($T$6:$T1013)+1,""))</f>
        <v>1008</v>
      </c>
    </row>
    <row r="1015" customFormat="false" ht="15" hidden="false" customHeight="false" outlineLevel="0" collapsed="false">
      <c r="T1015" s="0" t="n">
        <f aca="false">IF(Anforderungen!$B1015="","",IF(AND(OR($B5="(alle)",Anforderungen!$K1015=$B5),OR($E5="(alle)",Anforderungen!$C1015=$E5),OR($H5="(alle)",Anforderungen!$E1015=$H5),OR($B7="(alle)",ISNUMBER(SEARCH($B7,Anforderungen!$J1015))),OR($E7="(alle)",ISNUMBER(SEARCH($E7,Anforderungen!$I1015))),OR($H7="",ISNUMBER(SEARCH($H7,Anforderungen!$F1015&amp;" "&amp;Anforderungen!$G1015)))),COUNT($T$6:$T1014)+1,""))</f>
        <v>1009</v>
      </c>
    </row>
    <row r="1016" customFormat="false" ht="15" hidden="false" customHeight="false" outlineLevel="0" collapsed="false">
      <c r="T1016" s="0" t="n">
        <f aca="false">IF(Anforderungen!$B1016="","",IF(AND(OR($B5="(alle)",Anforderungen!$K1016=$B5),OR($E5="(alle)",Anforderungen!$C1016=$E5),OR($H5="(alle)",Anforderungen!$E1016=$H5),OR($B7="(alle)",ISNUMBER(SEARCH($B7,Anforderungen!$J1016))),OR($E7="(alle)",ISNUMBER(SEARCH($E7,Anforderungen!$I1016))),OR($H7="",ISNUMBER(SEARCH($H7,Anforderungen!$F1016&amp;" "&amp;Anforderungen!$G1016)))),COUNT($T$6:$T1015)+1,""))</f>
        <v>1010</v>
      </c>
    </row>
    <row r="1017" customFormat="false" ht="15" hidden="false" customHeight="false" outlineLevel="0" collapsed="false">
      <c r="T1017" s="0" t="n">
        <f aca="false">IF(Anforderungen!$B1017="","",IF(AND(OR($B5="(alle)",Anforderungen!$K1017=$B5),OR($E5="(alle)",Anforderungen!$C1017=$E5),OR($H5="(alle)",Anforderungen!$E1017=$H5),OR($B7="(alle)",ISNUMBER(SEARCH($B7,Anforderungen!$J1017))),OR($E7="(alle)",ISNUMBER(SEARCH($E7,Anforderungen!$I1017))),OR($H7="",ISNUMBER(SEARCH($H7,Anforderungen!$F1017&amp;" "&amp;Anforderungen!$G1017)))),COUNT($T$6:$T1016)+1,""))</f>
        <v>1011</v>
      </c>
    </row>
    <row r="1018" customFormat="false" ht="15" hidden="false" customHeight="false" outlineLevel="0" collapsed="false">
      <c r="T1018" s="0" t="n">
        <f aca="false">IF(Anforderungen!$B1018="","",IF(AND(OR($B5="(alle)",Anforderungen!$K1018=$B5),OR($E5="(alle)",Anforderungen!$C1018=$E5),OR($H5="(alle)",Anforderungen!$E1018=$H5),OR($B7="(alle)",ISNUMBER(SEARCH($B7,Anforderungen!$J1018))),OR($E7="(alle)",ISNUMBER(SEARCH($E7,Anforderungen!$I1018))),OR($H7="",ISNUMBER(SEARCH($H7,Anforderungen!$F1018&amp;" "&amp;Anforderungen!$G1018)))),COUNT($T$6:$T1017)+1,""))</f>
        <v>1012</v>
      </c>
    </row>
    <row r="1019" customFormat="false" ht="15" hidden="false" customHeight="false" outlineLevel="0" collapsed="false">
      <c r="T1019" s="0" t="n">
        <f aca="false">IF(Anforderungen!$B1019="","",IF(AND(OR($B5="(alle)",Anforderungen!$K1019=$B5),OR($E5="(alle)",Anforderungen!$C1019=$E5),OR($H5="(alle)",Anforderungen!$E1019=$H5),OR($B7="(alle)",ISNUMBER(SEARCH($B7,Anforderungen!$J1019))),OR($E7="(alle)",ISNUMBER(SEARCH($E7,Anforderungen!$I1019))),OR($H7="",ISNUMBER(SEARCH($H7,Anforderungen!$F1019&amp;" "&amp;Anforderungen!$G1019)))),COUNT($T$6:$T1018)+1,""))</f>
        <v>1013</v>
      </c>
    </row>
    <row r="1020" customFormat="false" ht="15" hidden="false" customHeight="false" outlineLevel="0" collapsed="false">
      <c r="T1020" s="0" t="n">
        <f aca="false">IF(Anforderungen!$B1020="","",IF(AND(OR($B5="(alle)",Anforderungen!$K1020=$B5),OR($E5="(alle)",Anforderungen!$C1020=$E5),OR($H5="(alle)",Anforderungen!$E1020=$H5),OR($B7="(alle)",ISNUMBER(SEARCH($B7,Anforderungen!$J1020))),OR($E7="(alle)",ISNUMBER(SEARCH($E7,Anforderungen!$I1020))),OR($H7="",ISNUMBER(SEARCH($H7,Anforderungen!$F1020&amp;" "&amp;Anforderungen!$G1020)))),COUNT($T$6:$T1019)+1,""))</f>
        <v>1014</v>
      </c>
    </row>
    <row r="1021" customFormat="false" ht="15" hidden="false" customHeight="false" outlineLevel="0" collapsed="false">
      <c r="T1021" s="0" t="n">
        <f aca="false">IF(Anforderungen!$B1021="","",IF(AND(OR($B5="(alle)",Anforderungen!$K1021=$B5),OR($E5="(alle)",Anforderungen!$C1021=$E5),OR($H5="(alle)",Anforderungen!$E1021=$H5),OR($B7="(alle)",ISNUMBER(SEARCH($B7,Anforderungen!$J1021))),OR($E7="(alle)",ISNUMBER(SEARCH($E7,Anforderungen!$I1021))),OR($H7="",ISNUMBER(SEARCH($H7,Anforderungen!$F1021&amp;" "&amp;Anforderungen!$G1021)))),COUNT($T$6:$T1020)+1,""))</f>
        <v>1015</v>
      </c>
    </row>
    <row r="1022" customFormat="false" ht="15" hidden="false" customHeight="false" outlineLevel="0" collapsed="false">
      <c r="T1022" s="0" t="n">
        <f aca="false">IF(Anforderungen!$B1022="","",IF(AND(OR($B5="(alle)",Anforderungen!$K1022=$B5),OR($E5="(alle)",Anforderungen!$C1022=$E5),OR($H5="(alle)",Anforderungen!$E1022=$H5),OR($B7="(alle)",ISNUMBER(SEARCH($B7,Anforderungen!$J1022))),OR($E7="(alle)",ISNUMBER(SEARCH($E7,Anforderungen!$I1022))),OR($H7="",ISNUMBER(SEARCH($H7,Anforderungen!$F1022&amp;" "&amp;Anforderungen!$G1022)))),COUNT($T$6:$T1021)+1,""))</f>
        <v>1016</v>
      </c>
    </row>
    <row r="1023" customFormat="false" ht="15" hidden="false" customHeight="false" outlineLevel="0" collapsed="false">
      <c r="T1023" s="0" t="n">
        <f aca="false">IF(Anforderungen!$B1023="","",IF(AND(OR($B5="(alle)",Anforderungen!$K1023=$B5),OR($E5="(alle)",Anforderungen!$C1023=$E5),OR($H5="(alle)",Anforderungen!$E1023=$H5),OR($B7="(alle)",ISNUMBER(SEARCH($B7,Anforderungen!$J1023))),OR($E7="(alle)",ISNUMBER(SEARCH($E7,Anforderungen!$I1023))),OR($H7="",ISNUMBER(SEARCH($H7,Anforderungen!$F1023&amp;" "&amp;Anforderungen!$G1023)))),COUNT($T$6:$T1022)+1,""))</f>
        <v>1017</v>
      </c>
    </row>
    <row r="1024" customFormat="false" ht="15" hidden="false" customHeight="false" outlineLevel="0" collapsed="false">
      <c r="T1024" s="0" t="n">
        <f aca="false">IF(Anforderungen!$B1024="","",IF(AND(OR($B5="(alle)",Anforderungen!$K1024=$B5),OR($E5="(alle)",Anforderungen!$C1024=$E5),OR($H5="(alle)",Anforderungen!$E1024=$H5),OR($B7="(alle)",ISNUMBER(SEARCH($B7,Anforderungen!$J1024))),OR($E7="(alle)",ISNUMBER(SEARCH($E7,Anforderungen!$I1024))),OR($H7="",ISNUMBER(SEARCH($H7,Anforderungen!$F1024&amp;" "&amp;Anforderungen!$G1024)))),COUNT($T$6:$T1023)+1,""))</f>
        <v>1018</v>
      </c>
    </row>
    <row r="1025" customFormat="false" ht="15" hidden="false" customHeight="false" outlineLevel="0" collapsed="false">
      <c r="T1025" s="0" t="n">
        <f aca="false">IF(Anforderungen!$B1025="","",IF(AND(OR($B5="(alle)",Anforderungen!$K1025=$B5),OR($E5="(alle)",Anforderungen!$C1025=$E5),OR($H5="(alle)",Anforderungen!$E1025=$H5),OR($B7="(alle)",ISNUMBER(SEARCH($B7,Anforderungen!$J1025))),OR($E7="(alle)",ISNUMBER(SEARCH($E7,Anforderungen!$I1025))),OR($H7="",ISNUMBER(SEARCH($H7,Anforderungen!$F1025&amp;" "&amp;Anforderungen!$G1025)))),COUNT($T$6:$T1024)+1,""))</f>
        <v>1019</v>
      </c>
    </row>
    <row r="1026" customFormat="false" ht="15" hidden="false" customHeight="false" outlineLevel="0" collapsed="false">
      <c r="T1026" s="0" t="n">
        <f aca="false">IF(Anforderungen!$B1026="","",IF(AND(OR($B5="(alle)",Anforderungen!$K1026=$B5),OR($E5="(alle)",Anforderungen!$C1026=$E5),OR($H5="(alle)",Anforderungen!$E1026=$H5),OR($B7="(alle)",ISNUMBER(SEARCH($B7,Anforderungen!$J1026))),OR($E7="(alle)",ISNUMBER(SEARCH($E7,Anforderungen!$I1026))),OR($H7="",ISNUMBER(SEARCH($H7,Anforderungen!$F1026&amp;" "&amp;Anforderungen!$G1026)))),COUNT($T$6:$T1025)+1,""))</f>
        <v>1020</v>
      </c>
    </row>
    <row r="1027" customFormat="false" ht="15" hidden="false" customHeight="false" outlineLevel="0" collapsed="false">
      <c r="T1027" s="0" t="n">
        <f aca="false">IF(Anforderungen!$B1027="","",IF(AND(OR($B5="(alle)",Anforderungen!$K1027=$B5),OR($E5="(alle)",Anforderungen!$C1027=$E5),OR($H5="(alle)",Anforderungen!$E1027=$H5),OR($B7="(alle)",ISNUMBER(SEARCH($B7,Anforderungen!$J1027))),OR($E7="(alle)",ISNUMBER(SEARCH($E7,Anforderungen!$I1027))),OR($H7="",ISNUMBER(SEARCH($H7,Anforderungen!$F1027&amp;" "&amp;Anforderungen!$G1027)))),COUNT($T$6:$T1026)+1,""))</f>
        <v>1021</v>
      </c>
    </row>
    <row r="1028" customFormat="false" ht="15" hidden="false" customHeight="false" outlineLevel="0" collapsed="false">
      <c r="T1028" s="0" t="n">
        <f aca="false">IF(Anforderungen!$B1028="","",IF(AND(OR($B5="(alle)",Anforderungen!$K1028=$B5),OR($E5="(alle)",Anforderungen!$C1028=$E5),OR($H5="(alle)",Anforderungen!$E1028=$H5),OR($B7="(alle)",ISNUMBER(SEARCH($B7,Anforderungen!$J1028))),OR($E7="(alle)",ISNUMBER(SEARCH($E7,Anforderungen!$I1028))),OR($H7="",ISNUMBER(SEARCH($H7,Anforderungen!$F1028&amp;" "&amp;Anforderungen!$G1028)))),COUNT($T$6:$T1027)+1,""))</f>
        <v>1022</v>
      </c>
    </row>
    <row r="1029" customFormat="false" ht="15" hidden="false" customHeight="false" outlineLevel="0" collapsed="false">
      <c r="T1029" s="0" t="n">
        <f aca="false">IF(Anforderungen!$B1029="","",IF(AND(OR($B5="(alle)",Anforderungen!$K1029=$B5),OR($E5="(alle)",Anforderungen!$C1029=$E5),OR($H5="(alle)",Anforderungen!$E1029=$H5),OR($B7="(alle)",ISNUMBER(SEARCH($B7,Anforderungen!$J1029))),OR($E7="(alle)",ISNUMBER(SEARCH($E7,Anforderungen!$I1029))),OR($H7="",ISNUMBER(SEARCH($H7,Anforderungen!$F1029&amp;" "&amp;Anforderungen!$G1029)))),COUNT($T$6:$T1028)+1,""))</f>
        <v>1023</v>
      </c>
    </row>
    <row r="1030" customFormat="false" ht="15" hidden="false" customHeight="false" outlineLevel="0" collapsed="false">
      <c r="T1030" s="0" t="n">
        <f aca="false">IF(Anforderungen!$B1030="","",IF(AND(OR($B5="(alle)",Anforderungen!$K1030=$B5),OR($E5="(alle)",Anforderungen!$C1030=$E5),OR($H5="(alle)",Anforderungen!$E1030=$H5),OR($B7="(alle)",ISNUMBER(SEARCH($B7,Anforderungen!$J1030))),OR($E7="(alle)",ISNUMBER(SEARCH($E7,Anforderungen!$I1030))),OR($H7="",ISNUMBER(SEARCH($H7,Anforderungen!$F1030&amp;" "&amp;Anforderungen!$G1030)))),COUNT($T$6:$T1029)+1,""))</f>
        <v>1024</v>
      </c>
    </row>
    <row r="1031" customFormat="false" ht="15" hidden="false" customHeight="false" outlineLevel="0" collapsed="false">
      <c r="T1031" s="0" t="n">
        <f aca="false">IF(Anforderungen!$B1031="","",IF(AND(OR($B5="(alle)",Anforderungen!$K1031=$B5),OR($E5="(alle)",Anforderungen!$C1031=$E5),OR($H5="(alle)",Anforderungen!$E1031=$H5),OR($B7="(alle)",ISNUMBER(SEARCH($B7,Anforderungen!$J1031))),OR($E7="(alle)",ISNUMBER(SEARCH($E7,Anforderungen!$I1031))),OR($H7="",ISNUMBER(SEARCH($H7,Anforderungen!$F1031&amp;" "&amp;Anforderungen!$G1031)))),COUNT($T$6:$T1030)+1,""))</f>
        <v>1025</v>
      </c>
    </row>
    <row r="1032" customFormat="false" ht="15" hidden="false" customHeight="false" outlineLevel="0" collapsed="false">
      <c r="T1032" s="0" t="n">
        <f aca="false">IF(Anforderungen!$B1032="","",IF(AND(OR($B5="(alle)",Anforderungen!$K1032=$B5),OR($E5="(alle)",Anforderungen!$C1032=$E5),OR($H5="(alle)",Anforderungen!$E1032=$H5),OR($B7="(alle)",ISNUMBER(SEARCH($B7,Anforderungen!$J1032))),OR($E7="(alle)",ISNUMBER(SEARCH($E7,Anforderungen!$I1032))),OR($H7="",ISNUMBER(SEARCH($H7,Anforderungen!$F1032&amp;" "&amp;Anforderungen!$G1032)))),COUNT($T$6:$T1031)+1,""))</f>
        <v>1026</v>
      </c>
    </row>
    <row r="1033" customFormat="false" ht="15" hidden="false" customHeight="false" outlineLevel="0" collapsed="false">
      <c r="T1033" s="0" t="n">
        <f aca="false">IF(Anforderungen!$B1033="","",IF(AND(OR($B5="(alle)",Anforderungen!$K1033=$B5),OR($E5="(alle)",Anforderungen!$C1033=$E5),OR($H5="(alle)",Anforderungen!$E1033=$H5),OR($B7="(alle)",ISNUMBER(SEARCH($B7,Anforderungen!$J1033))),OR($E7="(alle)",ISNUMBER(SEARCH($E7,Anforderungen!$I1033))),OR($H7="",ISNUMBER(SEARCH($H7,Anforderungen!$F1033&amp;" "&amp;Anforderungen!$G1033)))),COUNT($T$6:$T1032)+1,""))</f>
        <v>1027</v>
      </c>
    </row>
    <row r="1034" customFormat="false" ht="15" hidden="false" customHeight="false" outlineLevel="0" collapsed="false">
      <c r="T1034" s="0" t="n">
        <f aca="false">IF(Anforderungen!$B1034="","",IF(AND(OR($B5="(alle)",Anforderungen!$K1034=$B5),OR($E5="(alle)",Anforderungen!$C1034=$E5),OR($H5="(alle)",Anforderungen!$E1034=$H5),OR($B7="(alle)",ISNUMBER(SEARCH($B7,Anforderungen!$J1034))),OR($E7="(alle)",ISNUMBER(SEARCH($E7,Anforderungen!$I1034))),OR($H7="",ISNUMBER(SEARCH($H7,Anforderungen!$F1034&amp;" "&amp;Anforderungen!$G1034)))),COUNT($T$6:$T1033)+1,""))</f>
        <v>1028</v>
      </c>
    </row>
    <row r="1035" customFormat="false" ht="15" hidden="false" customHeight="false" outlineLevel="0" collapsed="false">
      <c r="T1035" s="0" t="n">
        <f aca="false">IF(Anforderungen!$B1035="","",IF(AND(OR($B5="(alle)",Anforderungen!$K1035=$B5),OR($E5="(alle)",Anforderungen!$C1035=$E5),OR($H5="(alle)",Anforderungen!$E1035=$H5),OR($B7="(alle)",ISNUMBER(SEARCH($B7,Anforderungen!$J1035))),OR($E7="(alle)",ISNUMBER(SEARCH($E7,Anforderungen!$I1035))),OR($H7="",ISNUMBER(SEARCH($H7,Anforderungen!$F1035&amp;" "&amp;Anforderungen!$G1035)))),COUNT($T$6:$T1034)+1,""))</f>
        <v>1029</v>
      </c>
    </row>
    <row r="1036" customFormat="false" ht="15" hidden="false" customHeight="false" outlineLevel="0" collapsed="false">
      <c r="T1036" s="0" t="n">
        <f aca="false">IF(Anforderungen!$B1036="","",IF(AND(OR($B5="(alle)",Anforderungen!$K1036=$B5),OR($E5="(alle)",Anforderungen!$C1036=$E5),OR($H5="(alle)",Anforderungen!$E1036=$H5),OR($B7="(alle)",ISNUMBER(SEARCH($B7,Anforderungen!$J1036))),OR($E7="(alle)",ISNUMBER(SEARCH($E7,Anforderungen!$I1036))),OR($H7="",ISNUMBER(SEARCH($H7,Anforderungen!$F1036&amp;" "&amp;Anforderungen!$G1036)))),COUNT($T$6:$T1035)+1,""))</f>
        <v>1030</v>
      </c>
    </row>
    <row r="1037" customFormat="false" ht="15" hidden="false" customHeight="false" outlineLevel="0" collapsed="false">
      <c r="T1037" s="0" t="n">
        <f aca="false">IF(Anforderungen!$B1037="","",IF(AND(OR($B5="(alle)",Anforderungen!$K1037=$B5),OR($E5="(alle)",Anforderungen!$C1037=$E5),OR($H5="(alle)",Anforderungen!$E1037=$H5),OR($B7="(alle)",ISNUMBER(SEARCH($B7,Anforderungen!$J1037))),OR($E7="(alle)",ISNUMBER(SEARCH($E7,Anforderungen!$I1037))),OR($H7="",ISNUMBER(SEARCH($H7,Anforderungen!$F1037&amp;" "&amp;Anforderungen!$G1037)))),COUNT($T$6:$T1036)+1,""))</f>
        <v>1031</v>
      </c>
    </row>
    <row r="1038" customFormat="false" ht="15" hidden="false" customHeight="false" outlineLevel="0" collapsed="false">
      <c r="T1038" s="0" t="n">
        <f aca="false">IF(Anforderungen!$B1038="","",IF(AND(OR($B5="(alle)",Anforderungen!$K1038=$B5),OR($E5="(alle)",Anforderungen!$C1038=$E5),OR($H5="(alle)",Anforderungen!$E1038=$H5),OR($B7="(alle)",ISNUMBER(SEARCH($B7,Anforderungen!$J1038))),OR($E7="(alle)",ISNUMBER(SEARCH($E7,Anforderungen!$I1038))),OR($H7="",ISNUMBER(SEARCH($H7,Anforderungen!$F1038&amp;" "&amp;Anforderungen!$G1038)))),COUNT($T$6:$T1037)+1,""))</f>
        <v>1032</v>
      </c>
    </row>
    <row r="1039" customFormat="false" ht="15" hidden="false" customHeight="false" outlineLevel="0" collapsed="false">
      <c r="T1039" s="0" t="n">
        <f aca="false">IF(Anforderungen!$B1039="","",IF(AND(OR($B5="(alle)",Anforderungen!$K1039=$B5),OR($E5="(alle)",Anforderungen!$C1039=$E5),OR($H5="(alle)",Anforderungen!$E1039=$H5),OR($B7="(alle)",ISNUMBER(SEARCH($B7,Anforderungen!$J1039))),OR($E7="(alle)",ISNUMBER(SEARCH($E7,Anforderungen!$I1039))),OR($H7="",ISNUMBER(SEARCH($H7,Anforderungen!$F1039&amp;" "&amp;Anforderungen!$G1039)))),COUNT($T$6:$T1038)+1,""))</f>
        <v>1033</v>
      </c>
    </row>
    <row r="1040" customFormat="false" ht="15" hidden="false" customHeight="false" outlineLevel="0" collapsed="false">
      <c r="T1040" s="0" t="n">
        <f aca="false">IF(Anforderungen!$B1040="","",IF(AND(OR($B5="(alle)",Anforderungen!$K1040=$B5),OR($E5="(alle)",Anforderungen!$C1040=$E5),OR($H5="(alle)",Anforderungen!$E1040=$H5),OR($B7="(alle)",ISNUMBER(SEARCH($B7,Anforderungen!$J1040))),OR($E7="(alle)",ISNUMBER(SEARCH($E7,Anforderungen!$I1040))),OR($H7="",ISNUMBER(SEARCH($H7,Anforderungen!$F1040&amp;" "&amp;Anforderungen!$G1040)))),COUNT($T$6:$T1039)+1,""))</f>
        <v>1034</v>
      </c>
    </row>
    <row r="1041" customFormat="false" ht="15" hidden="false" customHeight="false" outlineLevel="0" collapsed="false">
      <c r="T1041" s="0" t="n">
        <f aca="false">IF(Anforderungen!$B1041="","",IF(AND(OR($B5="(alle)",Anforderungen!$K1041=$B5),OR($E5="(alle)",Anforderungen!$C1041=$E5),OR($H5="(alle)",Anforderungen!$E1041=$H5),OR($B7="(alle)",ISNUMBER(SEARCH($B7,Anforderungen!$J1041))),OR($E7="(alle)",ISNUMBER(SEARCH($E7,Anforderungen!$I1041))),OR($H7="",ISNUMBER(SEARCH($H7,Anforderungen!$F1041&amp;" "&amp;Anforderungen!$G1041)))),COUNT($T$6:$T1040)+1,""))</f>
        <v>1035</v>
      </c>
    </row>
    <row r="1042" customFormat="false" ht="15" hidden="false" customHeight="false" outlineLevel="0" collapsed="false">
      <c r="T1042" s="0" t="n">
        <f aca="false">IF(Anforderungen!$B1042="","",IF(AND(OR($B5="(alle)",Anforderungen!$K1042=$B5),OR($E5="(alle)",Anforderungen!$C1042=$E5),OR($H5="(alle)",Anforderungen!$E1042=$H5),OR($B7="(alle)",ISNUMBER(SEARCH($B7,Anforderungen!$J1042))),OR($E7="(alle)",ISNUMBER(SEARCH($E7,Anforderungen!$I1042))),OR($H7="",ISNUMBER(SEARCH($H7,Anforderungen!$F1042&amp;" "&amp;Anforderungen!$G1042)))),COUNT($T$6:$T1041)+1,""))</f>
        <v>1036</v>
      </c>
    </row>
    <row r="1043" customFormat="false" ht="15" hidden="false" customHeight="false" outlineLevel="0" collapsed="false">
      <c r="T1043" s="0" t="n">
        <f aca="false">IF(Anforderungen!$B1043="","",IF(AND(OR($B5="(alle)",Anforderungen!$K1043=$B5),OR($E5="(alle)",Anforderungen!$C1043=$E5),OR($H5="(alle)",Anforderungen!$E1043=$H5),OR($B7="(alle)",ISNUMBER(SEARCH($B7,Anforderungen!$J1043))),OR($E7="(alle)",ISNUMBER(SEARCH($E7,Anforderungen!$I1043))),OR($H7="",ISNUMBER(SEARCH($H7,Anforderungen!$F1043&amp;" "&amp;Anforderungen!$G1043)))),COUNT($T$6:$T1042)+1,""))</f>
        <v>1037</v>
      </c>
    </row>
    <row r="1044" customFormat="false" ht="15" hidden="false" customHeight="false" outlineLevel="0" collapsed="false">
      <c r="T1044" s="0" t="n">
        <f aca="false">IF(Anforderungen!$B1044="","",IF(AND(OR($B5="(alle)",Anforderungen!$K1044=$B5),OR($E5="(alle)",Anforderungen!$C1044=$E5),OR($H5="(alle)",Anforderungen!$E1044=$H5),OR($B7="(alle)",ISNUMBER(SEARCH($B7,Anforderungen!$J1044))),OR($E7="(alle)",ISNUMBER(SEARCH($E7,Anforderungen!$I1044))),OR($H7="",ISNUMBER(SEARCH($H7,Anforderungen!$F1044&amp;" "&amp;Anforderungen!$G1044)))),COUNT($T$6:$T1043)+1,""))</f>
        <v>1038</v>
      </c>
    </row>
    <row r="1045" customFormat="false" ht="15" hidden="false" customHeight="false" outlineLevel="0" collapsed="false">
      <c r="T1045" s="0" t="n">
        <f aca="false">IF(Anforderungen!$B1045="","",IF(AND(OR($B5="(alle)",Anforderungen!$K1045=$B5),OR($E5="(alle)",Anforderungen!$C1045=$E5),OR($H5="(alle)",Anforderungen!$E1045=$H5),OR($B7="(alle)",ISNUMBER(SEARCH($B7,Anforderungen!$J1045))),OR($E7="(alle)",ISNUMBER(SEARCH($E7,Anforderungen!$I1045))),OR($H7="",ISNUMBER(SEARCH($H7,Anforderungen!$F1045&amp;" "&amp;Anforderungen!$G1045)))),COUNT($T$6:$T1044)+1,""))</f>
        <v>1039</v>
      </c>
    </row>
    <row r="1046" customFormat="false" ht="15" hidden="false" customHeight="false" outlineLevel="0" collapsed="false">
      <c r="T1046" s="0" t="n">
        <f aca="false">IF(Anforderungen!$B1046="","",IF(AND(OR($B5="(alle)",Anforderungen!$K1046=$B5),OR($E5="(alle)",Anforderungen!$C1046=$E5),OR($H5="(alle)",Anforderungen!$E1046=$H5),OR($B7="(alle)",ISNUMBER(SEARCH($B7,Anforderungen!$J1046))),OR($E7="(alle)",ISNUMBER(SEARCH($E7,Anforderungen!$I1046))),OR($H7="",ISNUMBER(SEARCH($H7,Anforderungen!$F1046&amp;" "&amp;Anforderungen!$G1046)))),COUNT($T$6:$T1045)+1,""))</f>
        <v>1040</v>
      </c>
    </row>
    <row r="1047" customFormat="false" ht="15" hidden="false" customHeight="false" outlineLevel="0" collapsed="false">
      <c r="T1047" s="0" t="n">
        <f aca="false">IF(Anforderungen!$B1047="","",IF(AND(OR($B5="(alle)",Anforderungen!$K1047=$B5),OR($E5="(alle)",Anforderungen!$C1047=$E5),OR($H5="(alle)",Anforderungen!$E1047=$H5),OR($B7="(alle)",ISNUMBER(SEARCH($B7,Anforderungen!$J1047))),OR($E7="(alle)",ISNUMBER(SEARCH($E7,Anforderungen!$I1047))),OR($H7="",ISNUMBER(SEARCH($H7,Anforderungen!$F1047&amp;" "&amp;Anforderungen!$G1047)))),COUNT($T$6:$T1046)+1,""))</f>
        <v>1041</v>
      </c>
    </row>
    <row r="1048" customFormat="false" ht="15" hidden="false" customHeight="false" outlineLevel="0" collapsed="false">
      <c r="T1048" s="0" t="n">
        <f aca="false">IF(Anforderungen!$B1048="","",IF(AND(OR($B5="(alle)",Anforderungen!$K1048=$B5),OR($E5="(alle)",Anforderungen!$C1048=$E5),OR($H5="(alle)",Anforderungen!$E1048=$H5),OR($B7="(alle)",ISNUMBER(SEARCH($B7,Anforderungen!$J1048))),OR($E7="(alle)",ISNUMBER(SEARCH($E7,Anforderungen!$I1048))),OR($H7="",ISNUMBER(SEARCH($H7,Anforderungen!$F1048&amp;" "&amp;Anforderungen!$G1048)))),COUNT($T$6:$T1047)+1,""))</f>
        <v>1042</v>
      </c>
    </row>
    <row r="1049" customFormat="false" ht="15" hidden="false" customHeight="false" outlineLevel="0" collapsed="false">
      <c r="T1049" s="0" t="n">
        <f aca="false">IF(Anforderungen!$B1049="","",IF(AND(OR($B5="(alle)",Anforderungen!$K1049=$B5),OR($E5="(alle)",Anforderungen!$C1049=$E5),OR($H5="(alle)",Anforderungen!$E1049=$H5),OR($B7="(alle)",ISNUMBER(SEARCH($B7,Anforderungen!$J1049))),OR($E7="(alle)",ISNUMBER(SEARCH($E7,Anforderungen!$I1049))),OR($H7="",ISNUMBER(SEARCH($H7,Anforderungen!$F1049&amp;" "&amp;Anforderungen!$G1049)))),COUNT($T$6:$T1048)+1,""))</f>
        <v>1043</v>
      </c>
    </row>
    <row r="1050" customFormat="false" ht="15" hidden="false" customHeight="false" outlineLevel="0" collapsed="false">
      <c r="T1050" s="0" t="n">
        <f aca="false">IF(Anforderungen!$B1050="","",IF(AND(OR($B5="(alle)",Anforderungen!$K1050=$B5),OR($E5="(alle)",Anforderungen!$C1050=$E5),OR($H5="(alle)",Anforderungen!$E1050=$H5),OR($B7="(alle)",ISNUMBER(SEARCH($B7,Anforderungen!$J1050))),OR($E7="(alle)",ISNUMBER(SEARCH($E7,Anforderungen!$I1050))),OR($H7="",ISNUMBER(SEARCH($H7,Anforderungen!$F1050&amp;" "&amp;Anforderungen!$G1050)))),COUNT($T$6:$T1049)+1,""))</f>
        <v>1044</v>
      </c>
    </row>
    <row r="1051" customFormat="false" ht="15" hidden="false" customHeight="false" outlineLevel="0" collapsed="false">
      <c r="T1051" s="0" t="n">
        <f aca="false">IF(Anforderungen!$B1051="","",IF(AND(OR($B5="(alle)",Anforderungen!$K1051=$B5),OR($E5="(alle)",Anforderungen!$C1051=$E5),OR($H5="(alle)",Anforderungen!$E1051=$H5),OR($B7="(alle)",ISNUMBER(SEARCH($B7,Anforderungen!$J1051))),OR($E7="(alle)",ISNUMBER(SEARCH($E7,Anforderungen!$I1051))),OR($H7="",ISNUMBER(SEARCH($H7,Anforderungen!$F1051&amp;" "&amp;Anforderungen!$G1051)))),COUNT($T$6:$T1050)+1,""))</f>
        <v>1045</v>
      </c>
    </row>
    <row r="1052" customFormat="false" ht="15" hidden="false" customHeight="false" outlineLevel="0" collapsed="false">
      <c r="T1052" s="0" t="n">
        <f aca="false">IF(Anforderungen!$B1052="","",IF(AND(OR($B5="(alle)",Anforderungen!$K1052=$B5),OR($E5="(alle)",Anforderungen!$C1052=$E5),OR($H5="(alle)",Anforderungen!$E1052=$H5),OR($B7="(alle)",ISNUMBER(SEARCH($B7,Anforderungen!$J1052))),OR($E7="(alle)",ISNUMBER(SEARCH($E7,Anforderungen!$I1052))),OR($H7="",ISNUMBER(SEARCH($H7,Anforderungen!$F1052&amp;" "&amp;Anforderungen!$G1052)))),COUNT($T$6:$T1051)+1,""))</f>
        <v>1046</v>
      </c>
    </row>
    <row r="1053" customFormat="false" ht="15" hidden="false" customHeight="false" outlineLevel="0" collapsed="false">
      <c r="T1053" s="0" t="n">
        <f aca="false">IF(Anforderungen!$B1053="","",IF(AND(OR($B5="(alle)",Anforderungen!$K1053=$B5),OR($E5="(alle)",Anforderungen!$C1053=$E5),OR($H5="(alle)",Anforderungen!$E1053=$H5),OR($B7="(alle)",ISNUMBER(SEARCH($B7,Anforderungen!$J1053))),OR($E7="(alle)",ISNUMBER(SEARCH($E7,Anforderungen!$I1053))),OR($H7="",ISNUMBER(SEARCH($H7,Anforderungen!$F1053&amp;" "&amp;Anforderungen!$G1053)))),COUNT($T$6:$T1052)+1,""))</f>
        <v>1047</v>
      </c>
    </row>
    <row r="1054" customFormat="false" ht="15" hidden="false" customHeight="false" outlineLevel="0" collapsed="false">
      <c r="T1054" s="0" t="n">
        <f aca="false">IF(Anforderungen!$B1054="","",IF(AND(OR($B5="(alle)",Anforderungen!$K1054=$B5),OR($E5="(alle)",Anforderungen!$C1054=$E5),OR($H5="(alle)",Anforderungen!$E1054=$H5),OR($B7="(alle)",ISNUMBER(SEARCH($B7,Anforderungen!$J1054))),OR($E7="(alle)",ISNUMBER(SEARCH($E7,Anforderungen!$I1054))),OR($H7="",ISNUMBER(SEARCH($H7,Anforderungen!$F1054&amp;" "&amp;Anforderungen!$G1054)))),COUNT($T$6:$T1053)+1,""))</f>
        <v>1048</v>
      </c>
    </row>
    <row r="1055" customFormat="false" ht="15" hidden="false" customHeight="false" outlineLevel="0" collapsed="false">
      <c r="T1055" s="0" t="n">
        <f aca="false">IF(Anforderungen!$B1055="","",IF(AND(OR($B5="(alle)",Anforderungen!$K1055=$B5),OR($E5="(alle)",Anforderungen!$C1055=$E5),OR($H5="(alle)",Anforderungen!$E1055=$H5),OR($B7="(alle)",ISNUMBER(SEARCH($B7,Anforderungen!$J1055))),OR($E7="(alle)",ISNUMBER(SEARCH($E7,Anforderungen!$I1055))),OR($H7="",ISNUMBER(SEARCH($H7,Anforderungen!$F1055&amp;" "&amp;Anforderungen!$G1055)))),COUNT($T$6:$T1054)+1,""))</f>
        <v>1049</v>
      </c>
    </row>
    <row r="1056" customFormat="false" ht="15" hidden="false" customHeight="false" outlineLevel="0" collapsed="false">
      <c r="T1056" s="0" t="n">
        <f aca="false">IF(Anforderungen!$B1056="","",IF(AND(OR($B5="(alle)",Anforderungen!$K1056=$B5),OR($E5="(alle)",Anforderungen!$C1056=$E5),OR($H5="(alle)",Anforderungen!$E1056=$H5),OR($B7="(alle)",ISNUMBER(SEARCH($B7,Anforderungen!$J1056))),OR($E7="(alle)",ISNUMBER(SEARCH($E7,Anforderungen!$I1056))),OR($H7="",ISNUMBER(SEARCH($H7,Anforderungen!$F1056&amp;" "&amp;Anforderungen!$G1056)))),COUNT($T$6:$T1055)+1,""))</f>
        <v>1050</v>
      </c>
    </row>
    <row r="1057" customFormat="false" ht="15" hidden="false" customHeight="false" outlineLevel="0" collapsed="false">
      <c r="T1057" s="0" t="n">
        <f aca="false">IF(Anforderungen!$B1057="","",IF(AND(OR($B5="(alle)",Anforderungen!$K1057=$B5),OR($E5="(alle)",Anforderungen!$C1057=$E5),OR($H5="(alle)",Anforderungen!$E1057=$H5),OR($B7="(alle)",ISNUMBER(SEARCH($B7,Anforderungen!$J1057))),OR($E7="(alle)",ISNUMBER(SEARCH($E7,Anforderungen!$I1057))),OR($H7="",ISNUMBER(SEARCH($H7,Anforderungen!$F1057&amp;" "&amp;Anforderungen!$G1057)))),COUNT($T$6:$T1056)+1,""))</f>
        <v>1051</v>
      </c>
    </row>
    <row r="1058" customFormat="false" ht="15" hidden="false" customHeight="false" outlineLevel="0" collapsed="false">
      <c r="T1058" s="0" t="n">
        <f aca="false">IF(Anforderungen!$B1058="","",IF(AND(OR($B5="(alle)",Anforderungen!$K1058=$B5),OR($E5="(alle)",Anforderungen!$C1058=$E5),OR($H5="(alle)",Anforderungen!$E1058=$H5),OR($B7="(alle)",ISNUMBER(SEARCH($B7,Anforderungen!$J1058))),OR($E7="(alle)",ISNUMBER(SEARCH($E7,Anforderungen!$I1058))),OR($H7="",ISNUMBER(SEARCH($H7,Anforderungen!$F1058&amp;" "&amp;Anforderungen!$G1058)))),COUNT($T$6:$T1057)+1,""))</f>
        <v>1052</v>
      </c>
    </row>
    <row r="1059" customFormat="false" ht="15" hidden="false" customHeight="false" outlineLevel="0" collapsed="false">
      <c r="T1059" s="0" t="n">
        <f aca="false">IF(Anforderungen!$B1059="","",IF(AND(OR($B5="(alle)",Anforderungen!$K1059=$B5),OR($E5="(alle)",Anforderungen!$C1059=$E5),OR($H5="(alle)",Anforderungen!$E1059=$H5),OR($B7="(alle)",ISNUMBER(SEARCH($B7,Anforderungen!$J1059))),OR($E7="(alle)",ISNUMBER(SEARCH($E7,Anforderungen!$I1059))),OR($H7="",ISNUMBER(SEARCH($H7,Anforderungen!$F1059&amp;" "&amp;Anforderungen!$G1059)))),COUNT($T$6:$T1058)+1,""))</f>
        <v>1053</v>
      </c>
    </row>
    <row r="1060" customFormat="false" ht="15" hidden="false" customHeight="false" outlineLevel="0" collapsed="false">
      <c r="T1060" s="0" t="n">
        <f aca="false">IF(Anforderungen!$B1060="","",IF(AND(OR($B5="(alle)",Anforderungen!$K1060=$B5),OR($E5="(alle)",Anforderungen!$C1060=$E5),OR($H5="(alle)",Anforderungen!$E1060=$H5),OR($B7="(alle)",ISNUMBER(SEARCH($B7,Anforderungen!$J1060))),OR($E7="(alle)",ISNUMBER(SEARCH($E7,Anforderungen!$I1060))),OR($H7="",ISNUMBER(SEARCH($H7,Anforderungen!$F1060&amp;" "&amp;Anforderungen!$G1060)))),COUNT($T$6:$T1059)+1,""))</f>
        <v>1054</v>
      </c>
    </row>
    <row r="1061" customFormat="false" ht="15" hidden="false" customHeight="false" outlineLevel="0" collapsed="false">
      <c r="T1061" s="0" t="n">
        <f aca="false">IF(Anforderungen!$B1061="","",IF(AND(OR($B5="(alle)",Anforderungen!$K1061=$B5),OR($E5="(alle)",Anforderungen!$C1061=$E5),OR($H5="(alle)",Anforderungen!$E1061=$H5),OR($B7="(alle)",ISNUMBER(SEARCH($B7,Anforderungen!$J1061))),OR($E7="(alle)",ISNUMBER(SEARCH($E7,Anforderungen!$I1061))),OR($H7="",ISNUMBER(SEARCH($H7,Anforderungen!$F1061&amp;" "&amp;Anforderungen!$G1061)))),COUNT($T$6:$T1060)+1,""))</f>
        <v>1055</v>
      </c>
    </row>
    <row r="1062" customFormat="false" ht="15" hidden="false" customHeight="false" outlineLevel="0" collapsed="false">
      <c r="T1062" s="0" t="n">
        <f aca="false">IF(Anforderungen!$B1062="","",IF(AND(OR($B5="(alle)",Anforderungen!$K1062=$B5),OR($E5="(alle)",Anforderungen!$C1062=$E5),OR($H5="(alle)",Anforderungen!$E1062=$H5),OR($B7="(alle)",ISNUMBER(SEARCH($B7,Anforderungen!$J1062))),OR($E7="(alle)",ISNUMBER(SEARCH($E7,Anforderungen!$I1062))),OR($H7="",ISNUMBER(SEARCH($H7,Anforderungen!$F1062&amp;" "&amp;Anforderungen!$G1062)))),COUNT($T$6:$T1061)+1,""))</f>
        <v>1056</v>
      </c>
    </row>
    <row r="1063" customFormat="false" ht="15" hidden="false" customHeight="false" outlineLevel="0" collapsed="false">
      <c r="T1063" s="0" t="n">
        <f aca="false">IF(Anforderungen!$B1063="","",IF(AND(OR($B5="(alle)",Anforderungen!$K1063=$B5),OR($E5="(alle)",Anforderungen!$C1063=$E5),OR($H5="(alle)",Anforderungen!$E1063=$H5),OR($B7="(alle)",ISNUMBER(SEARCH($B7,Anforderungen!$J1063))),OR($E7="(alle)",ISNUMBER(SEARCH($E7,Anforderungen!$I1063))),OR($H7="",ISNUMBER(SEARCH($H7,Anforderungen!$F1063&amp;" "&amp;Anforderungen!$G1063)))),COUNT($T$6:$T1062)+1,""))</f>
        <v>1057</v>
      </c>
    </row>
    <row r="1064" customFormat="false" ht="15" hidden="false" customHeight="false" outlineLevel="0" collapsed="false">
      <c r="T1064" s="0" t="n">
        <f aca="false">IF(Anforderungen!$B1064="","",IF(AND(OR($B5="(alle)",Anforderungen!$K1064=$B5),OR($E5="(alle)",Anforderungen!$C1064=$E5),OR($H5="(alle)",Anforderungen!$E1064=$H5),OR($B7="(alle)",ISNUMBER(SEARCH($B7,Anforderungen!$J1064))),OR($E7="(alle)",ISNUMBER(SEARCH($E7,Anforderungen!$I1064))),OR($H7="",ISNUMBER(SEARCH($H7,Anforderungen!$F1064&amp;" "&amp;Anforderungen!$G1064)))),COUNT($T$6:$T1063)+1,""))</f>
        <v>1058</v>
      </c>
    </row>
    <row r="1065" customFormat="false" ht="15" hidden="false" customHeight="false" outlineLevel="0" collapsed="false">
      <c r="T1065" s="0" t="n">
        <f aca="false">IF(Anforderungen!$B1065="","",IF(AND(OR($B5="(alle)",Anforderungen!$K1065=$B5),OR($E5="(alle)",Anforderungen!$C1065=$E5),OR($H5="(alle)",Anforderungen!$E1065=$H5),OR($B7="(alle)",ISNUMBER(SEARCH($B7,Anforderungen!$J1065))),OR($E7="(alle)",ISNUMBER(SEARCH($E7,Anforderungen!$I1065))),OR($H7="",ISNUMBER(SEARCH($H7,Anforderungen!$F1065&amp;" "&amp;Anforderungen!$G1065)))),COUNT($T$6:$T1064)+1,""))</f>
        <v>1059</v>
      </c>
    </row>
    <row r="1066" customFormat="false" ht="15" hidden="false" customHeight="false" outlineLevel="0" collapsed="false">
      <c r="T1066" s="0" t="n">
        <f aca="false">IF(Anforderungen!$B1066="","",IF(AND(OR($B5="(alle)",Anforderungen!$K1066=$B5),OR($E5="(alle)",Anforderungen!$C1066=$E5),OR($H5="(alle)",Anforderungen!$E1066=$H5),OR($B7="(alle)",ISNUMBER(SEARCH($B7,Anforderungen!$J1066))),OR($E7="(alle)",ISNUMBER(SEARCH($E7,Anforderungen!$I1066))),OR($H7="",ISNUMBER(SEARCH($H7,Anforderungen!$F1066&amp;" "&amp;Anforderungen!$G1066)))),COUNT($T$6:$T1065)+1,""))</f>
        <v>1060</v>
      </c>
    </row>
    <row r="1067" customFormat="false" ht="15" hidden="false" customHeight="false" outlineLevel="0" collapsed="false">
      <c r="T1067" s="0" t="n">
        <f aca="false">IF(Anforderungen!$B1067="","",IF(AND(OR($B5="(alle)",Anforderungen!$K1067=$B5),OR($E5="(alle)",Anforderungen!$C1067=$E5),OR($H5="(alle)",Anforderungen!$E1067=$H5),OR($B7="(alle)",ISNUMBER(SEARCH($B7,Anforderungen!$J1067))),OR($E7="(alle)",ISNUMBER(SEARCH($E7,Anforderungen!$I1067))),OR($H7="",ISNUMBER(SEARCH($H7,Anforderungen!$F1067&amp;" "&amp;Anforderungen!$G1067)))),COUNT($T$6:$T1066)+1,""))</f>
        <v>1061</v>
      </c>
    </row>
    <row r="1068" customFormat="false" ht="15" hidden="false" customHeight="false" outlineLevel="0" collapsed="false">
      <c r="T1068" s="0" t="n">
        <f aca="false">IF(Anforderungen!$B1068="","",IF(AND(OR($B5="(alle)",Anforderungen!$K1068=$B5),OR($E5="(alle)",Anforderungen!$C1068=$E5),OR($H5="(alle)",Anforderungen!$E1068=$H5),OR($B7="(alle)",ISNUMBER(SEARCH($B7,Anforderungen!$J1068))),OR($E7="(alle)",ISNUMBER(SEARCH($E7,Anforderungen!$I1068))),OR($H7="",ISNUMBER(SEARCH($H7,Anforderungen!$F1068&amp;" "&amp;Anforderungen!$G1068)))),COUNT($T$6:$T1067)+1,""))</f>
        <v>1062</v>
      </c>
    </row>
    <row r="1069" customFormat="false" ht="15" hidden="false" customHeight="false" outlineLevel="0" collapsed="false">
      <c r="T1069" s="0" t="n">
        <f aca="false">IF(Anforderungen!$B1069="","",IF(AND(OR($B5="(alle)",Anforderungen!$K1069=$B5),OR($E5="(alle)",Anforderungen!$C1069=$E5),OR($H5="(alle)",Anforderungen!$E1069=$H5),OR($B7="(alle)",ISNUMBER(SEARCH($B7,Anforderungen!$J1069))),OR($E7="(alle)",ISNUMBER(SEARCH($E7,Anforderungen!$I1069))),OR($H7="",ISNUMBER(SEARCH($H7,Anforderungen!$F1069&amp;" "&amp;Anforderungen!$G1069)))),COUNT($T$6:$T1068)+1,""))</f>
        <v>1063</v>
      </c>
    </row>
    <row r="1070" customFormat="false" ht="15" hidden="false" customHeight="false" outlineLevel="0" collapsed="false">
      <c r="T1070" s="0" t="n">
        <f aca="false">IF(Anforderungen!$B1070="","",IF(AND(OR($B5="(alle)",Anforderungen!$K1070=$B5),OR($E5="(alle)",Anforderungen!$C1070=$E5),OR($H5="(alle)",Anforderungen!$E1070=$H5),OR($B7="(alle)",ISNUMBER(SEARCH($B7,Anforderungen!$J1070))),OR($E7="(alle)",ISNUMBER(SEARCH($E7,Anforderungen!$I1070))),OR($H7="",ISNUMBER(SEARCH($H7,Anforderungen!$F1070&amp;" "&amp;Anforderungen!$G1070)))),COUNT($T$6:$T1069)+1,""))</f>
        <v>1064</v>
      </c>
    </row>
    <row r="1071" customFormat="false" ht="15" hidden="false" customHeight="false" outlineLevel="0" collapsed="false">
      <c r="T1071" s="0" t="n">
        <f aca="false">IF(Anforderungen!$B1071="","",IF(AND(OR($B5="(alle)",Anforderungen!$K1071=$B5),OR($E5="(alle)",Anforderungen!$C1071=$E5),OR($H5="(alle)",Anforderungen!$E1071=$H5),OR($B7="(alle)",ISNUMBER(SEARCH($B7,Anforderungen!$J1071))),OR($E7="(alle)",ISNUMBER(SEARCH($E7,Anforderungen!$I1071))),OR($H7="",ISNUMBER(SEARCH($H7,Anforderungen!$F1071&amp;" "&amp;Anforderungen!$G1071)))),COUNT($T$6:$T1070)+1,""))</f>
        <v>1065</v>
      </c>
    </row>
    <row r="1072" customFormat="false" ht="15" hidden="false" customHeight="false" outlineLevel="0" collapsed="false">
      <c r="T1072" s="0" t="n">
        <f aca="false">IF(Anforderungen!$B1072="","",IF(AND(OR($B5="(alle)",Anforderungen!$K1072=$B5),OR($E5="(alle)",Anforderungen!$C1072=$E5),OR($H5="(alle)",Anforderungen!$E1072=$H5),OR($B7="(alle)",ISNUMBER(SEARCH($B7,Anforderungen!$J1072))),OR($E7="(alle)",ISNUMBER(SEARCH($E7,Anforderungen!$I1072))),OR($H7="",ISNUMBER(SEARCH($H7,Anforderungen!$F1072&amp;" "&amp;Anforderungen!$G1072)))),COUNT($T$6:$T1071)+1,""))</f>
        <v>1066</v>
      </c>
    </row>
    <row r="1073" customFormat="false" ht="15" hidden="false" customHeight="false" outlineLevel="0" collapsed="false">
      <c r="T1073" s="0" t="n">
        <f aca="false">IF(Anforderungen!$B1073="","",IF(AND(OR($B5="(alle)",Anforderungen!$K1073=$B5),OR($E5="(alle)",Anforderungen!$C1073=$E5),OR($H5="(alle)",Anforderungen!$E1073=$H5),OR($B7="(alle)",ISNUMBER(SEARCH($B7,Anforderungen!$J1073))),OR($E7="(alle)",ISNUMBER(SEARCH($E7,Anforderungen!$I1073))),OR($H7="",ISNUMBER(SEARCH($H7,Anforderungen!$F1073&amp;" "&amp;Anforderungen!$G1073)))),COUNT($T$6:$T1072)+1,""))</f>
        <v>1067</v>
      </c>
    </row>
    <row r="1074" customFormat="false" ht="15" hidden="false" customHeight="false" outlineLevel="0" collapsed="false">
      <c r="T1074" s="0" t="n">
        <f aca="false">IF(Anforderungen!$B1074="","",IF(AND(OR($B5="(alle)",Anforderungen!$K1074=$B5),OR($E5="(alle)",Anforderungen!$C1074=$E5),OR($H5="(alle)",Anforderungen!$E1074=$H5),OR($B7="(alle)",ISNUMBER(SEARCH($B7,Anforderungen!$J1074))),OR($E7="(alle)",ISNUMBER(SEARCH($E7,Anforderungen!$I1074))),OR($H7="",ISNUMBER(SEARCH($H7,Anforderungen!$F1074&amp;" "&amp;Anforderungen!$G1074)))),COUNT($T$6:$T1073)+1,""))</f>
        <v>1068</v>
      </c>
    </row>
    <row r="1075" customFormat="false" ht="15" hidden="false" customHeight="false" outlineLevel="0" collapsed="false">
      <c r="T1075" s="0" t="n">
        <f aca="false">IF(Anforderungen!$B1075="","",IF(AND(OR($B5="(alle)",Anforderungen!$K1075=$B5),OR($E5="(alle)",Anforderungen!$C1075=$E5),OR($H5="(alle)",Anforderungen!$E1075=$H5),OR($B7="(alle)",ISNUMBER(SEARCH($B7,Anforderungen!$J1075))),OR($E7="(alle)",ISNUMBER(SEARCH($E7,Anforderungen!$I1075))),OR($H7="",ISNUMBER(SEARCH($H7,Anforderungen!$F1075&amp;" "&amp;Anforderungen!$G1075)))),COUNT($T$6:$T1074)+1,""))</f>
        <v>1069</v>
      </c>
    </row>
    <row r="1076" customFormat="false" ht="15" hidden="false" customHeight="false" outlineLevel="0" collapsed="false">
      <c r="T1076" s="0" t="n">
        <f aca="false">IF(Anforderungen!$B1076="","",IF(AND(OR($B5="(alle)",Anforderungen!$K1076=$B5),OR($E5="(alle)",Anforderungen!$C1076=$E5),OR($H5="(alle)",Anforderungen!$E1076=$H5),OR($B7="(alle)",ISNUMBER(SEARCH($B7,Anforderungen!$J1076))),OR($E7="(alle)",ISNUMBER(SEARCH($E7,Anforderungen!$I1076))),OR($H7="",ISNUMBER(SEARCH($H7,Anforderungen!$F1076&amp;" "&amp;Anforderungen!$G1076)))),COUNT($T$6:$T1075)+1,""))</f>
        <v>1070</v>
      </c>
    </row>
    <row r="1077" customFormat="false" ht="15" hidden="false" customHeight="false" outlineLevel="0" collapsed="false">
      <c r="T1077" s="0" t="n">
        <f aca="false">IF(Anforderungen!$B1077="","",IF(AND(OR($B5="(alle)",Anforderungen!$K1077=$B5),OR($E5="(alle)",Anforderungen!$C1077=$E5),OR($H5="(alle)",Anforderungen!$E1077=$H5),OR($B7="(alle)",ISNUMBER(SEARCH($B7,Anforderungen!$J1077))),OR($E7="(alle)",ISNUMBER(SEARCH($E7,Anforderungen!$I1077))),OR($H7="",ISNUMBER(SEARCH($H7,Anforderungen!$F1077&amp;" "&amp;Anforderungen!$G1077)))),COUNT($T$6:$T1076)+1,""))</f>
        <v>1071</v>
      </c>
    </row>
    <row r="1078" customFormat="false" ht="15" hidden="false" customHeight="false" outlineLevel="0" collapsed="false">
      <c r="T1078" s="0" t="n">
        <f aca="false">IF(Anforderungen!$B1078="","",IF(AND(OR($B5="(alle)",Anforderungen!$K1078=$B5),OR($E5="(alle)",Anforderungen!$C1078=$E5),OR($H5="(alle)",Anforderungen!$E1078=$H5),OR($B7="(alle)",ISNUMBER(SEARCH($B7,Anforderungen!$J1078))),OR($E7="(alle)",ISNUMBER(SEARCH($E7,Anforderungen!$I1078))),OR($H7="",ISNUMBER(SEARCH($H7,Anforderungen!$F1078&amp;" "&amp;Anforderungen!$G1078)))),COUNT($T$6:$T1077)+1,""))</f>
        <v>1072</v>
      </c>
    </row>
    <row r="1079" customFormat="false" ht="15" hidden="false" customHeight="false" outlineLevel="0" collapsed="false">
      <c r="T1079" s="0" t="n">
        <f aca="false">IF(Anforderungen!$B1079="","",IF(AND(OR($B5="(alle)",Anforderungen!$K1079=$B5),OR($E5="(alle)",Anforderungen!$C1079=$E5),OR($H5="(alle)",Anforderungen!$E1079=$H5),OR($B7="(alle)",ISNUMBER(SEARCH($B7,Anforderungen!$J1079))),OR($E7="(alle)",ISNUMBER(SEARCH($E7,Anforderungen!$I1079))),OR($H7="",ISNUMBER(SEARCH($H7,Anforderungen!$F1079&amp;" "&amp;Anforderungen!$G1079)))),COUNT($T$6:$T1078)+1,""))</f>
        <v>1073</v>
      </c>
    </row>
    <row r="1080" customFormat="false" ht="15" hidden="false" customHeight="false" outlineLevel="0" collapsed="false">
      <c r="T1080" s="0" t="n">
        <f aca="false">IF(Anforderungen!$B1080="","",IF(AND(OR($B5="(alle)",Anforderungen!$K1080=$B5),OR($E5="(alle)",Anforderungen!$C1080=$E5),OR($H5="(alle)",Anforderungen!$E1080=$H5),OR($B7="(alle)",ISNUMBER(SEARCH($B7,Anforderungen!$J1080))),OR($E7="(alle)",ISNUMBER(SEARCH($E7,Anforderungen!$I1080))),OR($H7="",ISNUMBER(SEARCH($H7,Anforderungen!$F1080&amp;" "&amp;Anforderungen!$G1080)))),COUNT($T$6:$T1079)+1,""))</f>
        <v>1074</v>
      </c>
    </row>
    <row r="1081" customFormat="false" ht="15" hidden="false" customHeight="false" outlineLevel="0" collapsed="false">
      <c r="T1081" s="0" t="n">
        <f aca="false">IF(Anforderungen!$B1081="","",IF(AND(OR($B5="(alle)",Anforderungen!$K1081=$B5),OR($E5="(alle)",Anforderungen!$C1081=$E5),OR($H5="(alle)",Anforderungen!$E1081=$H5),OR($B7="(alle)",ISNUMBER(SEARCH($B7,Anforderungen!$J1081))),OR($E7="(alle)",ISNUMBER(SEARCH($E7,Anforderungen!$I1081))),OR($H7="",ISNUMBER(SEARCH($H7,Anforderungen!$F1081&amp;" "&amp;Anforderungen!$G1081)))),COUNT($T$6:$T1080)+1,""))</f>
        <v>1075</v>
      </c>
    </row>
    <row r="1082" customFormat="false" ht="15" hidden="false" customHeight="false" outlineLevel="0" collapsed="false">
      <c r="T1082" s="0" t="n">
        <f aca="false">IF(Anforderungen!$B1082="","",IF(AND(OR($B5="(alle)",Anforderungen!$K1082=$B5),OR($E5="(alle)",Anforderungen!$C1082=$E5),OR($H5="(alle)",Anforderungen!$E1082=$H5),OR($B7="(alle)",ISNUMBER(SEARCH($B7,Anforderungen!$J1082))),OR($E7="(alle)",ISNUMBER(SEARCH($E7,Anforderungen!$I1082))),OR($H7="",ISNUMBER(SEARCH($H7,Anforderungen!$F1082&amp;" "&amp;Anforderungen!$G1082)))),COUNT($T$6:$T1081)+1,""))</f>
        <v>1076</v>
      </c>
    </row>
    <row r="1083" customFormat="false" ht="15" hidden="false" customHeight="false" outlineLevel="0" collapsed="false">
      <c r="T1083" s="0" t="n">
        <f aca="false">IF(Anforderungen!$B1083="","",IF(AND(OR($B5="(alle)",Anforderungen!$K1083=$B5),OR($E5="(alle)",Anforderungen!$C1083=$E5),OR($H5="(alle)",Anforderungen!$E1083=$H5),OR($B7="(alle)",ISNUMBER(SEARCH($B7,Anforderungen!$J1083))),OR($E7="(alle)",ISNUMBER(SEARCH($E7,Anforderungen!$I1083))),OR($H7="",ISNUMBER(SEARCH($H7,Anforderungen!$F1083&amp;" "&amp;Anforderungen!$G1083)))),COUNT($T$6:$T1082)+1,""))</f>
        <v>1077</v>
      </c>
    </row>
    <row r="1084" customFormat="false" ht="15" hidden="false" customHeight="false" outlineLevel="0" collapsed="false">
      <c r="T1084" s="0" t="n">
        <f aca="false">IF(Anforderungen!$B1084="","",IF(AND(OR($B5="(alle)",Anforderungen!$K1084=$B5),OR($E5="(alle)",Anforderungen!$C1084=$E5),OR($H5="(alle)",Anforderungen!$E1084=$H5),OR($B7="(alle)",ISNUMBER(SEARCH($B7,Anforderungen!$J1084))),OR($E7="(alle)",ISNUMBER(SEARCH($E7,Anforderungen!$I1084))),OR($H7="",ISNUMBER(SEARCH($H7,Anforderungen!$F1084&amp;" "&amp;Anforderungen!$G1084)))),COUNT($T$6:$T1083)+1,""))</f>
        <v>1078</v>
      </c>
    </row>
    <row r="1085" customFormat="false" ht="15" hidden="false" customHeight="false" outlineLevel="0" collapsed="false">
      <c r="T1085" s="0" t="n">
        <f aca="false">IF(Anforderungen!$B1085="","",IF(AND(OR($B5="(alle)",Anforderungen!$K1085=$B5),OR($E5="(alle)",Anforderungen!$C1085=$E5),OR($H5="(alle)",Anforderungen!$E1085=$H5),OR($B7="(alle)",ISNUMBER(SEARCH($B7,Anforderungen!$J1085))),OR($E7="(alle)",ISNUMBER(SEARCH($E7,Anforderungen!$I1085))),OR($H7="",ISNUMBER(SEARCH($H7,Anforderungen!$F1085&amp;" "&amp;Anforderungen!$G1085)))),COUNT($T$6:$T1084)+1,""))</f>
        <v>1079</v>
      </c>
    </row>
    <row r="1086" customFormat="false" ht="15" hidden="false" customHeight="false" outlineLevel="0" collapsed="false">
      <c r="T1086" s="0" t="n">
        <f aca="false">IF(Anforderungen!$B1086="","",IF(AND(OR($B5="(alle)",Anforderungen!$K1086=$B5),OR($E5="(alle)",Anforderungen!$C1086=$E5),OR($H5="(alle)",Anforderungen!$E1086=$H5),OR($B7="(alle)",ISNUMBER(SEARCH($B7,Anforderungen!$J1086))),OR($E7="(alle)",ISNUMBER(SEARCH($E7,Anforderungen!$I1086))),OR($H7="",ISNUMBER(SEARCH($H7,Anforderungen!$F1086&amp;" "&amp;Anforderungen!$G1086)))),COUNT($T$6:$T1085)+1,""))</f>
        <v>1080</v>
      </c>
    </row>
    <row r="1087" customFormat="false" ht="15" hidden="false" customHeight="false" outlineLevel="0" collapsed="false">
      <c r="T1087" s="0" t="n">
        <f aca="false">IF(Anforderungen!$B1087="","",IF(AND(OR($B5="(alle)",Anforderungen!$K1087=$B5),OR($E5="(alle)",Anforderungen!$C1087=$E5),OR($H5="(alle)",Anforderungen!$E1087=$H5),OR($B7="(alle)",ISNUMBER(SEARCH($B7,Anforderungen!$J1087))),OR($E7="(alle)",ISNUMBER(SEARCH($E7,Anforderungen!$I1087))),OR($H7="",ISNUMBER(SEARCH($H7,Anforderungen!$F1087&amp;" "&amp;Anforderungen!$G1087)))),COUNT($T$6:$T1086)+1,""))</f>
        <v>1081</v>
      </c>
    </row>
    <row r="1088" customFormat="false" ht="15" hidden="false" customHeight="false" outlineLevel="0" collapsed="false">
      <c r="T1088" s="0" t="n">
        <f aca="false">IF(Anforderungen!$B1088="","",IF(AND(OR($B5="(alle)",Anforderungen!$K1088=$B5),OR($E5="(alle)",Anforderungen!$C1088=$E5),OR($H5="(alle)",Anforderungen!$E1088=$H5),OR($B7="(alle)",ISNUMBER(SEARCH($B7,Anforderungen!$J1088))),OR($E7="(alle)",ISNUMBER(SEARCH($E7,Anforderungen!$I1088))),OR($H7="",ISNUMBER(SEARCH($H7,Anforderungen!$F1088&amp;" "&amp;Anforderungen!$G1088)))),COUNT($T$6:$T1087)+1,""))</f>
        <v>1082</v>
      </c>
    </row>
    <row r="1089" customFormat="false" ht="15" hidden="false" customHeight="false" outlineLevel="0" collapsed="false">
      <c r="T1089" s="0" t="n">
        <f aca="false">IF(Anforderungen!$B1089="","",IF(AND(OR($B5="(alle)",Anforderungen!$K1089=$B5),OR($E5="(alle)",Anforderungen!$C1089=$E5),OR($H5="(alle)",Anforderungen!$E1089=$H5),OR($B7="(alle)",ISNUMBER(SEARCH($B7,Anforderungen!$J1089))),OR($E7="(alle)",ISNUMBER(SEARCH($E7,Anforderungen!$I1089))),OR($H7="",ISNUMBER(SEARCH($H7,Anforderungen!$F1089&amp;" "&amp;Anforderungen!$G1089)))),COUNT($T$6:$T1088)+1,""))</f>
        <v>1083</v>
      </c>
    </row>
    <row r="1090" customFormat="false" ht="15" hidden="false" customHeight="false" outlineLevel="0" collapsed="false">
      <c r="T1090" s="0" t="n">
        <f aca="false">IF(Anforderungen!$B1090="","",IF(AND(OR($B5="(alle)",Anforderungen!$K1090=$B5),OR($E5="(alle)",Anforderungen!$C1090=$E5),OR($H5="(alle)",Anforderungen!$E1090=$H5),OR($B7="(alle)",ISNUMBER(SEARCH($B7,Anforderungen!$J1090))),OR($E7="(alle)",ISNUMBER(SEARCH($E7,Anforderungen!$I1090))),OR($H7="",ISNUMBER(SEARCH($H7,Anforderungen!$F1090&amp;" "&amp;Anforderungen!$G1090)))),COUNT($T$6:$T1089)+1,""))</f>
        <v>1084</v>
      </c>
    </row>
    <row r="1091" customFormat="false" ht="15" hidden="false" customHeight="false" outlineLevel="0" collapsed="false">
      <c r="T1091" s="0" t="n">
        <f aca="false">IF(Anforderungen!$B1091="","",IF(AND(OR($B5="(alle)",Anforderungen!$K1091=$B5),OR($E5="(alle)",Anforderungen!$C1091=$E5),OR($H5="(alle)",Anforderungen!$E1091=$H5),OR($B7="(alle)",ISNUMBER(SEARCH($B7,Anforderungen!$J1091))),OR($E7="(alle)",ISNUMBER(SEARCH($E7,Anforderungen!$I1091))),OR($H7="",ISNUMBER(SEARCH($H7,Anforderungen!$F1091&amp;" "&amp;Anforderungen!$G1091)))),COUNT($T$6:$T1090)+1,""))</f>
        <v>1085</v>
      </c>
    </row>
    <row r="1092" customFormat="false" ht="15" hidden="false" customHeight="false" outlineLevel="0" collapsed="false">
      <c r="T1092" s="0" t="n">
        <f aca="false">IF(Anforderungen!$B1092="","",IF(AND(OR($B5="(alle)",Anforderungen!$K1092=$B5),OR($E5="(alle)",Anforderungen!$C1092=$E5),OR($H5="(alle)",Anforderungen!$E1092=$H5),OR($B7="(alle)",ISNUMBER(SEARCH($B7,Anforderungen!$J1092))),OR($E7="(alle)",ISNUMBER(SEARCH($E7,Anforderungen!$I1092))),OR($H7="",ISNUMBER(SEARCH($H7,Anforderungen!$F1092&amp;" "&amp;Anforderungen!$G1092)))),COUNT($T$6:$T1091)+1,""))</f>
        <v>1086</v>
      </c>
    </row>
    <row r="1093" customFormat="false" ht="15" hidden="false" customHeight="false" outlineLevel="0" collapsed="false">
      <c r="T1093" s="0" t="n">
        <f aca="false">IF(Anforderungen!$B1093="","",IF(AND(OR($B5="(alle)",Anforderungen!$K1093=$B5),OR($E5="(alle)",Anforderungen!$C1093=$E5),OR($H5="(alle)",Anforderungen!$E1093=$H5),OR($B7="(alle)",ISNUMBER(SEARCH($B7,Anforderungen!$J1093))),OR($E7="(alle)",ISNUMBER(SEARCH($E7,Anforderungen!$I1093))),OR($H7="",ISNUMBER(SEARCH($H7,Anforderungen!$F1093&amp;" "&amp;Anforderungen!$G1093)))),COUNT($T$6:$T1092)+1,""))</f>
        <v>1087</v>
      </c>
    </row>
    <row r="1094" customFormat="false" ht="15" hidden="false" customHeight="false" outlineLevel="0" collapsed="false">
      <c r="T1094" s="0" t="n">
        <f aca="false">IF(Anforderungen!$B1094="","",IF(AND(OR($B5="(alle)",Anforderungen!$K1094=$B5),OR($E5="(alle)",Anforderungen!$C1094=$E5),OR($H5="(alle)",Anforderungen!$E1094=$H5),OR($B7="(alle)",ISNUMBER(SEARCH($B7,Anforderungen!$J1094))),OR($E7="(alle)",ISNUMBER(SEARCH($E7,Anforderungen!$I1094))),OR($H7="",ISNUMBER(SEARCH($H7,Anforderungen!$F1094&amp;" "&amp;Anforderungen!$G1094)))),COUNT($T$6:$T1093)+1,""))</f>
        <v>1088</v>
      </c>
    </row>
    <row r="1095" customFormat="false" ht="15" hidden="false" customHeight="false" outlineLevel="0" collapsed="false">
      <c r="T1095" s="0" t="n">
        <f aca="false">IF(Anforderungen!$B1095="","",IF(AND(OR($B5="(alle)",Anforderungen!$K1095=$B5),OR($E5="(alle)",Anforderungen!$C1095=$E5),OR($H5="(alle)",Anforderungen!$E1095=$H5),OR($B7="(alle)",ISNUMBER(SEARCH($B7,Anforderungen!$J1095))),OR($E7="(alle)",ISNUMBER(SEARCH($E7,Anforderungen!$I1095))),OR($H7="",ISNUMBER(SEARCH($H7,Anforderungen!$F1095&amp;" "&amp;Anforderungen!$G1095)))),COUNT($T$6:$T1094)+1,""))</f>
        <v>1089</v>
      </c>
    </row>
    <row r="1096" customFormat="false" ht="15" hidden="false" customHeight="false" outlineLevel="0" collapsed="false">
      <c r="T1096" s="0" t="n">
        <f aca="false">IF(Anforderungen!$B1096="","",IF(AND(OR($B5="(alle)",Anforderungen!$K1096=$B5),OR($E5="(alle)",Anforderungen!$C1096=$E5),OR($H5="(alle)",Anforderungen!$E1096=$H5),OR($B7="(alle)",ISNUMBER(SEARCH($B7,Anforderungen!$J1096))),OR($E7="(alle)",ISNUMBER(SEARCH($E7,Anforderungen!$I1096))),OR($H7="",ISNUMBER(SEARCH($H7,Anforderungen!$F1096&amp;" "&amp;Anforderungen!$G1096)))),COUNT($T$6:$T1095)+1,""))</f>
        <v>1090</v>
      </c>
    </row>
    <row r="1097" customFormat="false" ht="15" hidden="false" customHeight="false" outlineLevel="0" collapsed="false">
      <c r="T1097" s="0" t="n">
        <f aca="false">IF(Anforderungen!$B1097="","",IF(AND(OR($B5="(alle)",Anforderungen!$K1097=$B5),OR($E5="(alle)",Anforderungen!$C1097=$E5),OR($H5="(alle)",Anforderungen!$E1097=$H5),OR($B7="(alle)",ISNUMBER(SEARCH($B7,Anforderungen!$J1097))),OR($E7="(alle)",ISNUMBER(SEARCH($E7,Anforderungen!$I1097))),OR($H7="",ISNUMBER(SEARCH($H7,Anforderungen!$F1097&amp;" "&amp;Anforderungen!$G1097)))),COUNT($T$6:$T1096)+1,""))</f>
        <v>1091</v>
      </c>
    </row>
    <row r="1098" customFormat="false" ht="15" hidden="false" customHeight="false" outlineLevel="0" collapsed="false">
      <c r="T1098" s="0" t="n">
        <f aca="false">IF(Anforderungen!$B1098="","",IF(AND(OR($B5="(alle)",Anforderungen!$K1098=$B5),OR($E5="(alle)",Anforderungen!$C1098=$E5),OR($H5="(alle)",Anforderungen!$E1098=$H5),OR($B7="(alle)",ISNUMBER(SEARCH($B7,Anforderungen!$J1098))),OR($E7="(alle)",ISNUMBER(SEARCH($E7,Anforderungen!$I1098))),OR($H7="",ISNUMBER(SEARCH($H7,Anforderungen!$F1098&amp;" "&amp;Anforderungen!$G1098)))),COUNT($T$6:$T1097)+1,""))</f>
        <v>1092</v>
      </c>
    </row>
    <row r="1099" customFormat="false" ht="15" hidden="false" customHeight="false" outlineLevel="0" collapsed="false">
      <c r="T1099" s="0" t="n">
        <f aca="false">IF(Anforderungen!$B1099="","",IF(AND(OR($B5="(alle)",Anforderungen!$K1099=$B5),OR($E5="(alle)",Anforderungen!$C1099=$E5),OR($H5="(alle)",Anforderungen!$E1099=$H5),OR($B7="(alle)",ISNUMBER(SEARCH($B7,Anforderungen!$J1099))),OR($E7="(alle)",ISNUMBER(SEARCH($E7,Anforderungen!$I1099))),OR($H7="",ISNUMBER(SEARCH($H7,Anforderungen!$F1099&amp;" "&amp;Anforderungen!$G1099)))),COUNT($T$6:$T1098)+1,""))</f>
        <v>1093</v>
      </c>
    </row>
    <row r="1100" customFormat="false" ht="15" hidden="false" customHeight="false" outlineLevel="0" collapsed="false">
      <c r="T1100" s="0" t="n">
        <f aca="false">IF(Anforderungen!$B1100="","",IF(AND(OR($B5="(alle)",Anforderungen!$K1100=$B5),OR($E5="(alle)",Anforderungen!$C1100=$E5),OR($H5="(alle)",Anforderungen!$E1100=$H5),OR($B7="(alle)",ISNUMBER(SEARCH($B7,Anforderungen!$J1100))),OR($E7="(alle)",ISNUMBER(SEARCH($E7,Anforderungen!$I1100))),OR($H7="",ISNUMBER(SEARCH($H7,Anforderungen!$F1100&amp;" "&amp;Anforderungen!$G1100)))),COUNT($T$6:$T1099)+1,""))</f>
        <v>1094</v>
      </c>
    </row>
    <row r="1101" customFormat="false" ht="15" hidden="false" customHeight="false" outlineLevel="0" collapsed="false">
      <c r="T1101" s="0" t="n">
        <f aca="false">IF(Anforderungen!$B1101="","",IF(AND(OR($B5="(alle)",Anforderungen!$K1101=$B5),OR($E5="(alle)",Anforderungen!$C1101=$E5),OR($H5="(alle)",Anforderungen!$E1101=$H5),OR($B7="(alle)",ISNUMBER(SEARCH($B7,Anforderungen!$J1101))),OR($E7="(alle)",ISNUMBER(SEARCH($E7,Anforderungen!$I1101))),OR($H7="",ISNUMBER(SEARCH($H7,Anforderungen!$F1101&amp;" "&amp;Anforderungen!$G1101)))),COUNT($T$6:$T1100)+1,""))</f>
        <v>1095</v>
      </c>
    </row>
    <row r="1102" customFormat="false" ht="15" hidden="false" customHeight="false" outlineLevel="0" collapsed="false">
      <c r="T1102" s="0" t="n">
        <f aca="false">IF(Anforderungen!$B1102="","",IF(AND(OR($B5="(alle)",Anforderungen!$K1102=$B5),OR($E5="(alle)",Anforderungen!$C1102=$E5),OR($H5="(alle)",Anforderungen!$E1102=$H5),OR($B7="(alle)",ISNUMBER(SEARCH($B7,Anforderungen!$J1102))),OR($E7="(alle)",ISNUMBER(SEARCH($E7,Anforderungen!$I1102))),OR($H7="",ISNUMBER(SEARCH($H7,Anforderungen!$F1102&amp;" "&amp;Anforderungen!$G1102)))),COUNT($T$6:$T1101)+1,""))</f>
        <v>1096</v>
      </c>
    </row>
    <row r="1103" customFormat="false" ht="15" hidden="false" customHeight="false" outlineLevel="0" collapsed="false">
      <c r="T1103" s="0" t="n">
        <f aca="false">IF(Anforderungen!$B1103="","",IF(AND(OR($B5="(alle)",Anforderungen!$K1103=$B5),OR($E5="(alle)",Anforderungen!$C1103=$E5),OR($H5="(alle)",Anforderungen!$E1103=$H5),OR($B7="(alle)",ISNUMBER(SEARCH($B7,Anforderungen!$J1103))),OR($E7="(alle)",ISNUMBER(SEARCH($E7,Anforderungen!$I1103))),OR($H7="",ISNUMBER(SEARCH($H7,Anforderungen!$F1103&amp;" "&amp;Anforderungen!$G1103)))),COUNT($T$6:$T1102)+1,""))</f>
        <v>1097</v>
      </c>
    </row>
    <row r="1104" customFormat="false" ht="15" hidden="false" customHeight="false" outlineLevel="0" collapsed="false">
      <c r="T1104" s="0" t="n">
        <f aca="false">IF(Anforderungen!$B1104="","",IF(AND(OR($B5="(alle)",Anforderungen!$K1104=$B5),OR($E5="(alle)",Anforderungen!$C1104=$E5),OR($H5="(alle)",Anforderungen!$E1104=$H5),OR($B7="(alle)",ISNUMBER(SEARCH($B7,Anforderungen!$J1104))),OR($E7="(alle)",ISNUMBER(SEARCH($E7,Anforderungen!$I1104))),OR($H7="",ISNUMBER(SEARCH($H7,Anforderungen!$F1104&amp;" "&amp;Anforderungen!$G1104)))),COUNT($T$6:$T1103)+1,""))</f>
        <v>1098</v>
      </c>
    </row>
    <row r="1105" customFormat="false" ht="15" hidden="false" customHeight="false" outlineLevel="0" collapsed="false">
      <c r="T1105" s="0" t="n">
        <f aca="false">IF(Anforderungen!$B1105="","",IF(AND(OR($B5="(alle)",Anforderungen!$K1105=$B5),OR($E5="(alle)",Anforderungen!$C1105=$E5),OR($H5="(alle)",Anforderungen!$E1105=$H5),OR($B7="(alle)",ISNUMBER(SEARCH($B7,Anforderungen!$J1105))),OR($E7="(alle)",ISNUMBER(SEARCH($E7,Anforderungen!$I1105))),OR($H7="",ISNUMBER(SEARCH($H7,Anforderungen!$F1105&amp;" "&amp;Anforderungen!$G1105)))),COUNT($T$6:$T1104)+1,""))</f>
        <v>1099</v>
      </c>
    </row>
    <row r="1106" customFormat="false" ht="15" hidden="false" customHeight="false" outlineLevel="0" collapsed="false">
      <c r="T1106" s="0" t="n">
        <f aca="false">IF(Anforderungen!$B1106="","",IF(AND(OR($B5="(alle)",Anforderungen!$K1106=$B5),OR($E5="(alle)",Anforderungen!$C1106=$E5),OR($H5="(alle)",Anforderungen!$E1106=$H5),OR($B7="(alle)",ISNUMBER(SEARCH($B7,Anforderungen!$J1106))),OR($E7="(alle)",ISNUMBER(SEARCH($E7,Anforderungen!$I1106))),OR($H7="",ISNUMBER(SEARCH($H7,Anforderungen!$F1106&amp;" "&amp;Anforderungen!$G1106)))),COUNT($T$6:$T1105)+1,""))</f>
        <v>1100</v>
      </c>
    </row>
    <row r="1107" customFormat="false" ht="15" hidden="false" customHeight="false" outlineLevel="0" collapsed="false">
      <c r="T1107" s="0" t="n">
        <f aca="false">IF(Anforderungen!$B1107="","",IF(AND(OR($B5="(alle)",Anforderungen!$K1107=$B5),OR($E5="(alle)",Anforderungen!$C1107=$E5),OR($H5="(alle)",Anforderungen!$E1107=$H5),OR($B7="(alle)",ISNUMBER(SEARCH($B7,Anforderungen!$J1107))),OR($E7="(alle)",ISNUMBER(SEARCH($E7,Anforderungen!$I1107))),OR($H7="",ISNUMBER(SEARCH($H7,Anforderungen!$F1107&amp;" "&amp;Anforderungen!$G1107)))),COUNT($T$6:$T1106)+1,""))</f>
        <v>1101</v>
      </c>
    </row>
    <row r="1108" customFormat="false" ht="15" hidden="false" customHeight="false" outlineLevel="0" collapsed="false">
      <c r="T1108" s="0" t="n">
        <f aca="false">IF(Anforderungen!$B1108="","",IF(AND(OR($B5="(alle)",Anforderungen!$K1108=$B5),OR($E5="(alle)",Anforderungen!$C1108=$E5),OR($H5="(alle)",Anforderungen!$E1108=$H5),OR($B7="(alle)",ISNUMBER(SEARCH($B7,Anforderungen!$J1108))),OR($E7="(alle)",ISNUMBER(SEARCH($E7,Anforderungen!$I1108))),OR($H7="",ISNUMBER(SEARCH($H7,Anforderungen!$F1108&amp;" "&amp;Anforderungen!$G1108)))),COUNT($T$6:$T1107)+1,""))</f>
        <v>1102</v>
      </c>
    </row>
    <row r="1109" customFormat="false" ht="15" hidden="false" customHeight="false" outlineLevel="0" collapsed="false">
      <c r="T1109" s="0" t="n">
        <f aca="false">IF(Anforderungen!$B1109="","",IF(AND(OR($B5="(alle)",Anforderungen!$K1109=$B5),OR($E5="(alle)",Anforderungen!$C1109=$E5),OR($H5="(alle)",Anforderungen!$E1109=$H5),OR($B7="(alle)",ISNUMBER(SEARCH($B7,Anforderungen!$J1109))),OR($E7="(alle)",ISNUMBER(SEARCH($E7,Anforderungen!$I1109))),OR($H7="",ISNUMBER(SEARCH($H7,Anforderungen!$F1109&amp;" "&amp;Anforderungen!$G1109)))),COUNT($T$6:$T1108)+1,""))</f>
        <v>1103</v>
      </c>
    </row>
    <row r="1110" customFormat="false" ht="15" hidden="false" customHeight="false" outlineLevel="0" collapsed="false">
      <c r="T1110" s="0" t="n">
        <f aca="false">IF(Anforderungen!$B1110="","",IF(AND(OR($B5="(alle)",Anforderungen!$K1110=$B5),OR($E5="(alle)",Anforderungen!$C1110=$E5),OR($H5="(alle)",Anforderungen!$E1110=$H5),OR($B7="(alle)",ISNUMBER(SEARCH($B7,Anforderungen!$J1110))),OR($E7="(alle)",ISNUMBER(SEARCH($E7,Anforderungen!$I1110))),OR($H7="",ISNUMBER(SEARCH($H7,Anforderungen!$F1110&amp;" "&amp;Anforderungen!$G1110)))),COUNT($T$6:$T1109)+1,""))</f>
        <v>1104</v>
      </c>
    </row>
    <row r="1111" customFormat="false" ht="15" hidden="false" customHeight="false" outlineLevel="0" collapsed="false">
      <c r="T1111" s="0" t="n">
        <f aca="false">IF(Anforderungen!$B1111="","",IF(AND(OR($B5="(alle)",Anforderungen!$K1111=$B5),OR($E5="(alle)",Anforderungen!$C1111=$E5),OR($H5="(alle)",Anforderungen!$E1111=$H5),OR($B7="(alle)",ISNUMBER(SEARCH($B7,Anforderungen!$J1111))),OR($E7="(alle)",ISNUMBER(SEARCH($E7,Anforderungen!$I1111))),OR($H7="",ISNUMBER(SEARCH($H7,Anforderungen!$F1111&amp;" "&amp;Anforderungen!$G1111)))),COUNT($T$6:$T1110)+1,""))</f>
        <v>1105</v>
      </c>
    </row>
    <row r="1112" customFormat="false" ht="15" hidden="false" customHeight="false" outlineLevel="0" collapsed="false">
      <c r="T1112" s="0" t="n">
        <f aca="false">IF(Anforderungen!$B1112="","",IF(AND(OR($B5="(alle)",Anforderungen!$K1112=$B5),OR($E5="(alle)",Anforderungen!$C1112=$E5),OR($H5="(alle)",Anforderungen!$E1112=$H5),OR($B7="(alle)",ISNUMBER(SEARCH($B7,Anforderungen!$J1112))),OR($E7="(alle)",ISNUMBER(SEARCH($E7,Anforderungen!$I1112))),OR($H7="",ISNUMBER(SEARCH($H7,Anforderungen!$F1112&amp;" "&amp;Anforderungen!$G1112)))),COUNT($T$6:$T1111)+1,""))</f>
        <v>1106</v>
      </c>
    </row>
    <row r="1113" customFormat="false" ht="15" hidden="false" customHeight="false" outlineLevel="0" collapsed="false">
      <c r="T1113" s="0" t="n">
        <f aca="false">IF(Anforderungen!$B1113="","",IF(AND(OR($B5="(alle)",Anforderungen!$K1113=$B5),OR($E5="(alle)",Anforderungen!$C1113=$E5),OR($H5="(alle)",Anforderungen!$E1113=$H5),OR($B7="(alle)",ISNUMBER(SEARCH($B7,Anforderungen!$J1113))),OR($E7="(alle)",ISNUMBER(SEARCH($E7,Anforderungen!$I1113))),OR($H7="",ISNUMBER(SEARCH($H7,Anforderungen!$F1113&amp;" "&amp;Anforderungen!$G1113)))),COUNT($T$6:$T1112)+1,""))</f>
        <v>1107</v>
      </c>
    </row>
    <row r="1114" customFormat="false" ht="15" hidden="false" customHeight="false" outlineLevel="0" collapsed="false">
      <c r="T1114" s="0" t="n">
        <f aca="false">IF(Anforderungen!$B1114="","",IF(AND(OR($B5="(alle)",Anforderungen!$K1114=$B5),OR($E5="(alle)",Anforderungen!$C1114=$E5),OR($H5="(alle)",Anforderungen!$E1114=$H5),OR($B7="(alle)",ISNUMBER(SEARCH($B7,Anforderungen!$J1114))),OR($E7="(alle)",ISNUMBER(SEARCH($E7,Anforderungen!$I1114))),OR($H7="",ISNUMBER(SEARCH($H7,Anforderungen!$F1114&amp;" "&amp;Anforderungen!$G1114)))),COUNT($T$6:$T1113)+1,""))</f>
        <v>1108</v>
      </c>
    </row>
    <row r="1115" customFormat="false" ht="15" hidden="false" customHeight="false" outlineLevel="0" collapsed="false">
      <c r="T1115" s="0" t="n">
        <f aca="false">IF(Anforderungen!$B1115="","",IF(AND(OR($B5="(alle)",Anforderungen!$K1115=$B5),OR($E5="(alle)",Anforderungen!$C1115=$E5),OR($H5="(alle)",Anforderungen!$E1115=$H5),OR($B7="(alle)",ISNUMBER(SEARCH($B7,Anforderungen!$J1115))),OR($E7="(alle)",ISNUMBER(SEARCH($E7,Anforderungen!$I1115))),OR($H7="",ISNUMBER(SEARCH($H7,Anforderungen!$F1115&amp;" "&amp;Anforderungen!$G1115)))),COUNT($T$6:$T1114)+1,""))</f>
        <v>1109</v>
      </c>
    </row>
    <row r="1116" customFormat="false" ht="15" hidden="false" customHeight="false" outlineLevel="0" collapsed="false">
      <c r="T1116" s="0" t="n">
        <f aca="false">IF(Anforderungen!$B1116="","",IF(AND(OR($B5="(alle)",Anforderungen!$K1116=$B5),OR($E5="(alle)",Anforderungen!$C1116=$E5),OR($H5="(alle)",Anforderungen!$E1116=$H5),OR($B7="(alle)",ISNUMBER(SEARCH($B7,Anforderungen!$J1116))),OR($E7="(alle)",ISNUMBER(SEARCH($E7,Anforderungen!$I1116))),OR($H7="",ISNUMBER(SEARCH($H7,Anforderungen!$F1116&amp;" "&amp;Anforderungen!$G1116)))),COUNT($T$6:$T1115)+1,""))</f>
        <v>1110</v>
      </c>
    </row>
    <row r="1117" customFormat="false" ht="15" hidden="false" customHeight="false" outlineLevel="0" collapsed="false">
      <c r="T1117" s="0" t="n">
        <f aca="false">IF(Anforderungen!$B1117="","",IF(AND(OR($B5="(alle)",Anforderungen!$K1117=$B5),OR($E5="(alle)",Anforderungen!$C1117=$E5),OR($H5="(alle)",Anforderungen!$E1117=$H5),OR($B7="(alle)",ISNUMBER(SEARCH($B7,Anforderungen!$J1117))),OR($E7="(alle)",ISNUMBER(SEARCH($E7,Anforderungen!$I1117))),OR($H7="",ISNUMBER(SEARCH($H7,Anforderungen!$F1117&amp;" "&amp;Anforderungen!$G1117)))),COUNT($T$6:$T1116)+1,""))</f>
        <v>1111</v>
      </c>
    </row>
    <row r="1118" customFormat="false" ht="15" hidden="false" customHeight="false" outlineLevel="0" collapsed="false">
      <c r="T1118" s="0" t="n">
        <f aca="false">IF(Anforderungen!$B1118="","",IF(AND(OR($B5="(alle)",Anforderungen!$K1118=$B5),OR($E5="(alle)",Anforderungen!$C1118=$E5),OR($H5="(alle)",Anforderungen!$E1118=$H5),OR($B7="(alle)",ISNUMBER(SEARCH($B7,Anforderungen!$J1118))),OR($E7="(alle)",ISNUMBER(SEARCH($E7,Anforderungen!$I1118))),OR($H7="",ISNUMBER(SEARCH($H7,Anforderungen!$F1118&amp;" "&amp;Anforderungen!$G1118)))),COUNT($T$6:$T1117)+1,""))</f>
        <v>1112</v>
      </c>
    </row>
    <row r="1119" customFormat="false" ht="15" hidden="false" customHeight="false" outlineLevel="0" collapsed="false">
      <c r="T1119" s="0" t="n">
        <f aca="false">IF(Anforderungen!$B1119="","",IF(AND(OR($B5="(alle)",Anforderungen!$K1119=$B5),OR($E5="(alle)",Anforderungen!$C1119=$E5),OR($H5="(alle)",Anforderungen!$E1119=$H5),OR($B7="(alle)",ISNUMBER(SEARCH($B7,Anforderungen!$J1119))),OR($E7="(alle)",ISNUMBER(SEARCH($E7,Anforderungen!$I1119))),OR($H7="",ISNUMBER(SEARCH($H7,Anforderungen!$F1119&amp;" "&amp;Anforderungen!$G1119)))),COUNT($T$6:$T1118)+1,""))</f>
        <v>1113</v>
      </c>
    </row>
    <row r="1120" customFormat="false" ht="15" hidden="false" customHeight="false" outlineLevel="0" collapsed="false">
      <c r="T1120" s="0" t="n">
        <f aca="false">IF(Anforderungen!$B1120="","",IF(AND(OR($B5="(alle)",Anforderungen!$K1120=$B5),OR($E5="(alle)",Anforderungen!$C1120=$E5),OR($H5="(alle)",Anforderungen!$E1120=$H5),OR($B7="(alle)",ISNUMBER(SEARCH($B7,Anforderungen!$J1120))),OR($E7="(alle)",ISNUMBER(SEARCH($E7,Anforderungen!$I1120))),OR($H7="",ISNUMBER(SEARCH($H7,Anforderungen!$F1120&amp;" "&amp;Anforderungen!$G1120)))),COUNT($T$6:$T1119)+1,""))</f>
        <v>1114</v>
      </c>
    </row>
    <row r="1121" customFormat="false" ht="15" hidden="false" customHeight="false" outlineLevel="0" collapsed="false">
      <c r="T1121" s="0" t="n">
        <f aca="false">IF(Anforderungen!$B1121="","",IF(AND(OR($B5="(alle)",Anforderungen!$K1121=$B5),OR($E5="(alle)",Anforderungen!$C1121=$E5),OR($H5="(alle)",Anforderungen!$E1121=$H5),OR($B7="(alle)",ISNUMBER(SEARCH($B7,Anforderungen!$J1121))),OR($E7="(alle)",ISNUMBER(SEARCH($E7,Anforderungen!$I1121))),OR($H7="",ISNUMBER(SEARCH($H7,Anforderungen!$F1121&amp;" "&amp;Anforderungen!$G1121)))),COUNT($T$6:$T1120)+1,""))</f>
        <v>1115</v>
      </c>
    </row>
    <row r="1122" customFormat="false" ht="15" hidden="false" customHeight="false" outlineLevel="0" collapsed="false">
      <c r="T1122" s="0" t="n">
        <f aca="false">IF(Anforderungen!$B1122="","",IF(AND(OR($B5="(alle)",Anforderungen!$K1122=$B5),OR($E5="(alle)",Anforderungen!$C1122=$E5),OR($H5="(alle)",Anforderungen!$E1122=$H5),OR($B7="(alle)",ISNUMBER(SEARCH($B7,Anforderungen!$J1122))),OR($E7="(alle)",ISNUMBER(SEARCH($E7,Anforderungen!$I1122))),OR($H7="",ISNUMBER(SEARCH($H7,Anforderungen!$F1122&amp;" "&amp;Anforderungen!$G1122)))),COUNT($T$6:$T1121)+1,""))</f>
        <v>1116</v>
      </c>
    </row>
    <row r="1123" customFormat="false" ht="15" hidden="false" customHeight="false" outlineLevel="0" collapsed="false">
      <c r="T1123" s="0" t="n">
        <f aca="false">IF(Anforderungen!$B1123="","",IF(AND(OR($B5="(alle)",Anforderungen!$K1123=$B5),OR($E5="(alle)",Anforderungen!$C1123=$E5),OR($H5="(alle)",Anforderungen!$E1123=$H5),OR($B7="(alle)",ISNUMBER(SEARCH($B7,Anforderungen!$J1123))),OR($E7="(alle)",ISNUMBER(SEARCH($E7,Anforderungen!$I1123))),OR($H7="",ISNUMBER(SEARCH($H7,Anforderungen!$F1123&amp;" "&amp;Anforderungen!$G1123)))),COUNT($T$6:$T1122)+1,""))</f>
        <v>1117</v>
      </c>
    </row>
    <row r="1124" customFormat="false" ht="15" hidden="false" customHeight="false" outlineLevel="0" collapsed="false">
      <c r="T1124" s="0" t="n">
        <f aca="false">IF(Anforderungen!$B1124="","",IF(AND(OR($B5="(alle)",Anforderungen!$K1124=$B5),OR($E5="(alle)",Anforderungen!$C1124=$E5),OR($H5="(alle)",Anforderungen!$E1124=$H5),OR($B7="(alle)",ISNUMBER(SEARCH($B7,Anforderungen!$J1124))),OR($E7="(alle)",ISNUMBER(SEARCH($E7,Anforderungen!$I1124))),OR($H7="",ISNUMBER(SEARCH($H7,Anforderungen!$F1124&amp;" "&amp;Anforderungen!$G1124)))),COUNT($T$6:$T1123)+1,""))</f>
        <v>1118</v>
      </c>
    </row>
    <row r="1125" customFormat="false" ht="15" hidden="false" customHeight="false" outlineLevel="0" collapsed="false">
      <c r="T1125" s="0" t="n">
        <f aca="false">IF(Anforderungen!$B1125="","",IF(AND(OR($B5="(alle)",Anforderungen!$K1125=$B5),OR($E5="(alle)",Anforderungen!$C1125=$E5),OR($H5="(alle)",Anforderungen!$E1125=$H5),OR($B7="(alle)",ISNUMBER(SEARCH($B7,Anforderungen!$J1125))),OR($E7="(alle)",ISNUMBER(SEARCH($E7,Anforderungen!$I1125))),OR($H7="",ISNUMBER(SEARCH($H7,Anforderungen!$F1125&amp;" "&amp;Anforderungen!$G1125)))),COUNT($T$6:$T1124)+1,""))</f>
        <v>1119</v>
      </c>
    </row>
    <row r="1126" customFormat="false" ht="15" hidden="false" customHeight="false" outlineLevel="0" collapsed="false">
      <c r="T1126" s="0" t="n">
        <f aca="false">IF(Anforderungen!$B1126="","",IF(AND(OR($B5="(alle)",Anforderungen!$K1126=$B5),OR($E5="(alle)",Anforderungen!$C1126=$E5),OR($H5="(alle)",Anforderungen!$E1126=$H5),OR($B7="(alle)",ISNUMBER(SEARCH($B7,Anforderungen!$J1126))),OR($E7="(alle)",ISNUMBER(SEARCH($E7,Anforderungen!$I1126))),OR($H7="",ISNUMBER(SEARCH($H7,Anforderungen!$F1126&amp;" "&amp;Anforderungen!$G1126)))),COUNT($T$6:$T1125)+1,""))</f>
        <v>1120</v>
      </c>
    </row>
    <row r="1127" customFormat="false" ht="15" hidden="false" customHeight="false" outlineLevel="0" collapsed="false">
      <c r="T1127" s="0" t="n">
        <f aca="false">IF(Anforderungen!$B1127="","",IF(AND(OR($B5="(alle)",Anforderungen!$K1127=$B5),OR($E5="(alle)",Anforderungen!$C1127=$E5),OR($H5="(alle)",Anforderungen!$E1127=$H5),OR($B7="(alle)",ISNUMBER(SEARCH($B7,Anforderungen!$J1127))),OR($E7="(alle)",ISNUMBER(SEARCH($E7,Anforderungen!$I1127))),OR($H7="",ISNUMBER(SEARCH($H7,Anforderungen!$F1127&amp;" "&amp;Anforderungen!$G1127)))),COUNT($T$6:$T1126)+1,""))</f>
        <v>1121</v>
      </c>
    </row>
    <row r="1128" customFormat="false" ht="15" hidden="false" customHeight="false" outlineLevel="0" collapsed="false">
      <c r="T1128" s="0" t="n">
        <f aca="false">IF(Anforderungen!$B1128="","",IF(AND(OR($B5="(alle)",Anforderungen!$K1128=$B5),OR($E5="(alle)",Anforderungen!$C1128=$E5),OR($H5="(alle)",Anforderungen!$E1128=$H5),OR($B7="(alle)",ISNUMBER(SEARCH($B7,Anforderungen!$J1128))),OR($E7="(alle)",ISNUMBER(SEARCH($E7,Anforderungen!$I1128))),OR($H7="",ISNUMBER(SEARCH($H7,Anforderungen!$F1128&amp;" "&amp;Anforderungen!$G1128)))),COUNT($T$6:$T1127)+1,""))</f>
        <v>1122</v>
      </c>
    </row>
    <row r="1129" customFormat="false" ht="15" hidden="false" customHeight="false" outlineLevel="0" collapsed="false">
      <c r="T1129" s="0" t="n">
        <f aca="false">IF(Anforderungen!$B1129="","",IF(AND(OR($B5="(alle)",Anforderungen!$K1129=$B5),OR($E5="(alle)",Anforderungen!$C1129=$E5),OR($H5="(alle)",Anforderungen!$E1129=$H5),OR($B7="(alle)",ISNUMBER(SEARCH($B7,Anforderungen!$J1129))),OR($E7="(alle)",ISNUMBER(SEARCH($E7,Anforderungen!$I1129))),OR($H7="",ISNUMBER(SEARCH($H7,Anforderungen!$F1129&amp;" "&amp;Anforderungen!$G1129)))),COUNT($T$6:$T1128)+1,""))</f>
        <v>1123</v>
      </c>
    </row>
    <row r="1130" customFormat="false" ht="15" hidden="false" customHeight="false" outlineLevel="0" collapsed="false">
      <c r="T1130" s="0" t="n">
        <f aca="false">IF(Anforderungen!$B1130="","",IF(AND(OR($B5="(alle)",Anforderungen!$K1130=$B5),OR($E5="(alle)",Anforderungen!$C1130=$E5),OR($H5="(alle)",Anforderungen!$E1130=$H5),OR($B7="(alle)",ISNUMBER(SEARCH($B7,Anforderungen!$J1130))),OR($E7="(alle)",ISNUMBER(SEARCH($E7,Anforderungen!$I1130))),OR($H7="",ISNUMBER(SEARCH($H7,Anforderungen!$F1130&amp;" "&amp;Anforderungen!$G1130)))),COUNT($T$6:$T1129)+1,""))</f>
        <v>1124</v>
      </c>
    </row>
    <row r="1131" customFormat="false" ht="15" hidden="false" customHeight="false" outlineLevel="0" collapsed="false">
      <c r="T1131" s="0" t="n">
        <f aca="false">IF(Anforderungen!$B1131="","",IF(AND(OR($B5="(alle)",Anforderungen!$K1131=$B5),OR($E5="(alle)",Anforderungen!$C1131=$E5),OR($H5="(alle)",Anforderungen!$E1131=$H5),OR($B7="(alle)",ISNUMBER(SEARCH($B7,Anforderungen!$J1131))),OR($E7="(alle)",ISNUMBER(SEARCH($E7,Anforderungen!$I1131))),OR($H7="",ISNUMBER(SEARCH($H7,Anforderungen!$F1131&amp;" "&amp;Anforderungen!$G1131)))),COUNT($T$6:$T1130)+1,""))</f>
        <v>1125</v>
      </c>
    </row>
    <row r="1132" customFormat="false" ht="15" hidden="false" customHeight="false" outlineLevel="0" collapsed="false">
      <c r="T1132" s="0" t="n">
        <f aca="false">IF(Anforderungen!$B1132="","",IF(AND(OR($B5="(alle)",Anforderungen!$K1132=$B5),OR($E5="(alle)",Anforderungen!$C1132=$E5),OR($H5="(alle)",Anforderungen!$E1132=$H5),OR($B7="(alle)",ISNUMBER(SEARCH($B7,Anforderungen!$J1132))),OR($E7="(alle)",ISNUMBER(SEARCH($E7,Anforderungen!$I1132))),OR($H7="",ISNUMBER(SEARCH($H7,Anforderungen!$F1132&amp;" "&amp;Anforderungen!$G1132)))),COUNT($T$6:$T1131)+1,""))</f>
        <v>1126</v>
      </c>
    </row>
    <row r="1133" customFormat="false" ht="15" hidden="false" customHeight="false" outlineLevel="0" collapsed="false">
      <c r="T1133" s="0" t="n">
        <f aca="false">IF(Anforderungen!$B1133="","",IF(AND(OR($B5="(alle)",Anforderungen!$K1133=$B5),OR($E5="(alle)",Anforderungen!$C1133=$E5),OR($H5="(alle)",Anforderungen!$E1133=$H5),OR($B7="(alle)",ISNUMBER(SEARCH($B7,Anforderungen!$J1133))),OR($E7="(alle)",ISNUMBER(SEARCH($E7,Anforderungen!$I1133))),OR($H7="",ISNUMBER(SEARCH($H7,Anforderungen!$F1133&amp;" "&amp;Anforderungen!$G1133)))),COUNT($T$6:$T1132)+1,""))</f>
        <v>1127</v>
      </c>
    </row>
    <row r="1134" customFormat="false" ht="15" hidden="false" customHeight="false" outlineLevel="0" collapsed="false">
      <c r="T1134" s="0" t="n">
        <f aca="false">IF(Anforderungen!$B1134="","",IF(AND(OR($B5="(alle)",Anforderungen!$K1134=$B5),OR($E5="(alle)",Anforderungen!$C1134=$E5),OR($H5="(alle)",Anforderungen!$E1134=$H5),OR($B7="(alle)",ISNUMBER(SEARCH($B7,Anforderungen!$J1134))),OR($E7="(alle)",ISNUMBER(SEARCH($E7,Anforderungen!$I1134))),OR($H7="",ISNUMBER(SEARCH($H7,Anforderungen!$F1134&amp;" "&amp;Anforderungen!$G1134)))),COUNT($T$6:$T1133)+1,""))</f>
        <v>1128</v>
      </c>
    </row>
    <row r="1135" customFormat="false" ht="15" hidden="false" customHeight="false" outlineLevel="0" collapsed="false">
      <c r="T1135" s="0" t="n">
        <f aca="false">IF(Anforderungen!$B1135="","",IF(AND(OR($B5="(alle)",Anforderungen!$K1135=$B5),OR($E5="(alle)",Anforderungen!$C1135=$E5),OR($H5="(alle)",Anforderungen!$E1135=$H5),OR($B7="(alle)",ISNUMBER(SEARCH($B7,Anforderungen!$J1135))),OR($E7="(alle)",ISNUMBER(SEARCH($E7,Anforderungen!$I1135))),OR($H7="",ISNUMBER(SEARCH($H7,Anforderungen!$F1135&amp;" "&amp;Anforderungen!$G1135)))),COUNT($T$6:$T1134)+1,""))</f>
        <v>1129</v>
      </c>
    </row>
    <row r="1136" customFormat="false" ht="15" hidden="false" customHeight="false" outlineLevel="0" collapsed="false">
      <c r="T1136" s="0" t="n">
        <f aca="false">IF(Anforderungen!$B1136="","",IF(AND(OR($B5="(alle)",Anforderungen!$K1136=$B5),OR($E5="(alle)",Anforderungen!$C1136=$E5),OR($H5="(alle)",Anforderungen!$E1136=$H5),OR($B7="(alle)",ISNUMBER(SEARCH($B7,Anforderungen!$J1136))),OR($E7="(alle)",ISNUMBER(SEARCH($E7,Anforderungen!$I1136))),OR($H7="",ISNUMBER(SEARCH($H7,Anforderungen!$F1136&amp;" "&amp;Anforderungen!$G1136)))),COUNT($T$6:$T1135)+1,""))</f>
        <v>1130</v>
      </c>
    </row>
    <row r="1137" customFormat="false" ht="15" hidden="false" customHeight="false" outlineLevel="0" collapsed="false">
      <c r="T1137" s="0" t="n">
        <f aca="false">IF(Anforderungen!$B1137="","",IF(AND(OR($B5="(alle)",Anforderungen!$K1137=$B5),OR($E5="(alle)",Anforderungen!$C1137=$E5),OR($H5="(alle)",Anforderungen!$E1137=$H5),OR($B7="(alle)",ISNUMBER(SEARCH($B7,Anforderungen!$J1137))),OR($E7="(alle)",ISNUMBER(SEARCH($E7,Anforderungen!$I1137))),OR($H7="",ISNUMBER(SEARCH($H7,Anforderungen!$F1137&amp;" "&amp;Anforderungen!$G1137)))),COUNT($T$6:$T1136)+1,""))</f>
        <v>1131</v>
      </c>
    </row>
    <row r="1138" customFormat="false" ht="15" hidden="false" customHeight="false" outlineLevel="0" collapsed="false">
      <c r="T1138" s="0" t="n">
        <f aca="false">IF(Anforderungen!$B1138="","",IF(AND(OR($B5="(alle)",Anforderungen!$K1138=$B5),OR($E5="(alle)",Anforderungen!$C1138=$E5),OR($H5="(alle)",Anforderungen!$E1138=$H5),OR($B7="(alle)",ISNUMBER(SEARCH($B7,Anforderungen!$J1138))),OR($E7="(alle)",ISNUMBER(SEARCH($E7,Anforderungen!$I1138))),OR($H7="",ISNUMBER(SEARCH($H7,Anforderungen!$F1138&amp;" "&amp;Anforderungen!$G1138)))),COUNT($T$6:$T1137)+1,""))</f>
        <v>1132</v>
      </c>
    </row>
    <row r="1139" customFormat="false" ht="15" hidden="false" customHeight="false" outlineLevel="0" collapsed="false">
      <c r="T1139" s="0" t="n">
        <f aca="false">IF(Anforderungen!$B1139="","",IF(AND(OR($B5="(alle)",Anforderungen!$K1139=$B5),OR($E5="(alle)",Anforderungen!$C1139=$E5),OR($H5="(alle)",Anforderungen!$E1139=$H5),OR($B7="(alle)",ISNUMBER(SEARCH($B7,Anforderungen!$J1139))),OR($E7="(alle)",ISNUMBER(SEARCH($E7,Anforderungen!$I1139))),OR($H7="",ISNUMBER(SEARCH($H7,Anforderungen!$F1139&amp;" "&amp;Anforderungen!$G1139)))),COUNT($T$6:$T1138)+1,""))</f>
        <v>1133</v>
      </c>
    </row>
    <row r="1140" customFormat="false" ht="15" hidden="false" customHeight="false" outlineLevel="0" collapsed="false">
      <c r="T1140" s="0" t="n">
        <f aca="false">IF(Anforderungen!$B1140="","",IF(AND(OR($B5="(alle)",Anforderungen!$K1140=$B5),OR($E5="(alle)",Anforderungen!$C1140=$E5),OR($H5="(alle)",Anforderungen!$E1140=$H5),OR($B7="(alle)",ISNUMBER(SEARCH($B7,Anforderungen!$J1140))),OR($E7="(alle)",ISNUMBER(SEARCH($E7,Anforderungen!$I1140))),OR($H7="",ISNUMBER(SEARCH($H7,Anforderungen!$F1140&amp;" "&amp;Anforderungen!$G1140)))),COUNT($T$6:$T1139)+1,""))</f>
        <v>1134</v>
      </c>
    </row>
    <row r="1141" customFormat="false" ht="15" hidden="false" customHeight="false" outlineLevel="0" collapsed="false">
      <c r="T1141" s="0" t="n">
        <f aca="false">IF(Anforderungen!$B1141="","",IF(AND(OR($B5="(alle)",Anforderungen!$K1141=$B5),OR($E5="(alle)",Anforderungen!$C1141=$E5),OR($H5="(alle)",Anforderungen!$E1141=$H5),OR($B7="(alle)",ISNUMBER(SEARCH($B7,Anforderungen!$J1141))),OR($E7="(alle)",ISNUMBER(SEARCH($E7,Anforderungen!$I1141))),OR($H7="",ISNUMBER(SEARCH($H7,Anforderungen!$F1141&amp;" "&amp;Anforderungen!$G1141)))),COUNT($T$6:$T1140)+1,""))</f>
        <v>1135</v>
      </c>
    </row>
    <row r="1142" customFormat="false" ht="15" hidden="false" customHeight="false" outlineLevel="0" collapsed="false">
      <c r="T1142" s="0" t="n">
        <f aca="false">IF(Anforderungen!$B1142="","",IF(AND(OR($B5="(alle)",Anforderungen!$K1142=$B5),OR($E5="(alle)",Anforderungen!$C1142=$E5),OR($H5="(alle)",Anforderungen!$E1142=$H5),OR($B7="(alle)",ISNUMBER(SEARCH($B7,Anforderungen!$J1142))),OR($E7="(alle)",ISNUMBER(SEARCH($E7,Anforderungen!$I1142))),OR($H7="",ISNUMBER(SEARCH($H7,Anforderungen!$F1142&amp;" "&amp;Anforderungen!$G1142)))),COUNT($T$6:$T1141)+1,""))</f>
        <v>1136</v>
      </c>
    </row>
    <row r="1143" customFormat="false" ht="15" hidden="false" customHeight="false" outlineLevel="0" collapsed="false">
      <c r="T1143" s="0" t="n">
        <f aca="false">IF(Anforderungen!$B1143="","",IF(AND(OR($B5="(alle)",Anforderungen!$K1143=$B5),OR($E5="(alle)",Anforderungen!$C1143=$E5),OR($H5="(alle)",Anforderungen!$E1143=$H5),OR($B7="(alle)",ISNUMBER(SEARCH($B7,Anforderungen!$J1143))),OR($E7="(alle)",ISNUMBER(SEARCH($E7,Anforderungen!$I1143))),OR($H7="",ISNUMBER(SEARCH($H7,Anforderungen!$F1143&amp;" "&amp;Anforderungen!$G1143)))),COUNT($T$6:$T1142)+1,""))</f>
        <v>1137</v>
      </c>
    </row>
    <row r="1144" customFormat="false" ht="15" hidden="false" customHeight="false" outlineLevel="0" collapsed="false">
      <c r="T1144" s="0" t="n">
        <f aca="false">IF(Anforderungen!$B1144="","",IF(AND(OR($B5="(alle)",Anforderungen!$K1144=$B5),OR($E5="(alle)",Anforderungen!$C1144=$E5),OR($H5="(alle)",Anforderungen!$E1144=$H5),OR($B7="(alle)",ISNUMBER(SEARCH($B7,Anforderungen!$J1144))),OR($E7="(alle)",ISNUMBER(SEARCH($E7,Anforderungen!$I1144))),OR($H7="",ISNUMBER(SEARCH($H7,Anforderungen!$F1144&amp;" "&amp;Anforderungen!$G1144)))),COUNT($T$6:$T1143)+1,""))</f>
        <v>1138</v>
      </c>
    </row>
    <row r="1145" customFormat="false" ht="15" hidden="false" customHeight="false" outlineLevel="0" collapsed="false">
      <c r="T1145" s="0" t="n">
        <f aca="false">IF(Anforderungen!$B1145="","",IF(AND(OR($B5="(alle)",Anforderungen!$K1145=$B5),OR($E5="(alle)",Anforderungen!$C1145=$E5),OR($H5="(alle)",Anforderungen!$E1145=$H5),OR($B7="(alle)",ISNUMBER(SEARCH($B7,Anforderungen!$J1145))),OR($E7="(alle)",ISNUMBER(SEARCH($E7,Anforderungen!$I1145))),OR($H7="",ISNUMBER(SEARCH($H7,Anforderungen!$F1145&amp;" "&amp;Anforderungen!$G1145)))),COUNT($T$6:$T1144)+1,""))</f>
        <v>1139</v>
      </c>
    </row>
    <row r="1146" customFormat="false" ht="15" hidden="false" customHeight="false" outlineLevel="0" collapsed="false">
      <c r="T1146" s="0" t="n">
        <f aca="false">IF(Anforderungen!$B1146="","",IF(AND(OR($B5="(alle)",Anforderungen!$K1146=$B5),OR($E5="(alle)",Anforderungen!$C1146=$E5),OR($H5="(alle)",Anforderungen!$E1146=$H5),OR($B7="(alle)",ISNUMBER(SEARCH($B7,Anforderungen!$J1146))),OR($E7="(alle)",ISNUMBER(SEARCH($E7,Anforderungen!$I1146))),OR($H7="",ISNUMBER(SEARCH($H7,Anforderungen!$F1146&amp;" "&amp;Anforderungen!$G1146)))),COUNT($T$6:$T1145)+1,""))</f>
        <v>1140</v>
      </c>
    </row>
    <row r="1147" customFormat="false" ht="15" hidden="false" customHeight="false" outlineLevel="0" collapsed="false">
      <c r="T1147" s="0" t="n">
        <f aca="false">IF(Anforderungen!$B1147="","",IF(AND(OR($B5="(alle)",Anforderungen!$K1147=$B5),OR($E5="(alle)",Anforderungen!$C1147=$E5),OR($H5="(alle)",Anforderungen!$E1147=$H5),OR($B7="(alle)",ISNUMBER(SEARCH($B7,Anforderungen!$J1147))),OR($E7="(alle)",ISNUMBER(SEARCH($E7,Anforderungen!$I1147))),OR($H7="",ISNUMBER(SEARCH($H7,Anforderungen!$F1147&amp;" "&amp;Anforderungen!$G1147)))),COUNT($T$6:$T1146)+1,""))</f>
        <v>1141</v>
      </c>
    </row>
    <row r="1148" customFormat="false" ht="15" hidden="false" customHeight="false" outlineLevel="0" collapsed="false">
      <c r="T1148" s="0" t="n">
        <f aca="false">IF(Anforderungen!$B1148="","",IF(AND(OR($B5="(alle)",Anforderungen!$K1148=$B5),OR($E5="(alle)",Anforderungen!$C1148=$E5),OR($H5="(alle)",Anforderungen!$E1148=$H5),OR($B7="(alle)",ISNUMBER(SEARCH($B7,Anforderungen!$J1148))),OR($E7="(alle)",ISNUMBER(SEARCH($E7,Anforderungen!$I1148))),OR($H7="",ISNUMBER(SEARCH($H7,Anforderungen!$F1148&amp;" "&amp;Anforderungen!$G1148)))),COUNT($T$6:$T1147)+1,""))</f>
        <v>1142</v>
      </c>
    </row>
    <row r="1149" customFormat="false" ht="15" hidden="false" customHeight="false" outlineLevel="0" collapsed="false">
      <c r="T1149" s="0" t="n">
        <f aca="false">IF(Anforderungen!$B1149="","",IF(AND(OR($B5="(alle)",Anforderungen!$K1149=$B5),OR($E5="(alle)",Anforderungen!$C1149=$E5),OR($H5="(alle)",Anforderungen!$E1149=$H5),OR($B7="(alle)",ISNUMBER(SEARCH($B7,Anforderungen!$J1149))),OR($E7="(alle)",ISNUMBER(SEARCH($E7,Anforderungen!$I1149))),OR($H7="",ISNUMBER(SEARCH($H7,Anforderungen!$F1149&amp;" "&amp;Anforderungen!$G1149)))),COUNT($T$6:$T1148)+1,""))</f>
        <v>1143</v>
      </c>
    </row>
    <row r="1150" customFormat="false" ht="15" hidden="false" customHeight="false" outlineLevel="0" collapsed="false">
      <c r="T1150" s="0" t="n">
        <f aca="false">IF(Anforderungen!$B1150="","",IF(AND(OR($B5="(alle)",Anforderungen!$K1150=$B5),OR($E5="(alle)",Anforderungen!$C1150=$E5),OR($H5="(alle)",Anforderungen!$E1150=$H5),OR($B7="(alle)",ISNUMBER(SEARCH($B7,Anforderungen!$J1150))),OR($E7="(alle)",ISNUMBER(SEARCH($E7,Anforderungen!$I1150))),OR($H7="",ISNUMBER(SEARCH($H7,Anforderungen!$F1150&amp;" "&amp;Anforderungen!$G1150)))),COUNT($T$6:$T1149)+1,""))</f>
        <v>1144</v>
      </c>
    </row>
    <row r="1151" customFormat="false" ht="15" hidden="false" customHeight="false" outlineLevel="0" collapsed="false">
      <c r="T1151" s="0" t="n">
        <f aca="false">IF(Anforderungen!$B1151="","",IF(AND(OR($B5="(alle)",Anforderungen!$K1151=$B5),OR($E5="(alle)",Anforderungen!$C1151=$E5),OR($H5="(alle)",Anforderungen!$E1151=$H5),OR($B7="(alle)",ISNUMBER(SEARCH($B7,Anforderungen!$J1151))),OR($E7="(alle)",ISNUMBER(SEARCH($E7,Anforderungen!$I1151))),OR($H7="",ISNUMBER(SEARCH($H7,Anforderungen!$F1151&amp;" "&amp;Anforderungen!$G1151)))),COUNT($T$6:$T1150)+1,""))</f>
        <v>1145</v>
      </c>
    </row>
    <row r="1152" customFormat="false" ht="15" hidden="false" customHeight="false" outlineLevel="0" collapsed="false">
      <c r="T1152" s="0" t="n">
        <f aca="false">IF(Anforderungen!$B1152="","",IF(AND(OR($B5="(alle)",Anforderungen!$K1152=$B5),OR($E5="(alle)",Anforderungen!$C1152=$E5),OR($H5="(alle)",Anforderungen!$E1152=$H5),OR($B7="(alle)",ISNUMBER(SEARCH($B7,Anforderungen!$J1152))),OR($E7="(alle)",ISNUMBER(SEARCH($E7,Anforderungen!$I1152))),OR($H7="",ISNUMBER(SEARCH($H7,Anforderungen!$F1152&amp;" "&amp;Anforderungen!$G1152)))),COUNT($T$6:$T1151)+1,""))</f>
        <v>1146</v>
      </c>
    </row>
    <row r="1153" customFormat="false" ht="15" hidden="false" customHeight="false" outlineLevel="0" collapsed="false">
      <c r="T1153" s="0" t="n">
        <f aca="false">IF(Anforderungen!$B1153="","",IF(AND(OR($B5="(alle)",Anforderungen!$K1153=$B5),OR($E5="(alle)",Anforderungen!$C1153=$E5),OR($H5="(alle)",Anforderungen!$E1153=$H5),OR($B7="(alle)",ISNUMBER(SEARCH($B7,Anforderungen!$J1153))),OR($E7="(alle)",ISNUMBER(SEARCH($E7,Anforderungen!$I1153))),OR($H7="",ISNUMBER(SEARCH($H7,Anforderungen!$F1153&amp;" "&amp;Anforderungen!$G1153)))),COUNT($T$6:$T1152)+1,""))</f>
        <v>1147</v>
      </c>
    </row>
    <row r="1154" customFormat="false" ht="15" hidden="false" customHeight="false" outlineLevel="0" collapsed="false">
      <c r="T1154" s="0" t="n">
        <f aca="false">IF(Anforderungen!$B1154="","",IF(AND(OR($B5="(alle)",Anforderungen!$K1154=$B5),OR($E5="(alle)",Anforderungen!$C1154=$E5),OR($H5="(alle)",Anforderungen!$E1154=$H5),OR($B7="(alle)",ISNUMBER(SEARCH($B7,Anforderungen!$J1154))),OR($E7="(alle)",ISNUMBER(SEARCH($E7,Anforderungen!$I1154))),OR($H7="",ISNUMBER(SEARCH($H7,Anforderungen!$F1154&amp;" "&amp;Anforderungen!$G1154)))),COUNT($T$6:$T1153)+1,""))</f>
        <v>1148</v>
      </c>
    </row>
    <row r="1155" customFormat="false" ht="15" hidden="false" customHeight="false" outlineLevel="0" collapsed="false">
      <c r="T1155" s="0" t="n">
        <f aca="false">IF(Anforderungen!$B1155="","",IF(AND(OR($B5="(alle)",Anforderungen!$K1155=$B5),OR($E5="(alle)",Anforderungen!$C1155=$E5),OR($H5="(alle)",Anforderungen!$E1155=$H5),OR($B7="(alle)",ISNUMBER(SEARCH($B7,Anforderungen!$J1155))),OR($E7="(alle)",ISNUMBER(SEARCH($E7,Anforderungen!$I1155))),OR($H7="",ISNUMBER(SEARCH($H7,Anforderungen!$F1155&amp;" "&amp;Anforderungen!$G1155)))),COUNT($T$6:$T1154)+1,""))</f>
        <v>1149</v>
      </c>
    </row>
    <row r="1156" customFormat="false" ht="15" hidden="false" customHeight="false" outlineLevel="0" collapsed="false">
      <c r="T1156" s="0" t="n">
        <f aca="false">IF(Anforderungen!$B1156="","",IF(AND(OR($B5="(alle)",Anforderungen!$K1156=$B5),OR($E5="(alle)",Anforderungen!$C1156=$E5),OR($H5="(alle)",Anforderungen!$E1156=$H5),OR($B7="(alle)",ISNUMBER(SEARCH($B7,Anforderungen!$J1156))),OR($E7="(alle)",ISNUMBER(SEARCH($E7,Anforderungen!$I1156))),OR($H7="",ISNUMBER(SEARCH($H7,Anforderungen!$F1156&amp;" "&amp;Anforderungen!$G1156)))),COUNT($T$6:$T1155)+1,""))</f>
        <v>1150</v>
      </c>
    </row>
    <row r="1157" customFormat="false" ht="15" hidden="false" customHeight="false" outlineLevel="0" collapsed="false">
      <c r="T1157" s="0" t="n">
        <f aca="false">IF(Anforderungen!$B1157="","",IF(AND(OR($B5="(alle)",Anforderungen!$K1157=$B5),OR($E5="(alle)",Anforderungen!$C1157=$E5),OR($H5="(alle)",Anforderungen!$E1157=$H5),OR($B7="(alle)",ISNUMBER(SEARCH($B7,Anforderungen!$J1157))),OR($E7="(alle)",ISNUMBER(SEARCH($E7,Anforderungen!$I1157))),OR($H7="",ISNUMBER(SEARCH($H7,Anforderungen!$F1157&amp;" "&amp;Anforderungen!$G1157)))),COUNT($T$6:$T1156)+1,""))</f>
        <v>1151</v>
      </c>
    </row>
    <row r="1158" customFormat="false" ht="15" hidden="false" customHeight="false" outlineLevel="0" collapsed="false">
      <c r="T1158" s="0" t="n">
        <f aca="false">IF(Anforderungen!$B1158="","",IF(AND(OR($B5="(alle)",Anforderungen!$K1158=$B5),OR($E5="(alle)",Anforderungen!$C1158=$E5),OR($H5="(alle)",Anforderungen!$E1158=$H5),OR($B7="(alle)",ISNUMBER(SEARCH($B7,Anforderungen!$J1158))),OR($E7="(alle)",ISNUMBER(SEARCH($E7,Anforderungen!$I1158))),OR($H7="",ISNUMBER(SEARCH($H7,Anforderungen!$F1158&amp;" "&amp;Anforderungen!$G1158)))),COUNT($T$6:$T1157)+1,""))</f>
        <v>1152</v>
      </c>
    </row>
    <row r="1159" customFormat="false" ht="15" hidden="false" customHeight="false" outlineLevel="0" collapsed="false">
      <c r="T1159" s="0" t="n">
        <f aca="false">IF(Anforderungen!$B1159="","",IF(AND(OR($B5="(alle)",Anforderungen!$K1159=$B5),OR($E5="(alle)",Anforderungen!$C1159=$E5),OR($H5="(alle)",Anforderungen!$E1159=$H5),OR($B7="(alle)",ISNUMBER(SEARCH($B7,Anforderungen!$J1159))),OR($E7="(alle)",ISNUMBER(SEARCH($E7,Anforderungen!$I1159))),OR($H7="",ISNUMBER(SEARCH($H7,Anforderungen!$F1159&amp;" "&amp;Anforderungen!$G1159)))),COUNT($T$6:$T1158)+1,""))</f>
        <v>1153</v>
      </c>
    </row>
    <row r="1160" customFormat="false" ht="15" hidden="false" customHeight="false" outlineLevel="0" collapsed="false">
      <c r="T1160" s="0" t="n">
        <f aca="false">IF(Anforderungen!$B1160="","",IF(AND(OR($B5="(alle)",Anforderungen!$K1160=$B5),OR($E5="(alle)",Anforderungen!$C1160=$E5),OR($H5="(alle)",Anforderungen!$E1160=$H5),OR($B7="(alle)",ISNUMBER(SEARCH($B7,Anforderungen!$J1160))),OR($E7="(alle)",ISNUMBER(SEARCH($E7,Anforderungen!$I1160))),OR($H7="",ISNUMBER(SEARCH($H7,Anforderungen!$F1160&amp;" "&amp;Anforderungen!$G1160)))),COUNT($T$6:$T1159)+1,""))</f>
        <v>1154</v>
      </c>
    </row>
    <row r="1161" customFormat="false" ht="15" hidden="false" customHeight="false" outlineLevel="0" collapsed="false">
      <c r="T1161" s="0" t="n">
        <f aca="false">IF(Anforderungen!$B1161="","",IF(AND(OR($B5="(alle)",Anforderungen!$K1161=$B5),OR($E5="(alle)",Anforderungen!$C1161=$E5),OR($H5="(alle)",Anforderungen!$E1161=$H5),OR($B7="(alle)",ISNUMBER(SEARCH($B7,Anforderungen!$J1161))),OR($E7="(alle)",ISNUMBER(SEARCH($E7,Anforderungen!$I1161))),OR($H7="",ISNUMBER(SEARCH($H7,Anforderungen!$F1161&amp;" "&amp;Anforderungen!$G1161)))),COUNT($T$6:$T1160)+1,""))</f>
        <v>1155</v>
      </c>
    </row>
    <row r="1162" customFormat="false" ht="15" hidden="false" customHeight="false" outlineLevel="0" collapsed="false">
      <c r="T1162" s="0" t="n">
        <f aca="false">IF(Anforderungen!$B1162="","",IF(AND(OR($B5="(alle)",Anforderungen!$K1162=$B5),OR($E5="(alle)",Anforderungen!$C1162=$E5),OR($H5="(alle)",Anforderungen!$E1162=$H5),OR($B7="(alle)",ISNUMBER(SEARCH($B7,Anforderungen!$J1162))),OR($E7="(alle)",ISNUMBER(SEARCH($E7,Anforderungen!$I1162))),OR($H7="",ISNUMBER(SEARCH($H7,Anforderungen!$F1162&amp;" "&amp;Anforderungen!$G1162)))),COUNT($T$6:$T1161)+1,""))</f>
        <v>1156</v>
      </c>
    </row>
    <row r="1163" customFormat="false" ht="15" hidden="false" customHeight="false" outlineLevel="0" collapsed="false">
      <c r="T1163" s="0" t="n">
        <f aca="false">IF(Anforderungen!$B1163="","",IF(AND(OR($B5="(alle)",Anforderungen!$K1163=$B5),OR($E5="(alle)",Anforderungen!$C1163=$E5),OR($H5="(alle)",Anforderungen!$E1163=$H5),OR($B7="(alle)",ISNUMBER(SEARCH($B7,Anforderungen!$J1163))),OR($E7="(alle)",ISNUMBER(SEARCH($E7,Anforderungen!$I1163))),OR($H7="",ISNUMBER(SEARCH($H7,Anforderungen!$F1163&amp;" "&amp;Anforderungen!$G1163)))),COUNT($T$6:$T1162)+1,""))</f>
        <v>1157</v>
      </c>
    </row>
    <row r="1164" customFormat="false" ht="15" hidden="false" customHeight="false" outlineLevel="0" collapsed="false">
      <c r="T1164" s="0" t="n">
        <f aca="false">IF(Anforderungen!$B1164="","",IF(AND(OR($B5="(alle)",Anforderungen!$K1164=$B5),OR($E5="(alle)",Anforderungen!$C1164=$E5),OR($H5="(alle)",Anforderungen!$E1164=$H5),OR($B7="(alle)",ISNUMBER(SEARCH($B7,Anforderungen!$J1164))),OR($E7="(alle)",ISNUMBER(SEARCH($E7,Anforderungen!$I1164))),OR($H7="",ISNUMBER(SEARCH($H7,Anforderungen!$F1164&amp;" "&amp;Anforderungen!$G1164)))),COUNT($T$6:$T1163)+1,""))</f>
        <v>1158</v>
      </c>
    </row>
    <row r="1165" customFormat="false" ht="15" hidden="false" customHeight="false" outlineLevel="0" collapsed="false">
      <c r="T1165" s="0" t="n">
        <f aca="false">IF(Anforderungen!$B1165="","",IF(AND(OR($B5="(alle)",Anforderungen!$K1165=$B5),OR($E5="(alle)",Anforderungen!$C1165=$E5),OR($H5="(alle)",Anforderungen!$E1165=$H5),OR($B7="(alle)",ISNUMBER(SEARCH($B7,Anforderungen!$J1165))),OR($E7="(alle)",ISNUMBER(SEARCH($E7,Anforderungen!$I1165))),OR($H7="",ISNUMBER(SEARCH($H7,Anforderungen!$F1165&amp;" "&amp;Anforderungen!$G1165)))),COUNT($T$6:$T1164)+1,""))</f>
        <v>1159</v>
      </c>
    </row>
    <row r="1166" customFormat="false" ht="15" hidden="false" customHeight="false" outlineLevel="0" collapsed="false">
      <c r="T1166" s="0" t="n">
        <f aca="false">IF(Anforderungen!$B1166="","",IF(AND(OR($B5="(alle)",Anforderungen!$K1166=$B5),OR($E5="(alle)",Anforderungen!$C1166=$E5),OR($H5="(alle)",Anforderungen!$E1166=$H5),OR($B7="(alle)",ISNUMBER(SEARCH($B7,Anforderungen!$J1166))),OR($E7="(alle)",ISNUMBER(SEARCH($E7,Anforderungen!$I1166))),OR($H7="",ISNUMBER(SEARCH($H7,Anforderungen!$F1166&amp;" "&amp;Anforderungen!$G1166)))),COUNT($T$6:$T1165)+1,""))</f>
        <v>1160</v>
      </c>
    </row>
    <row r="1167" customFormat="false" ht="15" hidden="false" customHeight="false" outlineLevel="0" collapsed="false">
      <c r="T1167" s="0" t="n">
        <f aca="false">IF(Anforderungen!$B1167="","",IF(AND(OR($B5="(alle)",Anforderungen!$K1167=$B5),OR($E5="(alle)",Anforderungen!$C1167=$E5),OR($H5="(alle)",Anforderungen!$E1167=$H5),OR($B7="(alle)",ISNUMBER(SEARCH($B7,Anforderungen!$J1167))),OR($E7="(alle)",ISNUMBER(SEARCH($E7,Anforderungen!$I1167))),OR($H7="",ISNUMBER(SEARCH($H7,Anforderungen!$F1167&amp;" "&amp;Anforderungen!$G1167)))),COUNT($T$6:$T1166)+1,""))</f>
        <v>1161</v>
      </c>
    </row>
    <row r="1168" customFormat="false" ht="15" hidden="false" customHeight="false" outlineLevel="0" collapsed="false">
      <c r="T1168" s="0" t="n">
        <f aca="false">IF(Anforderungen!$B1168="","",IF(AND(OR($B5="(alle)",Anforderungen!$K1168=$B5),OR($E5="(alle)",Anforderungen!$C1168=$E5),OR($H5="(alle)",Anforderungen!$E1168=$H5),OR($B7="(alle)",ISNUMBER(SEARCH($B7,Anforderungen!$J1168))),OR($E7="(alle)",ISNUMBER(SEARCH($E7,Anforderungen!$I1168))),OR($H7="",ISNUMBER(SEARCH($H7,Anforderungen!$F1168&amp;" "&amp;Anforderungen!$G1168)))),COUNT($T$6:$T1167)+1,""))</f>
        <v>1162</v>
      </c>
    </row>
    <row r="1169" customFormat="false" ht="15" hidden="false" customHeight="false" outlineLevel="0" collapsed="false">
      <c r="T1169" s="0" t="n">
        <f aca="false">IF(Anforderungen!$B1169="","",IF(AND(OR($B5="(alle)",Anforderungen!$K1169=$B5),OR($E5="(alle)",Anforderungen!$C1169=$E5),OR($H5="(alle)",Anforderungen!$E1169=$H5),OR($B7="(alle)",ISNUMBER(SEARCH($B7,Anforderungen!$J1169))),OR($E7="(alle)",ISNUMBER(SEARCH($E7,Anforderungen!$I1169))),OR($H7="",ISNUMBER(SEARCH($H7,Anforderungen!$F1169&amp;" "&amp;Anforderungen!$G1169)))),COUNT($T$6:$T1168)+1,""))</f>
        <v>1163</v>
      </c>
    </row>
    <row r="1170" customFormat="false" ht="15" hidden="false" customHeight="false" outlineLevel="0" collapsed="false">
      <c r="T1170" s="0" t="n">
        <f aca="false">IF(Anforderungen!$B1170="","",IF(AND(OR($B5="(alle)",Anforderungen!$K1170=$B5),OR($E5="(alle)",Anforderungen!$C1170=$E5),OR($H5="(alle)",Anforderungen!$E1170=$H5),OR($B7="(alle)",ISNUMBER(SEARCH($B7,Anforderungen!$J1170))),OR($E7="(alle)",ISNUMBER(SEARCH($E7,Anforderungen!$I1170))),OR($H7="",ISNUMBER(SEARCH($H7,Anforderungen!$F1170&amp;" "&amp;Anforderungen!$G1170)))),COUNT($T$6:$T1169)+1,""))</f>
        <v>1164</v>
      </c>
    </row>
    <row r="1171" customFormat="false" ht="15" hidden="false" customHeight="false" outlineLevel="0" collapsed="false">
      <c r="T1171" s="0" t="n">
        <f aca="false">IF(Anforderungen!$B1171="","",IF(AND(OR($B5="(alle)",Anforderungen!$K1171=$B5),OR($E5="(alle)",Anforderungen!$C1171=$E5),OR($H5="(alle)",Anforderungen!$E1171=$H5),OR($B7="(alle)",ISNUMBER(SEARCH($B7,Anforderungen!$J1171))),OR($E7="(alle)",ISNUMBER(SEARCH($E7,Anforderungen!$I1171))),OR($H7="",ISNUMBER(SEARCH($H7,Anforderungen!$F1171&amp;" "&amp;Anforderungen!$G1171)))),COUNT($T$6:$T1170)+1,""))</f>
        <v>1165</v>
      </c>
    </row>
    <row r="1172" customFormat="false" ht="15" hidden="false" customHeight="false" outlineLevel="0" collapsed="false">
      <c r="T1172" s="0" t="n">
        <f aca="false">IF(Anforderungen!$B1172="","",IF(AND(OR($B5="(alle)",Anforderungen!$K1172=$B5),OR($E5="(alle)",Anforderungen!$C1172=$E5),OR($H5="(alle)",Anforderungen!$E1172=$H5),OR($B7="(alle)",ISNUMBER(SEARCH($B7,Anforderungen!$J1172))),OR($E7="(alle)",ISNUMBER(SEARCH($E7,Anforderungen!$I1172))),OR($H7="",ISNUMBER(SEARCH($H7,Anforderungen!$F1172&amp;" "&amp;Anforderungen!$G1172)))),COUNT($T$6:$T1171)+1,""))</f>
        <v>1166</v>
      </c>
    </row>
    <row r="1173" customFormat="false" ht="15" hidden="false" customHeight="false" outlineLevel="0" collapsed="false">
      <c r="T1173" s="0" t="n">
        <f aca="false">IF(Anforderungen!$B1173="","",IF(AND(OR($B5="(alle)",Anforderungen!$K1173=$B5),OR($E5="(alle)",Anforderungen!$C1173=$E5),OR($H5="(alle)",Anforderungen!$E1173=$H5),OR($B7="(alle)",ISNUMBER(SEARCH($B7,Anforderungen!$J1173))),OR($E7="(alle)",ISNUMBER(SEARCH($E7,Anforderungen!$I1173))),OR($H7="",ISNUMBER(SEARCH($H7,Anforderungen!$F1173&amp;" "&amp;Anforderungen!$G1173)))),COUNT($T$6:$T1172)+1,""))</f>
        <v>1167</v>
      </c>
    </row>
    <row r="1174" customFormat="false" ht="15" hidden="false" customHeight="false" outlineLevel="0" collapsed="false">
      <c r="T1174" s="0" t="n">
        <f aca="false">IF(Anforderungen!$B1174="","",IF(AND(OR($B5="(alle)",Anforderungen!$K1174=$B5),OR($E5="(alle)",Anforderungen!$C1174=$E5),OR($H5="(alle)",Anforderungen!$E1174=$H5),OR($B7="(alle)",ISNUMBER(SEARCH($B7,Anforderungen!$J1174))),OR($E7="(alle)",ISNUMBER(SEARCH($E7,Anforderungen!$I1174))),OR($H7="",ISNUMBER(SEARCH($H7,Anforderungen!$F1174&amp;" "&amp;Anforderungen!$G1174)))),COUNT($T$6:$T1173)+1,""))</f>
        <v>1168</v>
      </c>
    </row>
    <row r="1175" customFormat="false" ht="15" hidden="false" customHeight="false" outlineLevel="0" collapsed="false">
      <c r="T1175" s="0" t="n">
        <f aca="false">IF(Anforderungen!$B1175="","",IF(AND(OR($B5="(alle)",Anforderungen!$K1175=$B5),OR($E5="(alle)",Anforderungen!$C1175=$E5),OR($H5="(alle)",Anforderungen!$E1175=$H5),OR($B7="(alle)",ISNUMBER(SEARCH($B7,Anforderungen!$J1175))),OR($E7="(alle)",ISNUMBER(SEARCH($E7,Anforderungen!$I1175))),OR($H7="",ISNUMBER(SEARCH($H7,Anforderungen!$F1175&amp;" "&amp;Anforderungen!$G1175)))),COUNT($T$6:$T1174)+1,""))</f>
        <v>1169</v>
      </c>
    </row>
    <row r="1176" customFormat="false" ht="15" hidden="false" customHeight="false" outlineLevel="0" collapsed="false">
      <c r="T1176" s="0" t="n">
        <f aca="false">IF(Anforderungen!$B1176="","",IF(AND(OR($B5="(alle)",Anforderungen!$K1176=$B5),OR($E5="(alle)",Anforderungen!$C1176=$E5),OR($H5="(alle)",Anforderungen!$E1176=$H5),OR($B7="(alle)",ISNUMBER(SEARCH($B7,Anforderungen!$J1176))),OR($E7="(alle)",ISNUMBER(SEARCH($E7,Anforderungen!$I1176))),OR($H7="",ISNUMBER(SEARCH($H7,Anforderungen!$F1176&amp;" "&amp;Anforderungen!$G1176)))),COUNT($T$6:$T1175)+1,""))</f>
        <v>1170</v>
      </c>
    </row>
    <row r="1177" customFormat="false" ht="15" hidden="false" customHeight="false" outlineLevel="0" collapsed="false">
      <c r="T1177" s="0" t="n">
        <f aca="false">IF(Anforderungen!$B1177="","",IF(AND(OR($B5="(alle)",Anforderungen!$K1177=$B5),OR($E5="(alle)",Anforderungen!$C1177=$E5),OR($H5="(alle)",Anforderungen!$E1177=$H5),OR($B7="(alle)",ISNUMBER(SEARCH($B7,Anforderungen!$J1177))),OR($E7="(alle)",ISNUMBER(SEARCH($E7,Anforderungen!$I1177))),OR($H7="",ISNUMBER(SEARCH($H7,Anforderungen!$F1177&amp;" "&amp;Anforderungen!$G1177)))),COUNT($T$6:$T1176)+1,""))</f>
        <v>1171</v>
      </c>
    </row>
    <row r="1178" customFormat="false" ht="15" hidden="false" customHeight="false" outlineLevel="0" collapsed="false">
      <c r="T1178" s="0" t="n">
        <f aca="false">IF(Anforderungen!$B1178="","",IF(AND(OR($B5="(alle)",Anforderungen!$K1178=$B5),OR($E5="(alle)",Anforderungen!$C1178=$E5),OR($H5="(alle)",Anforderungen!$E1178=$H5),OR($B7="(alle)",ISNUMBER(SEARCH($B7,Anforderungen!$J1178))),OR($E7="(alle)",ISNUMBER(SEARCH($E7,Anforderungen!$I1178))),OR($H7="",ISNUMBER(SEARCH($H7,Anforderungen!$F1178&amp;" "&amp;Anforderungen!$G1178)))),COUNT($T$6:$T1177)+1,""))</f>
        <v>1172</v>
      </c>
    </row>
    <row r="1179" customFormat="false" ht="15" hidden="false" customHeight="false" outlineLevel="0" collapsed="false">
      <c r="T1179" s="0" t="n">
        <f aca="false">IF(Anforderungen!$B1179="","",IF(AND(OR($B5="(alle)",Anforderungen!$K1179=$B5),OR($E5="(alle)",Anforderungen!$C1179=$E5),OR($H5="(alle)",Anforderungen!$E1179=$H5),OR($B7="(alle)",ISNUMBER(SEARCH($B7,Anforderungen!$J1179))),OR($E7="(alle)",ISNUMBER(SEARCH($E7,Anforderungen!$I1179))),OR($H7="",ISNUMBER(SEARCH($H7,Anforderungen!$F1179&amp;" "&amp;Anforderungen!$G1179)))),COUNT($T$6:$T1178)+1,""))</f>
        <v>1173</v>
      </c>
    </row>
    <row r="1180" customFormat="false" ht="15" hidden="false" customHeight="false" outlineLevel="0" collapsed="false">
      <c r="T1180" s="0" t="n">
        <f aca="false">IF(Anforderungen!$B1180="","",IF(AND(OR($B5="(alle)",Anforderungen!$K1180=$B5),OR($E5="(alle)",Anforderungen!$C1180=$E5),OR($H5="(alle)",Anforderungen!$E1180=$H5),OR($B7="(alle)",ISNUMBER(SEARCH($B7,Anforderungen!$J1180))),OR($E7="(alle)",ISNUMBER(SEARCH($E7,Anforderungen!$I1180))),OR($H7="",ISNUMBER(SEARCH($H7,Anforderungen!$F1180&amp;" "&amp;Anforderungen!$G1180)))),COUNT($T$6:$T1179)+1,""))</f>
        <v>1174</v>
      </c>
    </row>
    <row r="1181" customFormat="false" ht="15" hidden="false" customHeight="false" outlineLevel="0" collapsed="false">
      <c r="T1181" s="0" t="n">
        <f aca="false">IF(Anforderungen!$B1181="","",IF(AND(OR($B5="(alle)",Anforderungen!$K1181=$B5),OR($E5="(alle)",Anforderungen!$C1181=$E5),OR($H5="(alle)",Anforderungen!$E1181=$H5),OR($B7="(alle)",ISNUMBER(SEARCH($B7,Anforderungen!$J1181))),OR($E7="(alle)",ISNUMBER(SEARCH($E7,Anforderungen!$I1181))),OR($H7="",ISNUMBER(SEARCH($H7,Anforderungen!$F1181&amp;" "&amp;Anforderungen!$G1181)))),COUNT($T$6:$T1180)+1,""))</f>
        <v>1175</v>
      </c>
    </row>
    <row r="1182" customFormat="false" ht="15" hidden="false" customHeight="false" outlineLevel="0" collapsed="false">
      <c r="T1182" s="0" t="n">
        <f aca="false">IF(Anforderungen!$B1182="","",IF(AND(OR($B5="(alle)",Anforderungen!$K1182=$B5),OR($E5="(alle)",Anforderungen!$C1182=$E5),OR($H5="(alle)",Anforderungen!$E1182=$H5),OR($B7="(alle)",ISNUMBER(SEARCH($B7,Anforderungen!$J1182))),OR($E7="(alle)",ISNUMBER(SEARCH($E7,Anforderungen!$I1182))),OR($H7="",ISNUMBER(SEARCH($H7,Anforderungen!$F1182&amp;" "&amp;Anforderungen!$G1182)))),COUNT($T$6:$T1181)+1,""))</f>
        <v>1176</v>
      </c>
    </row>
    <row r="1183" customFormat="false" ht="15" hidden="false" customHeight="false" outlineLevel="0" collapsed="false">
      <c r="T1183" s="0" t="n">
        <f aca="false">IF(Anforderungen!$B1183="","",IF(AND(OR($B5="(alle)",Anforderungen!$K1183=$B5),OR($E5="(alle)",Anforderungen!$C1183=$E5),OR($H5="(alle)",Anforderungen!$E1183=$H5),OR($B7="(alle)",ISNUMBER(SEARCH($B7,Anforderungen!$J1183))),OR($E7="(alle)",ISNUMBER(SEARCH($E7,Anforderungen!$I1183))),OR($H7="",ISNUMBER(SEARCH($H7,Anforderungen!$F1183&amp;" "&amp;Anforderungen!$G1183)))),COUNT($T$6:$T1182)+1,""))</f>
        <v>1177</v>
      </c>
    </row>
    <row r="1184" customFormat="false" ht="15" hidden="false" customHeight="false" outlineLevel="0" collapsed="false">
      <c r="T1184" s="0" t="n">
        <f aca="false">IF(Anforderungen!$B1184="","",IF(AND(OR($B5="(alle)",Anforderungen!$K1184=$B5),OR($E5="(alle)",Anforderungen!$C1184=$E5),OR($H5="(alle)",Anforderungen!$E1184=$H5),OR($B7="(alle)",ISNUMBER(SEARCH($B7,Anforderungen!$J1184))),OR($E7="(alle)",ISNUMBER(SEARCH($E7,Anforderungen!$I1184))),OR($H7="",ISNUMBER(SEARCH($H7,Anforderungen!$F1184&amp;" "&amp;Anforderungen!$G1184)))),COUNT($T$6:$T1183)+1,""))</f>
        <v>1178</v>
      </c>
    </row>
    <row r="1185" customFormat="false" ht="15" hidden="false" customHeight="false" outlineLevel="0" collapsed="false">
      <c r="T1185" s="0" t="n">
        <f aca="false">IF(Anforderungen!$B1185="","",IF(AND(OR($B5="(alle)",Anforderungen!$K1185=$B5),OR($E5="(alle)",Anforderungen!$C1185=$E5),OR($H5="(alle)",Anforderungen!$E1185=$H5),OR($B7="(alle)",ISNUMBER(SEARCH($B7,Anforderungen!$J1185))),OR($E7="(alle)",ISNUMBER(SEARCH($E7,Anforderungen!$I1185))),OR($H7="",ISNUMBER(SEARCH($H7,Anforderungen!$F1185&amp;" "&amp;Anforderungen!$G1185)))),COUNT($T$6:$T1184)+1,""))</f>
        <v>1179</v>
      </c>
    </row>
    <row r="1186" customFormat="false" ht="15" hidden="false" customHeight="false" outlineLevel="0" collapsed="false">
      <c r="T1186" s="0" t="n">
        <f aca="false">IF(Anforderungen!$B1186="","",IF(AND(OR($B5="(alle)",Anforderungen!$K1186=$B5),OR($E5="(alle)",Anforderungen!$C1186=$E5),OR($H5="(alle)",Anforderungen!$E1186=$H5),OR($B7="(alle)",ISNUMBER(SEARCH($B7,Anforderungen!$J1186))),OR($E7="(alle)",ISNUMBER(SEARCH($E7,Anforderungen!$I1186))),OR($H7="",ISNUMBER(SEARCH($H7,Anforderungen!$F1186&amp;" "&amp;Anforderungen!$G1186)))),COUNT($T$6:$T1185)+1,""))</f>
        <v>1180</v>
      </c>
    </row>
    <row r="1187" customFormat="false" ht="15" hidden="false" customHeight="false" outlineLevel="0" collapsed="false">
      <c r="T1187" s="0" t="n">
        <f aca="false">IF(Anforderungen!$B1187="","",IF(AND(OR($B5="(alle)",Anforderungen!$K1187=$B5),OR($E5="(alle)",Anforderungen!$C1187=$E5),OR($H5="(alle)",Anforderungen!$E1187=$H5),OR($B7="(alle)",ISNUMBER(SEARCH($B7,Anforderungen!$J1187))),OR($E7="(alle)",ISNUMBER(SEARCH($E7,Anforderungen!$I1187))),OR($H7="",ISNUMBER(SEARCH($H7,Anforderungen!$F1187&amp;" "&amp;Anforderungen!$G1187)))),COUNT($T$6:$T1186)+1,""))</f>
        <v>1181</v>
      </c>
    </row>
    <row r="1188" customFormat="false" ht="15" hidden="false" customHeight="false" outlineLevel="0" collapsed="false">
      <c r="T1188" s="0" t="n">
        <f aca="false">IF(Anforderungen!$B1188="","",IF(AND(OR($B5="(alle)",Anforderungen!$K1188=$B5),OR($E5="(alle)",Anforderungen!$C1188=$E5),OR($H5="(alle)",Anforderungen!$E1188=$H5),OR($B7="(alle)",ISNUMBER(SEARCH($B7,Anforderungen!$J1188))),OR($E7="(alle)",ISNUMBER(SEARCH($E7,Anforderungen!$I1188))),OR($H7="",ISNUMBER(SEARCH($H7,Anforderungen!$F1188&amp;" "&amp;Anforderungen!$G1188)))),COUNT($T$6:$T1187)+1,""))</f>
        <v>1182</v>
      </c>
    </row>
    <row r="1189" customFormat="false" ht="15" hidden="false" customHeight="false" outlineLevel="0" collapsed="false">
      <c r="T1189" s="0" t="n">
        <f aca="false">IF(Anforderungen!$B1189="","",IF(AND(OR($B5="(alle)",Anforderungen!$K1189=$B5),OR($E5="(alle)",Anforderungen!$C1189=$E5),OR($H5="(alle)",Anforderungen!$E1189=$H5),OR($B7="(alle)",ISNUMBER(SEARCH($B7,Anforderungen!$J1189))),OR($E7="(alle)",ISNUMBER(SEARCH($E7,Anforderungen!$I1189))),OR($H7="",ISNUMBER(SEARCH($H7,Anforderungen!$F1189&amp;" "&amp;Anforderungen!$G1189)))),COUNT($T$6:$T1188)+1,""))</f>
        <v>1183</v>
      </c>
    </row>
    <row r="1190" customFormat="false" ht="15" hidden="false" customHeight="false" outlineLevel="0" collapsed="false">
      <c r="T1190" s="0" t="n">
        <f aca="false">IF(Anforderungen!$B1190="","",IF(AND(OR($B5="(alle)",Anforderungen!$K1190=$B5),OR($E5="(alle)",Anforderungen!$C1190=$E5),OR($H5="(alle)",Anforderungen!$E1190=$H5),OR($B7="(alle)",ISNUMBER(SEARCH($B7,Anforderungen!$J1190))),OR($E7="(alle)",ISNUMBER(SEARCH($E7,Anforderungen!$I1190))),OR($H7="",ISNUMBER(SEARCH($H7,Anforderungen!$F1190&amp;" "&amp;Anforderungen!$G1190)))),COUNT($T$6:$T1189)+1,""))</f>
        <v>1184</v>
      </c>
    </row>
    <row r="1191" customFormat="false" ht="15" hidden="false" customHeight="false" outlineLevel="0" collapsed="false">
      <c r="T1191" s="0" t="n">
        <f aca="false">IF(Anforderungen!$B1191="","",IF(AND(OR($B5="(alle)",Anforderungen!$K1191=$B5),OR($E5="(alle)",Anforderungen!$C1191=$E5),OR($H5="(alle)",Anforderungen!$E1191=$H5),OR($B7="(alle)",ISNUMBER(SEARCH($B7,Anforderungen!$J1191))),OR($E7="(alle)",ISNUMBER(SEARCH($E7,Anforderungen!$I1191))),OR($H7="",ISNUMBER(SEARCH($H7,Anforderungen!$F1191&amp;" "&amp;Anforderungen!$G1191)))),COUNT($T$6:$T1190)+1,""))</f>
        <v>1185</v>
      </c>
    </row>
    <row r="1192" customFormat="false" ht="15" hidden="false" customHeight="false" outlineLevel="0" collapsed="false">
      <c r="T1192" s="0" t="n">
        <f aca="false">IF(Anforderungen!$B1192="","",IF(AND(OR($B5="(alle)",Anforderungen!$K1192=$B5),OR($E5="(alle)",Anforderungen!$C1192=$E5),OR($H5="(alle)",Anforderungen!$E1192=$H5),OR($B7="(alle)",ISNUMBER(SEARCH($B7,Anforderungen!$J1192))),OR($E7="(alle)",ISNUMBER(SEARCH($E7,Anforderungen!$I1192))),OR($H7="",ISNUMBER(SEARCH($H7,Anforderungen!$F1192&amp;" "&amp;Anforderungen!$G1192)))),COUNT($T$6:$T1191)+1,""))</f>
        <v>1186</v>
      </c>
    </row>
    <row r="1193" customFormat="false" ht="15" hidden="false" customHeight="false" outlineLevel="0" collapsed="false">
      <c r="T1193" s="0" t="n">
        <f aca="false">IF(Anforderungen!$B1193="","",IF(AND(OR($B5="(alle)",Anforderungen!$K1193=$B5),OR($E5="(alle)",Anforderungen!$C1193=$E5),OR($H5="(alle)",Anforderungen!$E1193=$H5),OR($B7="(alle)",ISNUMBER(SEARCH($B7,Anforderungen!$J1193))),OR($E7="(alle)",ISNUMBER(SEARCH($E7,Anforderungen!$I1193))),OR($H7="",ISNUMBER(SEARCH($H7,Anforderungen!$F1193&amp;" "&amp;Anforderungen!$G1193)))),COUNT($T$6:$T1192)+1,""))</f>
        <v>1187</v>
      </c>
    </row>
    <row r="1194" customFormat="false" ht="15" hidden="false" customHeight="false" outlineLevel="0" collapsed="false">
      <c r="T1194" s="0" t="n">
        <f aca="false">IF(Anforderungen!$B1194="","",IF(AND(OR($B5="(alle)",Anforderungen!$K1194=$B5),OR($E5="(alle)",Anforderungen!$C1194=$E5),OR($H5="(alle)",Anforderungen!$E1194=$H5),OR($B7="(alle)",ISNUMBER(SEARCH($B7,Anforderungen!$J1194))),OR($E7="(alle)",ISNUMBER(SEARCH($E7,Anforderungen!$I1194))),OR($H7="",ISNUMBER(SEARCH($H7,Anforderungen!$F1194&amp;" "&amp;Anforderungen!$G1194)))),COUNT($T$6:$T1193)+1,""))</f>
        <v>1188</v>
      </c>
    </row>
    <row r="1195" customFormat="false" ht="15" hidden="false" customHeight="false" outlineLevel="0" collapsed="false">
      <c r="T1195" s="0" t="n">
        <f aca="false">IF(Anforderungen!$B1195="","",IF(AND(OR($B5="(alle)",Anforderungen!$K1195=$B5),OR($E5="(alle)",Anforderungen!$C1195=$E5),OR($H5="(alle)",Anforderungen!$E1195=$H5),OR($B7="(alle)",ISNUMBER(SEARCH($B7,Anforderungen!$J1195))),OR($E7="(alle)",ISNUMBER(SEARCH($E7,Anforderungen!$I1195))),OR($H7="",ISNUMBER(SEARCH($H7,Anforderungen!$F1195&amp;" "&amp;Anforderungen!$G1195)))),COUNT($T$6:$T1194)+1,""))</f>
        <v>1189</v>
      </c>
    </row>
    <row r="1196" customFormat="false" ht="15" hidden="false" customHeight="false" outlineLevel="0" collapsed="false">
      <c r="T1196" s="0" t="n">
        <f aca="false">IF(Anforderungen!$B1196="","",IF(AND(OR($B5="(alle)",Anforderungen!$K1196=$B5),OR($E5="(alle)",Anforderungen!$C1196=$E5),OR($H5="(alle)",Anforderungen!$E1196=$H5),OR($B7="(alle)",ISNUMBER(SEARCH($B7,Anforderungen!$J1196))),OR($E7="(alle)",ISNUMBER(SEARCH($E7,Anforderungen!$I1196))),OR($H7="",ISNUMBER(SEARCH($H7,Anforderungen!$F1196&amp;" "&amp;Anforderungen!$G1196)))),COUNT($T$6:$T1195)+1,""))</f>
        <v>1190</v>
      </c>
    </row>
    <row r="1197" customFormat="false" ht="15" hidden="false" customHeight="false" outlineLevel="0" collapsed="false">
      <c r="T1197" s="0" t="n">
        <f aca="false">IF(Anforderungen!$B1197="","",IF(AND(OR($B5="(alle)",Anforderungen!$K1197=$B5),OR($E5="(alle)",Anforderungen!$C1197=$E5),OR($H5="(alle)",Anforderungen!$E1197=$H5),OR($B7="(alle)",ISNUMBER(SEARCH($B7,Anforderungen!$J1197))),OR($E7="(alle)",ISNUMBER(SEARCH($E7,Anforderungen!$I1197))),OR($H7="",ISNUMBER(SEARCH($H7,Anforderungen!$F1197&amp;" "&amp;Anforderungen!$G1197)))),COUNT($T$6:$T1196)+1,""))</f>
        <v>1191</v>
      </c>
    </row>
    <row r="1198" customFormat="false" ht="15" hidden="false" customHeight="false" outlineLevel="0" collapsed="false">
      <c r="T1198" s="0" t="n">
        <f aca="false">IF(Anforderungen!$B1198="","",IF(AND(OR($B5="(alle)",Anforderungen!$K1198=$B5),OR($E5="(alle)",Anforderungen!$C1198=$E5),OR($H5="(alle)",Anforderungen!$E1198=$H5),OR($B7="(alle)",ISNUMBER(SEARCH($B7,Anforderungen!$J1198))),OR($E7="(alle)",ISNUMBER(SEARCH($E7,Anforderungen!$I1198))),OR($H7="",ISNUMBER(SEARCH($H7,Anforderungen!$F1198&amp;" "&amp;Anforderungen!$G1198)))),COUNT($T$6:$T1197)+1,""))</f>
        <v>1192</v>
      </c>
    </row>
    <row r="1199" customFormat="false" ht="15" hidden="false" customHeight="false" outlineLevel="0" collapsed="false">
      <c r="T1199" s="0" t="n">
        <f aca="false">IF(Anforderungen!$B1199="","",IF(AND(OR($B5="(alle)",Anforderungen!$K1199=$B5),OR($E5="(alle)",Anforderungen!$C1199=$E5),OR($H5="(alle)",Anforderungen!$E1199=$H5),OR($B7="(alle)",ISNUMBER(SEARCH($B7,Anforderungen!$J1199))),OR($E7="(alle)",ISNUMBER(SEARCH($E7,Anforderungen!$I1199))),OR($H7="",ISNUMBER(SEARCH($H7,Anforderungen!$F1199&amp;" "&amp;Anforderungen!$G1199)))),COUNT($T$6:$T1198)+1,""))</f>
        <v>1193</v>
      </c>
    </row>
    <row r="1200" customFormat="false" ht="15" hidden="false" customHeight="false" outlineLevel="0" collapsed="false">
      <c r="T1200" s="0" t="n">
        <f aca="false">IF(Anforderungen!$B1200="","",IF(AND(OR($B5="(alle)",Anforderungen!$K1200=$B5),OR($E5="(alle)",Anforderungen!$C1200=$E5),OR($H5="(alle)",Anforderungen!$E1200=$H5),OR($B7="(alle)",ISNUMBER(SEARCH($B7,Anforderungen!$J1200))),OR($E7="(alle)",ISNUMBER(SEARCH($E7,Anforderungen!$I1200))),OR($H7="",ISNUMBER(SEARCH($H7,Anforderungen!$F1200&amp;" "&amp;Anforderungen!$G1200)))),COUNT($T$6:$T1199)+1,""))</f>
        <v>1194</v>
      </c>
    </row>
    <row r="1201" customFormat="false" ht="15" hidden="false" customHeight="false" outlineLevel="0" collapsed="false">
      <c r="T1201" s="0" t="n">
        <f aca="false">IF(Anforderungen!$B1201="","",IF(AND(OR($B5="(alle)",Anforderungen!$K1201=$B5),OR($E5="(alle)",Anforderungen!$C1201=$E5),OR($H5="(alle)",Anforderungen!$E1201=$H5),OR($B7="(alle)",ISNUMBER(SEARCH($B7,Anforderungen!$J1201))),OR($E7="(alle)",ISNUMBER(SEARCH($E7,Anforderungen!$I1201))),OR($H7="",ISNUMBER(SEARCH($H7,Anforderungen!$F1201&amp;" "&amp;Anforderungen!$G1201)))),COUNT($T$6:$T1200)+1,""))</f>
        <v>1195</v>
      </c>
    </row>
    <row r="1202" customFormat="false" ht="15" hidden="false" customHeight="false" outlineLevel="0" collapsed="false">
      <c r="T1202" s="0" t="n">
        <f aca="false">IF(Anforderungen!$B1202="","",IF(AND(OR($B5="(alle)",Anforderungen!$K1202=$B5),OR($E5="(alle)",Anforderungen!$C1202=$E5),OR($H5="(alle)",Anforderungen!$E1202=$H5),OR($B7="(alle)",ISNUMBER(SEARCH($B7,Anforderungen!$J1202))),OR($E7="(alle)",ISNUMBER(SEARCH($E7,Anforderungen!$I1202))),OR($H7="",ISNUMBER(SEARCH($H7,Anforderungen!$F1202&amp;" "&amp;Anforderungen!$G1202)))),COUNT($T$6:$T1201)+1,""))</f>
        <v>1196</v>
      </c>
    </row>
    <row r="1203" customFormat="false" ht="15" hidden="false" customHeight="false" outlineLevel="0" collapsed="false">
      <c r="T1203" s="0" t="n">
        <f aca="false">IF(Anforderungen!$B1203="","",IF(AND(OR($B5="(alle)",Anforderungen!$K1203=$B5),OR($E5="(alle)",Anforderungen!$C1203=$E5),OR($H5="(alle)",Anforderungen!$E1203=$H5),OR($B7="(alle)",ISNUMBER(SEARCH($B7,Anforderungen!$J1203))),OR($E7="(alle)",ISNUMBER(SEARCH($E7,Anforderungen!$I1203))),OR($H7="",ISNUMBER(SEARCH($H7,Anforderungen!$F1203&amp;" "&amp;Anforderungen!$G1203)))),COUNT($T$6:$T1202)+1,""))</f>
        <v>1197</v>
      </c>
    </row>
    <row r="1204" customFormat="false" ht="15" hidden="false" customHeight="false" outlineLevel="0" collapsed="false">
      <c r="T1204" s="0" t="n">
        <f aca="false">IF(Anforderungen!$B1204="","",IF(AND(OR($B5="(alle)",Anforderungen!$K1204=$B5),OR($E5="(alle)",Anforderungen!$C1204=$E5),OR($H5="(alle)",Anforderungen!$E1204=$H5),OR($B7="(alle)",ISNUMBER(SEARCH($B7,Anforderungen!$J1204))),OR($E7="(alle)",ISNUMBER(SEARCH($E7,Anforderungen!$I1204))),OR($H7="",ISNUMBER(SEARCH($H7,Anforderungen!$F1204&amp;" "&amp;Anforderungen!$G1204)))),COUNT($T$6:$T1203)+1,""))</f>
        <v>1198</v>
      </c>
    </row>
    <row r="1205" customFormat="false" ht="15" hidden="false" customHeight="false" outlineLevel="0" collapsed="false">
      <c r="T1205" s="0" t="n">
        <f aca="false">IF(Anforderungen!$B1205="","",IF(AND(OR($B5="(alle)",Anforderungen!$K1205=$B5),OR($E5="(alle)",Anforderungen!$C1205=$E5),OR($H5="(alle)",Anforderungen!$E1205=$H5),OR($B7="(alle)",ISNUMBER(SEARCH($B7,Anforderungen!$J1205))),OR($E7="(alle)",ISNUMBER(SEARCH($E7,Anforderungen!$I1205))),OR($H7="",ISNUMBER(SEARCH($H7,Anforderungen!$F1205&amp;" "&amp;Anforderungen!$G1205)))),COUNT($T$6:$T1204)+1,""))</f>
        <v>1199</v>
      </c>
    </row>
    <row r="1206" customFormat="false" ht="15" hidden="false" customHeight="false" outlineLevel="0" collapsed="false">
      <c r="T1206" s="0" t="n">
        <f aca="false">IF(Anforderungen!$B1206="","",IF(AND(OR($B5="(alle)",Anforderungen!$K1206=$B5),OR($E5="(alle)",Anforderungen!$C1206=$E5),OR($H5="(alle)",Anforderungen!$E1206=$H5),OR($B7="(alle)",ISNUMBER(SEARCH($B7,Anforderungen!$J1206))),OR($E7="(alle)",ISNUMBER(SEARCH($E7,Anforderungen!$I1206))),OR($H7="",ISNUMBER(SEARCH($H7,Anforderungen!$F1206&amp;" "&amp;Anforderungen!$G1206)))),COUNT($T$6:$T1205)+1,""))</f>
        <v>1200</v>
      </c>
    </row>
    <row r="1207" customFormat="false" ht="15" hidden="false" customHeight="false" outlineLevel="0" collapsed="false">
      <c r="T1207" s="0" t="n">
        <f aca="false">IF(Anforderungen!$B1207="","",IF(AND(OR($B5="(alle)",Anforderungen!$K1207=$B5),OR($E5="(alle)",Anforderungen!$C1207=$E5),OR($H5="(alle)",Anforderungen!$E1207=$H5),OR($B7="(alle)",ISNUMBER(SEARCH($B7,Anforderungen!$J1207))),OR($E7="(alle)",ISNUMBER(SEARCH($E7,Anforderungen!$I1207))),OR($H7="",ISNUMBER(SEARCH($H7,Anforderungen!$F1207&amp;" "&amp;Anforderungen!$G1207)))),COUNT($T$6:$T1206)+1,""))</f>
        <v>1201</v>
      </c>
    </row>
    <row r="1208" customFormat="false" ht="15" hidden="false" customHeight="false" outlineLevel="0" collapsed="false">
      <c r="T1208" s="0" t="n">
        <f aca="false">IF(Anforderungen!$B1208="","",IF(AND(OR($B5="(alle)",Anforderungen!$K1208=$B5),OR($E5="(alle)",Anforderungen!$C1208=$E5),OR($H5="(alle)",Anforderungen!$E1208=$H5),OR($B7="(alle)",ISNUMBER(SEARCH($B7,Anforderungen!$J1208))),OR($E7="(alle)",ISNUMBER(SEARCH($E7,Anforderungen!$I1208))),OR($H7="",ISNUMBER(SEARCH($H7,Anforderungen!$F1208&amp;" "&amp;Anforderungen!$G1208)))),COUNT($T$6:$T1207)+1,""))</f>
        <v>1202</v>
      </c>
    </row>
    <row r="1209" customFormat="false" ht="15" hidden="false" customHeight="false" outlineLevel="0" collapsed="false">
      <c r="T1209" s="0" t="n">
        <f aca="false">IF(Anforderungen!$B1209="","",IF(AND(OR($B5="(alle)",Anforderungen!$K1209=$B5),OR($E5="(alle)",Anforderungen!$C1209=$E5),OR($H5="(alle)",Anforderungen!$E1209=$H5),OR($B7="(alle)",ISNUMBER(SEARCH($B7,Anforderungen!$J1209))),OR($E7="(alle)",ISNUMBER(SEARCH($E7,Anforderungen!$I1209))),OR($H7="",ISNUMBER(SEARCH($H7,Anforderungen!$F1209&amp;" "&amp;Anforderungen!$G1209)))),COUNT($T$6:$T1208)+1,""))</f>
        <v>1203</v>
      </c>
    </row>
    <row r="1210" customFormat="false" ht="15" hidden="false" customHeight="false" outlineLevel="0" collapsed="false">
      <c r="T1210" s="0" t="n">
        <f aca="false">IF(Anforderungen!$B1210="","",IF(AND(OR($B5="(alle)",Anforderungen!$K1210=$B5),OR($E5="(alle)",Anforderungen!$C1210=$E5),OR($H5="(alle)",Anforderungen!$E1210=$H5),OR($B7="(alle)",ISNUMBER(SEARCH($B7,Anforderungen!$J1210))),OR($E7="(alle)",ISNUMBER(SEARCH($E7,Anforderungen!$I1210))),OR($H7="",ISNUMBER(SEARCH($H7,Anforderungen!$F1210&amp;" "&amp;Anforderungen!$G1210)))),COUNT($T$6:$T1209)+1,""))</f>
        <v>1204</v>
      </c>
    </row>
    <row r="1211" customFormat="false" ht="15" hidden="false" customHeight="false" outlineLevel="0" collapsed="false">
      <c r="T1211" s="0" t="n">
        <f aca="false">IF(Anforderungen!$B1211="","",IF(AND(OR($B5="(alle)",Anforderungen!$K1211=$B5),OR($E5="(alle)",Anforderungen!$C1211=$E5),OR($H5="(alle)",Anforderungen!$E1211=$H5),OR($B7="(alle)",ISNUMBER(SEARCH($B7,Anforderungen!$J1211))),OR($E7="(alle)",ISNUMBER(SEARCH($E7,Anforderungen!$I1211))),OR($H7="",ISNUMBER(SEARCH($H7,Anforderungen!$F1211&amp;" "&amp;Anforderungen!$G1211)))),COUNT($T$6:$T1210)+1,""))</f>
        <v>1205</v>
      </c>
    </row>
    <row r="1212" customFormat="false" ht="15" hidden="false" customHeight="false" outlineLevel="0" collapsed="false">
      <c r="T1212" s="0" t="n">
        <f aca="false">IF(Anforderungen!$B1212="","",IF(AND(OR($B5="(alle)",Anforderungen!$K1212=$B5),OR($E5="(alle)",Anforderungen!$C1212=$E5),OR($H5="(alle)",Anforderungen!$E1212=$H5),OR($B7="(alle)",ISNUMBER(SEARCH($B7,Anforderungen!$J1212))),OR($E7="(alle)",ISNUMBER(SEARCH($E7,Anforderungen!$I1212))),OR($H7="",ISNUMBER(SEARCH($H7,Anforderungen!$F1212&amp;" "&amp;Anforderungen!$G1212)))),COUNT($T$6:$T1211)+1,""))</f>
        <v>1206</v>
      </c>
    </row>
    <row r="1213" customFormat="false" ht="15" hidden="false" customHeight="false" outlineLevel="0" collapsed="false">
      <c r="T1213" s="0" t="n">
        <f aca="false">IF(Anforderungen!$B1213="","",IF(AND(OR($B5="(alle)",Anforderungen!$K1213=$B5),OR($E5="(alle)",Anforderungen!$C1213=$E5),OR($H5="(alle)",Anforderungen!$E1213=$H5),OR($B7="(alle)",ISNUMBER(SEARCH($B7,Anforderungen!$J1213))),OR($E7="(alle)",ISNUMBER(SEARCH($E7,Anforderungen!$I1213))),OR($H7="",ISNUMBER(SEARCH($H7,Anforderungen!$F1213&amp;" "&amp;Anforderungen!$G1213)))),COUNT($T$6:$T1212)+1,""))</f>
        <v>1207</v>
      </c>
    </row>
    <row r="1214" customFormat="false" ht="15" hidden="false" customHeight="false" outlineLevel="0" collapsed="false">
      <c r="T1214" s="0" t="n">
        <f aca="false">IF(Anforderungen!$B1214="","",IF(AND(OR($B5="(alle)",Anforderungen!$K1214=$B5),OR($E5="(alle)",Anforderungen!$C1214=$E5),OR($H5="(alle)",Anforderungen!$E1214=$H5),OR($B7="(alle)",ISNUMBER(SEARCH($B7,Anforderungen!$J1214))),OR($E7="(alle)",ISNUMBER(SEARCH($E7,Anforderungen!$I1214))),OR($H7="",ISNUMBER(SEARCH($H7,Anforderungen!$F1214&amp;" "&amp;Anforderungen!$G1214)))),COUNT($T$6:$T1213)+1,""))</f>
        <v>1208</v>
      </c>
    </row>
    <row r="1215" customFormat="false" ht="15" hidden="false" customHeight="false" outlineLevel="0" collapsed="false">
      <c r="T1215" s="0" t="n">
        <f aca="false">IF(Anforderungen!$B1215="","",IF(AND(OR($B5="(alle)",Anforderungen!$K1215=$B5),OR($E5="(alle)",Anforderungen!$C1215=$E5),OR($H5="(alle)",Anforderungen!$E1215=$H5),OR($B7="(alle)",ISNUMBER(SEARCH($B7,Anforderungen!$J1215))),OR($E7="(alle)",ISNUMBER(SEARCH($E7,Anforderungen!$I1215))),OR($H7="",ISNUMBER(SEARCH($H7,Anforderungen!$F1215&amp;" "&amp;Anforderungen!$G1215)))),COUNT($T$6:$T1214)+1,""))</f>
        <v>1209</v>
      </c>
    </row>
    <row r="1216" customFormat="false" ht="15" hidden="false" customHeight="false" outlineLevel="0" collapsed="false">
      <c r="T1216" s="0" t="n">
        <f aca="false">IF(Anforderungen!$B1216="","",IF(AND(OR($B5="(alle)",Anforderungen!$K1216=$B5),OR($E5="(alle)",Anforderungen!$C1216=$E5),OR($H5="(alle)",Anforderungen!$E1216=$H5),OR($B7="(alle)",ISNUMBER(SEARCH($B7,Anforderungen!$J1216))),OR($E7="(alle)",ISNUMBER(SEARCH($E7,Anforderungen!$I1216))),OR($H7="",ISNUMBER(SEARCH($H7,Anforderungen!$F1216&amp;" "&amp;Anforderungen!$G1216)))),COUNT($T$6:$T1215)+1,""))</f>
        <v>1210</v>
      </c>
    </row>
    <row r="1217" customFormat="false" ht="15" hidden="false" customHeight="false" outlineLevel="0" collapsed="false">
      <c r="T1217" s="0" t="n">
        <f aca="false">IF(Anforderungen!$B1217="","",IF(AND(OR($B5="(alle)",Anforderungen!$K1217=$B5),OR($E5="(alle)",Anforderungen!$C1217=$E5),OR($H5="(alle)",Anforderungen!$E1217=$H5),OR($B7="(alle)",ISNUMBER(SEARCH($B7,Anforderungen!$J1217))),OR($E7="(alle)",ISNUMBER(SEARCH($E7,Anforderungen!$I1217))),OR($H7="",ISNUMBER(SEARCH($H7,Anforderungen!$F1217&amp;" "&amp;Anforderungen!$G1217)))),COUNT($T$6:$T1216)+1,""))</f>
        <v>1211</v>
      </c>
    </row>
    <row r="1218" customFormat="false" ht="15" hidden="false" customHeight="false" outlineLevel="0" collapsed="false">
      <c r="T1218" s="0" t="n">
        <f aca="false">IF(Anforderungen!$B1218="","",IF(AND(OR($B5="(alle)",Anforderungen!$K1218=$B5),OR($E5="(alle)",Anforderungen!$C1218=$E5),OR($H5="(alle)",Anforderungen!$E1218=$H5),OR($B7="(alle)",ISNUMBER(SEARCH($B7,Anforderungen!$J1218))),OR($E7="(alle)",ISNUMBER(SEARCH($E7,Anforderungen!$I1218))),OR($H7="",ISNUMBER(SEARCH($H7,Anforderungen!$F1218&amp;" "&amp;Anforderungen!$G1218)))),COUNT($T$6:$T1217)+1,""))</f>
        <v>1212</v>
      </c>
    </row>
    <row r="1219" customFormat="false" ht="15" hidden="false" customHeight="false" outlineLevel="0" collapsed="false">
      <c r="T1219" s="0" t="n">
        <f aca="false">IF(Anforderungen!$B1219="","",IF(AND(OR($B5="(alle)",Anforderungen!$K1219=$B5),OR($E5="(alle)",Anforderungen!$C1219=$E5),OR($H5="(alle)",Anforderungen!$E1219=$H5),OR($B7="(alle)",ISNUMBER(SEARCH($B7,Anforderungen!$J1219))),OR($E7="(alle)",ISNUMBER(SEARCH($E7,Anforderungen!$I1219))),OR($H7="",ISNUMBER(SEARCH($H7,Anforderungen!$F1219&amp;" "&amp;Anforderungen!$G1219)))),COUNT($T$6:$T1218)+1,""))</f>
        <v>1213</v>
      </c>
    </row>
    <row r="1220" customFormat="false" ht="15" hidden="false" customHeight="false" outlineLevel="0" collapsed="false">
      <c r="T1220" s="0" t="n">
        <f aca="false">IF(Anforderungen!$B1220="","",IF(AND(OR($B5="(alle)",Anforderungen!$K1220=$B5),OR($E5="(alle)",Anforderungen!$C1220=$E5),OR($H5="(alle)",Anforderungen!$E1220=$H5),OR($B7="(alle)",ISNUMBER(SEARCH($B7,Anforderungen!$J1220))),OR($E7="(alle)",ISNUMBER(SEARCH($E7,Anforderungen!$I1220))),OR($H7="",ISNUMBER(SEARCH($H7,Anforderungen!$F1220&amp;" "&amp;Anforderungen!$G1220)))),COUNT($T$6:$T1219)+1,""))</f>
        <v>1214</v>
      </c>
    </row>
    <row r="1221" customFormat="false" ht="15" hidden="false" customHeight="false" outlineLevel="0" collapsed="false">
      <c r="T1221" s="0" t="n">
        <f aca="false">IF(Anforderungen!$B1221="","",IF(AND(OR($B5="(alle)",Anforderungen!$K1221=$B5),OR($E5="(alle)",Anforderungen!$C1221=$E5),OR($H5="(alle)",Anforderungen!$E1221=$H5),OR($B7="(alle)",ISNUMBER(SEARCH($B7,Anforderungen!$J1221))),OR($E7="(alle)",ISNUMBER(SEARCH($E7,Anforderungen!$I1221))),OR($H7="",ISNUMBER(SEARCH($H7,Anforderungen!$F1221&amp;" "&amp;Anforderungen!$G1221)))),COUNT($T$6:$T1220)+1,""))</f>
        <v>1215</v>
      </c>
    </row>
    <row r="1222" customFormat="false" ht="15" hidden="false" customHeight="false" outlineLevel="0" collapsed="false">
      <c r="T1222" s="0" t="n">
        <f aca="false">IF(Anforderungen!$B1222="","",IF(AND(OR($B5="(alle)",Anforderungen!$K1222=$B5),OR($E5="(alle)",Anforderungen!$C1222=$E5),OR($H5="(alle)",Anforderungen!$E1222=$H5),OR($B7="(alle)",ISNUMBER(SEARCH($B7,Anforderungen!$J1222))),OR($E7="(alle)",ISNUMBER(SEARCH($E7,Anforderungen!$I1222))),OR($H7="",ISNUMBER(SEARCH($H7,Anforderungen!$F1222&amp;" "&amp;Anforderungen!$G1222)))),COUNT($T$6:$T1221)+1,""))</f>
        <v>1216</v>
      </c>
    </row>
    <row r="1223" customFormat="false" ht="15" hidden="false" customHeight="false" outlineLevel="0" collapsed="false">
      <c r="T1223" s="0" t="n">
        <f aca="false">IF(Anforderungen!$B1223="","",IF(AND(OR($B5="(alle)",Anforderungen!$K1223=$B5),OR($E5="(alle)",Anforderungen!$C1223=$E5),OR($H5="(alle)",Anforderungen!$E1223=$H5),OR($B7="(alle)",ISNUMBER(SEARCH($B7,Anforderungen!$J1223))),OR($E7="(alle)",ISNUMBER(SEARCH($E7,Anforderungen!$I1223))),OR($H7="",ISNUMBER(SEARCH($H7,Anforderungen!$F1223&amp;" "&amp;Anforderungen!$G1223)))),COUNT($T$6:$T1222)+1,""))</f>
        <v>1217</v>
      </c>
    </row>
    <row r="1224" customFormat="false" ht="15" hidden="false" customHeight="false" outlineLevel="0" collapsed="false">
      <c r="T1224" s="0" t="n">
        <f aca="false">IF(Anforderungen!$B1224="","",IF(AND(OR($B5="(alle)",Anforderungen!$K1224=$B5),OR($E5="(alle)",Anforderungen!$C1224=$E5),OR($H5="(alle)",Anforderungen!$E1224=$H5),OR($B7="(alle)",ISNUMBER(SEARCH($B7,Anforderungen!$J1224))),OR($E7="(alle)",ISNUMBER(SEARCH($E7,Anforderungen!$I1224))),OR($H7="",ISNUMBER(SEARCH($H7,Anforderungen!$F1224&amp;" "&amp;Anforderungen!$G1224)))),COUNT($T$6:$T1223)+1,""))</f>
        <v>1218</v>
      </c>
    </row>
    <row r="1225" customFormat="false" ht="15" hidden="false" customHeight="false" outlineLevel="0" collapsed="false">
      <c r="T1225" s="0" t="n">
        <f aca="false">IF(Anforderungen!$B1225="","",IF(AND(OR($B5="(alle)",Anforderungen!$K1225=$B5),OR($E5="(alle)",Anforderungen!$C1225=$E5),OR($H5="(alle)",Anforderungen!$E1225=$H5),OR($B7="(alle)",ISNUMBER(SEARCH($B7,Anforderungen!$J1225))),OR($E7="(alle)",ISNUMBER(SEARCH($E7,Anforderungen!$I1225))),OR($H7="",ISNUMBER(SEARCH($H7,Anforderungen!$F1225&amp;" "&amp;Anforderungen!$G1225)))),COUNT($T$6:$T1224)+1,""))</f>
        <v>1219</v>
      </c>
    </row>
    <row r="1226" customFormat="false" ht="15" hidden="false" customHeight="false" outlineLevel="0" collapsed="false">
      <c r="T1226" s="0" t="n">
        <f aca="false">IF(Anforderungen!$B1226="","",IF(AND(OR($B5="(alle)",Anforderungen!$K1226=$B5),OR($E5="(alle)",Anforderungen!$C1226=$E5),OR($H5="(alle)",Anforderungen!$E1226=$H5),OR($B7="(alle)",ISNUMBER(SEARCH($B7,Anforderungen!$J1226))),OR($E7="(alle)",ISNUMBER(SEARCH($E7,Anforderungen!$I1226))),OR($H7="",ISNUMBER(SEARCH($H7,Anforderungen!$F1226&amp;" "&amp;Anforderungen!$G1226)))),COUNT($T$6:$T1225)+1,""))</f>
        <v>1220</v>
      </c>
    </row>
    <row r="1227" customFormat="false" ht="15" hidden="false" customHeight="false" outlineLevel="0" collapsed="false">
      <c r="T1227" s="0" t="n">
        <f aca="false">IF(Anforderungen!$B1227="","",IF(AND(OR($B5="(alle)",Anforderungen!$K1227=$B5),OR($E5="(alle)",Anforderungen!$C1227=$E5),OR($H5="(alle)",Anforderungen!$E1227=$H5),OR($B7="(alle)",ISNUMBER(SEARCH($B7,Anforderungen!$J1227))),OR($E7="(alle)",ISNUMBER(SEARCH($E7,Anforderungen!$I1227))),OR($H7="",ISNUMBER(SEARCH($H7,Anforderungen!$F1227&amp;" "&amp;Anforderungen!$G1227)))),COUNT($T$6:$T1226)+1,""))</f>
        <v>1221</v>
      </c>
    </row>
    <row r="1228" customFormat="false" ht="15" hidden="false" customHeight="false" outlineLevel="0" collapsed="false">
      <c r="T1228" s="0" t="n">
        <f aca="false">IF(Anforderungen!$B1228="","",IF(AND(OR($B5="(alle)",Anforderungen!$K1228=$B5),OR($E5="(alle)",Anforderungen!$C1228=$E5),OR($H5="(alle)",Anforderungen!$E1228=$H5),OR($B7="(alle)",ISNUMBER(SEARCH($B7,Anforderungen!$J1228))),OR($E7="(alle)",ISNUMBER(SEARCH($E7,Anforderungen!$I1228))),OR($H7="",ISNUMBER(SEARCH($H7,Anforderungen!$F1228&amp;" "&amp;Anforderungen!$G1228)))),COUNT($T$6:$T1227)+1,""))</f>
        <v>1222</v>
      </c>
    </row>
    <row r="1229" customFormat="false" ht="15" hidden="false" customHeight="false" outlineLevel="0" collapsed="false">
      <c r="T1229" s="0" t="n">
        <f aca="false">IF(Anforderungen!$B1229="","",IF(AND(OR($B5="(alle)",Anforderungen!$K1229=$B5),OR($E5="(alle)",Anforderungen!$C1229=$E5),OR($H5="(alle)",Anforderungen!$E1229=$H5),OR($B7="(alle)",ISNUMBER(SEARCH($B7,Anforderungen!$J1229))),OR($E7="(alle)",ISNUMBER(SEARCH($E7,Anforderungen!$I1229))),OR($H7="",ISNUMBER(SEARCH($H7,Anforderungen!$F1229&amp;" "&amp;Anforderungen!$G1229)))),COUNT($T$6:$T1228)+1,""))</f>
        <v>1223</v>
      </c>
    </row>
    <row r="1230" customFormat="false" ht="15" hidden="false" customHeight="false" outlineLevel="0" collapsed="false">
      <c r="T1230" s="0" t="n">
        <f aca="false">IF(Anforderungen!$B1230="","",IF(AND(OR($B5="(alle)",Anforderungen!$K1230=$B5),OR($E5="(alle)",Anforderungen!$C1230=$E5),OR($H5="(alle)",Anforderungen!$E1230=$H5),OR($B7="(alle)",ISNUMBER(SEARCH($B7,Anforderungen!$J1230))),OR($E7="(alle)",ISNUMBER(SEARCH($E7,Anforderungen!$I1230))),OR($H7="",ISNUMBER(SEARCH($H7,Anforderungen!$F1230&amp;" "&amp;Anforderungen!$G1230)))),COUNT($T$6:$T1229)+1,""))</f>
        <v>1224</v>
      </c>
    </row>
    <row r="1231" customFormat="false" ht="15" hidden="false" customHeight="false" outlineLevel="0" collapsed="false">
      <c r="T1231" s="0" t="n">
        <f aca="false">IF(Anforderungen!$B1231="","",IF(AND(OR($B5="(alle)",Anforderungen!$K1231=$B5),OR($E5="(alle)",Anforderungen!$C1231=$E5),OR($H5="(alle)",Anforderungen!$E1231=$H5),OR($B7="(alle)",ISNUMBER(SEARCH($B7,Anforderungen!$J1231))),OR($E7="(alle)",ISNUMBER(SEARCH($E7,Anforderungen!$I1231))),OR($H7="",ISNUMBER(SEARCH($H7,Anforderungen!$F1231&amp;" "&amp;Anforderungen!$G1231)))),COUNT($T$6:$T1230)+1,""))</f>
        <v>1225</v>
      </c>
    </row>
    <row r="1232" customFormat="false" ht="15" hidden="false" customHeight="false" outlineLevel="0" collapsed="false">
      <c r="T1232" s="0" t="n">
        <f aca="false">IF(Anforderungen!$B1232="","",IF(AND(OR($B5="(alle)",Anforderungen!$K1232=$B5),OR($E5="(alle)",Anforderungen!$C1232=$E5),OR($H5="(alle)",Anforderungen!$E1232=$H5),OR($B7="(alle)",ISNUMBER(SEARCH($B7,Anforderungen!$J1232))),OR($E7="(alle)",ISNUMBER(SEARCH($E7,Anforderungen!$I1232))),OR($H7="",ISNUMBER(SEARCH($H7,Anforderungen!$F1232&amp;" "&amp;Anforderungen!$G1232)))),COUNT($T$6:$T1231)+1,""))</f>
        <v>1226</v>
      </c>
    </row>
    <row r="1233" customFormat="false" ht="15" hidden="false" customHeight="false" outlineLevel="0" collapsed="false">
      <c r="T1233" s="0" t="n">
        <f aca="false">IF(Anforderungen!$B1233="","",IF(AND(OR($B5="(alle)",Anforderungen!$K1233=$B5),OR($E5="(alle)",Anforderungen!$C1233=$E5),OR($H5="(alle)",Anforderungen!$E1233=$H5),OR($B7="(alle)",ISNUMBER(SEARCH($B7,Anforderungen!$J1233))),OR($E7="(alle)",ISNUMBER(SEARCH($E7,Anforderungen!$I1233))),OR($H7="",ISNUMBER(SEARCH($H7,Anforderungen!$F1233&amp;" "&amp;Anforderungen!$G1233)))),COUNT($T$6:$T1232)+1,""))</f>
        <v>1227</v>
      </c>
    </row>
    <row r="1234" customFormat="false" ht="15" hidden="false" customHeight="false" outlineLevel="0" collapsed="false">
      <c r="T1234" s="0" t="n">
        <f aca="false">IF(Anforderungen!$B1234="","",IF(AND(OR($B5="(alle)",Anforderungen!$K1234=$B5),OR($E5="(alle)",Anforderungen!$C1234=$E5),OR($H5="(alle)",Anforderungen!$E1234=$H5),OR($B7="(alle)",ISNUMBER(SEARCH($B7,Anforderungen!$J1234))),OR($E7="(alle)",ISNUMBER(SEARCH($E7,Anforderungen!$I1234))),OR($H7="",ISNUMBER(SEARCH($H7,Anforderungen!$F1234&amp;" "&amp;Anforderungen!$G1234)))),COUNT($T$6:$T1233)+1,""))</f>
        <v>1228</v>
      </c>
    </row>
    <row r="1235" customFormat="false" ht="15" hidden="false" customHeight="false" outlineLevel="0" collapsed="false">
      <c r="T1235" s="0" t="n">
        <f aca="false">IF(Anforderungen!$B1235="","",IF(AND(OR($B5="(alle)",Anforderungen!$K1235=$B5),OR($E5="(alle)",Anforderungen!$C1235=$E5),OR($H5="(alle)",Anforderungen!$E1235=$H5),OR($B7="(alle)",ISNUMBER(SEARCH($B7,Anforderungen!$J1235))),OR($E7="(alle)",ISNUMBER(SEARCH($E7,Anforderungen!$I1235))),OR($H7="",ISNUMBER(SEARCH($H7,Anforderungen!$F1235&amp;" "&amp;Anforderungen!$G1235)))),COUNT($T$6:$T1234)+1,""))</f>
        <v>1229</v>
      </c>
    </row>
    <row r="1236" customFormat="false" ht="15" hidden="false" customHeight="false" outlineLevel="0" collapsed="false">
      <c r="T1236" s="0" t="n">
        <f aca="false">IF(Anforderungen!$B1236="","",IF(AND(OR($B5="(alle)",Anforderungen!$K1236=$B5),OR($E5="(alle)",Anforderungen!$C1236=$E5),OR($H5="(alle)",Anforderungen!$E1236=$H5),OR($B7="(alle)",ISNUMBER(SEARCH($B7,Anforderungen!$J1236))),OR($E7="(alle)",ISNUMBER(SEARCH($E7,Anforderungen!$I1236))),OR($H7="",ISNUMBER(SEARCH($H7,Anforderungen!$F1236&amp;" "&amp;Anforderungen!$G1236)))),COUNT($T$6:$T1235)+1,""))</f>
        <v>1230</v>
      </c>
    </row>
    <row r="1237" customFormat="false" ht="15" hidden="false" customHeight="false" outlineLevel="0" collapsed="false">
      <c r="T1237" s="0" t="n">
        <f aca="false">IF(Anforderungen!$B1237="","",IF(AND(OR($B5="(alle)",Anforderungen!$K1237=$B5),OR($E5="(alle)",Anforderungen!$C1237=$E5),OR($H5="(alle)",Anforderungen!$E1237=$H5),OR($B7="(alle)",ISNUMBER(SEARCH($B7,Anforderungen!$J1237))),OR($E7="(alle)",ISNUMBER(SEARCH($E7,Anforderungen!$I1237))),OR($H7="",ISNUMBER(SEARCH($H7,Anforderungen!$F1237&amp;" "&amp;Anforderungen!$G1237)))),COUNT($T$6:$T1236)+1,""))</f>
        <v>1231</v>
      </c>
    </row>
    <row r="1238" customFormat="false" ht="15" hidden="false" customHeight="false" outlineLevel="0" collapsed="false">
      <c r="T1238" s="0" t="n">
        <f aca="false">IF(Anforderungen!$B1238="","",IF(AND(OR($B5="(alle)",Anforderungen!$K1238=$B5),OR($E5="(alle)",Anforderungen!$C1238=$E5),OR($H5="(alle)",Anforderungen!$E1238=$H5),OR($B7="(alle)",ISNUMBER(SEARCH($B7,Anforderungen!$J1238))),OR($E7="(alle)",ISNUMBER(SEARCH($E7,Anforderungen!$I1238))),OR($H7="",ISNUMBER(SEARCH($H7,Anforderungen!$F1238&amp;" "&amp;Anforderungen!$G1238)))),COUNT($T$6:$T1237)+1,""))</f>
        <v>1232</v>
      </c>
    </row>
    <row r="1239" customFormat="false" ht="15" hidden="false" customHeight="false" outlineLevel="0" collapsed="false">
      <c r="T1239" s="0" t="n">
        <f aca="false">IF(Anforderungen!$B1239="","",IF(AND(OR($B5="(alle)",Anforderungen!$K1239=$B5),OR($E5="(alle)",Anforderungen!$C1239=$E5),OR($H5="(alle)",Anforderungen!$E1239=$H5),OR($B7="(alle)",ISNUMBER(SEARCH($B7,Anforderungen!$J1239))),OR($E7="(alle)",ISNUMBER(SEARCH($E7,Anforderungen!$I1239))),OR($H7="",ISNUMBER(SEARCH($H7,Anforderungen!$F1239&amp;" "&amp;Anforderungen!$G1239)))),COUNT($T$6:$T1238)+1,""))</f>
        <v>1233</v>
      </c>
    </row>
    <row r="1240" customFormat="false" ht="15" hidden="false" customHeight="false" outlineLevel="0" collapsed="false">
      <c r="T1240" s="0" t="n">
        <f aca="false">IF(Anforderungen!$B1240="","",IF(AND(OR($B5="(alle)",Anforderungen!$K1240=$B5),OR($E5="(alle)",Anforderungen!$C1240=$E5),OR($H5="(alle)",Anforderungen!$E1240=$H5),OR($B7="(alle)",ISNUMBER(SEARCH($B7,Anforderungen!$J1240))),OR($E7="(alle)",ISNUMBER(SEARCH($E7,Anforderungen!$I1240))),OR($H7="",ISNUMBER(SEARCH($H7,Anforderungen!$F1240&amp;" "&amp;Anforderungen!$G1240)))),COUNT($T$6:$T1239)+1,""))</f>
        <v>1234</v>
      </c>
    </row>
    <row r="1241" customFormat="false" ht="15" hidden="false" customHeight="false" outlineLevel="0" collapsed="false">
      <c r="T1241" s="0" t="n">
        <f aca="false">IF(Anforderungen!$B1241="","",IF(AND(OR($B5="(alle)",Anforderungen!$K1241=$B5),OR($E5="(alle)",Anforderungen!$C1241=$E5),OR($H5="(alle)",Anforderungen!$E1241=$H5),OR($B7="(alle)",ISNUMBER(SEARCH($B7,Anforderungen!$J1241))),OR($E7="(alle)",ISNUMBER(SEARCH($E7,Anforderungen!$I1241))),OR($H7="",ISNUMBER(SEARCH($H7,Anforderungen!$F1241&amp;" "&amp;Anforderungen!$G1241)))),COUNT($T$6:$T1240)+1,""))</f>
        <v>1235</v>
      </c>
    </row>
    <row r="1242" customFormat="false" ht="15" hidden="false" customHeight="false" outlineLevel="0" collapsed="false">
      <c r="T1242" s="0" t="n">
        <f aca="false">IF(Anforderungen!$B1242="","",IF(AND(OR($B5="(alle)",Anforderungen!$K1242=$B5),OR($E5="(alle)",Anforderungen!$C1242=$E5),OR($H5="(alle)",Anforderungen!$E1242=$H5),OR($B7="(alle)",ISNUMBER(SEARCH($B7,Anforderungen!$J1242))),OR($E7="(alle)",ISNUMBER(SEARCH($E7,Anforderungen!$I1242))),OR($H7="",ISNUMBER(SEARCH($H7,Anforderungen!$F1242&amp;" "&amp;Anforderungen!$G1242)))),COUNT($T$6:$T1241)+1,""))</f>
        <v>1236</v>
      </c>
    </row>
    <row r="1243" customFormat="false" ht="15" hidden="false" customHeight="false" outlineLevel="0" collapsed="false">
      <c r="T1243" s="0" t="n">
        <f aca="false">IF(Anforderungen!$B1243="","",IF(AND(OR($B5="(alle)",Anforderungen!$K1243=$B5),OR($E5="(alle)",Anforderungen!$C1243=$E5),OR($H5="(alle)",Anforderungen!$E1243=$H5),OR($B7="(alle)",ISNUMBER(SEARCH($B7,Anforderungen!$J1243))),OR($E7="(alle)",ISNUMBER(SEARCH($E7,Anforderungen!$I1243))),OR($H7="",ISNUMBER(SEARCH($H7,Anforderungen!$F1243&amp;" "&amp;Anforderungen!$G1243)))),COUNT($T$6:$T1242)+1,""))</f>
        <v>1237</v>
      </c>
    </row>
    <row r="1244" customFormat="false" ht="15" hidden="false" customHeight="false" outlineLevel="0" collapsed="false">
      <c r="T1244" s="0" t="n">
        <f aca="false">IF(Anforderungen!$B1244="","",IF(AND(OR($B5="(alle)",Anforderungen!$K1244=$B5),OR($E5="(alle)",Anforderungen!$C1244=$E5),OR($H5="(alle)",Anforderungen!$E1244=$H5),OR($B7="(alle)",ISNUMBER(SEARCH($B7,Anforderungen!$J1244))),OR($E7="(alle)",ISNUMBER(SEARCH($E7,Anforderungen!$I1244))),OR($H7="",ISNUMBER(SEARCH($H7,Anforderungen!$F1244&amp;" "&amp;Anforderungen!$G1244)))),COUNT($T$6:$T1243)+1,""))</f>
        <v>1238</v>
      </c>
    </row>
    <row r="1245" customFormat="false" ht="15" hidden="false" customHeight="false" outlineLevel="0" collapsed="false">
      <c r="T1245" s="0" t="n">
        <f aca="false">IF(Anforderungen!$B1245="","",IF(AND(OR($B5="(alle)",Anforderungen!$K1245=$B5),OR($E5="(alle)",Anforderungen!$C1245=$E5),OR($H5="(alle)",Anforderungen!$E1245=$H5),OR($B7="(alle)",ISNUMBER(SEARCH($B7,Anforderungen!$J1245))),OR($E7="(alle)",ISNUMBER(SEARCH($E7,Anforderungen!$I1245))),OR($H7="",ISNUMBER(SEARCH($H7,Anforderungen!$F1245&amp;" "&amp;Anforderungen!$G1245)))),COUNT($T$6:$T1244)+1,""))</f>
        <v>1239</v>
      </c>
    </row>
    <row r="1246" customFormat="false" ht="15" hidden="false" customHeight="false" outlineLevel="0" collapsed="false">
      <c r="T1246" s="0" t="n">
        <f aca="false">IF(Anforderungen!$B1246="","",IF(AND(OR($B5="(alle)",Anforderungen!$K1246=$B5),OR($E5="(alle)",Anforderungen!$C1246=$E5),OR($H5="(alle)",Anforderungen!$E1246=$H5),OR($B7="(alle)",ISNUMBER(SEARCH($B7,Anforderungen!$J1246))),OR($E7="(alle)",ISNUMBER(SEARCH($E7,Anforderungen!$I1246))),OR($H7="",ISNUMBER(SEARCH($H7,Anforderungen!$F1246&amp;" "&amp;Anforderungen!$G1246)))),COUNT($T$6:$T1245)+1,""))</f>
        <v>1240</v>
      </c>
    </row>
    <row r="1247" customFormat="false" ht="15" hidden="false" customHeight="false" outlineLevel="0" collapsed="false">
      <c r="T1247" s="0" t="n">
        <f aca="false">IF(Anforderungen!$B1247="","",IF(AND(OR($B5="(alle)",Anforderungen!$K1247=$B5),OR($E5="(alle)",Anforderungen!$C1247=$E5),OR($H5="(alle)",Anforderungen!$E1247=$H5),OR($B7="(alle)",ISNUMBER(SEARCH($B7,Anforderungen!$J1247))),OR($E7="(alle)",ISNUMBER(SEARCH($E7,Anforderungen!$I1247))),OR($H7="",ISNUMBER(SEARCH($H7,Anforderungen!$F1247&amp;" "&amp;Anforderungen!$G1247)))),COUNT($T$6:$T1246)+1,""))</f>
        <v>1241</v>
      </c>
    </row>
    <row r="1248" customFormat="false" ht="15" hidden="false" customHeight="false" outlineLevel="0" collapsed="false">
      <c r="T1248" s="0" t="n">
        <f aca="false">IF(Anforderungen!$B1248="","",IF(AND(OR($B5="(alle)",Anforderungen!$K1248=$B5),OR($E5="(alle)",Anforderungen!$C1248=$E5),OR($H5="(alle)",Anforderungen!$E1248=$H5),OR($B7="(alle)",ISNUMBER(SEARCH($B7,Anforderungen!$J1248))),OR($E7="(alle)",ISNUMBER(SEARCH($E7,Anforderungen!$I1248))),OR($H7="",ISNUMBER(SEARCH($H7,Anforderungen!$F1248&amp;" "&amp;Anforderungen!$G1248)))),COUNT($T$6:$T1247)+1,""))</f>
        <v>1242</v>
      </c>
    </row>
    <row r="1249" customFormat="false" ht="15" hidden="false" customHeight="false" outlineLevel="0" collapsed="false">
      <c r="T1249" s="0" t="n">
        <f aca="false">IF(Anforderungen!$B1249="","",IF(AND(OR($B5="(alle)",Anforderungen!$K1249=$B5),OR($E5="(alle)",Anforderungen!$C1249=$E5),OR($H5="(alle)",Anforderungen!$E1249=$H5),OR($B7="(alle)",ISNUMBER(SEARCH($B7,Anforderungen!$J1249))),OR($E7="(alle)",ISNUMBER(SEARCH($E7,Anforderungen!$I1249))),OR($H7="",ISNUMBER(SEARCH($H7,Anforderungen!$F1249&amp;" "&amp;Anforderungen!$G1249)))),COUNT($T$6:$T1248)+1,""))</f>
        <v>1243</v>
      </c>
    </row>
    <row r="1250" customFormat="false" ht="15" hidden="false" customHeight="false" outlineLevel="0" collapsed="false">
      <c r="T1250" s="0" t="n">
        <f aca="false">IF(Anforderungen!$B1250="","",IF(AND(OR($B5="(alle)",Anforderungen!$K1250=$B5),OR($E5="(alle)",Anforderungen!$C1250=$E5),OR($H5="(alle)",Anforderungen!$E1250=$H5),OR($B7="(alle)",ISNUMBER(SEARCH($B7,Anforderungen!$J1250))),OR($E7="(alle)",ISNUMBER(SEARCH($E7,Anforderungen!$I1250))),OR($H7="",ISNUMBER(SEARCH($H7,Anforderungen!$F1250&amp;" "&amp;Anforderungen!$G1250)))),COUNT($T$6:$T1249)+1,""))</f>
        <v>1244</v>
      </c>
    </row>
    <row r="1251" customFormat="false" ht="15" hidden="false" customHeight="false" outlineLevel="0" collapsed="false">
      <c r="T1251" s="0" t="n">
        <f aca="false">IF(Anforderungen!$B1251="","",IF(AND(OR($B5="(alle)",Anforderungen!$K1251=$B5),OR($E5="(alle)",Anforderungen!$C1251=$E5),OR($H5="(alle)",Anforderungen!$E1251=$H5),OR($B7="(alle)",ISNUMBER(SEARCH($B7,Anforderungen!$J1251))),OR($E7="(alle)",ISNUMBER(SEARCH($E7,Anforderungen!$I1251))),OR($H7="",ISNUMBER(SEARCH($H7,Anforderungen!$F1251&amp;" "&amp;Anforderungen!$G1251)))),COUNT($T$6:$T1250)+1,""))</f>
        <v>1245</v>
      </c>
    </row>
    <row r="1252" customFormat="false" ht="15" hidden="false" customHeight="false" outlineLevel="0" collapsed="false">
      <c r="T1252" s="0" t="n">
        <f aca="false">IF(Anforderungen!$B1252="","",IF(AND(OR($B5="(alle)",Anforderungen!$K1252=$B5),OR($E5="(alle)",Anforderungen!$C1252=$E5),OR($H5="(alle)",Anforderungen!$E1252=$H5),OR($B7="(alle)",ISNUMBER(SEARCH($B7,Anforderungen!$J1252))),OR($E7="(alle)",ISNUMBER(SEARCH($E7,Anforderungen!$I1252))),OR($H7="",ISNUMBER(SEARCH($H7,Anforderungen!$F1252&amp;" "&amp;Anforderungen!$G1252)))),COUNT($T$6:$T1251)+1,""))</f>
        <v>1246</v>
      </c>
    </row>
    <row r="1253" customFormat="false" ht="15" hidden="false" customHeight="false" outlineLevel="0" collapsed="false">
      <c r="T1253" s="0" t="n">
        <f aca="false">IF(Anforderungen!$B1253="","",IF(AND(OR($B5="(alle)",Anforderungen!$K1253=$B5),OR($E5="(alle)",Anforderungen!$C1253=$E5),OR($H5="(alle)",Anforderungen!$E1253=$H5),OR($B7="(alle)",ISNUMBER(SEARCH($B7,Anforderungen!$J1253))),OR($E7="(alle)",ISNUMBER(SEARCH($E7,Anforderungen!$I1253))),OR($H7="",ISNUMBER(SEARCH($H7,Anforderungen!$F1253&amp;" "&amp;Anforderungen!$G1253)))),COUNT($T$6:$T1252)+1,""))</f>
        <v>1247</v>
      </c>
    </row>
    <row r="1254" customFormat="false" ht="15" hidden="false" customHeight="false" outlineLevel="0" collapsed="false">
      <c r="T1254" s="0" t="n">
        <f aca="false">IF(Anforderungen!$B1254="","",IF(AND(OR($B5="(alle)",Anforderungen!$K1254=$B5),OR($E5="(alle)",Anforderungen!$C1254=$E5),OR($H5="(alle)",Anforderungen!$E1254=$H5),OR($B7="(alle)",ISNUMBER(SEARCH($B7,Anforderungen!$J1254))),OR($E7="(alle)",ISNUMBER(SEARCH($E7,Anforderungen!$I1254))),OR($H7="",ISNUMBER(SEARCH($H7,Anforderungen!$F1254&amp;" "&amp;Anforderungen!$G1254)))),COUNT($T$6:$T1253)+1,""))</f>
        <v>1248</v>
      </c>
    </row>
    <row r="1255" customFormat="false" ht="15" hidden="false" customHeight="false" outlineLevel="0" collapsed="false">
      <c r="T1255" s="0" t="n">
        <f aca="false">IF(Anforderungen!$B1255="","",IF(AND(OR($B5="(alle)",Anforderungen!$K1255=$B5),OR($E5="(alle)",Anforderungen!$C1255=$E5),OR($H5="(alle)",Anforderungen!$E1255=$H5),OR($B7="(alle)",ISNUMBER(SEARCH($B7,Anforderungen!$J1255))),OR($E7="(alle)",ISNUMBER(SEARCH($E7,Anforderungen!$I1255))),OR($H7="",ISNUMBER(SEARCH($H7,Anforderungen!$F1255&amp;" "&amp;Anforderungen!$G1255)))),COUNT($T$6:$T1254)+1,""))</f>
        <v>1249</v>
      </c>
    </row>
    <row r="1256" customFormat="false" ht="15" hidden="false" customHeight="false" outlineLevel="0" collapsed="false">
      <c r="T1256" s="0" t="n">
        <f aca="false">IF(Anforderungen!$B1256="","",IF(AND(OR($B5="(alle)",Anforderungen!$K1256=$B5),OR($E5="(alle)",Anforderungen!$C1256=$E5),OR($H5="(alle)",Anforderungen!$E1256=$H5),OR($B7="(alle)",ISNUMBER(SEARCH($B7,Anforderungen!$J1256))),OR($E7="(alle)",ISNUMBER(SEARCH($E7,Anforderungen!$I1256))),OR($H7="",ISNUMBER(SEARCH($H7,Anforderungen!$F1256&amp;" "&amp;Anforderungen!$G1256)))),COUNT($T$6:$T1255)+1,""))</f>
        <v>1250</v>
      </c>
    </row>
    <row r="1257" customFormat="false" ht="15" hidden="false" customHeight="false" outlineLevel="0" collapsed="false">
      <c r="T1257" s="0" t="n">
        <f aca="false">IF(Anforderungen!$B1257="","",IF(AND(OR($B5="(alle)",Anforderungen!$K1257=$B5),OR($E5="(alle)",Anforderungen!$C1257=$E5),OR($H5="(alle)",Anforderungen!$E1257=$H5),OR($B7="(alle)",ISNUMBER(SEARCH($B7,Anforderungen!$J1257))),OR($E7="(alle)",ISNUMBER(SEARCH($E7,Anforderungen!$I1257))),OR($H7="",ISNUMBER(SEARCH($H7,Anforderungen!$F1257&amp;" "&amp;Anforderungen!$G1257)))),COUNT($T$6:$T1256)+1,""))</f>
        <v>1251</v>
      </c>
    </row>
    <row r="1258" customFormat="false" ht="15" hidden="false" customHeight="false" outlineLevel="0" collapsed="false">
      <c r="T1258" s="0" t="n">
        <f aca="false">IF(Anforderungen!$B1258="","",IF(AND(OR($B5="(alle)",Anforderungen!$K1258=$B5),OR($E5="(alle)",Anforderungen!$C1258=$E5),OR($H5="(alle)",Anforderungen!$E1258=$H5),OR($B7="(alle)",ISNUMBER(SEARCH($B7,Anforderungen!$J1258))),OR($E7="(alle)",ISNUMBER(SEARCH($E7,Anforderungen!$I1258))),OR($H7="",ISNUMBER(SEARCH($H7,Anforderungen!$F1258&amp;" "&amp;Anforderungen!$G1258)))),COUNT($T$6:$T1257)+1,""))</f>
        <v>1252</v>
      </c>
    </row>
    <row r="1259" customFormat="false" ht="15" hidden="false" customHeight="false" outlineLevel="0" collapsed="false">
      <c r="T1259" s="0" t="n">
        <f aca="false">IF(Anforderungen!$B1259="","",IF(AND(OR($B5="(alle)",Anforderungen!$K1259=$B5),OR($E5="(alle)",Anforderungen!$C1259=$E5),OR($H5="(alle)",Anforderungen!$E1259=$H5),OR($B7="(alle)",ISNUMBER(SEARCH($B7,Anforderungen!$J1259))),OR($E7="(alle)",ISNUMBER(SEARCH($E7,Anforderungen!$I1259))),OR($H7="",ISNUMBER(SEARCH($H7,Anforderungen!$F1259&amp;" "&amp;Anforderungen!$G1259)))),COUNT($T$6:$T1258)+1,""))</f>
        <v>1253</v>
      </c>
    </row>
    <row r="1260" customFormat="false" ht="15" hidden="false" customHeight="false" outlineLevel="0" collapsed="false">
      <c r="T1260" s="0" t="n">
        <f aca="false">IF(Anforderungen!$B1260="","",IF(AND(OR($B5="(alle)",Anforderungen!$K1260=$B5),OR($E5="(alle)",Anforderungen!$C1260=$E5),OR($H5="(alle)",Anforderungen!$E1260=$H5),OR($B7="(alle)",ISNUMBER(SEARCH($B7,Anforderungen!$J1260))),OR($E7="(alle)",ISNUMBER(SEARCH($E7,Anforderungen!$I1260))),OR($H7="",ISNUMBER(SEARCH($H7,Anforderungen!$F1260&amp;" "&amp;Anforderungen!$G1260)))),COUNT($T$6:$T1259)+1,""))</f>
        <v>1254</v>
      </c>
    </row>
    <row r="1261" customFormat="false" ht="15" hidden="false" customHeight="false" outlineLevel="0" collapsed="false">
      <c r="T1261" s="0" t="n">
        <f aca="false">IF(Anforderungen!$B1261="","",IF(AND(OR($B5="(alle)",Anforderungen!$K1261=$B5),OR($E5="(alle)",Anforderungen!$C1261=$E5),OR($H5="(alle)",Anforderungen!$E1261=$H5),OR($B7="(alle)",ISNUMBER(SEARCH($B7,Anforderungen!$J1261))),OR($E7="(alle)",ISNUMBER(SEARCH($E7,Anforderungen!$I1261))),OR($H7="",ISNUMBER(SEARCH($H7,Anforderungen!$F1261&amp;" "&amp;Anforderungen!$G1261)))),COUNT($T$6:$T1260)+1,""))</f>
        <v>1255</v>
      </c>
    </row>
    <row r="1262" customFormat="false" ht="15" hidden="false" customHeight="false" outlineLevel="0" collapsed="false">
      <c r="T1262" s="0" t="n">
        <f aca="false">IF(Anforderungen!$B1262="","",IF(AND(OR($B5="(alle)",Anforderungen!$K1262=$B5),OR($E5="(alle)",Anforderungen!$C1262=$E5),OR($H5="(alle)",Anforderungen!$E1262=$H5),OR($B7="(alle)",ISNUMBER(SEARCH($B7,Anforderungen!$J1262))),OR($E7="(alle)",ISNUMBER(SEARCH($E7,Anforderungen!$I1262))),OR($H7="",ISNUMBER(SEARCH($H7,Anforderungen!$F1262&amp;" "&amp;Anforderungen!$G1262)))),COUNT($T$6:$T1261)+1,""))</f>
        <v>1256</v>
      </c>
    </row>
    <row r="1263" customFormat="false" ht="15" hidden="false" customHeight="false" outlineLevel="0" collapsed="false">
      <c r="T1263" s="0" t="n">
        <f aca="false">IF(Anforderungen!$B1263="","",IF(AND(OR($B5="(alle)",Anforderungen!$K1263=$B5),OR($E5="(alle)",Anforderungen!$C1263=$E5),OR($H5="(alle)",Anforderungen!$E1263=$H5),OR($B7="(alle)",ISNUMBER(SEARCH($B7,Anforderungen!$J1263))),OR($E7="(alle)",ISNUMBER(SEARCH($E7,Anforderungen!$I1263))),OR($H7="",ISNUMBER(SEARCH($H7,Anforderungen!$F1263&amp;" "&amp;Anforderungen!$G1263)))),COUNT($T$6:$T1262)+1,""))</f>
        <v>1257</v>
      </c>
    </row>
    <row r="1264" customFormat="false" ht="15" hidden="false" customHeight="false" outlineLevel="0" collapsed="false">
      <c r="T1264" s="0" t="n">
        <f aca="false">IF(Anforderungen!$B1264="","",IF(AND(OR($B5="(alle)",Anforderungen!$K1264=$B5),OR($E5="(alle)",Anforderungen!$C1264=$E5),OR($H5="(alle)",Anforderungen!$E1264=$H5),OR($B7="(alle)",ISNUMBER(SEARCH($B7,Anforderungen!$J1264))),OR($E7="(alle)",ISNUMBER(SEARCH($E7,Anforderungen!$I1264))),OR($H7="",ISNUMBER(SEARCH($H7,Anforderungen!$F1264&amp;" "&amp;Anforderungen!$G1264)))),COUNT($T$6:$T1263)+1,""))</f>
        <v>1258</v>
      </c>
    </row>
    <row r="1265" customFormat="false" ht="15" hidden="false" customHeight="false" outlineLevel="0" collapsed="false">
      <c r="T1265" s="0" t="n">
        <f aca="false">IF(Anforderungen!$B1265="","",IF(AND(OR($B5="(alle)",Anforderungen!$K1265=$B5),OR($E5="(alle)",Anforderungen!$C1265=$E5),OR($H5="(alle)",Anforderungen!$E1265=$H5),OR($B7="(alle)",ISNUMBER(SEARCH($B7,Anforderungen!$J1265))),OR($E7="(alle)",ISNUMBER(SEARCH($E7,Anforderungen!$I1265))),OR($H7="",ISNUMBER(SEARCH($H7,Anforderungen!$F1265&amp;" "&amp;Anforderungen!$G1265)))),COUNT($T$6:$T1264)+1,""))</f>
        <v>1259</v>
      </c>
    </row>
    <row r="1266" customFormat="false" ht="15" hidden="false" customHeight="false" outlineLevel="0" collapsed="false">
      <c r="T1266" s="0" t="n">
        <f aca="false">IF(Anforderungen!$B1266="","",IF(AND(OR($B5="(alle)",Anforderungen!$K1266=$B5),OR($E5="(alle)",Anforderungen!$C1266=$E5),OR($H5="(alle)",Anforderungen!$E1266=$H5),OR($B7="(alle)",ISNUMBER(SEARCH($B7,Anforderungen!$J1266))),OR($E7="(alle)",ISNUMBER(SEARCH($E7,Anforderungen!$I1266))),OR($H7="",ISNUMBER(SEARCH($H7,Anforderungen!$F1266&amp;" "&amp;Anforderungen!$G1266)))),COUNT($T$6:$T1265)+1,""))</f>
        <v>1260</v>
      </c>
    </row>
    <row r="1267" customFormat="false" ht="15" hidden="false" customHeight="false" outlineLevel="0" collapsed="false">
      <c r="T1267" s="0" t="n">
        <f aca="false">IF(Anforderungen!$B1267="","",IF(AND(OR($B5="(alle)",Anforderungen!$K1267=$B5),OR($E5="(alle)",Anforderungen!$C1267=$E5),OR($H5="(alle)",Anforderungen!$E1267=$H5),OR($B7="(alle)",ISNUMBER(SEARCH($B7,Anforderungen!$J1267))),OR($E7="(alle)",ISNUMBER(SEARCH($E7,Anforderungen!$I1267))),OR($H7="",ISNUMBER(SEARCH($H7,Anforderungen!$F1267&amp;" "&amp;Anforderungen!$G1267)))),COUNT($T$6:$T1266)+1,""))</f>
        <v>1261</v>
      </c>
    </row>
    <row r="1268" customFormat="false" ht="15" hidden="false" customHeight="false" outlineLevel="0" collapsed="false">
      <c r="T1268" s="0" t="n">
        <f aca="false">IF(Anforderungen!$B1268="","",IF(AND(OR($B5="(alle)",Anforderungen!$K1268=$B5),OR($E5="(alle)",Anforderungen!$C1268=$E5),OR($H5="(alle)",Anforderungen!$E1268=$H5),OR($B7="(alle)",ISNUMBER(SEARCH($B7,Anforderungen!$J1268))),OR($E7="(alle)",ISNUMBER(SEARCH($E7,Anforderungen!$I1268))),OR($H7="",ISNUMBER(SEARCH($H7,Anforderungen!$F1268&amp;" "&amp;Anforderungen!$G1268)))),COUNT($T$6:$T1267)+1,""))</f>
        <v>1262</v>
      </c>
    </row>
    <row r="1269" customFormat="false" ht="15" hidden="false" customHeight="false" outlineLevel="0" collapsed="false">
      <c r="T1269" s="0" t="n">
        <f aca="false">IF(Anforderungen!$B1269="","",IF(AND(OR($B5="(alle)",Anforderungen!$K1269=$B5),OR($E5="(alle)",Anforderungen!$C1269=$E5),OR($H5="(alle)",Anforderungen!$E1269=$H5),OR($B7="(alle)",ISNUMBER(SEARCH($B7,Anforderungen!$J1269))),OR($E7="(alle)",ISNUMBER(SEARCH($E7,Anforderungen!$I1269))),OR($H7="",ISNUMBER(SEARCH($H7,Anforderungen!$F1269&amp;" "&amp;Anforderungen!$G1269)))),COUNT($T$6:$T1268)+1,""))</f>
        <v>1263</v>
      </c>
    </row>
    <row r="1270" customFormat="false" ht="15" hidden="false" customHeight="false" outlineLevel="0" collapsed="false">
      <c r="T1270" s="0" t="n">
        <f aca="false">IF(Anforderungen!$B1270="","",IF(AND(OR($B5="(alle)",Anforderungen!$K1270=$B5),OR($E5="(alle)",Anforderungen!$C1270=$E5),OR($H5="(alle)",Anforderungen!$E1270=$H5),OR($B7="(alle)",ISNUMBER(SEARCH($B7,Anforderungen!$J1270))),OR($E7="(alle)",ISNUMBER(SEARCH($E7,Anforderungen!$I1270))),OR($H7="",ISNUMBER(SEARCH($H7,Anforderungen!$F1270&amp;" "&amp;Anforderungen!$G1270)))),COUNT($T$6:$T1269)+1,""))</f>
        <v>1264</v>
      </c>
    </row>
    <row r="1271" customFormat="false" ht="15" hidden="false" customHeight="false" outlineLevel="0" collapsed="false">
      <c r="T1271" s="0" t="n">
        <f aca="false">IF(Anforderungen!$B1271="","",IF(AND(OR($B5="(alle)",Anforderungen!$K1271=$B5),OR($E5="(alle)",Anforderungen!$C1271=$E5),OR($H5="(alle)",Anforderungen!$E1271=$H5),OR($B7="(alle)",ISNUMBER(SEARCH($B7,Anforderungen!$J1271))),OR($E7="(alle)",ISNUMBER(SEARCH($E7,Anforderungen!$I1271))),OR($H7="",ISNUMBER(SEARCH($H7,Anforderungen!$F1271&amp;" "&amp;Anforderungen!$G1271)))),COUNT($T$6:$T1270)+1,""))</f>
        <v>1265</v>
      </c>
    </row>
    <row r="1272" customFormat="false" ht="15" hidden="false" customHeight="false" outlineLevel="0" collapsed="false">
      <c r="T1272" s="0" t="n">
        <f aca="false">IF(Anforderungen!$B1272="","",IF(AND(OR($B5="(alle)",Anforderungen!$K1272=$B5),OR($E5="(alle)",Anforderungen!$C1272=$E5),OR($H5="(alle)",Anforderungen!$E1272=$H5),OR($B7="(alle)",ISNUMBER(SEARCH($B7,Anforderungen!$J1272))),OR($E7="(alle)",ISNUMBER(SEARCH($E7,Anforderungen!$I1272))),OR($H7="",ISNUMBER(SEARCH($H7,Anforderungen!$F1272&amp;" "&amp;Anforderungen!$G1272)))),COUNT($T$6:$T1271)+1,""))</f>
        <v>1266</v>
      </c>
    </row>
    <row r="1273" customFormat="false" ht="15" hidden="false" customHeight="false" outlineLevel="0" collapsed="false">
      <c r="T1273" s="0" t="n">
        <f aca="false">IF(Anforderungen!$B1273="","",IF(AND(OR($B5="(alle)",Anforderungen!$K1273=$B5),OR($E5="(alle)",Anforderungen!$C1273=$E5),OR($H5="(alle)",Anforderungen!$E1273=$H5),OR($B7="(alle)",ISNUMBER(SEARCH($B7,Anforderungen!$J1273))),OR($E7="(alle)",ISNUMBER(SEARCH($E7,Anforderungen!$I1273))),OR($H7="",ISNUMBER(SEARCH($H7,Anforderungen!$F1273&amp;" "&amp;Anforderungen!$G1273)))),COUNT($T$6:$T1272)+1,""))</f>
        <v>1267</v>
      </c>
    </row>
    <row r="1274" customFormat="false" ht="15" hidden="false" customHeight="false" outlineLevel="0" collapsed="false">
      <c r="T1274" s="0" t="n">
        <f aca="false">IF(Anforderungen!$B1274="","",IF(AND(OR($B5="(alle)",Anforderungen!$K1274=$B5),OR($E5="(alle)",Anforderungen!$C1274=$E5),OR($H5="(alle)",Anforderungen!$E1274=$H5),OR($B7="(alle)",ISNUMBER(SEARCH($B7,Anforderungen!$J1274))),OR($E7="(alle)",ISNUMBER(SEARCH($E7,Anforderungen!$I1274))),OR($H7="",ISNUMBER(SEARCH($H7,Anforderungen!$F1274&amp;" "&amp;Anforderungen!$G1274)))),COUNT($T$6:$T1273)+1,""))</f>
        <v>1268</v>
      </c>
    </row>
    <row r="1275" customFormat="false" ht="15" hidden="false" customHeight="false" outlineLevel="0" collapsed="false">
      <c r="T1275" s="0" t="n">
        <f aca="false">IF(Anforderungen!$B1275="","",IF(AND(OR($B5="(alle)",Anforderungen!$K1275=$B5),OR($E5="(alle)",Anforderungen!$C1275=$E5),OR($H5="(alle)",Anforderungen!$E1275=$H5),OR($B7="(alle)",ISNUMBER(SEARCH($B7,Anforderungen!$J1275))),OR($E7="(alle)",ISNUMBER(SEARCH($E7,Anforderungen!$I1275))),OR($H7="",ISNUMBER(SEARCH($H7,Anforderungen!$F1275&amp;" "&amp;Anforderungen!$G1275)))),COUNT($T$6:$T1274)+1,""))</f>
        <v>1269</v>
      </c>
    </row>
    <row r="1276" customFormat="false" ht="15" hidden="false" customHeight="false" outlineLevel="0" collapsed="false">
      <c r="T1276" s="0" t="n">
        <f aca="false">IF(Anforderungen!$B1276="","",IF(AND(OR($B5="(alle)",Anforderungen!$K1276=$B5),OR($E5="(alle)",Anforderungen!$C1276=$E5),OR($H5="(alle)",Anforderungen!$E1276=$H5),OR($B7="(alle)",ISNUMBER(SEARCH($B7,Anforderungen!$J1276))),OR($E7="(alle)",ISNUMBER(SEARCH($E7,Anforderungen!$I1276))),OR($H7="",ISNUMBER(SEARCH($H7,Anforderungen!$F1276&amp;" "&amp;Anforderungen!$G1276)))),COUNT($T$6:$T1275)+1,""))</f>
        <v>1270</v>
      </c>
    </row>
    <row r="1277" customFormat="false" ht="15" hidden="false" customHeight="false" outlineLevel="0" collapsed="false">
      <c r="T1277" s="0" t="n">
        <f aca="false">IF(Anforderungen!$B1277="","",IF(AND(OR($B5="(alle)",Anforderungen!$K1277=$B5),OR($E5="(alle)",Anforderungen!$C1277=$E5),OR($H5="(alle)",Anforderungen!$E1277=$H5),OR($B7="(alle)",ISNUMBER(SEARCH($B7,Anforderungen!$J1277))),OR($E7="(alle)",ISNUMBER(SEARCH($E7,Anforderungen!$I1277))),OR($H7="",ISNUMBER(SEARCH($H7,Anforderungen!$F1277&amp;" "&amp;Anforderungen!$G1277)))),COUNT($T$6:$T1276)+1,""))</f>
        <v>1271</v>
      </c>
    </row>
    <row r="1278" customFormat="false" ht="15" hidden="false" customHeight="false" outlineLevel="0" collapsed="false">
      <c r="T1278" s="0" t="n">
        <f aca="false">IF(Anforderungen!$B1278="","",IF(AND(OR($B5="(alle)",Anforderungen!$K1278=$B5),OR($E5="(alle)",Anforderungen!$C1278=$E5),OR($H5="(alle)",Anforderungen!$E1278=$H5),OR($B7="(alle)",ISNUMBER(SEARCH($B7,Anforderungen!$J1278))),OR($E7="(alle)",ISNUMBER(SEARCH($E7,Anforderungen!$I1278))),OR($H7="",ISNUMBER(SEARCH($H7,Anforderungen!$F1278&amp;" "&amp;Anforderungen!$G1278)))),COUNT($T$6:$T1277)+1,""))</f>
        <v>1272</v>
      </c>
    </row>
    <row r="1279" customFormat="false" ht="15" hidden="false" customHeight="false" outlineLevel="0" collapsed="false">
      <c r="T1279" s="0" t="n">
        <f aca="false">IF(Anforderungen!$B1279="","",IF(AND(OR($B5="(alle)",Anforderungen!$K1279=$B5),OR($E5="(alle)",Anforderungen!$C1279=$E5),OR($H5="(alle)",Anforderungen!$E1279=$H5),OR($B7="(alle)",ISNUMBER(SEARCH($B7,Anforderungen!$J1279))),OR($E7="(alle)",ISNUMBER(SEARCH($E7,Anforderungen!$I1279))),OR($H7="",ISNUMBER(SEARCH($H7,Anforderungen!$F1279&amp;" "&amp;Anforderungen!$G1279)))),COUNT($T$6:$T1278)+1,""))</f>
        <v>1273</v>
      </c>
    </row>
    <row r="1280" customFormat="false" ht="15" hidden="false" customHeight="false" outlineLevel="0" collapsed="false">
      <c r="T1280" s="0" t="n">
        <f aca="false">IF(Anforderungen!$B1280="","",IF(AND(OR($B5="(alle)",Anforderungen!$K1280=$B5),OR($E5="(alle)",Anforderungen!$C1280=$E5),OR($H5="(alle)",Anforderungen!$E1280=$H5),OR($B7="(alle)",ISNUMBER(SEARCH($B7,Anforderungen!$J1280))),OR($E7="(alle)",ISNUMBER(SEARCH($E7,Anforderungen!$I1280))),OR($H7="",ISNUMBER(SEARCH($H7,Anforderungen!$F1280&amp;" "&amp;Anforderungen!$G1280)))),COUNT($T$6:$T1279)+1,""))</f>
        <v>1274</v>
      </c>
    </row>
    <row r="1281" customFormat="false" ht="15" hidden="false" customHeight="false" outlineLevel="0" collapsed="false">
      <c r="T1281" s="0" t="n">
        <f aca="false">IF(Anforderungen!$B1281="","",IF(AND(OR($B5="(alle)",Anforderungen!$K1281=$B5),OR($E5="(alle)",Anforderungen!$C1281=$E5),OR($H5="(alle)",Anforderungen!$E1281=$H5),OR($B7="(alle)",ISNUMBER(SEARCH($B7,Anforderungen!$J1281))),OR($E7="(alle)",ISNUMBER(SEARCH($E7,Anforderungen!$I1281))),OR($H7="",ISNUMBER(SEARCH($H7,Anforderungen!$F1281&amp;" "&amp;Anforderungen!$G1281)))),COUNT($T$6:$T1280)+1,""))</f>
        <v>1275</v>
      </c>
    </row>
    <row r="1282" customFormat="false" ht="15" hidden="false" customHeight="false" outlineLevel="0" collapsed="false">
      <c r="T1282" s="0" t="n">
        <f aca="false">IF(Anforderungen!$B1282="","",IF(AND(OR($B5="(alle)",Anforderungen!$K1282=$B5),OR($E5="(alle)",Anforderungen!$C1282=$E5),OR($H5="(alle)",Anforderungen!$E1282=$H5),OR($B7="(alle)",ISNUMBER(SEARCH($B7,Anforderungen!$J1282))),OR($E7="(alle)",ISNUMBER(SEARCH($E7,Anforderungen!$I1282))),OR($H7="",ISNUMBER(SEARCH($H7,Anforderungen!$F1282&amp;" "&amp;Anforderungen!$G1282)))),COUNT($T$6:$T1281)+1,""))</f>
        <v>1276</v>
      </c>
    </row>
    <row r="1283" customFormat="false" ht="15" hidden="false" customHeight="false" outlineLevel="0" collapsed="false">
      <c r="T1283" s="0" t="n">
        <f aca="false">IF(Anforderungen!$B1283="","",IF(AND(OR($B5="(alle)",Anforderungen!$K1283=$B5),OR($E5="(alle)",Anforderungen!$C1283=$E5),OR($H5="(alle)",Anforderungen!$E1283=$H5),OR($B7="(alle)",ISNUMBER(SEARCH($B7,Anforderungen!$J1283))),OR($E7="(alle)",ISNUMBER(SEARCH($E7,Anforderungen!$I1283))),OR($H7="",ISNUMBER(SEARCH($H7,Anforderungen!$F1283&amp;" "&amp;Anforderungen!$G1283)))),COUNT($T$6:$T1282)+1,""))</f>
        <v>1277</v>
      </c>
    </row>
    <row r="1284" customFormat="false" ht="15" hidden="false" customHeight="false" outlineLevel="0" collapsed="false">
      <c r="T1284" s="0" t="n">
        <f aca="false">IF(Anforderungen!$B1284="","",IF(AND(OR($B5="(alle)",Anforderungen!$K1284=$B5),OR($E5="(alle)",Anforderungen!$C1284=$E5),OR($H5="(alle)",Anforderungen!$E1284=$H5),OR($B7="(alle)",ISNUMBER(SEARCH($B7,Anforderungen!$J1284))),OR($E7="(alle)",ISNUMBER(SEARCH($E7,Anforderungen!$I1284))),OR($H7="",ISNUMBER(SEARCH($H7,Anforderungen!$F1284&amp;" "&amp;Anforderungen!$G1284)))),COUNT($T$6:$T1283)+1,""))</f>
        <v>1278</v>
      </c>
    </row>
    <row r="1285" customFormat="false" ht="15" hidden="false" customHeight="false" outlineLevel="0" collapsed="false">
      <c r="T1285" s="0" t="n">
        <f aca="false">IF(Anforderungen!$B1285="","",IF(AND(OR($B5="(alle)",Anforderungen!$K1285=$B5),OR($E5="(alle)",Anforderungen!$C1285=$E5),OR($H5="(alle)",Anforderungen!$E1285=$H5),OR($B7="(alle)",ISNUMBER(SEARCH($B7,Anforderungen!$J1285))),OR($E7="(alle)",ISNUMBER(SEARCH($E7,Anforderungen!$I1285))),OR($H7="",ISNUMBER(SEARCH($H7,Anforderungen!$F1285&amp;" "&amp;Anforderungen!$G1285)))),COUNT($T$6:$T1284)+1,""))</f>
        <v>1279</v>
      </c>
    </row>
    <row r="1286" customFormat="false" ht="15" hidden="false" customHeight="false" outlineLevel="0" collapsed="false">
      <c r="T1286" s="0" t="n">
        <f aca="false">IF(Anforderungen!$B1286="","",IF(AND(OR($B5="(alle)",Anforderungen!$K1286=$B5),OR($E5="(alle)",Anforderungen!$C1286=$E5),OR($H5="(alle)",Anforderungen!$E1286=$H5),OR($B7="(alle)",ISNUMBER(SEARCH($B7,Anforderungen!$J1286))),OR($E7="(alle)",ISNUMBER(SEARCH($E7,Anforderungen!$I1286))),OR($H7="",ISNUMBER(SEARCH($H7,Anforderungen!$F1286&amp;" "&amp;Anforderungen!$G1286)))),COUNT($T$6:$T1285)+1,""))</f>
        <v>1280</v>
      </c>
    </row>
    <row r="1287" customFormat="false" ht="15" hidden="false" customHeight="false" outlineLevel="0" collapsed="false">
      <c r="T1287" s="0" t="n">
        <f aca="false">IF(Anforderungen!$B1287="","",IF(AND(OR($B5="(alle)",Anforderungen!$K1287=$B5),OR($E5="(alle)",Anforderungen!$C1287=$E5),OR($H5="(alle)",Anforderungen!$E1287=$H5),OR($B7="(alle)",ISNUMBER(SEARCH($B7,Anforderungen!$J1287))),OR($E7="(alle)",ISNUMBER(SEARCH($E7,Anforderungen!$I1287))),OR($H7="",ISNUMBER(SEARCH($H7,Anforderungen!$F1287&amp;" "&amp;Anforderungen!$G1287)))),COUNT($T$6:$T1286)+1,""))</f>
        <v>1281</v>
      </c>
    </row>
    <row r="1288" customFormat="false" ht="15" hidden="false" customHeight="false" outlineLevel="0" collapsed="false">
      <c r="T1288" s="0" t="n">
        <f aca="false">IF(Anforderungen!$B1288="","",IF(AND(OR($B5="(alle)",Anforderungen!$K1288=$B5),OR($E5="(alle)",Anforderungen!$C1288=$E5),OR($H5="(alle)",Anforderungen!$E1288=$H5),OR($B7="(alle)",ISNUMBER(SEARCH($B7,Anforderungen!$J1288))),OR($E7="(alle)",ISNUMBER(SEARCH($E7,Anforderungen!$I1288))),OR($H7="",ISNUMBER(SEARCH($H7,Anforderungen!$F1288&amp;" "&amp;Anforderungen!$G1288)))),COUNT($T$6:$T1287)+1,""))</f>
        <v>1282</v>
      </c>
    </row>
    <row r="1289" customFormat="false" ht="15" hidden="false" customHeight="false" outlineLevel="0" collapsed="false">
      <c r="T1289" s="0" t="n">
        <f aca="false">IF(Anforderungen!$B1289="","",IF(AND(OR($B5="(alle)",Anforderungen!$K1289=$B5),OR($E5="(alle)",Anforderungen!$C1289=$E5),OR($H5="(alle)",Anforderungen!$E1289=$H5),OR($B7="(alle)",ISNUMBER(SEARCH($B7,Anforderungen!$J1289))),OR($E7="(alle)",ISNUMBER(SEARCH($E7,Anforderungen!$I1289))),OR($H7="",ISNUMBER(SEARCH($H7,Anforderungen!$F1289&amp;" "&amp;Anforderungen!$G1289)))),COUNT($T$6:$T1288)+1,""))</f>
        <v>1283</v>
      </c>
    </row>
    <row r="1290" customFormat="false" ht="15" hidden="false" customHeight="false" outlineLevel="0" collapsed="false">
      <c r="T1290" s="0" t="n">
        <f aca="false">IF(Anforderungen!$B1290="","",IF(AND(OR($B5="(alle)",Anforderungen!$K1290=$B5),OR($E5="(alle)",Anforderungen!$C1290=$E5),OR($H5="(alle)",Anforderungen!$E1290=$H5),OR($B7="(alle)",ISNUMBER(SEARCH($B7,Anforderungen!$J1290))),OR($E7="(alle)",ISNUMBER(SEARCH($E7,Anforderungen!$I1290))),OR($H7="",ISNUMBER(SEARCH($H7,Anforderungen!$F1290&amp;" "&amp;Anforderungen!$G1290)))),COUNT($T$6:$T1289)+1,""))</f>
        <v>1284</v>
      </c>
    </row>
    <row r="1291" customFormat="false" ht="15" hidden="false" customHeight="false" outlineLevel="0" collapsed="false">
      <c r="T1291" s="0" t="n">
        <f aca="false">IF(Anforderungen!$B1291="","",IF(AND(OR($B5="(alle)",Anforderungen!$K1291=$B5),OR($E5="(alle)",Anforderungen!$C1291=$E5),OR($H5="(alle)",Anforderungen!$E1291=$H5),OR($B7="(alle)",ISNUMBER(SEARCH($B7,Anforderungen!$J1291))),OR($E7="(alle)",ISNUMBER(SEARCH($E7,Anforderungen!$I1291))),OR($H7="",ISNUMBER(SEARCH($H7,Anforderungen!$F1291&amp;" "&amp;Anforderungen!$G1291)))),COUNT($T$6:$T1290)+1,""))</f>
        <v>1285</v>
      </c>
    </row>
    <row r="1292" customFormat="false" ht="15" hidden="false" customHeight="false" outlineLevel="0" collapsed="false">
      <c r="T1292" s="0" t="n">
        <f aca="false">IF(Anforderungen!$B1292="","",IF(AND(OR($B5="(alle)",Anforderungen!$K1292=$B5),OR($E5="(alle)",Anforderungen!$C1292=$E5),OR($H5="(alle)",Anforderungen!$E1292=$H5),OR($B7="(alle)",ISNUMBER(SEARCH($B7,Anforderungen!$J1292))),OR($E7="(alle)",ISNUMBER(SEARCH($E7,Anforderungen!$I1292))),OR($H7="",ISNUMBER(SEARCH($H7,Anforderungen!$F1292&amp;" "&amp;Anforderungen!$G1292)))),COUNT($T$6:$T1291)+1,""))</f>
        <v>1286</v>
      </c>
    </row>
    <row r="1293" customFormat="false" ht="15" hidden="false" customHeight="false" outlineLevel="0" collapsed="false">
      <c r="T1293" s="0" t="n">
        <f aca="false">IF(Anforderungen!$B1293="","",IF(AND(OR($B5="(alle)",Anforderungen!$K1293=$B5),OR($E5="(alle)",Anforderungen!$C1293=$E5),OR($H5="(alle)",Anforderungen!$E1293=$H5),OR($B7="(alle)",ISNUMBER(SEARCH($B7,Anforderungen!$J1293))),OR($E7="(alle)",ISNUMBER(SEARCH($E7,Anforderungen!$I1293))),OR($H7="",ISNUMBER(SEARCH($H7,Anforderungen!$F1293&amp;" "&amp;Anforderungen!$G1293)))),COUNT($T$6:$T1292)+1,""))</f>
        <v>1287</v>
      </c>
    </row>
    <row r="1294" customFormat="false" ht="15" hidden="false" customHeight="false" outlineLevel="0" collapsed="false">
      <c r="T1294" s="0" t="n">
        <f aca="false">IF(Anforderungen!$B1294="","",IF(AND(OR($B5="(alle)",Anforderungen!$K1294=$B5),OR($E5="(alle)",Anforderungen!$C1294=$E5),OR($H5="(alle)",Anforderungen!$E1294=$H5),OR($B7="(alle)",ISNUMBER(SEARCH($B7,Anforderungen!$J1294))),OR($E7="(alle)",ISNUMBER(SEARCH($E7,Anforderungen!$I1294))),OR($H7="",ISNUMBER(SEARCH($H7,Anforderungen!$F1294&amp;" "&amp;Anforderungen!$G1294)))),COUNT($T$6:$T1293)+1,""))</f>
        <v>1288</v>
      </c>
    </row>
    <row r="1295" customFormat="false" ht="15" hidden="false" customHeight="false" outlineLevel="0" collapsed="false">
      <c r="T1295" s="0" t="n">
        <f aca="false">IF(Anforderungen!$B1295="","",IF(AND(OR($B5="(alle)",Anforderungen!$K1295=$B5),OR($E5="(alle)",Anforderungen!$C1295=$E5),OR($H5="(alle)",Anforderungen!$E1295=$H5),OR($B7="(alle)",ISNUMBER(SEARCH($B7,Anforderungen!$J1295))),OR($E7="(alle)",ISNUMBER(SEARCH($E7,Anforderungen!$I1295))),OR($H7="",ISNUMBER(SEARCH($H7,Anforderungen!$F1295&amp;" "&amp;Anforderungen!$G1295)))),COUNT($T$6:$T1294)+1,""))</f>
        <v>1289</v>
      </c>
    </row>
    <row r="1296" customFormat="false" ht="15" hidden="false" customHeight="false" outlineLevel="0" collapsed="false">
      <c r="T1296" s="0" t="n">
        <f aca="false">IF(Anforderungen!$B1296="","",IF(AND(OR($B5="(alle)",Anforderungen!$K1296=$B5),OR($E5="(alle)",Anforderungen!$C1296=$E5),OR($H5="(alle)",Anforderungen!$E1296=$H5),OR($B7="(alle)",ISNUMBER(SEARCH($B7,Anforderungen!$J1296))),OR($E7="(alle)",ISNUMBER(SEARCH($E7,Anforderungen!$I1296))),OR($H7="",ISNUMBER(SEARCH($H7,Anforderungen!$F1296&amp;" "&amp;Anforderungen!$G1296)))),COUNT($T$6:$T1295)+1,""))</f>
        <v>1290</v>
      </c>
    </row>
    <row r="1297" customFormat="false" ht="15" hidden="false" customHeight="false" outlineLevel="0" collapsed="false">
      <c r="T1297" s="0" t="n">
        <f aca="false">IF(Anforderungen!$B1297="","",IF(AND(OR($B5="(alle)",Anforderungen!$K1297=$B5),OR($E5="(alle)",Anforderungen!$C1297=$E5),OR($H5="(alle)",Anforderungen!$E1297=$H5),OR($B7="(alle)",ISNUMBER(SEARCH($B7,Anforderungen!$J1297))),OR($E7="(alle)",ISNUMBER(SEARCH($E7,Anforderungen!$I1297))),OR($H7="",ISNUMBER(SEARCH($H7,Anforderungen!$F1297&amp;" "&amp;Anforderungen!$G1297)))),COUNT($T$6:$T1296)+1,""))</f>
        <v>1291</v>
      </c>
    </row>
    <row r="1298" customFormat="false" ht="15" hidden="false" customHeight="false" outlineLevel="0" collapsed="false">
      <c r="T1298" s="0" t="n">
        <f aca="false">IF(Anforderungen!$B1298="","",IF(AND(OR($B5="(alle)",Anforderungen!$K1298=$B5),OR($E5="(alle)",Anforderungen!$C1298=$E5),OR($H5="(alle)",Anforderungen!$E1298=$H5),OR($B7="(alle)",ISNUMBER(SEARCH($B7,Anforderungen!$J1298))),OR($E7="(alle)",ISNUMBER(SEARCH($E7,Anforderungen!$I1298))),OR($H7="",ISNUMBER(SEARCH($H7,Anforderungen!$F1298&amp;" "&amp;Anforderungen!$G1298)))),COUNT($T$6:$T1297)+1,""))</f>
        <v>1292</v>
      </c>
    </row>
    <row r="1299" customFormat="false" ht="15" hidden="false" customHeight="false" outlineLevel="0" collapsed="false">
      <c r="T1299" s="0" t="n">
        <f aca="false">IF(Anforderungen!$B1299="","",IF(AND(OR($B5="(alle)",Anforderungen!$K1299=$B5),OR($E5="(alle)",Anforderungen!$C1299=$E5),OR($H5="(alle)",Anforderungen!$E1299=$H5),OR($B7="(alle)",ISNUMBER(SEARCH($B7,Anforderungen!$J1299))),OR($E7="(alle)",ISNUMBER(SEARCH($E7,Anforderungen!$I1299))),OR($H7="",ISNUMBER(SEARCH($H7,Anforderungen!$F1299&amp;" "&amp;Anforderungen!$G1299)))),COUNT($T$6:$T1298)+1,""))</f>
        <v>1293</v>
      </c>
    </row>
    <row r="1300" customFormat="false" ht="15" hidden="false" customHeight="false" outlineLevel="0" collapsed="false">
      <c r="T1300" s="0" t="n">
        <f aca="false">IF(Anforderungen!$B1300="","",IF(AND(OR($B5="(alle)",Anforderungen!$K1300=$B5),OR($E5="(alle)",Anforderungen!$C1300=$E5),OR($H5="(alle)",Anforderungen!$E1300=$H5),OR($B7="(alle)",ISNUMBER(SEARCH($B7,Anforderungen!$J1300))),OR($E7="(alle)",ISNUMBER(SEARCH($E7,Anforderungen!$I1300))),OR($H7="",ISNUMBER(SEARCH($H7,Anforderungen!$F1300&amp;" "&amp;Anforderungen!$G1300)))),COUNT($T$6:$T1299)+1,""))</f>
        <v>1294</v>
      </c>
    </row>
    <row r="1301" customFormat="false" ht="15" hidden="false" customHeight="false" outlineLevel="0" collapsed="false">
      <c r="T1301" s="0" t="n">
        <f aca="false">IF(Anforderungen!$B1301="","",IF(AND(OR($B5="(alle)",Anforderungen!$K1301=$B5),OR($E5="(alle)",Anforderungen!$C1301=$E5),OR($H5="(alle)",Anforderungen!$E1301=$H5),OR($B7="(alle)",ISNUMBER(SEARCH($B7,Anforderungen!$J1301))),OR($E7="(alle)",ISNUMBER(SEARCH($E7,Anforderungen!$I1301))),OR($H7="",ISNUMBER(SEARCH($H7,Anforderungen!$F1301&amp;" "&amp;Anforderungen!$G1301)))),COUNT($T$6:$T1300)+1,""))</f>
        <v>1295</v>
      </c>
    </row>
    <row r="1302" customFormat="false" ht="15" hidden="false" customHeight="false" outlineLevel="0" collapsed="false">
      <c r="T1302" s="0" t="n">
        <f aca="false">IF(Anforderungen!$B1302="","",IF(AND(OR($B5="(alle)",Anforderungen!$K1302=$B5),OR($E5="(alle)",Anforderungen!$C1302=$E5),OR($H5="(alle)",Anforderungen!$E1302=$H5),OR($B7="(alle)",ISNUMBER(SEARCH($B7,Anforderungen!$J1302))),OR($E7="(alle)",ISNUMBER(SEARCH($E7,Anforderungen!$I1302))),OR($H7="",ISNUMBER(SEARCH($H7,Anforderungen!$F1302&amp;" "&amp;Anforderungen!$G1302)))),COUNT($T$6:$T1301)+1,""))</f>
        <v>1296</v>
      </c>
    </row>
    <row r="1303" customFormat="false" ht="15" hidden="false" customHeight="false" outlineLevel="0" collapsed="false">
      <c r="T1303" s="0" t="n">
        <f aca="false">IF(Anforderungen!$B1303="","",IF(AND(OR($B5="(alle)",Anforderungen!$K1303=$B5),OR($E5="(alle)",Anforderungen!$C1303=$E5),OR($H5="(alle)",Anforderungen!$E1303=$H5),OR($B7="(alle)",ISNUMBER(SEARCH($B7,Anforderungen!$J1303))),OR($E7="(alle)",ISNUMBER(SEARCH($E7,Anforderungen!$I1303))),OR($H7="",ISNUMBER(SEARCH($H7,Anforderungen!$F1303&amp;" "&amp;Anforderungen!$G1303)))),COUNT($T$6:$T1302)+1,""))</f>
        <v>1297</v>
      </c>
    </row>
    <row r="1304" customFormat="false" ht="15" hidden="false" customHeight="false" outlineLevel="0" collapsed="false">
      <c r="T1304" s="0" t="n">
        <f aca="false">IF(Anforderungen!$B1304="","",IF(AND(OR($B5="(alle)",Anforderungen!$K1304=$B5),OR($E5="(alle)",Anforderungen!$C1304=$E5),OR($H5="(alle)",Anforderungen!$E1304=$H5),OR($B7="(alle)",ISNUMBER(SEARCH($B7,Anforderungen!$J1304))),OR($E7="(alle)",ISNUMBER(SEARCH($E7,Anforderungen!$I1304))),OR($H7="",ISNUMBER(SEARCH($H7,Anforderungen!$F1304&amp;" "&amp;Anforderungen!$G1304)))),COUNT($T$6:$T1303)+1,""))</f>
        <v>1298</v>
      </c>
    </row>
    <row r="1305" customFormat="false" ht="15" hidden="false" customHeight="false" outlineLevel="0" collapsed="false">
      <c r="T1305" s="0" t="n">
        <f aca="false">IF(Anforderungen!$B1305="","",IF(AND(OR($B5="(alle)",Anforderungen!$K1305=$B5),OR($E5="(alle)",Anforderungen!$C1305=$E5),OR($H5="(alle)",Anforderungen!$E1305=$H5),OR($B7="(alle)",ISNUMBER(SEARCH($B7,Anforderungen!$J1305))),OR($E7="(alle)",ISNUMBER(SEARCH($E7,Anforderungen!$I1305))),OR($H7="",ISNUMBER(SEARCH($H7,Anforderungen!$F1305&amp;" "&amp;Anforderungen!$G1305)))),COUNT($T$6:$T1304)+1,""))</f>
        <v>1299</v>
      </c>
    </row>
    <row r="1306" customFormat="false" ht="15" hidden="false" customHeight="false" outlineLevel="0" collapsed="false">
      <c r="T1306" s="0" t="n">
        <f aca="false">IF(Anforderungen!$B1306="","",IF(AND(OR($B5="(alle)",Anforderungen!$K1306=$B5),OR($E5="(alle)",Anforderungen!$C1306=$E5),OR($H5="(alle)",Anforderungen!$E1306=$H5),OR($B7="(alle)",ISNUMBER(SEARCH($B7,Anforderungen!$J1306))),OR($E7="(alle)",ISNUMBER(SEARCH($E7,Anforderungen!$I1306))),OR($H7="",ISNUMBER(SEARCH($H7,Anforderungen!$F1306&amp;" "&amp;Anforderungen!$G1306)))),COUNT($T$6:$T1305)+1,""))</f>
        <v>1300</v>
      </c>
    </row>
    <row r="1307" customFormat="false" ht="15" hidden="false" customHeight="false" outlineLevel="0" collapsed="false">
      <c r="T1307" s="0" t="n">
        <f aca="false">IF(Anforderungen!$B1307="","",IF(AND(OR($B5="(alle)",Anforderungen!$K1307=$B5),OR($E5="(alle)",Anforderungen!$C1307=$E5),OR($H5="(alle)",Anforderungen!$E1307=$H5),OR($B7="(alle)",ISNUMBER(SEARCH($B7,Anforderungen!$J1307))),OR($E7="(alle)",ISNUMBER(SEARCH($E7,Anforderungen!$I1307))),OR($H7="",ISNUMBER(SEARCH($H7,Anforderungen!$F1307&amp;" "&amp;Anforderungen!$G1307)))),COUNT($T$6:$T1306)+1,""))</f>
        <v>1301</v>
      </c>
    </row>
    <row r="1308" customFormat="false" ht="15" hidden="false" customHeight="false" outlineLevel="0" collapsed="false">
      <c r="T1308" s="0" t="n">
        <f aca="false">IF(Anforderungen!$B1308="","",IF(AND(OR($B5="(alle)",Anforderungen!$K1308=$B5),OR($E5="(alle)",Anforderungen!$C1308=$E5),OR($H5="(alle)",Anforderungen!$E1308=$H5),OR($B7="(alle)",ISNUMBER(SEARCH($B7,Anforderungen!$J1308))),OR($E7="(alle)",ISNUMBER(SEARCH($E7,Anforderungen!$I1308))),OR($H7="",ISNUMBER(SEARCH($H7,Anforderungen!$F1308&amp;" "&amp;Anforderungen!$G1308)))),COUNT($T$6:$T1307)+1,""))</f>
        <v>1302</v>
      </c>
    </row>
    <row r="1309" customFormat="false" ht="15" hidden="false" customHeight="false" outlineLevel="0" collapsed="false">
      <c r="T1309" s="0" t="n">
        <f aca="false">IF(Anforderungen!$B1309="","",IF(AND(OR($B5="(alle)",Anforderungen!$K1309=$B5),OR($E5="(alle)",Anforderungen!$C1309=$E5),OR($H5="(alle)",Anforderungen!$E1309=$H5),OR($B7="(alle)",ISNUMBER(SEARCH($B7,Anforderungen!$J1309))),OR($E7="(alle)",ISNUMBER(SEARCH($E7,Anforderungen!$I1309))),OR($H7="",ISNUMBER(SEARCH($H7,Anforderungen!$F1309&amp;" "&amp;Anforderungen!$G1309)))),COUNT($T$6:$T1308)+1,""))</f>
        <v>1303</v>
      </c>
    </row>
    <row r="1310" customFormat="false" ht="15" hidden="false" customHeight="false" outlineLevel="0" collapsed="false">
      <c r="T1310" s="0" t="n">
        <f aca="false">IF(Anforderungen!$B1310="","",IF(AND(OR($B5="(alle)",Anforderungen!$K1310=$B5),OR($E5="(alle)",Anforderungen!$C1310=$E5),OR($H5="(alle)",Anforderungen!$E1310=$H5),OR($B7="(alle)",ISNUMBER(SEARCH($B7,Anforderungen!$J1310))),OR($E7="(alle)",ISNUMBER(SEARCH($E7,Anforderungen!$I1310))),OR($H7="",ISNUMBER(SEARCH($H7,Anforderungen!$F1310&amp;" "&amp;Anforderungen!$G1310)))),COUNT($T$6:$T1309)+1,""))</f>
        <v>1304</v>
      </c>
    </row>
    <row r="1311" customFormat="false" ht="15" hidden="false" customHeight="false" outlineLevel="0" collapsed="false">
      <c r="T1311" s="0" t="n">
        <f aca="false">IF(Anforderungen!$B1311="","",IF(AND(OR($B5="(alle)",Anforderungen!$K1311=$B5),OR($E5="(alle)",Anforderungen!$C1311=$E5),OR($H5="(alle)",Anforderungen!$E1311=$H5),OR($B7="(alle)",ISNUMBER(SEARCH($B7,Anforderungen!$J1311))),OR($E7="(alle)",ISNUMBER(SEARCH($E7,Anforderungen!$I1311))),OR($H7="",ISNUMBER(SEARCH($H7,Anforderungen!$F1311&amp;" "&amp;Anforderungen!$G1311)))),COUNT($T$6:$T1310)+1,""))</f>
        <v>1305</v>
      </c>
    </row>
    <row r="1312" customFormat="false" ht="15" hidden="false" customHeight="false" outlineLevel="0" collapsed="false">
      <c r="T1312" s="0" t="n">
        <f aca="false">IF(Anforderungen!$B1312="","",IF(AND(OR($B5="(alle)",Anforderungen!$K1312=$B5),OR($E5="(alle)",Anforderungen!$C1312=$E5),OR($H5="(alle)",Anforderungen!$E1312=$H5),OR($B7="(alle)",ISNUMBER(SEARCH($B7,Anforderungen!$J1312))),OR($E7="(alle)",ISNUMBER(SEARCH($E7,Anforderungen!$I1312))),OR($H7="",ISNUMBER(SEARCH($H7,Anforderungen!$F1312&amp;" "&amp;Anforderungen!$G1312)))),COUNT($T$6:$T1311)+1,""))</f>
        <v>1306</v>
      </c>
    </row>
    <row r="1313" customFormat="false" ht="15" hidden="false" customHeight="false" outlineLevel="0" collapsed="false">
      <c r="T1313" s="0" t="n">
        <f aca="false">IF(Anforderungen!$B1313="","",IF(AND(OR($B5="(alle)",Anforderungen!$K1313=$B5),OR($E5="(alle)",Anforderungen!$C1313=$E5),OR($H5="(alle)",Anforderungen!$E1313=$H5),OR($B7="(alle)",ISNUMBER(SEARCH($B7,Anforderungen!$J1313))),OR($E7="(alle)",ISNUMBER(SEARCH($E7,Anforderungen!$I1313))),OR($H7="",ISNUMBER(SEARCH($H7,Anforderungen!$F1313&amp;" "&amp;Anforderungen!$G1313)))),COUNT($T$6:$T1312)+1,""))</f>
        <v>1307</v>
      </c>
    </row>
  </sheetData>
  <mergeCells count="8">
    <mergeCell ref="A2:K2"/>
    <mergeCell ref="B5:C5"/>
    <mergeCell ref="E5:F5"/>
    <mergeCell ref="H5:I5"/>
    <mergeCell ref="B7:C7"/>
    <mergeCell ref="E7:F7"/>
    <mergeCell ref="H7:I7"/>
    <mergeCell ref="A11:K11"/>
  </mergeCells>
  <conditionalFormatting sqref="A14:K313">
    <cfRule type="expression" priority="2" aboveAverage="0" equalAverage="0" bottom="0" percent="0" rank="0" text="" dxfId="15">
      <formula>$I14="erfasst"</formula>
    </cfRule>
    <cfRule type="expression" priority="3" aboveAverage="0" equalAverage="0" bottom="0" percent="0" rank="0" text="" dxfId="16">
      <formula>$I14="bewertet"</formula>
    </cfRule>
    <cfRule type="expression" priority="4" aboveAverage="0" equalAverage="0" bottom="0" percent="0" rank="0" text="" dxfId="17">
      <formula>$I14="erfüllt"</formula>
    </cfRule>
    <cfRule type="expression" priority="5" aboveAverage="0" equalAverage="0" bottom="0" percent="0" rank="0" text="" dxfId="18">
      <formula>$I14="trifft nicht zu"</formula>
    </cfRule>
  </conditionalFormatting>
  <dataValidations count="5">
    <dataValidation allowBlank="false" errorStyle="stop" operator="between" prompt="Status auswählen oder „(alle)“" promptTitle="Status" showDropDown="false" showErrorMessage="true" showInputMessage="true" sqref="B5" type="list">
      <formula1>$V$2:$V$6</formula1>
      <formula2>0</formula2>
    </dataValidation>
    <dataValidation allowBlank="false" errorStyle="stop" operator="between" prompt="Dokument auswählen oder „(alle)“" promptTitle="Dokument" showDropDown="false" showErrorMessage="true" showInputMessage="true" sqref="E5" type="list">
      <formula1>$W$2:$W$8</formula1>
      <formula2>0</formula2>
    </dataValidation>
    <dataValidation allowBlank="false" errorStyle="stop" operator="between" prompt="Themenfeld auswählen oder „(alle)“" promptTitle="Themenfeld" showDropDown="false" showErrorMessage="true" showInputMessage="true" sqref="H5" type="list">
      <formula1>$X$2:$X$17</formula1>
      <formula2>0</formula2>
    </dataValidation>
    <dataValidation allowBlank="false" errorStyle="stop" operator="between" prompt="Komponente auswählen oder „(alle)“" promptTitle="Komponente" showDropDown="false" showErrorMessage="true" showInputMessage="true" sqref="B7" type="list">
      <formula1>$Y$2:$Y$18</formula1>
      <formula2>0</formula2>
    </dataValidation>
    <dataValidation allowBlank="false" errorStyle="stop" operator="between" prompt="Partner auswählen oder „(alle)“" promptTitle="Partner" showDropDown="false" showErrorMessage="true" showInputMessage="true" sqref="E7" type="list">
      <formula1>$Z$2:$Z$15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1"/>
  <sheetViews>
    <sheetView showFormulas="false" showGridLines="false" showRowColHeaders="true" showZeros="true" rightToLeft="false" tabSelected="false" showOutlineSymbols="true" defaultGridColor="true" view="normal" topLeftCell="A79" colorId="64" zoomScale="100" zoomScaleNormal="100" zoomScalePageLayoutView="100" workbookViewId="0">
      <selection pane="topLeft" activeCell="A61" activeCellId="0" sqref="A61"/>
    </sheetView>
  </sheetViews>
  <sheetFormatPr defaultColWidth="9.14453125" defaultRowHeight="15" zeroHeight="false" outlineLevelRow="0" outlineLevelCol="0"/>
  <cols>
    <col collapsed="false" customWidth="true" hidden="false" outlineLevel="0" max="1" min="1" style="1" width="34"/>
    <col collapsed="false" customWidth="true" hidden="false" outlineLevel="0" max="5" min="2" style="1" width="14"/>
    <col collapsed="false" customWidth="true" hidden="false" outlineLevel="0" max="7" min="6" style="1" width="15"/>
  </cols>
  <sheetData>
    <row r="1" customFormat="false" ht="21.75" hidden="false" customHeight="true" outlineLevel="0" collapsed="false">
      <c r="A1" s="47" t="s">
        <v>6233</v>
      </c>
      <c r="B1" s="47"/>
      <c r="C1" s="47"/>
      <c r="D1" s="47"/>
      <c r="E1" s="47"/>
      <c r="F1" s="47"/>
      <c r="G1" s="47"/>
    </row>
    <row r="2" customFormat="false" ht="15" hidden="false" customHeight="true" outlineLevel="0" collapsed="false">
      <c r="A2" s="3" t="s">
        <v>6234</v>
      </c>
      <c r="B2" s="3"/>
      <c r="C2" s="3"/>
      <c r="D2" s="3"/>
      <c r="E2" s="3"/>
      <c r="F2" s="3"/>
      <c r="G2" s="3"/>
    </row>
    <row r="3" customFormat="false" ht="15" hidden="false" customHeight="true" outlineLevel="0" collapsed="false">
      <c r="A3" s="3" t="s">
        <v>6235</v>
      </c>
      <c r="B3" s="3"/>
      <c r="C3" s="3"/>
      <c r="D3" s="3"/>
      <c r="E3" s="3"/>
      <c r="F3" s="3"/>
      <c r="G3" s="3"/>
    </row>
    <row r="4" customFormat="false" ht="15" hidden="false" customHeight="true" outlineLevel="0" collapsed="false">
      <c r="A4" s="48"/>
      <c r="B4" s="48"/>
      <c r="C4" s="48"/>
      <c r="D4" s="48"/>
      <c r="E4" s="48"/>
      <c r="F4" s="48"/>
      <c r="G4" s="48"/>
    </row>
    <row r="5" customFormat="false" ht="15" hidden="false" customHeight="true" outlineLevel="0" collapsed="false">
      <c r="A5" s="49" t="s">
        <v>6236</v>
      </c>
      <c r="B5" s="49"/>
      <c r="C5" s="49"/>
      <c r="D5" s="49"/>
      <c r="E5" s="49"/>
      <c r="F5" s="49"/>
      <c r="G5" s="49"/>
    </row>
    <row r="6" customFormat="false" ht="15" hidden="false" customHeight="true" outlineLevel="0" collapsed="false">
      <c r="A6" s="50" t="s">
        <v>6237</v>
      </c>
      <c r="B6" s="50" t="s">
        <v>6238</v>
      </c>
      <c r="C6" s="50" t="s">
        <v>6</v>
      </c>
      <c r="D6" s="50" t="s">
        <v>7</v>
      </c>
      <c r="E6" s="50" t="s">
        <v>8</v>
      </c>
      <c r="F6" s="50" t="s">
        <v>10</v>
      </c>
      <c r="G6" s="50" t="s">
        <v>14</v>
      </c>
    </row>
    <row r="7" customFormat="false" ht="15" hidden="false" customHeight="true" outlineLevel="0" collapsed="false">
      <c r="A7" s="51" t="s">
        <v>186</v>
      </c>
      <c r="B7" s="52" t="n">
        <f aca="false">COUNTIF(Anforderungen!$E$7:$E$2000,$A7)</f>
        <v>14</v>
      </c>
      <c r="C7" s="52" t="n">
        <f aca="false">COUNTIFS(Anforderungen!$E$7:$E$2000,$A7,Anforderungen!$K$7:$K$2000,"erfasst")</f>
        <v>2</v>
      </c>
      <c r="D7" s="52" t="n">
        <f aca="false">COUNTIFS(Anforderungen!$E$7:$E$2000,$A7,Anforderungen!$K$7:$K$2000,"bewertet")</f>
        <v>0</v>
      </c>
      <c r="E7" s="52" t="n">
        <f aca="false">COUNTIFS(Anforderungen!$E$7:$E$2000,$A7,Anforderungen!$K$7:$K$2000,"erfüllt")</f>
        <v>2</v>
      </c>
      <c r="F7" s="52" t="n">
        <f aca="false">COUNTIFS(Anforderungen!$E$7:$E$2000,$A7,Anforderungen!$K$7:$K$2000,"trifft nicht zu")</f>
        <v>10</v>
      </c>
      <c r="G7" s="53" t="n">
        <f aca="false">IFERROR(E7/(B7-F7),0)</f>
        <v>0.5</v>
      </c>
    </row>
    <row r="8" customFormat="false" ht="15" hidden="false" customHeight="true" outlineLevel="0" collapsed="false">
      <c r="A8" s="51" t="s">
        <v>91</v>
      </c>
      <c r="B8" s="52" t="n">
        <f aca="false">COUNTIF(Anforderungen!$E$7:$E$2000,$A8)</f>
        <v>51</v>
      </c>
      <c r="C8" s="52" t="n">
        <f aca="false">COUNTIFS(Anforderungen!$E$7:$E$2000,$A8,Anforderungen!$K$7:$K$2000,"erfasst")</f>
        <v>4</v>
      </c>
      <c r="D8" s="52" t="n">
        <f aca="false">COUNTIFS(Anforderungen!$E$7:$E$2000,$A8,Anforderungen!$K$7:$K$2000,"bewertet")</f>
        <v>0</v>
      </c>
      <c r="E8" s="52" t="n">
        <f aca="false">COUNTIFS(Anforderungen!$E$7:$E$2000,$A8,Anforderungen!$K$7:$K$2000,"erfüllt")</f>
        <v>0</v>
      </c>
      <c r="F8" s="52" t="n">
        <f aca="false">COUNTIFS(Anforderungen!$E$7:$E$2000,$A8,Anforderungen!$K$7:$K$2000,"trifft nicht zu")</f>
        <v>47</v>
      </c>
      <c r="G8" s="53" t="n">
        <f aca="false">IFERROR(E8/(B8-F8),0)</f>
        <v>0</v>
      </c>
    </row>
    <row r="9" customFormat="false" ht="15" hidden="false" customHeight="true" outlineLevel="0" collapsed="false">
      <c r="A9" s="51" t="s">
        <v>206</v>
      </c>
      <c r="B9" s="52" t="n">
        <f aca="false">COUNTIF(Anforderungen!$E$7:$E$2000,$A9)</f>
        <v>98</v>
      </c>
      <c r="C9" s="52" t="n">
        <f aca="false">COUNTIFS(Anforderungen!$E$7:$E$2000,$A9,Anforderungen!$K$7:$K$2000,"erfasst")</f>
        <v>0</v>
      </c>
      <c r="D9" s="52" t="n">
        <f aca="false">COUNTIFS(Anforderungen!$E$7:$E$2000,$A9,Anforderungen!$K$7:$K$2000,"bewertet")</f>
        <v>2</v>
      </c>
      <c r="E9" s="52" t="n">
        <f aca="false">COUNTIFS(Anforderungen!$E$7:$E$2000,$A9,Anforderungen!$K$7:$K$2000,"erfüllt")</f>
        <v>0</v>
      </c>
      <c r="F9" s="52" t="n">
        <f aca="false">COUNTIFS(Anforderungen!$E$7:$E$2000,$A9,Anforderungen!$K$7:$K$2000,"trifft nicht zu")</f>
        <v>96</v>
      </c>
      <c r="G9" s="53" t="n">
        <f aca="false">IFERROR(E9/(B9-F9),0)</f>
        <v>0</v>
      </c>
    </row>
    <row r="10" customFormat="false" ht="15" hidden="false" customHeight="true" outlineLevel="0" collapsed="false">
      <c r="A10" s="51" t="s">
        <v>221</v>
      </c>
      <c r="B10" s="52" t="n">
        <f aca="false">COUNTIF(Anforderungen!$E$7:$E$2000,$A10)</f>
        <v>4</v>
      </c>
      <c r="C10" s="52" t="n">
        <f aca="false">COUNTIFS(Anforderungen!$E$7:$E$2000,$A10,Anforderungen!$K$7:$K$2000,"erfasst")</f>
        <v>2</v>
      </c>
      <c r="D10" s="52" t="n">
        <f aca="false">COUNTIFS(Anforderungen!$E$7:$E$2000,$A10,Anforderungen!$K$7:$K$2000,"bewertet")</f>
        <v>0</v>
      </c>
      <c r="E10" s="52" t="n">
        <f aca="false">COUNTIFS(Anforderungen!$E$7:$E$2000,$A10,Anforderungen!$K$7:$K$2000,"erfüllt")</f>
        <v>1</v>
      </c>
      <c r="F10" s="52" t="n">
        <f aca="false">COUNTIFS(Anforderungen!$E$7:$E$2000,$A10,Anforderungen!$K$7:$K$2000,"trifft nicht zu")</f>
        <v>1</v>
      </c>
      <c r="G10" s="53" t="n">
        <f aca="false">IFERROR(E10/(B10-F10),0)</f>
        <v>0.333333333333333</v>
      </c>
    </row>
    <row r="11" customFormat="false" ht="15" hidden="false" customHeight="true" outlineLevel="0" collapsed="false">
      <c r="A11" s="51" t="s">
        <v>151</v>
      </c>
      <c r="B11" s="52" t="n">
        <f aca="false">COUNTIF(Anforderungen!$E$7:$E$2000,$A11)</f>
        <v>76</v>
      </c>
      <c r="C11" s="52" t="n">
        <f aca="false">COUNTIFS(Anforderungen!$E$7:$E$2000,$A11,Anforderungen!$K$7:$K$2000,"erfasst")</f>
        <v>0</v>
      </c>
      <c r="D11" s="52" t="n">
        <f aca="false">COUNTIFS(Anforderungen!$E$7:$E$2000,$A11,Anforderungen!$K$7:$K$2000,"bewertet")</f>
        <v>0</v>
      </c>
      <c r="E11" s="52" t="n">
        <f aca="false">COUNTIFS(Anforderungen!$E$7:$E$2000,$A11,Anforderungen!$K$7:$K$2000,"erfüllt")</f>
        <v>1</v>
      </c>
      <c r="F11" s="52" t="n">
        <f aca="false">COUNTIFS(Anforderungen!$E$7:$E$2000,$A11,Anforderungen!$K$7:$K$2000,"trifft nicht zu")</f>
        <v>75</v>
      </c>
      <c r="G11" s="53" t="n">
        <f aca="false">IFERROR(E11/(B11-F11),0)</f>
        <v>1</v>
      </c>
    </row>
    <row r="12" customFormat="false" ht="15" hidden="false" customHeight="true" outlineLevel="0" collapsed="false">
      <c r="A12" s="51" t="s">
        <v>351</v>
      </c>
      <c r="B12" s="52" t="n">
        <f aca="false">COUNTIF(Anforderungen!$E$7:$E$2000,$A12)</f>
        <v>94</v>
      </c>
      <c r="C12" s="52" t="n">
        <f aca="false">COUNTIFS(Anforderungen!$E$7:$E$2000,$A12,Anforderungen!$K$7:$K$2000,"erfasst")</f>
        <v>1</v>
      </c>
      <c r="D12" s="52" t="n">
        <f aca="false">COUNTIFS(Anforderungen!$E$7:$E$2000,$A12,Anforderungen!$K$7:$K$2000,"bewertet")</f>
        <v>0</v>
      </c>
      <c r="E12" s="52" t="n">
        <f aca="false">COUNTIFS(Anforderungen!$E$7:$E$2000,$A12,Anforderungen!$K$7:$K$2000,"erfüllt")</f>
        <v>0</v>
      </c>
      <c r="F12" s="52" t="n">
        <f aca="false">COUNTIFS(Anforderungen!$E$7:$E$2000,$A12,Anforderungen!$K$7:$K$2000,"trifft nicht zu")</f>
        <v>93</v>
      </c>
      <c r="G12" s="53" t="n">
        <f aca="false">IFERROR(E12/(B12-F12),0)</f>
        <v>0</v>
      </c>
    </row>
    <row r="13" customFormat="false" ht="15" hidden="false" customHeight="true" outlineLevel="0" collapsed="false">
      <c r="A13" s="51" t="s">
        <v>266</v>
      </c>
      <c r="B13" s="52" t="n">
        <f aca="false">COUNTIF(Anforderungen!$E$7:$E$2000,$A13)</f>
        <v>34</v>
      </c>
      <c r="C13" s="52" t="n">
        <f aca="false">COUNTIFS(Anforderungen!$E$7:$E$2000,$A13,Anforderungen!$K$7:$K$2000,"erfasst")</f>
        <v>0</v>
      </c>
      <c r="D13" s="52" t="n">
        <f aca="false">COUNTIFS(Anforderungen!$E$7:$E$2000,$A13,Anforderungen!$K$7:$K$2000,"bewertet")</f>
        <v>0</v>
      </c>
      <c r="E13" s="52" t="n">
        <f aca="false">COUNTIFS(Anforderungen!$E$7:$E$2000,$A13,Anforderungen!$K$7:$K$2000,"erfüllt")</f>
        <v>0</v>
      </c>
      <c r="F13" s="52" t="n">
        <f aca="false">COUNTIFS(Anforderungen!$E$7:$E$2000,$A13,Anforderungen!$K$7:$K$2000,"trifft nicht zu")</f>
        <v>34</v>
      </c>
      <c r="G13" s="53" t="n">
        <f aca="false">IFERROR(E13/(B13-F13),0)</f>
        <v>0</v>
      </c>
    </row>
    <row r="14" customFormat="false" ht="15" hidden="false" customHeight="true" outlineLevel="0" collapsed="false">
      <c r="A14" s="51" t="s">
        <v>357</v>
      </c>
      <c r="B14" s="52" t="n">
        <f aca="false">COUNTIF(Anforderungen!$E$7:$E$2000,$A14)</f>
        <v>228</v>
      </c>
      <c r="C14" s="52" t="n">
        <f aca="false">COUNTIFS(Anforderungen!$E$7:$E$2000,$A14,Anforderungen!$K$7:$K$2000,"erfasst")</f>
        <v>0</v>
      </c>
      <c r="D14" s="52" t="n">
        <f aca="false">COUNTIFS(Anforderungen!$E$7:$E$2000,$A14,Anforderungen!$K$7:$K$2000,"bewertet")</f>
        <v>0</v>
      </c>
      <c r="E14" s="52" t="n">
        <f aca="false">COUNTIFS(Anforderungen!$E$7:$E$2000,$A14,Anforderungen!$K$7:$K$2000,"erfüllt")</f>
        <v>0</v>
      </c>
      <c r="F14" s="52" t="n">
        <f aca="false">COUNTIFS(Anforderungen!$E$7:$E$2000,$A14,Anforderungen!$K$7:$K$2000,"trifft nicht zu")</f>
        <v>228</v>
      </c>
      <c r="G14" s="53" t="n">
        <f aca="false">IFERROR(E14/(B14-F14),0)</f>
        <v>0</v>
      </c>
    </row>
    <row r="15" customFormat="false" ht="15" hidden="false" customHeight="true" outlineLevel="0" collapsed="false">
      <c r="A15" s="51" t="s">
        <v>99</v>
      </c>
      <c r="B15" s="52" t="n">
        <f aca="false">COUNTIF(Anforderungen!$E$7:$E$2000,$A15)</f>
        <v>44</v>
      </c>
      <c r="C15" s="52" t="n">
        <f aca="false">COUNTIFS(Anforderungen!$E$7:$E$2000,$A15,Anforderungen!$K$7:$K$2000,"erfasst")</f>
        <v>0</v>
      </c>
      <c r="D15" s="52" t="n">
        <f aca="false">COUNTIFS(Anforderungen!$E$7:$E$2000,$A15,Anforderungen!$K$7:$K$2000,"bewertet")</f>
        <v>0</v>
      </c>
      <c r="E15" s="52" t="n">
        <f aca="false">COUNTIFS(Anforderungen!$E$7:$E$2000,$A15,Anforderungen!$K$7:$K$2000,"erfüllt")</f>
        <v>0</v>
      </c>
      <c r="F15" s="52" t="n">
        <f aca="false">COUNTIFS(Anforderungen!$E$7:$E$2000,$A15,Anforderungen!$K$7:$K$2000,"trifft nicht zu")</f>
        <v>44</v>
      </c>
      <c r="G15" s="53" t="n">
        <f aca="false">IFERROR(E15/(B15-F15),0)</f>
        <v>0</v>
      </c>
    </row>
    <row r="16" customFormat="false" ht="15" hidden="false" customHeight="true" outlineLevel="0" collapsed="false">
      <c r="A16" s="51" t="s">
        <v>39</v>
      </c>
      <c r="B16" s="52" t="n">
        <f aca="false">COUNTIF(Anforderungen!$E$7:$E$2000,$A16)</f>
        <v>74</v>
      </c>
      <c r="C16" s="52" t="n">
        <f aca="false">COUNTIFS(Anforderungen!$E$7:$E$2000,$A16,Anforderungen!$K$7:$K$2000,"erfasst")</f>
        <v>13</v>
      </c>
      <c r="D16" s="52" t="n">
        <f aca="false">COUNTIFS(Anforderungen!$E$7:$E$2000,$A16,Anforderungen!$K$7:$K$2000,"bewertet")</f>
        <v>1</v>
      </c>
      <c r="E16" s="52" t="n">
        <f aca="false">COUNTIFS(Anforderungen!$E$7:$E$2000,$A16,Anforderungen!$K$7:$K$2000,"erfüllt")</f>
        <v>0</v>
      </c>
      <c r="F16" s="52" t="n">
        <f aca="false">COUNTIFS(Anforderungen!$E$7:$E$2000,$A16,Anforderungen!$K$7:$K$2000,"trifft nicht zu")</f>
        <v>60</v>
      </c>
      <c r="G16" s="53" t="n">
        <f aca="false">IFERROR(E16/(B16-F16),0)</f>
        <v>0</v>
      </c>
    </row>
    <row r="17" customFormat="false" ht="15" hidden="false" customHeight="true" outlineLevel="0" collapsed="false">
      <c r="A17" s="51" t="s">
        <v>543</v>
      </c>
      <c r="B17" s="52" t="n">
        <f aca="false">COUNTIF(Anforderungen!$E$7:$E$2000,$A17)</f>
        <v>98</v>
      </c>
      <c r="C17" s="52" t="n">
        <f aca="false">COUNTIFS(Anforderungen!$E$7:$E$2000,$A17,Anforderungen!$K$7:$K$2000,"erfasst")</f>
        <v>4</v>
      </c>
      <c r="D17" s="52" t="n">
        <f aca="false">COUNTIFS(Anforderungen!$E$7:$E$2000,$A17,Anforderungen!$K$7:$K$2000,"bewertet")</f>
        <v>0</v>
      </c>
      <c r="E17" s="52" t="n">
        <f aca="false">COUNTIFS(Anforderungen!$E$7:$E$2000,$A17,Anforderungen!$K$7:$K$2000,"erfüllt")</f>
        <v>0</v>
      </c>
      <c r="F17" s="52" t="n">
        <f aca="false">COUNTIFS(Anforderungen!$E$7:$E$2000,$A17,Anforderungen!$K$7:$K$2000,"trifft nicht zu")</f>
        <v>94</v>
      </c>
      <c r="G17" s="53" t="n">
        <f aca="false">IFERROR(E17/(B17-F17),0)</f>
        <v>0</v>
      </c>
    </row>
    <row r="18" customFormat="false" ht="15" hidden="false" customHeight="true" outlineLevel="0" collapsed="false">
      <c r="A18" s="51" t="s">
        <v>600</v>
      </c>
      <c r="B18" s="52" t="n">
        <f aca="false">COUNTIF(Anforderungen!$E$7:$E$2000,$A18)</f>
        <v>153</v>
      </c>
      <c r="C18" s="52" t="n">
        <f aca="false">COUNTIFS(Anforderungen!$E$7:$E$2000,$A18,Anforderungen!$K$7:$K$2000,"erfasst")</f>
        <v>2</v>
      </c>
      <c r="D18" s="52" t="n">
        <f aca="false">COUNTIFS(Anforderungen!$E$7:$E$2000,$A18,Anforderungen!$K$7:$K$2000,"bewertet")</f>
        <v>0</v>
      </c>
      <c r="E18" s="52" t="n">
        <f aca="false">COUNTIFS(Anforderungen!$E$7:$E$2000,$A18,Anforderungen!$K$7:$K$2000,"erfüllt")</f>
        <v>0</v>
      </c>
      <c r="F18" s="52" t="n">
        <f aca="false">COUNTIFS(Anforderungen!$E$7:$E$2000,$A18,Anforderungen!$K$7:$K$2000,"trifft nicht zu")</f>
        <v>151</v>
      </c>
      <c r="G18" s="53" t="n">
        <f aca="false">IFERROR(E18/(B18-F18),0)</f>
        <v>0</v>
      </c>
    </row>
    <row r="19" customFormat="false" ht="15" hidden="false" customHeight="true" outlineLevel="0" collapsed="false">
      <c r="A19" s="51" t="s">
        <v>327</v>
      </c>
      <c r="B19" s="52" t="n">
        <f aca="false">COUNTIF(Anforderungen!$E$7:$E$2000,$A19)</f>
        <v>70</v>
      </c>
      <c r="C19" s="52" t="n">
        <f aca="false">COUNTIFS(Anforderungen!$E$7:$E$2000,$A19,Anforderungen!$K$7:$K$2000,"erfasst")</f>
        <v>0</v>
      </c>
      <c r="D19" s="52" t="n">
        <f aca="false">COUNTIFS(Anforderungen!$E$7:$E$2000,$A19,Anforderungen!$K$7:$K$2000,"bewertet")</f>
        <v>0</v>
      </c>
      <c r="E19" s="52" t="n">
        <f aca="false">COUNTIFS(Anforderungen!$E$7:$E$2000,$A19,Anforderungen!$K$7:$K$2000,"erfüllt")</f>
        <v>0</v>
      </c>
      <c r="F19" s="52" t="n">
        <f aca="false">COUNTIFS(Anforderungen!$E$7:$E$2000,$A19,Anforderungen!$K$7:$K$2000,"trifft nicht zu")</f>
        <v>70</v>
      </c>
      <c r="G19" s="53" t="n">
        <f aca="false">IFERROR(E19/(B19-F19),0)</f>
        <v>0</v>
      </c>
    </row>
    <row r="20" customFormat="false" ht="15" hidden="false" customHeight="true" outlineLevel="0" collapsed="false">
      <c r="A20" s="51" t="s">
        <v>340</v>
      </c>
      <c r="B20" s="52" t="n">
        <f aca="false">COUNTIF(Anforderungen!$E$7:$E$2000,$A20)</f>
        <v>314</v>
      </c>
      <c r="C20" s="52" t="n">
        <f aca="false">COUNTIFS(Anforderungen!$E$7:$E$2000,$A20,Anforderungen!$K$7:$K$2000,"erfasst")</f>
        <v>0</v>
      </c>
      <c r="D20" s="52" t="n">
        <f aca="false">COUNTIFS(Anforderungen!$E$7:$E$2000,$A20,Anforderungen!$K$7:$K$2000,"bewertet")</f>
        <v>0</v>
      </c>
      <c r="E20" s="52" t="n">
        <f aca="false">COUNTIFS(Anforderungen!$E$7:$E$2000,$A20,Anforderungen!$K$7:$K$2000,"erfüllt")</f>
        <v>0</v>
      </c>
      <c r="F20" s="52" t="n">
        <f aca="false">COUNTIFS(Anforderungen!$E$7:$E$2000,$A20,Anforderungen!$K$7:$K$2000,"trifft nicht zu")</f>
        <v>314</v>
      </c>
      <c r="G20" s="53" t="n">
        <f aca="false">IFERROR(E20/(B20-F20),0)</f>
        <v>0</v>
      </c>
    </row>
    <row r="21" customFormat="false" ht="15" hidden="false" customHeight="true" outlineLevel="0" collapsed="false">
      <c r="A21" s="51" t="s">
        <v>78</v>
      </c>
      <c r="B21" s="52" t="n">
        <f aca="false">COUNTIF(Anforderungen!$E$7:$E$2000,$A21)</f>
        <v>30</v>
      </c>
      <c r="C21" s="52" t="n">
        <f aca="false">COUNTIFS(Anforderungen!$E$7:$E$2000,$A21,Anforderungen!$K$7:$K$2000,"erfasst")</f>
        <v>22</v>
      </c>
      <c r="D21" s="52" t="n">
        <f aca="false">COUNTIFS(Anforderungen!$E$7:$E$2000,$A21,Anforderungen!$K$7:$K$2000,"bewertet")</f>
        <v>0</v>
      </c>
      <c r="E21" s="52" t="n">
        <f aca="false">COUNTIFS(Anforderungen!$E$7:$E$2000,$A21,Anforderungen!$K$7:$K$2000,"erfüllt")</f>
        <v>6</v>
      </c>
      <c r="F21" s="52" t="n">
        <f aca="false">COUNTIFS(Anforderungen!$E$7:$E$2000,$A21,Anforderungen!$K$7:$K$2000,"trifft nicht zu")</f>
        <v>2</v>
      </c>
      <c r="G21" s="53" t="n">
        <f aca="false">IFERROR(E21/(B21-F21),0)</f>
        <v>0.214285714285714</v>
      </c>
    </row>
    <row r="22" customFormat="false" ht="15" hidden="false" customHeight="true" outlineLevel="0" collapsed="false">
      <c r="A22" s="51"/>
      <c r="B22" s="52"/>
      <c r="C22" s="54"/>
      <c r="D22" s="55"/>
      <c r="E22" s="48"/>
      <c r="F22" s="48"/>
      <c r="G22" s="56"/>
    </row>
    <row r="23" customFormat="false" ht="15" hidden="false" customHeight="true" outlineLevel="0" collapsed="false">
      <c r="A23" s="51"/>
      <c r="B23" s="52"/>
      <c r="C23" s="54"/>
      <c r="D23" s="55"/>
      <c r="E23" s="48"/>
      <c r="F23" s="48"/>
      <c r="G23" s="56"/>
    </row>
    <row r="24" customFormat="false" ht="15" hidden="false" customHeight="true" outlineLevel="0" collapsed="false">
      <c r="A24" s="49" t="s">
        <v>6239</v>
      </c>
      <c r="B24" s="49"/>
      <c r="C24" s="49"/>
      <c r="D24" s="49"/>
      <c r="E24" s="49"/>
      <c r="F24" s="49"/>
      <c r="G24" s="49"/>
    </row>
    <row r="25" customFormat="false" ht="15" hidden="false" customHeight="true" outlineLevel="0" collapsed="false">
      <c r="A25" s="50" t="s">
        <v>6237</v>
      </c>
      <c r="B25" s="50" t="s">
        <v>6238</v>
      </c>
      <c r="C25" s="50" t="s">
        <v>6</v>
      </c>
      <c r="D25" s="50" t="s">
        <v>7</v>
      </c>
      <c r="E25" s="50" t="s">
        <v>8</v>
      </c>
      <c r="F25" s="50" t="s">
        <v>10</v>
      </c>
      <c r="G25" s="50" t="s">
        <v>14</v>
      </c>
    </row>
    <row r="26" customFormat="false" ht="15" hidden="false" customHeight="true" outlineLevel="0" collapsed="false">
      <c r="A26" s="51" t="s">
        <v>3696</v>
      </c>
      <c r="B26" s="52" t="n">
        <f aca="false">SUMPRODUCT(ISNUMBER(SEARCH($A26,Anforderungen!$I$7:$I$2000))*(Anforderungen!$B$7:$B$2000&lt;&gt;""))</f>
        <v>104</v>
      </c>
      <c r="C26" s="52" t="n">
        <f aca="false">SUMPRODUCT(ISNUMBER(SEARCH($A26,Anforderungen!$I$7:$I$2000))*(Anforderungen!$K$7:$K$2000="erfasst"))</f>
        <v>2</v>
      </c>
      <c r="D26" s="52" t="n">
        <f aca="false">SUMPRODUCT(ISNUMBER(SEARCH($A26,Anforderungen!$I$7:$I$2000))*(Anforderungen!$K$7:$K$2000="bewertet"))</f>
        <v>0</v>
      </c>
      <c r="E26" s="52" t="n">
        <f aca="false">SUMPRODUCT(ISNUMBER(SEARCH($A26,Anforderungen!$I$7:$I$2000))*(Anforderungen!$K$7:$K$2000="erfüllt"))</f>
        <v>0</v>
      </c>
      <c r="F26" s="52" t="n">
        <f aca="false">SUMPRODUCT(ISNUMBER(SEARCH($A26,Anforderungen!$I$7:$I$2000))*(Anforderungen!$K$7:$K$2000="trifft nicht zu"))</f>
        <v>102</v>
      </c>
      <c r="G26" s="53" t="n">
        <f aca="false">IFERROR(E26/(B26-F26),0)</f>
        <v>0</v>
      </c>
    </row>
    <row r="27" customFormat="false" ht="15" hidden="false" customHeight="true" outlineLevel="0" collapsed="false">
      <c r="A27" s="51" t="s">
        <v>42</v>
      </c>
      <c r="B27" s="52" t="n">
        <f aca="false">SUMPRODUCT(ISNUMBER(SEARCH($A27,Anforderungen!$I$7:$I$2000))*(Anforderungen!$B$7:$B$2000&lt;&gt;""))</f>
        <v>225</v>
      </c>
      <c r="C27" s="52" t="n">
        <f aca="false">SUMPRODUCT(ISNUMBER(SEARCH($A27,Anforderungen!$I$7:$I$2000))*(Anforderungen!$K$7:$K$2000="erfasst"))</f>
        <v>26</v>
      </c>
      <c r="D27" s="52" t="n">
        <f aca="false">SUMPRODUCT(ISNUMBER(SEARCH($A27,Anforderungen!$I$7:$I$2000))*(Anforderungen!$K$7:$K$2000="bewertet"))</f>
        <v>0</v>
      </c>
      <c r="E27" s="52" t="n">
        <f aca="false">SUMPRODUCT(ISNUMBER(SEARCH($A27,Anforderungen!$I$7:$I$2000))*(Anforderungen!$K$7:$K$2000="erfüllt"))</f>
        <v>5</v>
      </c>
      <c r="F27" s="52" t="n">
        <f aca="false">SUMPRODUCT(ISNUMBER(SEARCH($A27,Anforderungen!$I$7:$I$2000))*(Anforderungen!$K$7:$K$2000="trifft nicht zu"))</f>
        <v>194</v>
      </c>
      <c r="G27" s="53" t="n">
        <f aca="false">IFERROR(E27/(B27-F27),0)</f>
        <v>0.161290322580645</v>
      </c>
    </row>
    <row r="28" customFormat="false" ht="15" hidden="false" customHeight="true" outlineLevel="0" collapsed="false">
      <c r="A28" s="51" t="s">
        <v>286</v>
      </c>
      <c r="B28" s="52" t="n">
        <f aca="false">SUMPRODUCT(ISNUMBER(SEARCH($A28,Anforderungen!$I$7:$I$2000))*(Anforderungen!$B$7:$B$2000&lt;&gt;""))</f>
        <v>76</v>
      </c>
      <c r="C28" s="52" t="n">
        <f aca="false">SUMPRODUCT(ISNUMBER(SEARCH($A28,Anforderungen!$I$7:$I$2000))*(Anforderungen!$K$7:$K$2000="erfasst"))</f>
        <v>39</v>
      </c>
      <c r="D28" s="52" t="n">
        <f aca="false">SUMPRODUCT(ISNUMBER(SEARCH($A28,Anforderungen!$I$7:$I$2000))*(Anforderungen!$K$7:$K$2000="bewertet"))</f>
        <v>0</v>
      </c>
      <c r="E28" s="52" t="n">
        <f aca="false">SUMPRODUCT(ISNUMBER(SEARCH($A28,Anforderungen!$I$7:$I$2000))*(Anforderungen!$K$7:$K$2000="erfüllt"))</f>
        <v>6</v>
      </c>
      <c r="F28" s="52" t="n">
        <f aca="false">SUMPRODUCT(ISNUMBER(SEARCH($A28,Anforderungen!$I$7:$I$2000))*(Anforderungen!$K$7:$K$2000="trifft nicht zu"))</f>
        <v>31</v>
      </c>
      <c r="G28" s="53" t="n">
        <f aca="false">IFERROR(E28/(B28-F28),0)</f>
        <v>0.133333333333333</v>
      </c>
    </row>
    <row r="29" customFormat="false" ht="15" hidden="false" customHeight="true" outlineLevel="0" collapsed="false">
      <c r="A29" s="51" t="s">
        <v>297</v>
      </c>
      <c r="B29" s="52" t="n">
        <f aca="false">SUMPRODUCT(ISNUMBER(SEARCH($A29,Anforderungen!$I$7:$I$2000))*(Anforderungen!$B$7:$B$2000&lt;&gt;""))</f>
        <v>13</v>
      </c>
      <c r="C29" s="52" t="n">
        <f aca="false">SUMPRODUCT(ISNUMBER(SEARCH($A29,Anforderungen!$I$7:$I$2000))*(Anforderungen!$K$7:$K$2000="erfasst"))</f>
        <v>3</v>
      </c>
      <c r="D29" s="52" t="n">
        <f aca="false">SUMPRODUCT(ISNUMBER(SEARCH($A29,Anforderungen!$I$7:$I$2000))*(Anforderungen!$K$7:$K$2000="bewertet"))</f>
        <v>0</v>
      </c>
      <c r="E29" s="52" t="n">
        <f aca="false">SUMPRODUCT(ISNUMBER(SEARCH($A29,Anforderungen!$I$7:$I$2000))*(Anforderungen!$K$7:$K$2000="erfüllt"))</f>
        <v>0</v>
      </c>
      <c r="F29" s="52" t="n">
        <f aca="false">SUMPRODUCT(ISNUMBER(SEARCH($A29,Anforderungen!$I$7:$I$2000))*(Anforderungen!$K$7:$K$2000="trifft nicht zu"))</f>
        <v>10</v>
      </c>
      <c r="G29" s="53" t="n">
        <f aca="false">IFERROR(E29/(B29-F29),0)</f>
        <v>0</v>
      </c>
    </row>
    <row r="30" customFormat="false" ht="15" hidden="false" customHeight="true" outlineLevel="0" collapsed="false">
      <c r="A30" s="51" t="s">
        <v>336</v>
      </c>
      <c r="B30" s="52" t="n">
        <f aca="false">SUMPRODUCT(ISNUMBER(SEARCH($A30,Anforderungen!$I$7:$I$2000))*(Anforderungen!$B$7:$B$2000&lt;&gt;""))</f>
        <v>29</v>
      </c>
      <c r="C30" s="52" t="n">
        <f aca="false">SUMPRODUCT(ISNUMBER(SEARCH($A30,Anforderungen!$I$7:$I$2000))*(Anforderungen!$K$7:$K$2000="erfasst"))</f>
        <v>18</v>
      </c>
      <c r="D30" s="52" t="n">
        <f aca="false">SUMPRODUCT(ISNUMBER(SEARCH($A30,Anforderungen!$I$7:$I$2000))*(Anforderungen!$K$7:$K$2000="bewertet"))</f>
        <v>0</v>
      </c>
      <c r="E30" s="52" t="n">
        <f aca="false">SUMPRODUCT(ISNUMBER(SEARCH($A30,Anforderungen!$I$7:$I$2000))*(Anforderungen!$K$7:$K$2000="erfüllt"))</f>
        <v>0</v>
      </c>
      <c r="F30" s="52" t="n">
        <f aca="false">SUMPRODUCT(ISNUMBER(SEARCH($A30,Anforderungen!$I$7:$I$2000))*(Anforderungen!$K$7:$K$2000="trifft nicht zu"))</f>
        <v>11</v>
      </c>
      <c r="G30" s="53" t="n">
        <f aca="false">IFERROR(E30/(B30-F30),0)</f>
        <v>0</v>
      </c>
    </row>
    <row r="31" customFormat="false" ht="15" hidden="false" customHeight="true" outlineLevel="0" collapsed="false">
      <c r="A31" s="51" t="s">
        <v>302</v>
      </c>
      <c r="B31" s="52" t="n">
        <f aca="false">SUMPRODUCT(ISNUMBER(SEARCH($A31,Anforderungen!$I$7:$I$2000))*(Anforderungen!$B$7:$B$2000&lt;&gt;""))</f>
        <v>731</v>
      </c>
      <c r="C31" s="52" t="n">
        <f aca="false">SUMPRODUCT(ISNUMBER(SEARCH($A31,Anforderungen!$I$7:$I$2000))*(Anforderungen!$K$7:$K$2000="erfasst"))</f>
        <v>0</v>
      </c>
      <c r="D31" s="52" t="n">
        <f aca="false">SUMPRODUCT(ISNUMBER(SEARCH($A31,Anforderungen!$I$7:$I$2000))*(Anforderungen!$K$7:$K$2000="bewertet"))</f>
        <v>0</v>
      </c>
      <c r="E31" s="52" t="n">
        <f aca="false">SUMPRODUCT(ISNUMBER(SEARCH($A31,Anforderungen!$I$7:$I$2000))*(Anforderungen!$K$7:$K$2000="erfüllt"))</f>
        <v>0</v>
      </c>
      <c r="F31" s="52" t="n">
        <f aca="false">SUMPRODUCT(ISNUMBER(SEARCH($A31,Anforderungen!$I$7:$I$2000))*(Anforderungen!$K$7:$K$2000="trifft nicht zu"))</f>
        <v>731</v>
      </c>
      <c r="G31" s="53" t="n">
        <f aca="false">IFERROR(E31/(B31-F31),0)</f>
        <v>0</v>
      </c>
    </row>
    <row r="32" customFormat="false" ht="15" hidden="false" customHeight="true" outlineLevel="0" collapsed="false">
      <c r="A32" s="51" t="s">
        <v>472</v>
      </c>
      <c r="B32" s="52" t="n">
        <f aca="false">SUMPRODUCT(ISNUMBER(SEARCH($A32,Anforderungen!$I$7:$I$2000))*(Anforderungen!$B$7:$B$2000&lt;&gt;""))</f>
        <v>230</v>
      </c>
      <c r="C32" s="52" t="n">
        <f aca="false">SUMPRODUCT(ISNUMBER(SEARCH($A32,Anforderungen!$I$7:$I$2000))*(Anforderungen!$K$7:$K$2000="erfasst"))</f>
        <v>0</v>
      </c>
      <c r="D32" s="52" t="n">
        <f aca="false">SUMPRODUCT(ISNUMBER(SEARCH($A32,Anforderungen!$I$7:$I$2000))*(Anforderungen!$K$7:$K$2000="bewertet"))</f>
        <v>0</v>
      </c>
      <c r="E32" s="52" t="n">
        <f aca="false">SUMPRODUCT(ISNUMBER(SEARCH($A32,Anforderungen!$I$7:$I$2000))*(Anforderungen!$K$7:$K$2000="erfüllt"))</f>
        <v>0</v>
      </c>
      <c r="F32" s="52" t="n">
        <f aca="false">SUMPRODUCT(ISNUMBER(SEARCH($A32,Anforderungen!$I$7:$I$2000))*(Anforderungen!$K$7:$K$2000="trifft nicht zu"))</f>
        <v>230</v>
      </c>
      <c r="G32" s="53" t="n">
        <f aca="false">IFERROR(E32/(B32-F32),0)</f>
        <v>0</v>
      </c>
    </row>
    <row r="33" customFormat="false" ht="15" hidden="false" customHeight="true" outlineLevel="0" collapsed="false">
      <c r="A33" s="51"/>
      <c r="B33" s="52"/>
      <c r="C33" s="54"/>
      <c r="D33" s="55"/>
      <c r="E33" s="48"/>
      <c r="F33" s="48"/>
      <c r="G33" s="56"/>
    </row>
    <row r="34" customFormat="false" ht="15" hidden="false" customHeight="true" outlineLevel="0" collapsed="false">
      <c r="A34" s="51"/>
      <c r="B34" s="52"/>
      <c r="C34" s="54"/>
      <c r="D34" s="55"/>
      <c r="E34" s="48"/>
      <c r="F34" s="48"/>
      <c r="G34" s="56"/>
    </row>
    <row r="35" customFormat="false" ht="15" hidden="false" customHeight="true" outlineLevel="0" collapsed="false">
      <c r="A35" s="49" t="s">
        <v>6240</v>
      </c>
      <c r="B35" s="49"/>
      <c r="C35" s="49"/>
      <c r="D35" s="49"/>
      <c r="E35" s="49"/>
      <c r="F35" s="49"/>
      <c r="G35" s="49"/>
    </row>
    <row r="36" customFormat="false" ht="15" hidden="false" customHeight="true" outlineLevel="0" collapsed="false">
      <c r="A36" s="50" t="s">
        <v>6237</v>
      </c>
      <c r="B36" s="50" t="s">
        <v>6238</v>
      </c>
      <c r="C36" s="50" t="s">
        <v>6</v>
      </c>
      <c r="D36" s="50" t="s">
        <v>7</v>
      </c>
      <c r="E36" s="50" t="s">
        <v>8</v>
      </c>
      <c r="F36" s="50" t="s">
        <v>10</v>
      </c>
      <c r="G36" s="50" t="s">
        <v>14</v>
      </c>
    </row>
    <row r="37" customFormat="false" ht="15" hidden="false" customHeight="true" outlineLevel="0" collapsed="false">
      <c r="A37" s="51" t="s">
        <v>155</v>
      </c>
      <c r="B37" s="52" t="n">
        <f aca="false">SUMPRODUCT(ISNUMBER(SEARCH($A37,Anforderungen!$J$7:$J$2000))*(Anforderungen!$B$7:$B$2000&lt;&gt;""))</f>
        <v>171</v>
      </c>
      <c r="C37" s="52" t="n">
        <f aca="false">SUMPRODUCT(ISNUMBER(SEARCH($A37,Anforderungen!$J$7:$J$2000))*(Anforderungen!$K$7:$K$2000="erfasst"))</f>
        <v>10</v>
      </c>
      <c r="D37" s="52" t="n">
        <f aca="false">SUMPRODUCT(ISNUMBER(SEARCH($A37,Anforderungen!$J$7:$J$2000))*(Anforderungen!$K$7:$K$2000="bewertet"))</f>
        <v>0</v>
      </c>
      <c r="E37" s="52" t="n">
        <f aca="false">SUMPRODUCT(ISNUMBER(SEARCH($A37,Anforderungen!$J$7:$J$2000))*(Anforderungen!$K$7:$K$2000="erfüllt"))</f>
        <v>0</v>
      </c>
      <c r="F37" s="52" t="n">
        <f aca="false">SUMPRODUCT(ISNUMBER(SEARCH($A37,Anforderungen!$J$7:$J$2000))*(Anforderungen!$K$7:$K$2000="trifft nicht zu"))</f>
        <v>161</v>
      </c>
      <c r="G37" s="53" t="n">
        <f aca="false">IFERROR(E37/(B37-F37),0)</f>
        <v>0</v>
      </c>
    </row>
    <row r="38" customFormat="false" ht="15" hidden="false" customHeight="true" outlineLevel="0" collapsed="false">
      <c r="A38" s="51" t="s">
        <v>67</v>
      </c>
      <c r="B38" s="52" t="n">
        <f aca="false">SUMPRODUCT(ISNUMBER(SEARCH($A38,Anforderungen!$J$7:$J$2000))*(Anforderungen!$B$7:$B$2000&lt;&gt;""))</f>
        <v>50</v>
      </c>
      <c r="C38" s="52" t="n">
        <f aca="false">SUMPRODUCT(ISNUMBER(SEARCH($A38,Anforderungen!$J$7:$J$2000))*(Anforderungen!$K$7:$K$2000="erfasst"))</f>
        <v>2</v>
      </c>
      <c r="D38" s="52" t="n">
        <f aca="false">SUMPRODUCT(ISNUMBER(SEARCH($A38,Anforderungen!$J$7:$J$2000))*(Anforderungen!$K$7:$K$2000="bewertet"))</f>
        <v>0</v>
      </c>
      <c r="E38" s="52" t="n">
        <f aca="false">SUMPRODUCT(ISNUMBER(SEARCH($A38,Anforderungen!$J$7:$J$2000))*(Anforderungen!$K$7:$K$2000="erfüllt"))</f>
        <v>0</v>
      </c>
      <c r="F38" s="52" t="n">
        <f aca="false">SUMPRODUCT(ISNUMBER(SEARCH($A38,Anforderungen!$J$7:$J$2000))*(Anforderungen!$K$7:$K$2000="trifft nicht zu"))</f>
        <v>48</v>
      </c>
      <c r="G38" s="53" t="n">
        <f aca="false">IFERROR(E38/(B38-F38),0)</f>
        <v>0</v>
      </c>
    </row>
    <row r="39" customFormat="false" ht="15" hidden="false" customHeight="true" outlineLevel="0" collapsed="false">
      <c r="A39" s="51" t="s">
        <v>261</v>
      </c>
      <c r="B39" s="52" t="n">
        <f aca="false">SUMPRODUCT(ISNUMBER(SEARCH($A39,Anforderungen!$J$7:$J$2000))*(Anforderungen!$B$7:$B$2000&lt;&gt;""))</f>
        <v>66</v>
      </c>
      <c r="C39" s="52" t="n">
        <f aca="false">SUMPRODUCT(ISNUMBER(SEARCH($A39,Anforderungen!$J$7:$J$2000))*(Anforderungen!$K$7:$K$2000="erfasst"))</f>
        <v>12</v>
      </c>
      <c r="D39" s="52" t="n">
        <f aca="false">SUMPRODUCT(ISNUMBER(SEARCH($A39,Anforderungen!$J$7:$J$2000))*(Anforderungen!$K$7:$K$2000="bewertet"))</f>
        <v>0</v>
      </c>
      <c r="E39" s="52" t="n">
        <f aca="false">SUMPRODUCT(ISNUMBER(SEARCH($A39,Anforderungen!$J$7:$J$2000))*(Anforderungen!$K$7:$K$2000="erfüllt"))</f>
        <v>2</v>
      </c>
      <c r="F39" s="52" t="n">
        <f aca="false">SUMPRODUCT(ISNUMBER(SEARCH($A39,Anforderungen!$J$7:$J$2000))*(Anforderungen!$K$7:$K$2000="trifft nicht zu"))</f>
        <v>52</v>
      </c>
      <c r="G39" s="53" t="n">
        <f aca="false">IFERROR(E39/(B39-F39),0)</f>
        <v>0.142857142857143</v>
      </c>
    </row>
    <row r="40" customFormat="false" ht="15" hidden="false" customHeight="true" outlineLevel="0" collapsed="false">
      <c r="A40" s="51" t="s">
        <v>270</v>
      </c>
      <c r="B40" s="52" t="n">
        <f aca="false">SUMPRODUCT(ISNUMBER(SEARCH($A40,Anforderungen!$J$7:$J$2000))*(Anforderungen!$B$7:$B$2000&lt;&gt;""))</f>
        <v>44</v>
      </c>
      <c r="C40" s="52" t="n">
        <f aca="false">SUMPRODUCT(ISNUMBER(SEARCH($A40,Anforderungen!$J$7:$J$2000))*(Anforderungen!$K$7:$K$2000="erfasst"))</f>
        <v>0</v>
      </c>
      <c r="D40" s="52" t="n">
        <f aca="false">SUMPRODUCT(ISNUMBER(SEARCH($A40,Anforderungen!$J$7:$J$2000))*(Anforderungen!$K$7:$K$2000="bewertet"))</f>
        <v>0</v>
      </c>
      <c r="E40" s="52" t="n">
        <f aca="false">SUMPRODUCT(ISNUMBER(SEARCH($A40,Anforderungen!$J$7:$J$2000))*(Anforderungen!$K$7:$K$2000="erfüllt"))</f>
        <v>0</v>
      </c>
      <c r="F40" s="52" t="n">
        <f aca="false">SUMPRODUCT(ISNUMBER(SEARCH($A40,Anforderungen!$J$7:$J$2000))*(Anforderungen!$K$7:$K$2000="trifft nicht zu"))</f>
        <v>44</v>
      </c>
      <c r="G40" s="53" t="n">
        <f aca="false">IFERROR(E40/(B40-F40),0)</f>
        <v>0</v>
      </c>
    </row>
    <row r="41" customFormat="false" ht="15" hidden="false" customHeight="true" outlineLevel="0" collapsed="false">
      <c r="A41" s="51" t="s">
        <v>43</v>
      </c>
      <c r="B41" s="52" t="n">
        <f aca="false">SUMPRODUCT(ISNUMBER(SEARCH($A41,Anforderungen!$J$7:$J$2000))*(Anforderungen!$B$7:$B$2000&lt;&gt;""))</f>
        <v>102</v>
      </c>
      <c r="C41" s="52" t="n">
        <f aca="false">SUMPRODUCT(ISNUMBER(SEARCH($A41,Anforderungen!$J$7:$J$2000))*(Anforderungen!$K$7:$K$2000="erfasst"))</f>
        <v>16</v>
      </c>
      <c r="D41" s="52" t="n">
        <f aca="false">SUMPRODUCT(ISNUMBER(SEARCH($A41,Anforderungen!$J$7:$J$2000))*(Anforderungen!$K$7:$K$2000="bewertet"))</f>
        <v>0</v>
      </c>
      <c r="E41" s="52" t="n">
        <f aca="false">SUMPRODUCT(ISNUMBER(SEARCH($A41,Anforderungen!$J$7:$J$2000))*(Anforderungen!$K$7:$K$2000="erfüllt"))</f>
        <v>1</v>
      </c>
      <c r="F41" s="52" t="n">
        <f aca="false">SUMPRODUCT(ISNUMBER(SEARCH($A41,Anforderungen!$J$7:$J$2000))*(Anforderungen!$K$7:$K$2000="trifft nicht zu"))</f>
        <v>85</v>
      </c>
      <c r="G41" s="53" t="n">
        <f aca="false">IFERROR(E41/(B41-F41),0)</f>
        <v>0.0588235294117647</v>
      </c>
    </row>
    <row r="42" customFormat="false" ht="15" hidden="false" customHeight="true" outlineLevel="0" collapsed="false">
      <c r="A42" s="51" t="s">
        <v>53</v>
      </c>
      <c r="B42" s="52" t="n">
        <f aca="false">SUMPRODUCT(ISNUMBER(SEARCH($A42,Anforderungen!$J$7:$J$2000))*(Anforderungen!$B$7:$B$2000&lt;&gt;""))</f>
        <v>3</v>
      </c>
      <c r="C42" s="52" t="n">
        <f aca="false">SUMPRODUCT(ISNUMBER(SEARCH($A42,Anforderungen!$J$7:$J$2000))*(Anforderungen!$K$7:$K$2000="erfasst"))</f>
        <v>0</v>
      </c>
      <c r="D42" s="52" t="n">
        <f aca="false">SUMPRODUCT(ISNUMBER(SEARCH($A42,Anforderungen!$J$7:$J$2000))*(Anforderungen!$K$7:$K$2000="bewertet"))</f>
        <v>1</v>
      </c>
      <c r="E42" s="52" t="n">
        <f aca="false">SUMPRODUCT(ISNUMBER(SEARCH($A42,Anforderungen!$J$7:$J$2000))*(Anforderungen!$K$7:$K$2000="erfüllt"))</f>
        <v>0</v>
      </c>
      <c r="F42" s="52" t="n">
        <f aca="false">SUMPRODUCT(ISNUMBER(SEARCH($A42,Anforderungen!$J$7:$J$2000))*(Anforderungen!$K$7:$K$2000="trifft nicht zu"))</f>
        <v>2</v>
      </c>
      <c r="G42" s="53" t="n">
        <f aca="false">IFERROR(E42/(B42-F42),0)</f>
        <v>0</v>
      </c>
    </row>
    <row r="43" customFormat="false" ht="15" hidden="false" customHeight="true" outlineLevel="0" collapsed="false">
      <c r="A43" s="51" t="s">
        <v>297</v>
      </c>
      <c r="B43" s="52" t="n">
        <f aca="false">SUMPRODUCT(ISNUMBER(SEARCH($A43,Anforderungen!$J$7:$J$2000))*(Anforderungen!$B$7:$B$2000&lt;&gt;""))</f>
        <v>12</v>
      </c>
      <c r="C43" s="52" t="n">
        <f aca="false">SUMPRODUCT(ISNUMBER(SEARCH($A43,Anforderungen!$J$7:$J$2000))*(Anforderungen!$K$7:$K$2000="erfasst"))</f>
        <v>3</v>
      </c>
      <c r="D43" s="52" t="n">
        <f aca="false">SUMPRODUCT(ISNUMBER(SEARCH($A43,Anforderungen!$J$7:$J$2000))*(Anforderungen!$K$7:$K$2000="bewertet"))</f>
        <v>0</v>
      </c>
      <c r="E43" s="52" t="n">
        <f aca="false">SUMPRODUCT(ISNUMBER(SEARCH($A43,Anforderungen!$J$7:$J$2000))*(Anforderungen!$K$7:$K$2000="erfüllt"))</f>
        <v>0</v>
      </c>
      <c r="F43" s="52" t="n">
        <f aca="false">SUMPRODUCT(ISNUMBER(SEARCH($A43,Anforderungen!$J$7:$J$2000))*(Anforderungen!$K$7:$K$2000="trifft nicht zu"))</f>
        <v>9</v>
      </c>
      <c r="G43" s="53" t="n">
        <f aca="false">IFERROR(E43/(B43-F43),0)</f>
        <v>0</v>
      </c>
    </row>
    <row r="44" customFormat="false" ht="15" hidden="false" customHeight="true" outlineLevel="0" collapsed="false">
      <c r="A44" s="51" t="s">
        <v>221</v>
      </c>
      <c r="B44" s="52" t="n">
        <f aca="false">SUMPRODUCT(ISNUMBER(SEARCH($A44,Anforderungen!$J$7:$J$2000))*(Anforderungen!$B$7:$B$2000&lt;&gt;""))</f>
        <v>5</v>
      </c>
      <c r="C44" s="52" t="n">
        <f aca="false">SUMPRODUCT(ISNUMBER(SEARCH($A44,Anforderungen!$J$7:$J$2000))*(Anforderungen!$K$7:$K$2000="erfasst"))</f>
        <v>1</v>
      </c>
      <c r="D44" s="52" t="n">
        <f aca="false">SUMPRODUCT(ISNUMBER(SEARCH($A44,Anforderungen!$J$7:$J$2000))*(Anforderungen!$K$7:$K$2000="bewertet"))</f>
        <v>0</v>
      </c>
      <c r="E44" s="52" t="n">
        <f aca="false">SUMPRODUCT(ISNUMBER(SEARCH($A44,Anforderungen!$J$7:$J$2000))*(Anforderungen!$K$7:$K$2000="erfüllt"))</f>
        <v>1</v>
      </c>
      <c r="F44" s="52" t="n">
        <f aca="false">SUMPRODUCT(ISNUMBER(SEARCH($A44,Anforderungen!$J$7:$J$2000))*(Anforderungen!$K$7:$K$2000="trifft nicht zu"))</f>
        <v>3</v>
      </c>
      <c r="G44" s="53" t="n">
        <f aca="false">IFERROR(E44/(B44-F44),0)</f>
        <v>0.5</v>
      </c>
    </row>
    <row r="45" customFormat="false" ht="15" hidden="false" customHeight="true" outlineLevel="0" collapsed="false">
      <c r="A45" s="51" t="s">
        <v>190</v>
      </c>
      <c r="B45" s="52" t="n">
        <f aca="false">SUMPRODUCT(ISNUMBER(SEARCH($A45,Anforderungen!$J$7:$J$2000))*(Anforderungen!$B$7:$B$2000&lt;&gt;""))</f>
        <v>12</v>
      </c>
      <c r="C45" s="52" t="n">
        <f aca="false">SUMPRODUCT(ISNUMBER(SEARCH($A45,Anforderungen!$J$7:$J$2000))*(Anforderungen!$K$7:$K$2000="erfasst"))</f>
        <v>10</v>
      </c>
      <c r="D45" s="52" t="n">
        <f aca="false">SUMPRODUCT(ISNUMBER(SEARCH($A45,Anforderungen!$J$7:$J$2000))*(Anforderungen!$K$7:$K$2000="bewertet"))</f>
        <v>0</v>
      </c>
      <c r="E45" s="52" t="n">
        <f aca="false">SUMPRODUCT(ISNUMBER(SEARCH($A45,Anforderungen!$J$7:$J$2000))*(Anforderungen!$K$7:$K$2000="erfüllt"))</f>
        <v>2</v>
      </c>
      <c r="F45" s="52" t="n">
        <f aca="false">SUMPRODUCT(ISNUMBER(SEARCH($A45,Anforderungen!$J$7:$J$2000))*(Anforderungen!$K$7:$K$2000="trifft nicht zu"))</f>
        <v>0</v>
      </c>
      <c r="G45" s="53" t="n">
        <f aca="false">IFERROR(E45/(B45-F45),0)</f>
        <v>0.166666666666667</v>
      </c>
    </row>
    <row r="46" customFormat="false" ht="15" hidden="false" customHeight="true" outlineLevel="0" collapsed="false">
      <c r="A46" s="51" t="s">
        <v>3404</v>
      </c>
      <c r="B46" s="52" t="n">
        <f aca="false">SUMPRODUCT(ISNUMBER(SEARCH($A46,Anforderungen!$J$7:$J$2000))*(Anforderungen!$B$7:$B$2000&lt;&gt;""))</f>
        <v>8</v>
      </c>
      <c r="C46" s="52" t="n">
        <f aca="false">SUMPRODUCT(ISNUMBER(SEARCH($A46,Anforderungen!$J$7:$J$2000))*(Anforderungen!$K$7:$K$2000="erfasst"))</f>
        <v>7</v>
      </c>
      <c r="D46" s="52" t="n">
        <f aca="false">SUMPRODUCT(ISNUMBER(SEARCH($A46,Anforderungen!$J$7:$J$2000))*(Anforderungen!$K$7:$K$2000="bewertet"))</f>
        <v>0</v>
      </c>
      <c r="E46" s="52" t="n">
        <f aca="false">SUMPRODUCT(ISNUMBER(SEARCH($A46,Anforderungen!$J$7:$J$2000))*(Anforderungen!$K$7:$K$2000="erfüllt"))</f>
        <v>0</v>
      </c>
      <c r="F46" s="52" t="n">
        <f aca="false">SUMPRODUCT(ISNUMBER(SEARCH($A46,Anforderungen!$J$7:$J$2000))*(Anforderungen!$K$7:$K$2000="trifft nicht zu"))</f>
        <v>1</v>
      </c>
      <c r="G46" s="53" t="n">
        <f aca="false">IFERROR(E46/(B46-F46),0)</f>
        <v>0</v>
      </c>
    </row>
    <row r="47" customFormat="false" ht="15" hidden="false" customHeight="true" outlineLevel="0" collapsed="false">
      <c r="A47" s="51" t="s">
        <v>804</v>
      </c>
      <c r="B47" s="52" t="n">
        <f aca="false">SUMPRODUCT(ISNUMBER(SEARCH($A47,Anforderungen!$J$7:$J$2000))*(Anforderungen!$B$7:$B$2000&lt;&gt;""))</f>
        <v>35</v>
      </c>
      <c r="C47" s="52" t="n">
        <f aca="false">SUMPRODUCT(ISNUMBER(SEARCH($A47,Anforderungen!$J$7:$J$2000))*(Anforderungen!$K$7:$K$2000="erfasst"))</f>
        <v>7</v>
      </c>
      <c r="D47" s="52" t="n">
        <f aca="false">SUMPRODUCT(ISNUMBER(SEARCH($A47,Anforderungen!$J$7:$J$2000))*(Anforderungen!$K$7:$K$2000="bewertet"))</f>
        <v>0</v>
      </c>
      <c r="E47" s="52" t="n">
        <f aca="false">SUMPRODUCT(ISNUMBER(SEARCH($A47,Anforderungen!$J$7:$J$2000))*(Anforderungen!$K$7:$K$2000="erfüllt"))</f>
        <v>0</v>
      </c>
      <c r="F47" s="52" t="n">
        <f aca="false">SUMPRODUCT(ISNUMBER(SEARCH($A47,Anforderungen!$J$7:$J$2000))*(Anforderungen!$K$7:$K$2000="trifft nicht zu"))</f>
        <v>28</v>
      </c>
      <c r="G47" s="53" t="n">
        <f aca="false">IFERROR(E47/(B47-F47),0)</f>
        <v>0</v>
      </c>
    </row>
    <row r="48" customFormat="false" ht="15" hidden="false" customHeight="true" outlineLevel="0" collapsed="false">
      <c r="A48" s="51" t="s">
        <v>81</v>
      </c>
      <c r="B48" s="52" t="n">
        <f aca="false">SUMPRODUCT(ISNUMBER(SEARCH($A48,Anforderungen!$J$7:$J$2000))*(Anforderungen!$B$7:$B$2000&lt;&gt;""))</f>
        <v>25</v>
      </c>
      <c r="C48" s="52" t="n">
        <f aca="false">SUMPRODUCT(ISNUMBER(SEARCH($A48,Anforderungen!$J$7:$J$2000))*(Anforderungen!$K$7:$K$2000="erfasst"))</f>
        <v>20</v>
      </c>
      <c r="D48" s="52" t="n">
        <f aca="false">SUMPRODUCT(ISNUMBER(SEARCH($A48,Anforderungen!$J$7:$J$2000))*(Anforderungen!$K$7:$K$2000="bewertet"))</f>
        <v>0</v>
      </c>
      <c r="E48" s="52" t="n">
        <f aca="false">SUMPRODUCT(ISNUMBER(SEARCH($A48,Anforderungen!$J$7:$J$2000))*(Anforderungen!$K$7:$K$2000="erfüllt"))</f>
        <v>4</v>
      </c>
      <c r="F48" s="52" t="n">
        <f aca="false">SUMPRODUCT(ISNUMBER(SEARCH($A48,Anforderungen!$J$7:$J$2000))*(Anforderungen!$K$7:$K$2000="trifft nicht zu"))</f>
        <v>1</v>
      </c>
      <c r="G48" s="53" t="n">
        <f aca="false">IFERROR(E48/(B48-F48),0)</f>
        <v>0.166666666666667</v>
      </c>
    </row>
    <row r="49" customFormat="false" ht="15" hidden="false" customHeight="true" outlineLevel="0" collapsed="false">
      <c r="A49" s="51" t="s">
        <v>337</v>
      </c>
      <c r="B49" s="52" t="n">
        <f aca="false">SUMPRODUCT(ISNUMBER(SEARCH($A49,Anforderungen!$J$7:$J$2000))*(Anforderungen!$B$7:$B$2000&lt;&gt;""))</f>
        <v>11</v>
      </c>
      <c r="C49" s="52" t="n">
        <f aca="false">SUMPRODUCT(ISNUMBER(SEARCH($A49,Anforderungen!$J$7:$J$2000))*(Anforderungen!$K$7:$K$2000="erfasst"))</f>
        <v>0</v>
      </c>
      <c r="D49" s="52" t="n">
        <f aca="false">SUMPRODUCT(ISNUMBER(SEARCH($A49,Anforderungen!$J$7:$J$2000))*(Anforderungen!$K$7:$K$2000="bewertet"))</f>
        <v>0</v>
      </c>
      <c r="E49" s="52" t="n">
        <f aca="false">SUMPRODUCT(ISNUMBER(SEARCH($A49,Anforderungen!$J$7:$J$2000))*(Anforderungen!$K$7:$K$2000="erfüllt"))</f>
        <v>0</v>
      </c>
      <c r="F49" s="52" t="n">
        <f aca="false">SUMPRODUCT(ISNUMBER(SEARCH($A49,Anforderungen!$J$7:$J$2000))*(Anforderungen!$K$7:$K$2000="trifft nicht zu"))</f>
        <v>11</v>
      </c>
      <c r="G49" s="53" t="n">
        <f aca="false">IFERROR(E49/(B49-F49),0)</f>
        <v>0</v>
      </c>
    </row>
    <row r="50" customFormat="false" ht="15" hidden="false" customHeight="true" outlineLevel="0" collapsed="false">
      <c r="A50" s="51" t="s">
        <v>83</v>
      </c>
      <c r="B50" s="52" t="n">
        <f aca="false">SUMPRODUCT(ISNUMBER(SEARCH($A50,Anforderungen!$J$7:$J$2000))*(Anforderungen!$B$7:$B$2000&lt;&gt;""))</f>
        <v>23</v>
      </c>
      <c r="C50" s="52" t="n">
        <f aca="false">SUMPRODUCT(ISNUMBER(SEARCH($A50,Anforderungen!$J$7:$J$2000))*(Anforderungen!$K$7:$K$2000="erfasst"))</f>
        <v>20</v>
      </c>
      <c r="D50" s="52" t="n">
        <f aca="false">SUMPRODUCT(ISNUMBER(SEARCH($A50,Anforderungen!$J$7:$J$2000))*(Anforderungen!$K$7:$K$2000="bewertet"))</f>
        <v>0</v>
      </c>
      <c r="E50" s="52" t="n">
        <f aca="false">SUMPRODUCT(ISNUMBER(SEARCH($A50,Anforderungen!$J$7:$J$2000))*(Anforderungen!$K$7:$K$2000="erfüllt"))</f>
        <v>2</v>
      </c>
      <c r="F50" s="52" t="n">
        <f aca="false">SUMPRODUCT(ISNUMBER(SEARCH($A50,Anforderungen!$J$7:$J$2000))*(Anforderungen!$K$7:$K$2000="trifft nicht zu"))</f>
        <v>1</v>
      </c>
      <c r="G50" s="53" t="n">
        <f aca="false">IFERROR(E50/(B50-F50),0)</f>
        <v>0.0909090909090909</v>
      </c>
    </row>
    <row r="51" customFormat="false" ht="15" hidden="false" customHeight="true" outlineLevel="0" collapsed="false">
      <c r="A51" s="51" t="s">
        <v>472</v>
      </c>
      <c r="B51" s="52" t="n">
        <f aca="false">SUMPRODUCT(ISNUMBER(SEARCH($A51,Anforderungen!$J$7:$J$2000))*(Anforderungen!$B$7:$B$2000&lt;&gt;""))</f>
        <v>230</v>
      </c>
      <c r="C51" s="52" t="n">
        <f aca="false">SUMPRODUCT(ISNUMBER(SEARCH($A51,Anforderungen!$J$7:$J$2000))*(Anforderungen!$K$7:$K$2000="erfasst"))</f>
        <v>0</v>
      </c>
      <c r="D51" s="52" t="n">
        <f aca="false">SUMPRODUCT(ISNUMBER(SEARCH($A51,Anforderungen!$J$7:$J$2000))*(Anforderungen!$K$7:$K$2000="bewertet"))</f>
        <v>0</v>
      </c>
      <c r="E51" s="52" t="n">
        <f aca="false">SUMPRODUCT(ISNUMBER(SEARCH($A51,Anforderungen!$J$7:$J$2000))*(Anforderungen!$K$7:$K$2000="erfüllt"))</f>
        <v>0</v>
      </c>
      <c r="F51" s="52" t="n">
        <f aca="false">SUMPRODUCT(ISNUMBER(SEARCH($A51,Anforderungen!$J$7:$J$2000))*(Anforderungen!$K$7:$K$2000="trifft nicht zu"))</f>
        <v>230</v>
      </c>
      <c r="G51" s="53" t="n">
        <f aca="false">IFERROR(E51/(B51-F51),0)</f>
        <v>0</v>
      </c>
    </row>
    <row r="52" customFormat="false" ht="15" hidden="false" customHeight="true" outlineLevel="0" collapsed="false">
      <c r="A52" s="51"/>
      <c r="B52" s="52"/>
      <c r="C52" s="54"/>
      <c r="D52" s="55"/>
      <c r="E52" s="48"/>
      <c r="F52" s="48"/>
      <c r="G52" s="56"/>
    </row>
    <row r="53" customFormat="false" ht="15" hidden="false" customHeight="true" outlineLevel="0" collapsed="false">
      <c r="A53" s="51"/>
      <c r="B53" s="52"/>
      <c r="C53" s="54"/>
      <c r="D53" s="55"/>
      <c r="E53" s="48"/>
      <c r="F53" s="48"/>
      <c r="G53" s="56"/>
    </row>
    <row r="54" customFormat="false" ht="15" hidden="false" customHeight="true" outlineLevel="0" collapsed="false">
      <c r="A54" s="49" t="s">
        <v>6241</v>
      </c>
      <c r="B54" s="49"/>
      <c r="C54" s="49"/>
      <c r="D54" s="49"/>
      <c r="E54" s="49"/>
      <c r="F54" s="49"/>
      <c r="G54" s="49"/>
    </row>
    <row r="55" customFormat="false" ht="15" hidden="false" customHeight="true" outlineLevel="0" collapsed="false">
      <c r="A55" s="50" t="s">
        <v>6237</v>
      </c>
      <c r="B55" s="50" t="s">
        <v>6238</v>
      </c>
      <c r="C55" s="50" t="s">
        <v>6</v>
      </c>
      <c r="D55" s="50" t="s">
        <v>7</v>
      </c>
      <c r="E55" s="50" t="s">
        <v>8</v>
      </c>
      <c r="F55" s="50" t="s">
        <v>10</v>
      </c>
      <c r="G55" s="50" t="s">
        <v>14</v>
      </c>
    </row>
    <row r="56" customFormat="false" ht="15" hidden="false" customHeight="true" outlineLevel="0" collapsed="false">
      <c r="A56" s="51" t="s">
        <v>276</v>
      </c>
      <c r="B56" s="52" t="n">
        <f aca="false">COUNTIF(Anforderungen!$C$7:$C$2000,$A56)</f>
        <v>52</v>
      </c>
      <c r="C56" s="52" t="n">
        <f aca="false">COUNTIFS(Anforderungen!$C$7:$C$2000,$A56,Anforderungen!$K$7:$K$2000,"erfasst")</f>
        <v>0</v>
      </c>
      <c r="D56" s="52" t="n">
        <f aca="false">COUNTIFS(Anforderungen!$C$7:$C$2000,$A56,Anforderungen!$K$7:$K$2000,"bewertet")</f>
        <v>0</v>
      </c>
      <c r="E56" s="52" t="n">
        <f aca="false">COUNTIFS(Anforderungen!$C$7:$C$2000,$A56,Anforderungen!$K$7:$K$2000,"erfüllt")</f>
        <v>0</v>
      </c>
      <c r="F56" s="52" t="n">
        <f aca="false">COUNTIFS(Anforderungen!$C$7:$C$2000,$A56,Anforderungen!$K$7:$K$2000,"trifft nicht zu")</f>
        <v>52</v>
      </c>
      <c r="G56" s="53" t="n">
        <f aca="false">IFERROR(E56/(B56-F56),0)</f>
        <v>0</v>
      </c>
    </row>
    <row r="57" customFormat="false" ht="15" hidden="false" customHeight="true" outlineLevel="0" collapsed="false">
      <c r="A57" s="51" t="s">
        <v>37</v>
      </c>
      <c r="B57" s="52" t="n">
        <f aca="false">COUNTIF(Anforderungen!$C$7:$C$2000,$A57)</f>
        <v>471</v>
      </c>
      <c r="C57" s="52" t="n">
        <f aca="false">COUNTIFS(Anforderungen!$C$7:$C$2000,$A57,Anforderungen!$K$7:$K$2000,"erfasst")</f>
        <v>6</v>
      </c>
      <c r="D57" s="52" t="n">
        <f aca="false">COUNTIFS(Anforderungen!$C$7:$C$2000,$A57,Anforderungen!$K$7:$K$2000,"bewertet")</f>
        <v>1</v>
      </c>
      <c r="E57" s="52" t="n">
        <f aca="false">COUNTIFS(Anforderungen!$C$7:$C$2000,$A57,Anforderungen!$K$7:$K$2000,"erfüllt")</f>
        <v>1</v>
      </c>
      <c r="F57" s="52" t="n">
        <f aca="false">COUNTIFS(Anforderungen!$C$7:$C$2000,$A57,Anforderungen!$K$7:$K$2000,"trifft nicht zu")</f>
        <v>463</v>
      </c>
      <c r="G57" s="53" t="n">
        <f aca="false">IFERROR(E57/(B57-F57),0)</f>
        <v>0.125</v>
      </c>
    </row>
    <row r="58" customFormat="false" ht="15" hidden="false" customHeight="true" outlineLevel="0" collapsed="false">
      <c r="A58" s="51" t="s">
        <v>282</v>
      </c>
      <c r="B58" s="52" t="n">
        <f aca="false">COUNTIF(Anforderungen!$C$7:$C$2000,$A58)</f>
        <v>663</v>
      </c>
      <c r="C58" s="52" t="n">
        <f aca="false">COUNTIFS(Anforderungen!$C$7:$C$2000,$A58,Anforderungen!$K$7:$K$2000,"erfasst")</f>
        <v>33</v>
      </c>
      <c r="D58" s="52" t="n">
        <f aca="false">COUNTIFS(Anforderungen!$C$7:$C$2000,$A58,Anforderungen!$K$7:$K$2000,"bewertet")</f>
        <v>0</v>
      </c>
      <c r="E58" s="52" t="n">
        <f aca="false">COUNTIFS(Anforderungen!$C$7:$C$2000,$A58,Anforderungen!$K$7:$K$2000,"erfüllt")</f>
        <v>0</v>
      </c>
      <c r="F58" s="52" t="n">
        <f aca="false">COUNTIFS(Anforderungen!$C$7:$C$2000,$A58,Anforderungen!$K$7:$K$2000,"trifft nicht zu")</f>
        <v>630</v>
      </c>
      <c r="G58" s="53" t="n">
        <f aca="false">IFERROR(E58/(B58-F58),0)</f>
        <v>0</v>
      </c>
    </row>
    <row r="59" customFormat="false" ht="15" hidden="false" customHeight="true" outlineLevel="0" collapsed="false">
      <c r="A59" s="51" t="s">
        <v>264</v>
      </c>
      <c r="B59" s="52" t="n">
        <f aca="false">COUNTIF(Anforderungen!$C$7:$C$2000,$A59)</f>
        <v>107</v>
      </c>
      <c r="C59" s="52" t="n">
        <f aca="false">COUNTIFS(Anforderungen!$C$7:$C$2000,$A59,Anforderungen!$K$7:$K$2000,"erfasst")</f>
        <v>1</v>
      </c>
      <c r="D59" s="52" t="n">
        <f aca="false">COUNTIFS(Anforderungen!$C$7:$C$2000,$A59,Anforderungen!$K$7:$K$2000,"bewertet")</f>
        <v>0</v>
      </c>
      <c r="E59" s="52" t="n">
        <f aca="false">COUNTIFS(Anforderungen!$C$7:$C$2000,$A59,Anforderungen!$K$7:$K$2000,"erfüllt")</f>
        <v>0</v>
      </c>
      <c r="F59" s="52" t="n">
        <f aca="false">COUNTIFS(Anforderungen!$C$7:$C$2000,$A59,Anforderungen!$K$7:$K$2000,"trifft nicht zu")</f>
        <v>106</v>
      </c>
      <c r="G59" s="53" t="n">
        <f aca="false">IFERROR(E59/(B59-F59),0)</f>
        <v>0</v>
      </c>
    </row>
    <row r="60" customFormat="false" ht="15" hidden="false" customHeight="true" outlineLevel="0" collapsed="false">
      <c r="A60" s="51" t="s">
        <v>173</v>
      </c>
      <c r="B60" s="52" t="n">
        <f aca="false">COUNTIF(Anforderungen!$C$7:$C$2000,$A60)</f>
        <v>7</v>
      </c>
      <c r="C60" s="52" t="n">
        <f aca="false">COUNTIFS(Anforderungen!$C$7:$C$2000,$A60,Anforderungen!$K$7:$K$2000,"erfasst")</f>
        <v>1</v>
      </c>
      <c r="D60" s="52" t="n">
        <f aca="false">COUNTIFS(Anforderungen!$C$7:$C$2000,$A60,Anforderungen!$K$7:$K$2000,"bewertet")</f>
        <v>2</v>
      </c>
      <c r="E60" s="52" t="n">
        <f aca="false">COUNTIFS(Anforderungen!$C$7:$C$2000,$A60,Anforderungen!$K$7:$K$2000,"erfüllt")</f>
        <v>3</v>
      </c>
      <c r="F60" s="52" t="n">
        <f aca="false">COUNTIFS(Anforderungen!$C$7:$C$2000,$A60,Anforderungen!$K$7:$K$2000,"trifft nicht zu")</f>
        <v>1</v>
      </c>
      <c r="G60" s="53" t="n">
        <f aca="false">IFERROR(E60/(B60-F60),0)</f>
        <v>0.5</v>
      </c>
    </row>
    <row r="61" customFormat="false" ht="15" hidden="false" customHeight="true" outlineLevel="0" collapsed="false">
      <c r="A61" s="51" t="s">
        <v>214</v>
      </c>
      <c r="B61" s="52" t="n">
        <f aca="false">COUNTIF(Anforderungen!$C$7:$C$2000,$A61)</f>
        <v>82</v>
      </c>
      <c r="C61" s="52" t="n">
        <f aca="false">COUNTIFS(Anforderungen!$C$7:$C$2000,$A61,Anforderungen!$K$7:$K$2000,"erfasst")</f>
        <v>9</v>
      </c>
      <c r="D61" s="52" t="n">
        <f aca="false">COUNTIFS(Anforderungen!$C$7:$C$2000,$A61,Anforderungen!$K$7:$K$2000,"bewertet")</f>
        <v>0</v>
      </c>
      <c r="E61" s="52" t="n">
        <f aca="false">COUNTIFS(Anforderungen!$C$7:$C$2000,$A61,Anforderungen!$K$7:$K$2000,"erfüllt")</f>
        <v>6</v>
      </c>
      <c r="F61" s="52" t="n">
        <f aca="false">COUNTIFS(Anforderungen!$C$7:$C$2000,$A61,Anforderungen!$K$7:$K$2000,"trifft nicht zu")</f>
        <v>67</v>
      </c>
      <c r="G61" s="53" t="n">
        <f aca="false">IFERROR(E61/(B61-F61),0)</f>
        <v>0.4</v>
      </c>
    </row>
    <row r="62" customFormat="false" ht="15" hidden="false" customHeight="true" outlineLevel="0" collapsed="false">
      <c r="A62" s="48"/>
      <c r="B62" s="48"/>
      <c r="C62" s="56"/>
      <c r="D62" s="48"/>
      <c r="E62" s="48"/>
      <c r="F62" s="48"/>
      <c r="G62" s="48"/>
    </row>
    <row r="63" customFormat="false" ht="15" hidden="false" customHeight="true" outlineLevel="0" collapsed="false">
      <c r="A63" s="48"/>
      <c r="B63" s="48"/>
      <c r="C63" s="48"/>
      <c r="D63" s="48"/>
      <c r="E63" s="48"/>
      <c r="F63" s="48"/>
      <c r="G63" s="48"/>
    </row>
    <row r="64" customFormat="false" ht="15" hidden="false" customHeight="true" outlineLevel="0" collapsed="false">
      <c r="A64" s="49" t="s">
        <v>6242</v>
      </c>
      <c r="B64" s="49"/>
      <c r="C64" s="49"/>
      <c r="D64" s="49"/>
      <c r="E64" s="49"/>
      <c r="F64" s="49"/>
      <c r="G64" s="49"/>
    </row>
    <row r="65" customFormat="false" ht="26.25" hidden="false" customHeight="true" outlineLevel="0" collapsed="false">
      <c r="A65" s="50" t="s">
        <v>33</v>
      </c>
      <c r="B65" s="50" t="s">
        <v>6243</v>
      </c>
      <c r="C65" s="50" t="s">
        <v>6244</v>
      </c>
      <c r="D65" s="57"/>
      <c r="E65" s="48"/>
      <c r="F65" s="48"/>
      <c r="G65" s="48"/>
    </row>
    <row r="66" customFormat="false" ht="15" hidden="false" customHeight="true" outlineLevel="0" collapsed="false">
      <c r="A66" s="51" t="s">
        <v>62</v>
      </c>
      <c r="B66" s="52" t="n">
        <f aca="false">COUNTIF(Anforderungen!$K$7:$K$2000,A66)</f>
        <v>50</v>
      </c>
      <c r="C66" s="53" t="n">
        <f aca="false">IFERROR(B66/COUNTA(Anforderungen!$B$7:$B$2000),0)</f>
        <v>0.0361794500723589</v>
      </c>
      <c r="D66" s="48"/>
      <c r="E66" s="48"/>
      <c r="F66" s="48"/>
      <c r="G66" s="48"/>
    </row>
    <row r="67" customFormat="false" ht="15" hidden="false" customHeight="true" outlineLevel="0" collapsed="false">
      <c r="A67" s="51" t="s">
        <v>171</v>
      </c>
      <c r="B67" s="52" t="n">
        <f aca="false">COUNTIF(Anforderungen!$K$7:$K$2000,A67)</f>
        <v>3</v>
      </c>
      <c r="C67" s="53" t="n">
        <f aca="false">IFERROR(B67/COUNTA(Anforderungen!$B$7:$B$2000),0)</f>
        <v>0.00217076700434153</v>
      </c>
      <c r="D67" s="48"/>
      <c r="E67" s="48"/>
      <c r="F67" s="48"/>
      <c r="G67" s="48"/>
    </row>
    <row r="68" customFormat="false" ht="15" hidden="false" customHeight="true" outlineLevel="0" collapsed="false">
      <c r="A68" s="51" t="s">
        <v>163</v>
      </c>
      <c r="B68" s="52" t="n">
        <f aca="false">COUNTIF(Anforderungen!$K$7:$K$2000,A68)</f>
        <v>10</v>
      </c>
      <c r="C68" s="53" t="n">
        <f aca="false">IFERROR(B68/COUNTA(Anforderungen!$B$7:$B$2000),0)</f>
        <v>0.00723589001447178</v>
      </c>
      <c r="D68" s="48"/>
      <c r="E68" s="48"/>
      <c r="F68" s="48"/>
      <c r="G68" s="48"/>
    </row>
    <row r="69" customFormat="false" ht="15" hidden="false" customHeight="true" outlineLevel="0" collapsed="false">
      <c r="A69" s="51" t="s">
        <v>44</v>
      </c>
      <c r="B69" s="52" t="n">
        <f aca="false">COUNTIF(Anforderungen!$K$7:$K$2000,A69)</f>
        <v>1319</v>
      </c>
      <c r="C69" s="53" t="n">
        <f aca="false">IFERROR(B69/COUNTA(Anforderungen!$B$7:$B$2000),0)</f>
        <v>0.954413892908828</v>
      </c>
      <c r="D69" s="48"/>
      <c r="E69" s="48"/>
      <c r="F69" s="48"/>
      <c r="G69" s="48"/>
    </row>
    <row r="70" customFormat="false" ht="15" hidden="false" customHeight="true" outlineLevel="0" collapsed="false">
      <c r="A70" s="48"/>
      <c r="B70" s="48"/>
      <c r="C70" s="56"/>
      <c r="D70" s="48"/>
      <c r="E70" s="48"/>
      <c r="F70" s="48"/>
      <c r="G70" s="48"/>
    </row>
    <row r="71" customFormat="false" ht="15" hidden="false" customHeight="true" outlineLevel="0" collapsed="false">
      <c r="A71" s="49" t="s">
        <v>6245</v>
      </c>
      <c r="B71" s="49"/>
      <c r="C71" s="49"/>
      <c r="D71" s="49"/>
      <c r="E71" s="49"/>
      <c r="F71" s="49"/>
      <c r="G71" s="49"/>
    </row>
    <row r="72" customFormat="false" ht="26.25" hidden="false" customHeight="true" outlineLevel="0" collapsed="false">
      <c r="A72" s="50" t="s">
        <v>6246</v>
      </c>
      <c r="B72" s="50" t="s">
        <v>6243</v>
      </c>
      <c r="C72" s="50" t="s">
        <v>6247</v>
      </c>
      <c r="D72" s="48"/>
      <c r="E72" s="48"/>
      <c r="F72" s="48"/>
      <c r="G72" s="48"/>
    </row>
    <row r="73" customFormat="false" ht="26.25" hidden="false" customHeight="true" outlineLevel="0" collapsed="false">
      <c r="A73" s="51" t="s">
        <v>6248</v>
      </c>
      <c r="B73" s="52" t="n">
        <f aca="false">COUNTIFS(Anforderungen!$K$7:$K$2000,"erfüllt",Anforderungen!$L$7:$L$2000,"&lt;&gt;",Anforderungen!$M$7:$M$2000,"&lt;&gt;")</f>
        <v>10</v>
      </c>
      <c r="C73" s="51" t="s">
        <v>6249</v>
      </c>
      <c r="D73" s="57"/>
      <c r="E73" s="48"/>
      <c r="F73" s="48"/>
      <c r="G73" s="48"/>
    </row>
    <row r="74" customFormat="false" ht="39" hidden="false" customHeight="true" outlineLevel="0" collapsed="false">
      <c r="A74" s="51" t="s">
        <v>11</v>
      </c>
      <c r="B74" s="52" t="n">
        <f aca="false">COUNTIFS(Anforderungen!$K$7:$K$2000,"erfüllt",Anforderungen!$L$7:$L$2000,"")</f>
        <v>0</v>
      </c>
      <c r="C74" s="51" t="s">
        <v>6250</v>
      </c>
      <c r="D74" s="48"/>
      <c r="E74" s="48"/>
      <c r="F74" s="48"/>
      <c r="G74" s="48"/>
    </row>
    <row r="75" customFormat="false" ht="39" hidden="false" customHeight="true" outlineLevel="0" collapsed="false">
      <c r="A75" s="51" t="s">
        <v>12</v>
      </c>
      <c r="B75" s="52" t="n">
        <f aca="false">COUNTIFS(Anforderungen!$K$7:$K$2000,"erfüllt",Anforderungen!$M$7:$M$2000,"")</f>
        <v>0</v>
      </c>
      <c r="C75" s="51" t="s">
        <v>6251</v>
      </c>
      <c r="D75" s="48"/>
      <c r="E75" s="48"/>
      <c r="F75" s="48"/>
      <c r="G75" s="48"/>
    </row>
    <row r="76" customFormat="false" ht="39" hidden="false" customHeight="true" outlineLevel="0" collapsed="false">
      <c r="A76" s="51" t="s">
        <v>13</v>
      </c>
      <c r="B76" s="52" t="n">
        <f aca="false">COUNTIFS(Anforderungen!$K$7:$K$2000,"trifft nicht zu",Anforderungen!$M$7:$M$2000,"")</f>
        <v>2</v>
      </c>
      <c r="C76" s="51" t="s">
        <v>6252</v>
      </c>
      <c r="D76" s="48"/>
      <c r="E76" s="48"/>
      <c r="F76" s="48"/>
      <c r="G76" s="48"/>
    </row>
    <row r="77" customFormat="false" ht="39" hidden="false" customHeight="true" outlineLevel="0" collapsed="false">
      <c r="A77" s="51" t="s">
        <v>6253</v>
      </c>
      <c r="B77" s="52" t="n">
        <f aca="false">COUNTA(Anforderungen!$B$7:$B$2000)-COUNTIF(Anforderungen!$K$7:$K$2000,"trifft nicht zu")</f>
        <v>63</v>
      </c>
      <c r="C77" s="51" t="s">
        <v>6254</v>
      </c>
      <c r="D77" s="48"/>
      <c r="E77" s="48"/>
      <c r="F77" s="48"/>
      <c r="G77" s="48"/>
    </row>
    <row r="78" customFormat="false" ht="39" hidden="false" customHeight="true" outlineLevel="0" collapsed="false">
      <c r="A78" s="51" t="s">
        <v>6255</v>
      </c>
      <c r="B78" s="52" t="n">
        <f aca="false">COUNTIF(Anforderungen!$J$7:$J$2000,"Zuordnung prüfen")</f>
        <v>230</v>
      </c>
      <c r="C78" s="51" t="s">
        <v>6256</v>
      </c>
      <c r="D78" s="48"/>
      <c r="E78" s="48"/>
      <c r="F78" s="48"/>
      <c r="G78" s="48"/>
    </row>
    <row r="79" customFormat="false" ht="26.25" hidden="false" customHeight="true" outlineLevel="0" collapsed="false">
      <c r="A79" s="51" t="s">
        <v>6257</v>
      </c>
      <c r="B79" s="52" t="n">
        <f aca="false">COUNTIF(Anforderungen!$I$7:$I$2000,"Zuordnung prüfen")</f>
        <v>230</v>
      </c>
      <c r="C79" s="51" t="s">
        <v>6258</v>
      </c>
      <c r="D79" s="48"/>
      <c r="E79" s="48"/>
      <c r="F79" s="48"/>
      <c r="G79" s="48"/>
    </row>
    <row r="80" customFormat="false" ht="15" hidden="false" customHeight="true" outlineLevel="0" collapsed="false">
      <c r="A80" s="48"/>
      <c r="B80" s="48"/>
      <c r="C80" s="56"/>
      <c r="D80" s="48"/>
      <c r="E80" s="48"/>
      <c r="F80" s="48"/>
      <c r="G80" s="48"/>
    </row>
    <row r="81" customFormat="false" ht="15" hidden="false" customHeight="true" outlineLevel="0" collapsed="false">
      <c r="A81" s="48"/>
      <c r="B81" s="48"/>
      <c r="C81" s="48"/>
      <c r="D81" s="48"/>
      <c r="E81" s="48"/>
      <c r="F81" s="48"/>
      <c r="G81" s="48"/>
    </row>
    <row r="82" customFormat="false" ht="15" hidden="false" customHeight="true" outlineLevel="0" collapsed="false">
      <c r="A82" s="48"/>
      <c r="B82" s="48"/>
      <c r="C82" s="48"/>
      <c r="D82" s="48"/>
      <c r="E82" s="48"/>
      <c r="F82" s="48"/>
      <c r="G82" s="48"/>
    </row>
    <row r="83" customFormat="false" ht="15" hidden="false" customHeight="true" outlineLevel="0" collapsed="false">
      <c r="A83" s="57"/>
      <c r="B83" s="57"/>
      <c r="C83" s="57"/>
      <c r="D83" s="57"/>
      <c r="E83" s="48"/>
      <c r="F83" s="48"/>
      <c r="G83" s="48"/>
    </row>
    <row r="84" customFormat="false" ht="15" hidden="false" customHeight="true" outlineLevel="0" collapsed="false">
      <c r="A84" s="58"/>
      <c r="B84" s="58"/>
      <c r="C84" s="58"/>
      <c r="D84" s="48"/>
      <c r="E84" s="48"/>
      <c r="F84" s="48"/>
      <c r="G84" s="48"/>
    </row>
    <row r="85" customFormat="false" ht="15" hidden="false" customHeight="true" outlineLevel="0" collapsed="false">
      <c r="A85" s="48"/>
      <c r="B85" s="48"/>
      <c r="C85" s="56"/>
      <c r="D85" s="48"/>
      <c r="E85" s="48"/>
      <c r="F85" s="48"/>
      <c r="G85" s="48"/>
    </row>
    <row r="86" customFormat="false" ht="15" hidden="false" customHeight="true" outlineLevel="0" collapsed="false">
      <c r="A86" s="48"/>
      <c r="B86" s="48"/>
      <c r="C86" s="56"/>
      <c r="D86" s="48"/>
      <c r="E86" s="48"/>
      <c r="F86" s="48"/>
      <c r="G86" s="48"/>
    </row>
    <row r="87" customFormat="false" ht="15" hidden="false" customHeight="true" outlineLevel="0" collapsed="false">
      <c r="A87" s="48"/>
      <c r="B87" s="48"/>
      <c r="C87" s="56"/>
      <c r="D87" s="48"/>
      <c r="E87" s="48"/>
      <c r="F87" s="48"/>
      <c r="G87" s="48"/>
    </row>
    <row r="88" customFormat="false" ht="15" hidden="false" customHeight="true" outlineLevel="0" collapsed="false">
      <c r="A88" s="48"/>
      <c r="B88" s="48"/>
      <c r="C88" s="56"/>
      <c r="D88" s="48"/>
      <c r="E88" s="48"/>
      <c r="F88" s="48"/>
      <c r="G88" s="48"/>
    </row>
    <row r="89" customFormat="false" ht="15" hidden="false" customHeight="true" outlineLevel="0" collapsed="false">
      <c r="A89" s="48"/>
      <c r="B89" s="48"/>
      <c r="C89" s="56"/>
      <c r="D89" s="48"/>
      <c r="E89" s="48"/>
      <c r="F89" s="48"/>
      <c r="G89" s="48"/>
    </row>
    <row r="90" customFormat="false" ht="15" hidden="false" customHeight="true" outlineLevel="0" collapsed="false">
      <c r="A90" s="48"/>
      <c r="B90" s="48"/>
      <c r="C90" s="56"/>
      <c r="D90" s="48"/>
      <c r="E90" s="48"/>
      <c r="F90" s="48"/>
      <c r="G90" s="48"/>
    </row>
    <row r="91" customFormat="false" ht="15" hidden="false" customHeight="true" outlineLevel="0" collapsed="false">
      <c r="C91" s="59"/>
    </row>
  </sheetData>
  <mergeCells count="9">
    <mergeCell ref="A1:G1"/>
    <mergeCell ref="A2:G2"/>
    <mergeCell ref="A3:G3"/>
    <mergeCell ref="A5:G5"/>
    <mergeCell ref="A24:G24"/>
    <mergeCell ref="A35:G35"/>
    <mergeCell ref="A54:G54"/>
    <mergeCell ref="A64:G64"/>
    <mergeCell ref="A71:G71"/>
  </mergeCells>
  <conditionalFormatting sqref="B7:B21">
    <cfRule type="dataBar" priority="2">
      <dataBar showValue="1" minLength="10" maxLength="90">
        <cfvo type="min" val="0"/>
        <cfvo type="max" val="0"/>
        <color rgb="FF4472C4"/>
      </dataBar>
      <extLst>
        <ext xmlns:x14="http://schemas.microsoft.com/office/spreadsheetml/2009/9/main" uri="{B025F937-C7B1-47D3-B67F-A62EFF666E3E}">
          <x14:id>{53AFA846-C28A-40C7-B94A-2035ED5763F4}</x14:id>
        </ext>
      </extLst>
    </cfRule>
  </conditionalFormatting>
  <conditionalFormatting sqref="B26:B32">
    <cfRule type="dataBar" priority="3">
      <dataBar showValue="1" minLength="10" maxLength="90">
        <cfvo type="min" val="0"/>
        <cfvo type="max" val="0"/>
        <color rgb="FF4472C4"/>
      </dataBar>
      <extLst>
        <ext xmlns:x14="http://schemas.microsoft.com/office/spreadsheetml/2009/9/main" uri="{B025F937-C7B1-47D3-B67F-A62EFF666E3E}">
          <x14:id>{B93EBB71-4969-4D8F-94CC-45CD528048FA}</x14:id>
        </ext>
      </extLst>
    </cfRule>
  </conditionalFormatting>
  <conditionalFormatting sqref="B37:B51">
    <cfRule type="dataBar" priority="4">
      <dataBar showValue="1" minLength="10" maxLength="90">
        <cfvo type="min" val="0"/>
        <cfvo type="max" val="0"/>
        <color rgb="FF4472C4"/>
      </dataBar>
      <extLst>
        <ext xmlns:x14="http://schemas.microsoft.com/office/spreadsheetml/2009/9/main" uri="{B025F937-C7B1-47D3-B67F-A62EFF666E3E}">
          <x14:id>{236B3AD3-1443-4086-85B0-10D46B89F2E4}</x14:id>
        </ext>
      </extLst>
    </cfRule>
  </conditionalFormatting>
  <conditionalFormatting sqref="B56:B61">
    <cfRule type="dataBar" priority="5">
      <dataBar showValue="1" minLength="10" maxLength="90">
        <cfvo type="min" val="0"/>
        <cfvo type="max" val="0"/>
        <color rgb="FF4472C4"/>
      </dataBar>
      <extLst>
        <ext xmlns:x14="http://schemas.microsoft.com/office/spreadsheetml/2009/9/main" uri="{B025F937-C7B1-47D3-B67F-A62EFF666E3E}">
          <x14:id>{27D4523F-4579-4159-ADC2-B4FEF433B2B3}</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53AFA846-C28A-40C7-B94A-2035ED5763F4}">
            <x14:dataBar minLength="10" maxLength="90" axisPosition="none" gradient="true">
              <x14:cfvo type="min"/>
              <x14:cfvo type="max"/>
              <x14:negativeFillColor rgb="FF4472C4"/>
              <x14:axisColor rgb="FF000000"/>
            </x14:dataBar>
          </x14:cfRule>
          <xm:sqref>B7:B21</xm:sqref>
        </x14:conditionalFormatting>
        <x14:conditionalFormatting xmlns:xm="http://schemas.microsoft.com/office/excel/2006/main">
          <x14:cfRule type="dataBar" id="{B93EBB71-4969-4D8F-94CC-45CD528048FA}">
            <x14:dataBar minLength="10" maxLength="90" axisPosition="none" gradient="true">
              <x14:cfvo type="min"/>
              <x14:cfvo type="max"/>
              <x14:negativeFillColor rgb="FF4472C4"/>
              <x14:axisColor rgb="FF000000"/>
            </x14:dataBar>
          </x14:cfRule>
          <xm:sqref>B26:B32</xm:sqref>
        </x14:conditionalFormatting>
        <x14:conditionalFormatting xmlns:xm="http://schemas.microsoft.com/office/excel/2006/main">
          <x14:cfRule type="dataBar" id="{236B3AD3-1443-4086-85B0-10D46B89F2E4}">
            <x14:dataBar minLength="10" maxLength="90" axisPosition="none" gradient="true">
              <x14:cfvo type="min"/>
              <x14:cfvo type="max"/>
              <x14:negativeFillColor rgb="FF4472C4"/>
              <x14:axisColor rgb="FF000000"/>
            </x14:dataBar>
          </x14:cfRule>
          <xm:sqref>B37:B51</xm:sqref>
        </x14:conditionalFormatting>
        <x14:conditionalFormatting xmlns:xm="http://schemas.microsoft.com/office/excel/2006/main">
          <x14:cfRule type="dataBar" id="{27D4523F-4579-4159-ADC2-B4FEF433B2B3}">
            <x14:dataBar minLength="10" maxLength="90" axisPosition="none" gradient="true">
              <x14:cfvo type="min"/>
              <x14:cfvo type="max"/>
              <x14:negativeFillColor rgb="FF4472C4"/>
              <x14:axisColor rgb="FF000000"/>
            </x14:dataBar>
          </x14:cfRule>
          <xm:sqref>B56:B61</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N16" activeCellId="0" sqref="N16"/>
    </sheetView>
  </sheetViews>
  <sheetFormatPr defaultColWidth="9.14453125" defaultRowHeight="15" zeroHeight="false" outlineLevelRow="0" outlineLevelCol="0"/>
  <cols>
    <col collapsed="false" customWidth="true" hidden="false" outlineLevel="0" max="2" min="1" style="1" width="20"/>
    <col collapsed="false" customWidth="true" hidden="false" outlineLevel="0" max="3" min="3" style="1" width="14"/>
    <col collapsed="false" customWidth="true" hidden="false" outlineLevel="0" max="4" min="4" style="1" width="34"/>
    <col collapsed="false" customWidth="true" hidden="false" outlineLevel="0" max="5" min="5" style="1" width="13"/>
    <col collapsed="false" customWidth="true" hidden="false" outlineLevel="0" max="8" min="6" style="1" width="10"/>
    <col collapsed="false" customWidth="true" hidden="false" outlineLevel="0" max="9" min="9" style="1" width="13"/>
    <col collapsed="false" customWidth="true" hidden="false" outlineLevel="0" max="10" min="10" style="1" width="18"/>
    <col collapsed="false" customWidth="true" hidden="false" outlineLevel="0" max="11" min="11" style="1" width="40"/>
    <col collapsed="false" customWidth="true" hidden="false" outlineLevel="0" max="13" min="13" style="1" width="14.57"/>
    <col collapsed="false" customWidth="true" hidden="false" outlineLevel="0" max="14" min="14" style="1" width="26.14"/>
  </cols>
  <sheetData>
    <row r="1" customFormat="false" ht="21.75" hidden="false" customHeight="true" outlineLevel="0" collapsed="false">
      <c r="A1" s="60" t="s">
        <v>6259</v>
      </c>
      <c r="B1" s="48"/>
      <c r="C1" s="48"/>
      <c r="D1" s="48"/>
      <c r="E1" s="48"/>
      <c r="F1" s="48"/>
      <c r="G1" s="48"/>
      <c r="H1" s="48"/>
      <c r="I1" s="48"/>
      <c r="J1" s="48"/>
      <c r="K1" s="48"/>
    </row>
    <row r="2" customFormat="false" ht="27.75" hidden="false" customHeight="true" outlineLevel="0" collapsed="false">
      <c r="A2" s="61" t="s">
        <v>6260</v>
      </c>
      <c r="B2" s="61"/>
      <c r="C2" s="61"/>
      <c r="D2" s="61"/>
      <c r="E2" s="61"/>
      <c r="F2" s="61"/>
      <c r="G2" s="61"/>
      <c r="H2" s="61"/>
      <c r="I2" s="61"/>
      <c r="J2" s="61"/>
      <c r="K2" s="61"/>
    </row>
    <row r="3" customFormat="false" ht="27.75" hidden="false" customHeight="true" outlineLevel="0" collapsed="false">
      <c r="A3" s="62" t="s">
        <v>6261</v>
      </c>
      <c r="B3" s="62"/>
      <c r="C3" s="62"/>
      <c r="D3" s="62"/>
      <c r="E3" s="62"/>
      <c r="F3" s="62"/>
      <c r="G3" s="62"/>
      <c r="H3" s="62"/>
      <c r="I3" s="62"/>
      <c r="J3" s="62"/>
      <c r="K3" s="62"/>
    </row>
    <row r="4" customFormat="false" ht="15" hidden="false" customHeight="true" outlineLevel="0" collapsed="false">
      <c r="A4" s="48"/>
      <c r="B4" s="48"/>
      <c r="C4" s="48"/>
      <c r="D4" s="48"/>
      <c r="E4" s="48"/>
      <c r="F4" s="48"/>
      <c r="G4" s="48"/>
      <c r="H4" s="48"/>
      <c r="I4" s="48"/>
      <c r="J4" s="48"/>
      <c r="K4" s="48"/>
    </row>
    <row r="5" customFormat="false" ht="31.5" hidden="false" customHeight="true" outlineLevel="0" collapsed="false">
      <c r="A5" s="63" t="s">
        <v>6262</v>
      </c>
      <c r="B5" s="63" t="s">
        <v>31</v>
      </c>
      <c r="C5" s="63" t="s">
        <v>6263</v>
      </c>
      <c r="D5" s="63" t="s">
        <v>6225</v>
      </c>
      <c r="E5" s="63" t="s">
        <v>6243</v>
      </c>
      <c r="F5" s="63" t="s">
        <v>62</v>
      </c>
      <c r="G5" s="63" t="s">
        <v>171</v>
      </c>
      <c r="H5" s="63" t="s">
        <v>163</v>
      </c>
      <c r="I5" s="63" t="s">
        <v>44</v>
      </c>
      <c r="J5" s="63" t="s">
        <v>33</v>
      </c>
      <c r="K5" s="63" t="s">
        <v>6264</v>
      </c>
      <c r="N5" s="64" t="s">
        <v>31</v>
      </c>
    </row>
    <row r="6" customFormat="false" ht="30" hidden="false" customHeight="true" outlineLevel="0" collapsed="false">
      <c r="A6" s="65" t="s">
        <v>6265</v>
      </c>
      <c r="B6" s="65" t="s">
        <v>154</v>
      </c>
      <c r="C6" s="65" t="s">
        <v>6225</v>
      </c>
      <c r="D6" s="65" t="s">
        <v>155</v>
      </c>
      <c r="E6" s="66" t="n">
        <f aca="false">IF($D6="","",SUMPRODUCT(ISNUMBER(SEARCH($D6,Anforderungen!$J$7:$J$2000))*(Anforderungen!$B$7:$B$2000&lt;&gt;"")))</f>
        <v>171</v>
      </c>
      <c r="F6" s="66" t="n">
        <f aca="false">IF($D6="","",SUMPRODUCT(ISNUMBER(SEARCH($D6,Anforderungen!$J$7:$J$2000))*(Anforderungen!$K$7:$K$2000="erfasst")))</f>
        <v>10</v>
      </c>
      <c r="G6" s="66" t="n">
        <f aca="false">IF($D6="","",SUMPRODUCT(ISNUMBER(SEARCH($D6,Anforderungen!$J$7:$J$2000))*(Anforderungen!$K$7:$K$2000="bewertet")))</f>
        <v>0</v>
      </c>
      <c r="H6" s="66" t="n">
        <f aca="false">IF($D6="","",SUMPRODUCT(ISNUMBER(SEARCH($D6,Anforderungen!$J$7:$J$2000))*(Anforderungen!$K$7:$K$2000="erfüllt")))</f>
        <v>0</v>
      </c>
      <c r="I6" s="66" t="n">
        <f aca="false">IF($D6="","",SUMPRODUCT(ISNUMBER(SEARCH($D6,Anforderungen!$J$7:$J$2000))*(Anforderungen!$K$7:$K$2000="trifft nicht zu")))</f>
        <v>161</v>
      </c>
      <c r="J6" s="67" t="str">
        <f aca="false">IF($D6="","",IF($E6=0,"keine Anforderungen",IF($F6&gt;0,"erfasst",IF($G6&gt;0,"bewertet",IF($H6&gt;0,"erfüllt","trifft nicht zu")))))</f>
        <v>erfasst</v>
      </c>
      <c r="K6" s="68"/>
      <c r="N6" s="69" t="s">
        <v>154</v>
      </c>
    </row>
    <row r="7" customFormat="false" ht="30" hidden="false" customHeight="true" outlineLevel="0" collapsed="false">
      <c r="A7" s="65" t="s">
        <v>6230</v>
      </c>
      <c r="B7" s="65" t="s">
        <v>42</v>
      </c>
      <c r="C7" s="65" t="s">
        <v>6225</v>
      </c>
      <c r="D7" s="65" t="s">
        <v>67</v>
      </c>
      <c r="E7" s="66" t="n">
        <f aca="false">IF($D7="","",SUMPRODUCT(ISNUMBER(SEARCH($D7,Anforderungen!$J$7:$J$2000))*(Anforderungen!$B$7:$B$2000&lt;&gt;"")))</f>
        <v>50</v>
      </c>
      <c r="F7" s="66" t="n">
        <f aca="false">IF($D7="","",SUMPRODUCT(ISNUMBER(SEARCH($D7,Anforderungen!$J$7:$J$2000))*(Anforderungen!$K$7:$K$2000="erfasst")))</f>
        <v>2</v>
      </c>
      <c r="G7" s="66" t="n">
        <f aca="false">IF($D7="","",SUMPRODUCT(ISNUMBER(SEARCH($D7,Anforderungen!$J$7:$J$2000))*(Anforderungen!$K$7:$K$2000="bewertet")))</f>
        <v>0</v>
      </c>
      <c r="H7" s="66" t="n">
        <f aca="false">IF($D7="","",SUMPRODUCT(ISNUMBER(SEARCH($D7,Anforderungen!$J$7:$J$2000))*(Anforderungen!$K$7:$K$2000="erfüllt")))</f>
        <v>0</v>
      </c>
      <c r="I7" s="66" t="n">
        <f aca="false">IF($D7="","",SUMPRODUCT(ISNUMBER(SEARCH($D7,Anforderungen!$J$7:$J$2000))*(Anforderungen!$K$7:$K$2000="trifft nicht zu")))</f>
        <v>48</v>
      </c>
      <c r="J7" s="67" t="str">
        <f aca="false">IF($D7="","",IF($E7=0,"keine Anforderungen",IF($F7&gt;0,"erfasst",IF($G7&gt;0,"bewertet",IF($H7&gt;0,"erfüllt","trifft nicht zu")))))</f>
        <v>erfasst</v>
      </c>
      <c r="K7" s="68"/>
      <c r="N7" s="69" t="s">
        <v>42</v>
      </c>
    </row>
    <row r="8" customFormat="false" ht="30" hidden="false" customHeight="true" outlineLevel="0" collapsed="false">
      <c r="A8" s="65" t="s">
        <v>6230</v>
      </c>
      <c r="B8" s="65" t="s">
        <v>42</v>
      </c>
      <c r="C8" s="65" t="s">
        <v>6225</v>
      </c>
      <c r="D8" s="65" t="s">
        <v>261</v>
      </c>
      <c r="E8" s="66" t="n">
        <f aca="false">IF($D8="","",SUMPRODUCT(ISNUMBER(SEARCH($D8,Anforderungen!$J$7:$J$2000))*(Anforderungen!$B$7:$B$2000&lt;&gt;"")))</f>
        <v>66</v>
      </c>
      <c r="F8" s="66" t="n">
        <f aca="false">IF($D8="","",SUMPRODUCT(ISNUMBER(SEARCH($D8,Anforderungen!$J$7:$J$2000))*(Anforderungen!$K$7:$K$2000="erfasst")))</f>
        <v>12</v>
      </c>
      <c r="G8" s="66" t="n">
        <f aca="false">IF($D8="","",SUMPRODUCT(ISNUMBER(SEARCH($D8,Anforderungen!$J$7:$J$2000))*(Anforderungen!$K$7:$K$2000="bewertet")))</f>
        <v>0</v>
      </c>
      <c r="H8" s="66" t="n">
        <f aca="false">IF($D8="","",SUMPRODUCT(ISNUMBER(SEARCH($D8,Anforderungen!$J$7:$J$2000))*(Anforderungen!$K$7:$K$2000="erfüllt")))</f>
        <v>2</v>
      </c>
      <c r="I8" s="66" t="n">
        <f aca="false">IF($D8="","",SUMPRODUCT(ISNUMBER(SEARCH($D8,Anforderungen!$J$7:$J$2000))*(Anforderungen!$K$7:$K$2000="trifft nicht zu")))</f>
        <v>52</v>
      </c>
      <c r="J8" s="67" t="str">
        <f aca="false">IF($D8="","",IF($E8=0,"keine Anforderungen",IF($F8&gt;0,"erfasst",IF($G8&gt;0,"bewertet",IF($H8&gt;0,"erfüllt","trifft nicht zu")))))</f>
        <v>erfasst</v>
      </c>
      <c r="K8" s="68"/>
      <c r="N8" s="69" t="s">
        <v>297</v>
      </c>
    </row>
    <row r="9" customFormat="false" ht="30" hidden="false" customHeight="true" outlineLevel="0" collapsed="false">
      <c r="A9" s="65" t="s">
        <v>6230</v>
      </c>
      <c r="B9" s="65" t="s">
        <v>42</v>
      </c>
      <c r="C9" s="65" t="s">
        <v>6225</v>
      </c>
      <c r="D9" s="65" t="s">
        <v>270</v>
      </c>
      <c r="E9" s="66" t="n">
        <f aca="false">IF($D9="","",SUMPRODUCT(ISNUMBER(SEARCH($D9,Anforderungen!$J$7:$J$2000))*(Anforderungen!$B$7:$B$2000&lt;&gt;"")))</f>
        <v>44</v>
      </c>
      <c r="F9" s="66" t="n">
        <f aca="false">IF($D9="","",SUMPRODUCT(ISNUMBER(SEARCH($D9,Anforderungen!$J$7:$J$2000))*(Anforderungen!$K$7:$K$2000="erfasst")))</f>
        <v>0</v>
      </c>
      <c r="G9" s="66" t="n">
        <f aca="false">IF($D9="","",SUMPRODUCT(ISNUMBER(SEARCH($D9,Anforderungen!$J$7:$J$2000))*(Anforderungen!$K$7:$K$2000="bewertet")))</f>
        <v>0</v>
      </c>
      <c r="H9" s="66" t="n">
        <f aca="false">IF($D9="","",SUMPRODUCT(ISNUMBER(SEARCH($D9,Anforderungen!$J$7:$J$2000))*(Anforderungen!$K$7:$K$2000="erfüllt")))</f>
        <v>0</v>
      </c>
      <c r="I9" s="66" t="n">
        <f aca="false">IF($D9="","",SUMPRODUCT(ISNUMBER(SEARCH($D9,Anforderungen!$J$7:$J$2000))*(Anforderungen!$K$7:$K$2000="trifft nicht zu")))</f>
        <v>44</v>
      </c>
      <c r="J9" s="67" t="str">
        <f aca="false">IF($D9="","",IF($E9=0,"keine Anforderungen",IF($F9&gt;0,"erfasst",IF($G9&gt;0,"bewertet",IF($H9&gt;0,"erfüllt","trifft nicht zu")))))</f>
        <v>trifft nicht zu</v>
      </c>
      <c r="K9" s="68"/>
      <c r="N9" s="69" t="s">
        <v>286</v>
      </c>
    </row>
    <row r="10" customFormat="false" ht="30" hidden="false" customHeight="true" outlineLevel="0" collapsed="false">
      <c r="A10" s="65" t="s">
        <v>6230</v>
      </c>
      <c r="B10" s="65" t="s">
        <v>42</v>
      </c>
      <c r="C10" s="65" t="s">
        <v>6225</v>
      </c>
      <c r="D10" s="65" t="s">
        <v>43</v>
      </c>
      <c r="E10" s="66" t="n">
        <f aca="false">IF($D10="","",SUMPRODUCT(ISNUMBER(SEARCH($D10,Anforderungen!$J$7:$J$2000))*(Anforderungen!$B$7:$B$2000&lt;&gt;"")))</f>
        <v>102</v>
      </c>
      <c r="F10" s="66" t="n">
        <f aca="false">IF($D10="","",SUMPRODUCT(ISNUMBER(SEARCH($D10,Anforderungen!$J$7:$J$2000))*(Anforderungen!$K$7:$K$2000="erfasst")))</f>
        <v>16</v>
      </c>
      <c r="G10" s="66" t="n">
        <f aca="false">IF($D10="","",SUMPRODUCT(ISNUMBER(SEARCH($D10,Anforderungen!$J$7:$J$2000))*(Anforderungen!$K$7:$K$2000="bewertet")))</f>
        <v>0</v>
      </c>
      <c r="H10" s="66" t="n">
        <f aca="false">IF($D10="","",SUMPRODUCT(ISNUMBER(SEARCH($D10,Anforderungen!$J$7:$J$2000))*(Anforderungen!$K$7:$K$2000="erfüllt")))</f>
        <v>1</v>
      </c>
      <c r="I10" s="66" t="n">
        <f aca="false">IF($D10="","",SUMPRODUCT(ISNUMBER(SEARCH($D10,Anforderungen!$J$7:$J$2000))*(Anforderungen!$K$7:$K$2000="trifft nicht zu")))</f>
        <v>85</v>
      </c>
      <c r="J10" s="67" t="str">
        <f aca="false">IF($D10="","",IF($E10=0,"keine Anforderungen",IF($F10&gt;0,"erfasst",IF($G10&gt;0,"bewertet",IF($H10&gt;0,"erfüllt","trifft nicht zu")))))</f>
        <v>erfasst</v>
      </c>
      <c r="K10" s="68"/>
      <c r="N10" s="69" t="s">
        <v>82</v>
      </c>
    </row>
    <row r="11" customFormat="false" ht="30" hidden="false" customHeight="true" outlineLevel="0" collapsed="false">
      <c r="A11" s="65" t="s">
        <v>6266</v>
      </c>
      <c r="B11" s="65" t="s">
        <v>297</v>
      </c>
      <c r="C11" s="65" t="s">
        <v>6225</v>
      </c>
      <c r="D11" s="65" t="s">
        <v>53</v>
      </c>
      <c r="E11" s="66" t="n">
        <f aca="false">IF($D11="","",SUMPRODUCT(ISNUMBER(SEARCH($D11,Anforderungen!$J$7:$J$2000))*(Anforderungen!$B$7:$B$2000&lt;&gt;"")))</f>
        <v>3</v>
      </c>
      <c r="F11" s="66" t="n">
        <f aca="false">IF($D11="","",SUMPRODUCT(ISNUMBER(SEARCH($D11,Anforderungen!$J$7:$J$2000))*(Anforderungen!$K$7:$K$2000="erfasst")))</f>
        <v>0</v>
      </c>
      <c r="G11" s="66" t="n">
        <f aca="false">IF($D11="","",SUMPRODUCT(ISNUMBER(SEARCH($D11,Anforderungen!$J$7:$J$2000))*(Anforderungen!$K$7:$K$2000="bewertet")))</f>
        <v>1</v>
      </c>
      <c r="H11" s="66" t="n">
        <f aca="false">IF($D11="","",SUMPRODUCT(ISNUMBER(SEARCH($D11,Anforderungen!$J$7:$J$2000))*(Anforderungen!$K$7:$K$2000="erfüllt")))</f>
        <v>0</v>
      </c>
      <c r="I11" s="66" t="n">
        <f aca="false">IF($D11="","",SUMPRODUCT(ISNUMBER(SEARCH($D11,Anforderungen!$J$7:$J$2000))*(Anforderungen!$K$7:$K$2000="trifft nicht zu")))</f>
        <v>2</v>
      </c>
      <c r="J11" s="67" t="str">
        <f aca="false">IF($D11="","",IF($E11=0,"keine Anforderungen",IF($F11&gt;0,"erfasst",IF($G11&gt;0,"bewertet",IF($H11&gt;0,"erfüllt","trifft nicht zu")))))</f>
        <v>bewertet</v>
      </c>
      <c r="K11" s="68"/>
      <c r="N11" s="70" t="s">
        <v>6230</v>
      </c>
    </row>
    <row r="12" customFormat="false" ht="30" hidden="false" customHeight="true" outlineLevel="0" collapsed="false">
      <c r="A12" s="65" t="s">
        <v>6266</v>
      </c>
      <c r="B12" s="65" t="s">
        <v>297</v>
      </c>
      <c r="C12" s="65" t="s">
        <v>6225</v>
      </c>
      <c r="D12" s="65" t="s">
        <v>297</v>
      </c>
      <c r="E12" s="66" t="n">
        <f aca="false">IF($D12="","",SUMPRODUCT(ISNUMBER(SEARCH($D12,Anforderungen!$J$7:$J$2000))*(Anforderungen!$B$7:$B$2000&lt;&gt;"")))</f>
        <v>12</v>
      </c>
      <c r="F12" s="66" t="n">
        <f aca="false">IF($D12="","",SUMPRODUCT(ISNUMBER(SEARCH($D12,Anforderungen!$J$7:$J$2000))*(Anforderungen!$K$7:$K$2000="erfasst")))</f>
        <v>3</v>
      </c>
      <c r="G12" s="66" t="n">
        <f aca="false">IF($D12="","",SUMPRODUCT(ISNUMBER(SEARCH($D12,Anforderungen!$J$7:$J$2000))*(Anforderungen!$K$7:$K$2000="bewertet")))</f>
        <v>0</v>
      </c>
      <c r="H12" s="66" t="n">
        <f aca="false">IF($D12="","",SUMPRODUCT(ISNUMBER(SEARCH($D12,Anforderungen!$J$7:$J$2000))*(Anforderungen!$K$7:$K$2000="erfüllt")))</f>
        <v>0</v>
      </c>
      <c r="I12" s="66" t="n">
        <f aca="false">IF($D12="","",SUMPRODUCT(ISNUMBER(SEARCH($D12,Anforderungen!$J$7:$J$2000))*(Anforderungen!$K$7:$K$2000="trifft nicht zu")))</f>
        <v>9</v>
      </c>
      <c r="J12" s="67" t="str">
        <f aca="false">IF($D12="","",IF($E12=0,"keine Anforderungen",IF($F12&gt;0,"erfasst",IF($G12&gt;0,"bewertet",IF($H12&gt;0,"erfüllt","trifft nicht zu")))))</f>
        <v>erfasst</v>
      </c>
      <c r="K12" s="68"/>
      <c r="N12" s="69" t="s">
        <v>170</v>
      </c>
    </row>
    <row r="13" customFormat="false" ht="30" hidden="false" customHeight="true" outlineLevel="0" collapsed="false">
      <c r="A13" s="65" t="s">
        <v>6266</v>
      </c>
      <c r="B13" s="65" t="s">
        <v>286</v>
      </c>
      <c r="C13" s="65" t="s">
        <v>6225</v>
      </c>
      <c r="D13" s="65" t="s">
        <v>221</v>
      </c>
      <c r="E13" s="66" t="n">
        <f aca="false">IF($D13="","",SUMPRODUCT(ISNUMBER(SEARCH($D13,Anforderungen!$J$7:$J$2000))*(Anforderungen!$B$7:$B$2000&lt;&gt;"")))</f>
        <v>5</v>
      </c>
      <c r="F13" s="66" t="n">
        <f aca="false">IF($D13="","",SUMPRODUCT(ISNUMBER(SEARCH($D13,Anforderungen!$J$7:$J$2000))*(Anforderungen!$K$7:$K$2000="erfasst")))</f>
        <v>1</v>
      </c>
      <c r="G13" s="66" t="n">
        <f aca="false">IF($D13="","",SUMPRODUCT(ISNUMBER(SEARCH($D13,Anforderungen!$J$7:$J$2000))*(Anforderungen!$K$7:$K$2000="bewertet")))</f>
        <v>0</v>
      </c>
      <c r="H13" s="66" t="n">
        <f aca="false">IF($D13="","",SUMPRODUCT(ISNUMBER(SEARCH($D13,Anforderungen!$J$7:$J$2000))*(Anforderungen!$K$7:$K$2000="erfüllt")))</f>
        <v>1</v>
      </c>
      <c r="I13" s="66" t="n">
        <f aca="false">IF($D13="","",SUMPRODUCT(ISNUMBER(SEARCH($D13,Anforderungen!$J$7:$J$2000))*(Anforderungen!$K$7:$K$2000="trifft nicht zu")))</f>
        <v>3</v>
      </c>
      <c r="J13" s="67" t="str">
        <f aca="false">IF($D13="","",IF($E13=0,"keine Anforderungen",IF($F13&gt;0,"erfasst",IF($G13&gt;0,"bewertet",IF($H13&gt;0,"erfüllt","trifft nicht zu")))))</f>
        <v>erfasst</v>
      </c>
      <c r="K13" s="68"/>
      <c r="N13" s="71" t="s">
        <v>95</v>
      </c>
    </row>
    <row r="14" customFormat="false" ht="30" hidden="false" customHeight="true" outlineLevel="0" collapsed="false">
      <c r="A14" s="65" t="s">
        <v>6266</v>
      </c>
      <c r="B14" s="65" t="s">
        <v>286</v>
      </c>
      <c r="C14" s="65" t="s">
        <v>6225</v>
      </c>
      <c r="D14" s="65" t="s">
        <v>190</v>
      </c>
      <c r="E14" s="66" t="n">
        <f aca="false">IF($D14="","",SUMPRODUCT(ISNUMBER(SEARCH($D14,Anforderungen!$J$7:$J$2000))*(Anforderungen!$B$7:$B$2000&lt;&gt;"")))</f>
        <v>12</v>
      </c>
      <c r="F14" s="66" t="n">
        <f aca="false">IF($D14="","",SUMPRODUCT(ISNUMBER(SEARCH($D14,Anforderungen!$J$7:$J$2000))*(Anforderungen!$K$7:$K$2000="erfasst")))</f>
        <v>10</v>
      </c>
      <c r="G14" s="66" t="n">
        <f aca="false">IF($D14="","",SUMPRODUCT(ISNUMBER(SEARCH($D14,Anforderungen!$J$7:$J$2000))*(Anforderungen!$K$7:$K$2000="bewertet")))</f>
        <v>0</v>
      </c>
      <c r="H14" s="66" t="n">
        <f aca="false">IF($D14="","",SUMPRODUCT(ISNUMBER(SEARCH($D14,Anforderungen!$J$7:$J$2000))*(Anforderungen!$K$7:$K$2000="erfüllt")))</f>
        <v>2</v>
      </c>
      <c r="I14" s="66" t="n">
        <f aca="false">IF($D14="","",SUMPRODUCT(ISNUMBER(SEARCH($D14,Anforderungen!$J$7:$J$2000))*(Anforderungen!$K$7:$K$2000="trifft nicht zu")))</f>
        <v>0</v>
      </c>
      <c r="J14" s="67" t="str">
        <f aca="false">IF($D14="","",IF($E14=0,"keine Anforderungen",IF($F14&gt;0,"erfasst",IF($G14&gt;0,"bewertet",IF($H14&gt;0,"erfüllt","trifft nicht zu")))))</f>
        <v>erfasst</v>
      </c>
      <c r="K14" s="68"/>
      <c r="N14" s="69" t="s">
        <v>225</v>
      </c>
    </row>
    <row r="15" customFormat="false" ht="30" hidden="false" customHeight="true" outlineLevel="0" collapsed="false">
      <c r="A15" s="65" t="s">
        <v>6266</v>
      </c>
      <c r="B15" s="65" t="s">
        <v>286</v>
      </c>
      <c r="C15" s="65" t="s">
        <v>6225</v>
      </c>
      <c r="D15" s="65" t="s">
        <v>3404</v>
      </c>
      <c r="E15" s="66" t="n">
        <f aca="false">IF($D15="","",SUMPRODUCT(ISNUMBER(SEARCH($D15,Anforderungen!$J$7:$J$2000))*(Anforderungen!$B$7:$B$2000&lt;&gt;"")))</f>
        <v>8</v>
      </c>
      <c r="F15" s="66" t="n">
        <f aca="false">IF($D15="","",SUMPRODUCT(ISNUMBER(SEARCH($D15,Anforderungen!$J$7:$J$2000))*(Anforderungen!$K$7:$K$2000="erfasst")))</f>
        <v>7</v>
      </c>
      <c r="G15" s="66" t="n">
        <f aca="false">IF($D15="","",SUMPRODUCT(ISNUMBER(SEARCH($D15,Anforderungen!$J$7:$J$2000))*(Anforderungen!$K$7:$K$2000="bewertet")))</f>
        <v>0</v>
      </c>
      <c r="H15" s="66" t="n">
        <f aca="false">IF($D15="","",SUMPRODUCT(ISNUMBER(SEARCH($D15,Anforderungen!$J$7:$J$2000))*(Anforderungen!$K$7:$K$2000="erfüllt")))</f>
        <v>0</v>
      </c>
      <c r="I15" s="66" t="n">
        <f aca="false">IF($D15="","",SUMPRODUCT(ISNUMBER(SEARCH($D15,Anforderungen!$J$7:$J$2000))*(Anforderungen!$K$7:$K$2000="trifft nicht zu")))</f>
        <v>1</v>
      </c>
      <c r="J15" s="67" t="str">
        <f aca="false">IF($D15="","",IF($E15=0,"keine Anforderungen",IF($F15&gt;0,"erfasst",IF($G15&gt;0,"bewertet",IF($H15&gt;0,"erfüllt","trifft nicht zu")))))</f>
        <v>erfasst</v>
      </c>
      <c r="K15" s="68"/>
      <c r="N15" s="69" t="s">
        <v>196</v>
      </c>
    </row>
    <row r="16" customFormat="false" ht="30" hidden="false" customHeight="true" outlineLevel="0" collapsed="false">
      <c r="A16" s="65" t="s">
        <v>6266</v>
      </c>
      <c r="B16" s="65" t="s">
        <v>286</v>
      </c>
      <c r="C16" s="65" t="s">
        <v>6225</v>
      </c>
      <c r="D16" s="65" t="s">
        <v>804</v>
      </c>
      <c r="E16" s="66" t="n">
        <f aca="false">IF($D16="","",SUMPRODUCT(ISNUMBER(SEARCH($D16,Anforderungen!$J$7:$J$2000))*(Anforderungen!$B$7:$B$2000&lt;&gt;"")))</f>
        <v>35</v>
      </c>
      <c r="F16" s="66" t="n">
        <f aca="false">IF($D16="","",SUMPRODUCT(ISNUMBER(SEARCH($D16,Anforderungen!$J$7:$J$2000))*(Anforderungen!$K$7:$K$2000="erfasst")))</f>
        <v>7</v>
      </c>
      <c r="G16" s="66" t="n">
        <f aca="false">IF($D16="","",SUMPRODUCT(ISNUMBER(SEARCH($D16,Anforderungen!$J$7:$J$2000))*(Anforderungen!$K$7:$K$2000="bewertet")))</f>
        <v>0</v>
      </c>
      <c r="H16" s="66" t="n">
        <f aca="false">IF($D16="","",SUMPRODUCT(ISNUMBER(SEARCH($D16,Anforderungen!$J$7:$J$2000))*(Anforderungen!$K$7:$K$2000="erfüllt")))</f>
        <v>0</v>
      </c>
      <c r="I16" s="66" t="n">
        <f aca="false">IF($D16="","",SUMPRODUCT(ISNUMBER(SEARCH($D16,Anforderungen!$J$7:$J$2000))*(Anforderungen!$K$7:$K$2000="trifft nicht zu")))</f>
        <v>28</v>
      </c>
      <c r="J16" s="67" t="str">
        <f aca="false">IF($D16="","",IF($E16=0,"keine Anforderungen",IF($F16&gt;0,"erfasst",IF($G16&gt;0,"bewertet",IF($H16&gt;0,"erfüllt","trifft nicht zu")))))</f>
        <v>erfasst</v>
      </c>
      <c r="K16" s="68"/>
      <c r="N16" s="69"/>
    </row>
    <row r="17" customFormat="false" ht="30" hidden="false" customHeight="true" outlineLevel="0" collapsed="false">
      <c r="A17" s="65" t="s">
        <v>6266</v>
      </c>
      <c r="B17" s="65" t="s">
        <v>286</v>
      </c>
      <c r="C17" s="65" t="s">
        <v>6225</v>
      </c>
      <c r="D17" s="65" t="s">
        <v>81</v>
      </c>
      <c r="E17" s="66" t="n">
        <f aca="false">IF($D17="","",SUMPRODUCT(ISNUMBER(SEARCH($D17,Anforderungen!$J$7:$J$2000))*(Anforderungen!$B$7:$B$2000&lt;&gt;"")))</f>
        <v>25</v>
      </c>
      <c r="F17" s="66" t="n">
        <f aca="false">IF($D17="","",SUMPRODUCT(ISNUMBER(SEARCH($D17,Anforderungen!$J$7:$J$2000))*(Anforderungen!$K$7:$K$2000="erfasst")))</f>
        <v>20</v>
      </c>
      <c r="G17" s="66" t="n">
        <f aca="false">IF($D17="","",SUMPRODUCT(ISNUMBER(SEARCH($D17,Anforderungen!$J$7:$J$2000))*(Anforderungen!$K$7:$K$2000="bewertet")))</f>
        <v>0</v>
      </c>
      <c r="H17" s="66" t="n">
        <f aca="false">IF($D17="","",SUMPRODUCT(ISNUMBER(SEARCH($D17,Anforderungen!$J$7:$J$2000))*(Anforderungen!$K$7:$K$2000="erfüllt")))</f>
        <v>4</v>
      </c>
      <c r="I17" s="66" t="n">
        <f aca="false">IF($D17="","",SUMPRODUCT(ISNUMBER(SEARCH($D17,Anforderungen!$J$7:$J$2000))*(Anforderungen!$K$7:$K$2000="trifft nicht zu")))</f>
        <v>1</v>
      </c>
      <c r="J17" s="67" t="str">
        <f aca="false">IF($D17="","",IF($E17=0,"keine Anforderungen",IF($F17&gt;0,"erfasst",IF($G17&gt;0,"bewertet",IF($H17&gt;0,"erfüllt","trifft nicht zu")))))</f>
        <v>erfasst</v>
      </c>
      <c r="K17" s="68"/>
      <c r="N17" s="71"/>
    </row>
    <row r="18" customFormat="false" ht="30" hidden="false" customHeight="true" outlineLevel="0" collapsed="false">
      <c r="A18" s="65" t="s">
        <v>6267</v>
      </c>
      <c r="B18" s="65" t="s">
        <v>336</v>
      </c>
      <c r="C18" s="65" t="s">
        <v>6225</v>
      </c>
      <c r="D18" s="65" t="s">
        <v>337</v>
      </c>
      <c r="E18" s="66" t="n">
        <f aca="false">IF($D18="","",SUMPRODUCT(ISNUMBER(SEARCH($D18,Anforderungen!$J$7:$J$2000))*(Anforderungen!$B$7:$B$2000&lt;&gt;"")))</f>
        <v>11</v>
      </c>
      <c r="F18" s="66" t="n">
        <f aca="false">IF($D18="","",SUMPRODUCT(ISNUMBER(SEARCH($D18,Anforderungen!$J$7:$J$2000))*(Anforderungen!$K$7:$K$2000="erfasst")))</f>
        <v>0</v>
      </c>
      <c r="G18" s="66" t="n">
        <f aca="false">IF($D18="","",SUMPRODUCT(ISNUMBER(SEARCH($D18,Anforderungen!$J$7:$J$2000))*(Anforderungen!$K$7:$K$2000="bewertet")))</f>
        <v>0</v>
      </c>
      <c r="H18" s="66" t="n">
        <f aca="false">IF($D18="","",SUMPRODUCT(ISNUMBER(SEARCH($D18,Anforderungen!$J$7:$J$2000))*(Anforderungen!$K$7:$K$2000="erfüllt")))</f>
        <v>0</v>
      </c>
      <c r="I18" s="66" t="n">
        <f aca="false">IF($D18="","",SUMPRODUCT(ISNUMBER(SEARCH($D18,Anforderungen!$J$7:$J$2000))*(Anforderungen!$K$7:$K$2000="trifft nicht zu")))</f>
        <v>11</v>
      </c>
      <c r="J18" s="67" t="str">
        <f aca="false">IF($D18="","",IF($E18=0,"keine Anforderungen",IF($F18&gt;0,"erfasst",IF($G18&gt;0,"bewertet",IF($H18&gt;0,"erfüllt","trifft nicht zu")))))</f>
        <v>trifft nicht zu</v>
      </c>
      <c r="K18" s="68"/>
      <c r="N18" s="71"/>
    </row>
    <row r="19" customFormat="false" ht="30" hidden="false" customHeight="true" outlineLevel="0" collapsed="false">
      <c r="A19" s="65" t="s">
        <v>6266</v>
      </c>
      <c r="B19" s="65" t="s">
        <v>6268</v>
      </c>
      <c r="C19" s="65" t="s">
        <v>6225</v>
      </c>
      <c r="D19" s="65" t="s">
        <v>83</v>
      </c>
      <c r="E19" s="66" t="n">
        <f aca="false">IF($D19="","",SUMPRODUCT(ISNUMBER(SEARCH($D19,Anforderungen!$J$7:$J$2000))*(Anforderungen!$B$7:$B$2000&lt;&gt;"")))</f>
        <v>23</v>
      </c>
      <c r="F19" s="66" t="n">
        <f aca="false">IF($D19="","",SUMPRODUCT(ISNUMBER(SEARCH($D19,Anforderungen!$J$7:$J$2000))*(Anforderungen!$K$7:$K$2000="erfasst")))</f>
        <v>20</v>
      </c>
      <c r="G19" s="66" t="n">
        <f aca="false">IF($D19="","",SUMPRODUCT(ISNUMBER(SEARCH($D19,Anforderungen!$J$7:$J$2000))*(Anforderungen!$K$7:$K$2000="bewertet")))</f>
        <v>0</v>
      </c>
      <c r="H19" s="66" t="n">
        <f aca="false">IF($D19="","",SUMPRODUCT(ISNUMBER(SEARCH($D19,Anforderungen!$J$7:$J$2000))*(Anforderungen!$K$7:$K$2000="erfüllt")))</f>
        <v>2</v>
      </c>
      <c r="I19" s="66" t="n">
        <f aca="false">IF($D19="","",SUMPRODUCT(ISNUMBER(SEARCH($D19,Anforderungen!$J$7:$J$2000))*(Anforderungen!$K$7:$K$2000="trifft nicht zu")))</f>
        <v>1</v>
      </c>
      <c r="J19" s="67" t="str">
        <f aca="false">IF($D19="","",IF($E19=0,"keine Anforderungen",IF($F19&gt;0,"erfasst",IF($G19&gt;0,"bewertet",IF($H19&gt;0,"erfüllt","trifft nicht zu")))))</f>
        <v>erfasst</v>
      </c>
      <c r="K19" s="68"/>
      <c r="N19" s="71"/>
    </row>
    <row r="20" customFormat="false" ht="30" hidden="false" customHeight="true" outlineLevel="0" collapsed="false">
      <c r="A20" s="65" t="s">
        <v>472</v>
      </c>
      <c r="B20" s="65" t="s">
        <v>95</v>
      </c>
      <c r="C20" s="65" t="s">
        <v>6269</v>
      </c>
      <c r="D20" s="65" t="s">
        <v>124</v>
      </c>
      <c r="E20" s="66" t="n">
        <f aca="false">IF($D20="","",SUMPRODUCT(ISNUMBER(SEARCH("OCPI Buchungskalender",Anforderungen!$J$7:$J$2000))*ISNUMBER(SEARCH("Abrechnungskomponente",Anforderungen!$J$7:$J$2000))*ISNUMBER(SEARCH("Belegungsdetektion",Anforderungen!$J$7:$J$2000))*ISNUMBER(SEARCH("Pönalisierungssystem",Anforderungen!$J$7:$J$2000))*(Anforderungen!$B$7:$B$2000&lt;&gt;"")))</f>
        <v>1</v>
      </c>
      <c r="F20" s="66" t="n">
        <f aca="false">IF($D20="","",SUMPRODUCT(ISNUMBER(SEARCH("OCPI Buchungskalender",Anforderungen!$J$7:$J$2000))*ISNUMBER(SEARCH("Abrechnungskomponente",Anforderungen!$J$7:$J$2000))*ISNUMBER(SEARCH("Belegungsdetektion",Anforderungen!$J$7:$J$2000))*ISNUMBER(SEARCH("Pönalisierungssystem",Anforderungen!$J$7:$J$2000))*(Anforderungen!$K$7:$K$2000="erfasst")))</f>
        <v>0</v>
      </c>
      <c r="G20" s="66" t="n">
        <f aca="false">IF($D20="","",SUMPRODUCT(ISNUMBER(SEARCH("OCPI Buchungskalender",Anforderungen!$J$7:$J$2000))*ISNUMBER(SEARCH("Abrechnungskomponente",Anforderungen!$J$7:$J$2000))*ISNUMBER(SEARCH("Belegungsdetektion",Anforderungen!$J$7:$J$2000))*ISNUMBER(SEARCH("Pönalisierungssystem",Anforderungen!$J$7:$J$2000))*(Anforderungen!$K$7:$K$2000="bewertet")))</f>
        <v>0</v>
      </c>
      <c r="H20" s="66" t="n">
        <f aca="false">IF($D20="","",SUMPRODUCT(ISNUMBER(SEARCH("OCPI Buchungskalender",Anforderungen!$J$7:$J$2000))*ISNUMBER(SEARCH("Abrechnungskomponente",Anforderungen!$J$7:$J$2000))*ISNUMBER(SEARCH("Belegungsdetektion",Anforderungen!$J$7:$J$2000))*ISNUMBER(SEARCH("Pönalisierungssystem",Anforderungen!$J$7:$J$2000))*(Anforderungen!$K$7:$K$2000="erfüllt")))</f>
        <v>0</v>
      </c>
      <c r="I20" s="66" t="n">
        <f aca="false">IF($D20="","",SUMPRODUCT(ISNUMBER(SEARCH("OCPI Buchungskalender",Anforderungen!$J$7:$J$2000))*ISNUMBER(SEARCH("Abrechnungskomponente",Anforderungen!$J$7:$J$2000))*ISNUMBER(SEARCH("Belegungsdetektion",Anforderungen!$J$7:$J$2000))*ISNUMBER(SEARCH("Pönalisierungssystem",Anforderungen!$J$7:$J$2000))*(Anforderungen!$K$7:$K$2000="trifft nicht zu")))</f>
        <v>1</v>
      </c>
      <c r="J20" s="67" t="str">
        <f aca="false">IF($D20="","",IF($E20=0,"keine Anforderungen",IF($F20&gt;0,"erfasst",IF($G20&gt;0,"bewertet",IF($H20&gt;0,"erfüllt","trifft nicht zu")))))</f>
        <v>trifft nicht zu</v>
      </c>
      <c r="K20" s="68" t="s">
        <v>6270</v>
      </c>
      <c r="N20" s="71"/>
    </row>
    <row r="21" customFormat="false" ht="30" hidden="false" customHeight="true" outlineLevel="0" collapsed="false">
      <c r="A21" s="65" t="s">
        <v>472</v>
      </c>
      <c r="B21" s="65" t="s">
        <v>95</v>
      </c>
      <c r="C21" s="65" t="s">
        <v>6269</v>
      </c>
      <c r="D21" s="65" t="s">
        <v>162</v>
      </c>
      <c r="E21" s="66" t="n">
        <f aca="false">IF($D21="","",SUMPRODUCT(ISNUMBER(SEARCH("OCPI Buchungskalender",Anforderungen!$J$7:$J$2000))*ISNUMBER(SEARCH("Dynamische Anzeige",Anforderungen!$J$7:$J$2000))*(Anforderungen!$B$7:$B$2000&lt;&gt;"")))</f>
        <v>5</v>
      </c>
      <c r="F21" s="66" t="n">
        <f aca="false">IF($D21="","",SUMPRODUCT(ISNUMBER(SEARCH("OCPI Buchungskalender",Anforderungen!$J$7:$J$2000))*ISNUMBER(SEARCH("Dynamische Anzeige",Anforderungen!$J$7:$J$2000))*(Anforderungen!$K$7:$K$2000="erfasst")))</f>
        <v>4</v>
      </c>
      <c r="G21" s="66" t="n">
        <f aca="false">IF($D21="","",SUMPRODUCT(ISNUMBER(SEARCH("OCPI Buchungskalender",Anforderungen!$J$7:$J$2000))*ISNUMBER(SEARCH("Dynamische Anzeige",Anforderungen!$J$7:$J$2000))*(Anforderungen!$K$7:$K$2000="bewertet")))</f>
        <v>0</v>
      </c>
      <c r="H21" s="66" t="n">
        <f aca="false">IF($D21="","",SUMPRODUCT(ISNUMBER(SEARCH("OCPI Buchungskalender",Anforderungen!$J$7:$J$2000))*ISNUMBER(SEARCH("Dynamische Anzeige",Anforderungen!$J$7:$J$2000))*(Anforderungen!$K$7:$K$2000="erfüllt")))</f>
        <v>1</v>
      </c>
      <c r="I21" s="66" t="n">
        <f aca="false">IF($D21="","",SUMPRODUCT(ISNUMBER(SEARCH("OCPI Buchungskalender",Anforderungen!$J$7:$J$2000))*ISNUMBER(SEARCH("Dynamische Anzeige",Anforderungen!$J$7:$J$2000))*(Anforderungen!$K$7:$K$2000="trifft nicht zu")))</f>
        <v>0</v>
      </c>
      <c r="J21" s="67" t="str">
        <f aca="false">IF($D21="","",IF($E21=0,"keine Anforderungen",IF($F21&gt;0,"erfasst",IF($G21&gt;0,"bewertet",IF($H21&gt;0,"erfüllt","trifft nicht zu")))))</f>
        <v>erfasst</v>
      </c>
      <c r="K21" s="68" t="s">
        <v>6270</v>
      </c>
      <c r="N21" s="71"/>
    </row>
    <row r="22" customFormat="false" ht="30" hidden="false" customHeight="true" outlineLevel="0" collapsed="false">
      <c r="A22" s="65" t="s">
        <v>472</v>
      </c>
      <c r="B22" s="65" t="s">
        <v>95</v>
      </c>
      <c r="C22" s="65" t="s">
        <v>6269</v>
      </c>
      <c r="D22" s="65" t="s">
        <v>232</v>
      </c>
      <c r="E22" s="66" t="n">
        <f aca="false">IF($D22="","",SUMPRODUCT(ISNUMBER(SEARCH("OCPI Buchungskalender",Anforderungen!$J$7:$J$2000))*ISNUMBER(SEARCH("Kennzeichenerfassung",Anforderungen!$J$7:$J$2000))*ISNUMBER(SEARCH("Pönalisierungssystem",Anforderungen!$J$7:$J$2000))*(Anforderungen!$B$7:$B$2000&lt;&gt;"")))</f>
        <v>2</v>
      </c>
      <c r="F22" s="66" t="n">
        <f aca="false">IF($D22="","",SUMPRODUCT(ISNUMBER(SEARCH("OCPI Buchungskalender",Anforderungen!$J$7:$J$2000))*ISNUMBER(SEARCH("Kennzeichenerfassung",Anforderungen!$J$7:$J$2000))*ISNUMBER(SEARCH("Pönalisierungssystem",Anforderungen!$J$7:$J$2000))*(Anforderungen!$K$7:$K$2000="erfasst")))</f>
        <v>2</v>
      </c>
      <c r="G22" s="66" t="n">
        <f aca="false">IF($D22="","",SUMPRODUCT(ISNUMBER(SEARCH("OCPI Buchungskalender",Anforderungen!$J$7:$J$2000))*ISNUMBER(SEARCH("Kennzeichenerfassung",Anforderungen!$J$7:$J$2000))*ISNUMBER(SEARCH("Pönalisierungssystem",Anforderungen!$J$7:$J$2000))*(Anforderungen!$K$7:$K$2000="bewertet")))</f>
        <v>0</v>
      </c>
      <c r="H22" s="66" t="n">
        <f aca="false">IF($D22="","",SUMPRODUCT(ISNUMBER(SEARCH("OCPI Buchungskalender",Anforderungen!$J$7:$J$2000))*ISNUMBER(SEARCH("Kennzeichenerfassung",Anforderungen!$J$7:$J$2000))*ISNUMBER(SEARCH("Pönalisierungssystem",Anforderungen!$J$7:$J$2000))*(Anforderungen!$K$7:$K$2000="erfüllt")))</f>
        <v>0</v>
      </c>
      <c r="I22" s="66" t="n">
        <f aca="false">IF($D22="","",SUMPRODUCT(ISNUMBER(SEARCH("OCPI Buchungskalender",Anforderungen!$J$7:$J$2000))*ISNUMBER(SEARCH("Kennzeichenerfassung",Anforderungen!$J$7:$J$2000))*ISNUMBER(SEARCH("Pönalisierungssystem",Anforderungen!$J$7:$J$2000))*(Anforderungen!$K$7:$K$2000="trifft nicht zu")))</f>
        <v>0</v>
      </c>
      <c r="J22" s="67" t="str">
        <f aca="false">IF($D22="","",IF($E22=0,"keine Anforderungen",IF($F22&gt;0,"erfasst",IF($G22&gt;0,"bewertet",IF($H22&gt;0,"erfüllt","trifft nicht zu")))))</f>
        <v>erfasst</v>
      </c>
      <c r="K22" s="68" t="s">
        <v>6270</v>
      </c>
      <c r="N22" s="69"/>
    </row>
    <row r="23" customFormat="false" ht="30" hidden="false" customHeight="true" outlineLevel="0" collapsed="false">
      <c r="A23" s="65" t="s">
        <v>472</v>
      </c>
      <c r="B23" s="65" t="s">
        <v>95</v>
      </c>
      <c r="C23" s="65" t="s">
        <v>6269</v>
      </c>
      <c r="D23" s="65" t="s">
        <v>96</v>
      </c>
      <c r="E23" s="66" t="n">
        <f aca="false">IF($D23="","",SUMPRODUCT(ISNUMBER(SEARCH("Authentifizierungskomponente",Anforderungen!$J$7:$J$2000))*ISNUMBER(SEARCH("Schrankensteuerung",Anforderungen!$J$7:$J$2000))*(Anforderungen!$B$7:$B$2000&lt;&gt;"")))</f>
        <v>8</v>
      </c>
      <c r="F23" s="66" t="n">
        <f aca="false">IF($D23="","",SUMPRODUCT(ISNUMBER(SEARCH("Authentifizierungskomponente",Anforderungen!$J$7:$J$2000))*ISNUMBER(SEARCH("Schrankensteuerung",Anforderungen!$J$7:$J$2000))*(Anforderungen!$K$7:$K$2000="erfasst")))</f>
        <v>7</v>
      </c>
      <c r="G23" s="66" t="n">
        <f aca="false">IF($D23="","",SUMPRODUCT(ISNUMBER(SEARCH("Authentifizierungskomponente",Anforderungen!$J$7:$J$2000))*ISNUMBER(SEARCH("Schrankensteuerung",Anforderungen!$J$7:$J$2000))*(Anforderungen!$K$7:$K$2000="bewertet")))</f>
        <v>0</v>
      </c>
      <c r="H23" s="66" t="n">
        <f aca="false">IF($D23="","",SUMPRODUCT(ISNUMBER(SEARCH("Authentifizierungskomponente",Anforderungen!$J$7:$J$2000))*ISNUMBER(SEARCH("Schrankensteuerung",Anforderungen!$J$7:$J$2000))*(Anforderungen!$K$7:$K$2000="erfüllt")))</f>
        <v>1</v>
      </c>
      <c r="I23" s="66" t="n">
        <f aca="false">IF($D23="","",SUMPRODUCT(ISNUMBER(SEARCH("Authentifizierungskomponente",Anforderungen!$J$7:$J$2000))*ISNUMBER(SEARCH("Schrankensteuerung",Anforderungen!$J$7:$J$2000))*(Anforderungen!$K$7:$K$2000="trifft nicht zu")))</f>
        <v>0</v>
      </c>
      <c r="J23" s="67" t="str">
        <f aca="false">IF($D23="","",IF($E23=0,"keine Anforderungen",IF($F23&gt;0,"erfasst",IF($G23&gt;0,"bewertet",IF($H23&gt;0,"erfüllt","trifft nicht zu")))))</f>
        <v>erfasst</v>
      </c>
      <c r="K23" s="68" t="s">
        <v>6270</v>
      </c>
      <c r="N23" s="71"/>
    </row>
    <row r="24" customFormat="false" ht="30" hidden="false" customHeight="true" outlineLevel="0" collapsed="false">
      <c r="A24" s="65"/>
      <c r="B24" s="65"/>
      <c r="C24" s="65"/>
      <c r="D24" s="65"/>
      <c r="E24" s="66" t="str">
        <f aca="false">IF($D24="","",SUMPRODUCT(ISNUMBER(SEARCH($D24,Anforderungen!$J$7:$J$2000))*(Anforderungen!$B$7:$B$2000&lt;&gt;"")))</f>
        <v/>
      </c>
      <c r="F24" s="66" t="str">
        <f aca="false">IF($D24="","",SUMPRODUCT(ISNUMBER(SEARCH($D24,Anforderungen!$J$7:$J$2000))*(Anforderungen!$K$7:$K$2000="erfasst")))</f>
        <v/>
      </c>
      <c r="G24" s="66" t="str">
        <f aca="false">IF($D24="","",SUMPRODUCT(ISNUMBER(SEARCH($D24,Anforderungen!$J$7:$J$2000))*(Anforderungen!$K$7:$K$2000="bewertet")))</f>
        <v/>
      </c>
      <c r="H24" s="66" t="str">
        <f aca="false">IF($D24="","",SUMPRODUCT(ISNUMBER(SEARCH($D24,Anforderungen!$J$7:$J$2000))*(Anforderungen!$K$7:$K$2000="erfüllt")))</f>
        <v/>
      </c>
      <c r="I24" s="66" t="str">
        <f aca="false">IF($D24="","",SUMPRODUCT(ISNUMBER(SEARCH($D24,Anforderungen!$J$7:$J$2000))*(Anforderungen!$K$7:$K$2000="trifft nicht zu")))</f>
        <v/>
      </c>
      <c r="J24" s="67" t="str">
        <f aca="false">IF($D24="","",IF($E24=0,"keine Anforderungen",IF($F24&gt;0,"erfasst",IF($G24&gt;0,"bewertet",IF($H24&gt;0,"erfüllt","trifft nicht zu")))))</f>
        <v/>
      </c>
      <c r="K24" s="68"/>
      <c r="N24" s="71"/>
    </row>
    <row r="25" customFormat="false" ht="30" hidden="false" customHeight="true" outlineLevel="0" collapsed="false">
      <c r="A25" s="65"/>
      <c r="B25" s="65"/>
      <c r="C25" s="65"/>
      <c r="D25" s="65"/>
      <c r="E25" s="66" t="str">
        <f aca="false">IF($D25="","",SUMPRODUCT(ISNUMBER(SEARCH($D25,Anforderungen!$J$7:$J$2000))*(Anforderungen!$B$7:$B$2000&lt;&gt;"")))</f>
        <v/>
      </c>
      <c r="F25" s="66" t="str">
        <f aca="false">IF($D25="","",SUMPRODUCT(ISNUMBER(SEARCH($D25,Anforderungen!$J$7:$J$2000))*(Anforderungen!$K$7:$K$2000="erfasst")))</f>
        <v/>
      </c>
      <c r="G25" s="66" t="str">
        <f aca="false">IF($D25="","",SUMPRODUCT(ISNUMBER(SEARCH($D25,Anforderungen!$J$7:$J$2000))*(Anforderungen!$K$7:$K$2000="bewertet")))</f>
        <v/>
      </c>
      <c r="H25" s="66" t="str">
        <f aca="false">IF($D25="","",SUMPRODUCT(ISNUMBER(SEARCH($D25,Anforderungen!$J$7:$J$2000))*(Anforderungen!$K$7:$K$2000="erfüllt")))</f>
        <v/>
      </c>
      <c r="I25" s="66" t="str">
        <f aca="false">IF($D25="","",SUMPRODUCT(ISNUMBER(SEARCH($D25,Anforderungen!$J$7:$J$2000))*(Anforderungen!$K$7:$K$2000="trifft nicht zu")))</f>
        <v/>
      </c>
      <c r="J25" s="67" t="str">
        <f aca="false">IF($D25="","",IF($E25=0,"keine Anforderungen",IF($F25&gt;0,"erfasst",IF($G25&gt;0,"bewertet",IF($H25&gt;0,"erfüllt","trifft nicht zu")))))</f>
        <v/>
      </c>
      <c r="K25" s="68"/>
      <c r="N25" s="71"/>
    </row>
    <row r="26" customFormat="false" ht="30" hidden="false" customHeight="true" outlineLevel="0" collapsed="false">
      <c r="A26" s="65"/>
      <c r="B26" s="65"/>
      <c r="C26" s="65"/>
      <c r="D26" s="65"/>
      <c r="E26" s="66" t="str">
        <f aca="false">IF($D26="","",SUMPRODUCT(ISNUMBER(SEARCH($D26,Anforderungen!$J$7:$J$2000))*(Anforderungen!$B$7:$B$2000&lt;&gt;"")))</f>
        <v/>
      </c>
      <c r="F26" s="66" t="str">
        <f aca="false">IF($D26="","",SUMPRODUCT(ISNUMBER(SEARCH($D26,Anforderungen!$J$7:$J$2000))*(Anforderungen!$K$7:$K$2000="erfasst")))</f>
        <v/>
      </c>
      <c r="G26" s="66" t="str">
        <f aca="false">IF($D26="","",SUMPRODUCT(ISNUMBER(SEARCH($D26,Anforderungen!$J$7:$J$2000))*(Anforderungen!$K$7:$K$2000="bewertet")))</f>
        <v/>
      </c>
      <c r="H26" s="66" t="str">
        <f aca="false">IF($D26="","",SUMPRODUCT(ISNUMBER(SEARCH($D26,Anforderungen!$J$7:$J$2000))*(Anforderungen!$K$7:$K$2000="erfüllt")))</f>
        <v/>
      </c>
      <c r="I26" s="66" t="str">
        <f aca="false">IF($D26="","",SUMPRODUCT(ISNUMBER(SEARCH($D26,Anforderungen!$J$7:$J$2000))*(Anforderungen!$K$7:$K$2000="trifft nicht zu")))</f>
        <v/>
      </c>
      <c r="J26" s="67" t="str">
        <f aca="false">IF($D26="","",IF($E26=0,"keine Anforderungen",IF($F26&gt;0,"erfasst",IF($G26&gt;0,"bewertet",IF($H26&gt;0,"erfüllt","trifft nicht zu")))))</f>
        <v/>
      </c>
      <c r="K26" s="68"/>
      <c r="N26" s="71"/>
    </row>
    <row r="27" customFormat="false" ht="30" hidden="false" customHeight="true" outlineLevel="0" collapsed="false">
      <c r="A27" s="65"/>
      <c r="B27" s="65"/>
      <c r="C27" s="65"/>
      <c r="D27" s="65"/>
      <c r="E27" s="66" t="str">
        <f aca="false">IF($D27="","",SUMPRODUCT(ISNUMBER(SEARCH($D27,Anforderungen!$J$7:$J$2000))*(Anforderungen!$B$7:$B$2000&lt;&gt;"")))</f>
        <v/>
      </c>
      <c r="F27" s="66" t="str">
        <f aca="false">IF($D27="","",SUMPRODUCT(ISNUMBER(SEARCH($D27,Anforderungen!$J$7:$J$2000))*(Anforderungen!$K$7:$K$2000="erfasst")))</f>
        <v/>
      </c>
      <c r="G27" s="66" t="str">
        <f aca="false">IF($D27="","",SUMPRODUCT(ISNUMBER(SEARCH($D27,Anforderungen!$J$7:$J$2000))*(Anforderungen!$K$7:$K$2000="bewertet")))</f>
        <v/>
      </c>
      <c r="H27" s="66" t="str">
        <f aca="false">IF($D27="","",SUMPRODUCT(ISNUMBER(SEARCH($D27,Anforderungen!$J$7:$J$2000))*(Anforderungen!$K$7:$K$2000="erfüllt")))</f>
        <v/>
      </c>
      <c r="I27" s="66" t="str">
        <f aca="false">IF($D27="","",SUMPRODUCT(ISNUMBER(SEARCH($D27,Anforderungen!$J$7:$J$2000))*(Anforderungen!$K$7:$K$2000="trifft nicht zu")))</f>
        <v/>
      </c>
      <c r="J27" s="67" t="str">
        <f aca="false">IF($D27="","",IF($E27=0,"keine Anforderungen",IF($F27&gt;0,"erfasst",IF($G27&gt;0,"bewertet",IF($H27&gt;0,"erfüllt","trifft nicht zu")))))</f>
        <v/>
      </c>
      <c r="K27" s="68"/>
      <c r="N27" s="71"/>
    </row>
    <row r="28" customFormat="false" ht="30" hidden="false" customHeight="true" outlineLevel="0" collapsed="false">
      <c r="A28" s="65"/>
      <c r="B28" s="65"/>
      <c r="C28" s="65"/>
      <c r="D28" s="65"/>
      <c r="E28" s="66" t="str">
        <f aca="false">IF($D28="","",SUMPRODUCT(ISNUMBER(SEARCH($D28,Anforderungen!$J$7:$J$2000))*(Anforderungen!$B$7:$B$2000&lt;&gt;"")))</f>
        <v/>
      </c>
      <c r="F28" s="66" t="str">
        <f aca="false">IF($D28="","",SUMPRODUCT(ISNUMBER(SEARCH($D28,Anforderungen!$J$7:$J$2000))*(Anforderungen!$K$7:$K$2000="erfasst")))</f>
        <v/>
      </c>
      <c r="G28" s="66" t="str">
        <f aca="false">IF($D28="","",SUMPRODUCT(ISNUMBER(SEARCH($D28,Anforderungen!$J$7:$J$2000))*(Anforderungen!$K$7:$K$2000="bewertet")))</f>
        <v/>
      </c>
      <c r="H28" s="66" t="str">
        <f aca="false">IF($D28="","",SUMPRODUCT(ISNUMBER(SEARCH($D28,Anforderungen!$J$7:$J$2000))*(Anforderungen!$K$7:$K$2000="erfüllt")))</f>
        <v/>
      </c>
      <c r="I28" s="66" t="str">
        <f aca="false">IF($D28="","",SUMPRODUCT(ISNUMBER(SEARCH($D28,Anforderungen!$J$7:$J$2000))*(Anforderungen!$K$7:$K$2000="trifft nicht zu")))</f>
        <v/>
      </c>
      <c r="J28" s="67" t="str">
        <f aca="false">IF($D28="","",IF($E28=0,"keine Anforderungen",IF($F28&gt;0,"erfasst",IF($G28&gt;0,"bewertet",IF($H28&gt;0,"erfüllt","trifft nicht zu")))))</f>
        <v/>
      </c>
      <c r="K28" s="68"/>
      <c r="N28" s="71"/>
    </row>
    <row r="29" customFormat="false" ht="30" hidden="false" customHeight="true" outlineLevel="0" collapsed="false">
      <c r="A29" s="65"/>
      <c r="B29" s="65"/>
      <c r="C29" s="65"/>
      <c r="D29" s="65"/>
      <c r="E29" s="66" t="str">
        <f aca="false">IF($D29="","",SUMPRODUCT(ISNUMBER(SEARCH($D29,Anforderungen!$J$7:$J$2000))*(Anforderungen!$B$7:$B$2000&lt;&gt;"")))</f>
        <v/>
      </c>
      <c r="F29" s="66" t="str">
        <f aca="false">IF($D29="","",SUMPRODUCT(ISNUMBER(SEARCH($D29,Anforderungen!$J$7:$J$2000))*(Anforderungen!$K$7:$K$2000="erfasst")))</f>
        <v/>
      </c>
      <c r="G29" s="66" t="str">
        <f aca="false">IF($D29="","",SUMPRODUCT(ISNUMBER(SEARCH($D29,Anforderungen!$J$7:$J$2000))*(Anforderungen!$K$7:$K$2000="bewertet")))</f>
        <v/>
      </c>
      <c r="H29" s="66" t="str">
        <f aca="false">IF($D29="","",SUMPRODUCT(ISNUMBER(SEARCH($D29,Anforderungen!$J$7:$J$2000))*(Anforderungen!$K$7:$K$2000="erfüllt")))</f>
        <v/>
      </c>
      <c r="I29" s="66" t="str">
        <f aca="false">IF($D29="","",SUMPRODUCT(ISNUMBER(SEARCH($D29,Anforderungen!$J$7:$J$2000))*(Anforderungen!$K$7:$K$2000="trifft nicht zu")))</f>
        <v/>
      </c>
      <c r="J29" s="67" t="str">
        <f aca="false">IF($D29="","",IF($E29=0,"keine Anforderungen",IF($F29&gt;0,"erfasst",IF($G29&gt;0,"bewertet",IF($H29&gt;0,"erfüllt","trifft nicht zu")))))</f>
        <v/>
      </c>
      <c r="K29" s="68"/>
      <c r="N29" s="69" t="s">
        <v>336</v>
      </c>
    </row>
    <row r="30" customFormat="false" ht="15" hidden="false" customHeight="true" outlineLevel="0" collapsed="false"/>
    <row r="31" customFormat="false" ht="24" hidden="false" customHeight="true" outlineLevel="0" collapsed="false">
      <c r="A31" s="72" t="s">
        <v>6271</v>
      </c>
      <c r="M31" s="73"/>
    </row>
    <row r="32" customFormat="false" ht="27.75" hidden="false" customHeight="true" outlineLevel="0" collapsed="false">
      <c r="A32" s="74"/>
    </row>
    <row r="33" customFormat="false" ht="15" hidden="false" customHeight="true" outlineLevel="0" collapsed="false"/>
    <row r="34" customFormat="false" ht="18" hidden="false" customHeight="true" outlineLevel="0" collapsed="false">
      <c r="M34" s="75"/>
    </row>
    <row r="35" customFormat="false" ht="18" hidden="false" customHeight="true" outlineLevel="0" collapsed="false">
      <c r="M35" s="75"/>
    </row>
    <row r="36" customFormat="false" ht="18" hidden="false" customHeight="true" outlineLevel="0" collapsed="false">
      <c r="M36" s="75"/>
    </row>
    <row r="37" customFormat="false" ht="18" hidden="false" customHeight="true" outlineLevel="0" collapsed="false">
      <c r="M37" s="75"/>
    </row>
    <row r="38" customFormat="false" ht="18" hidden="false" customHeight="true" outlineLevel="0" collapsed="false">
      <c r="M38" s="75"/>
    </row>
    <row r="39" customFormat="false" ht="18" hidden="false" customHeight="true" outlineLevel="0" collapsed="false">
      <c r="M39" s="75"/>
    </row>
    <row r="40" customFormat="false" ht="18" hidden="false" customHeight="true" outlineLevel="0" collapsed="false">
      <c r="M40" s="75"/>
    </row>
    <row r="41" customFormat="false" ht="18" hidden="false" customHeight="true" outlineLevel="0" collapsed="false">
      <c r="M41" s="75"/>
    </row>
    <row r="42" customFormat="false" ht="18" hidden="false" customHeight="true" outlineLevel="0" collapsed="false">
      <c r="M42" s="75"/>
    </row>
    <row r="43" customFormat="false" ht="18" hidden="false" customHeight="true" outlineLevel="0" collapsed="false">
      <c r="M43" s="75"/>
    </row>
    <row r="44" customFormat="false" ht="18" hidden="false" customHeight="true" outlineLevel="0" collapsed="false">
      <c r="M44" s="75"/>
    </row>
    <row r="45" customFormat="false" ht="18" hidden="false" customHeight="true" outlineLevel="0" collapsed="false">
      <c r="M45" s="75"/>
    </row>
    <row r="46" customFormat="false" ht="18" hidden="false" customHeight="true" outlineLevel="0" collapsed="false">
      <c r="M46" s="75"/>
    </row>
    <row r="47" customFormat="false" ht="18" hidden="false" customHeight="true" outlineLevel="0" collapsed="false">
      <c r="M47" s="75"/>
    </row>
    <row r="48" customFormat="false" ht="18" hidden="false" customHeight="true" outlineLevel="0" collapsed="false">
      <c r="M48" s="75"/>
    </row>
    <row r="49" customFormat="false" ht="18" hidden="false" customHeight="true" outlineLevel="0" collapsed="false">
      <c r="M49" s="75"/>
    </row>
    <row r="50" customFormat="false" ht="18" hidden="false" customHeight="true" outlineLevel="0" collapsed="false">
      <c r="M50" s="75"/>
    </row>
    <row r="51" customFormat="false" ht="18" hidden="false" customHeight="true" outlineLevel="0" collapsed="false">
      <c r="M51" s="75"/>
    </row>
    <row r="52" customFormat="false" ht="18" hidden="false" customHeight="true" outlineLevel="0" collapsed="false">
      <c r="M52" s="75"/>
    </row>
    <row r="53" customFormat="false" ht="18" hidden="false" customHeight="true" outlineLevel="0" collapsed="false">
      <c r="M53" s="75"/>
    </row>
    <row r="54" customFormat="false" ht="18" hidden="false" customHeight="true" outlineLevel="0" collapsed="false">
      <c r="M54" s="75"/>
    </row>
    <row r="55" customFormat="false" ht="18" hidden="false" customHeight="true" outlineLevel="0" collapsed="false">
      <c r="M55" s="75"/>
    </row>
    <row r="56" customFormat="false" ht="18" hidden="false" customHeight="true" outlineLevel="0" collapsed="false">
      <c r="M56" s="75"/>
    </row>
    <row r="57" customFormat="false" ht="18" hidden="false" customHeight="true" outlineLevel="0" collapsed="false">
      <c r="M57" s="75"/>
    </row>
    <row r="58" customFormat="false" ht="18" hidden="false" customHeight="true" outlineLevel="0" collapsed="false">
      <c r="M58" s="75"/>
    </row>
    <row r="59" customFormat="false" ht="18" hidden="false" customHeight="true" outlineLevel="0" collapsed="false">
      <c r="M59" s="75"/>
    </row>
    <row r="60" customFormat="false" ht="18" hidden="false" customHeight="true" outlineLevel="0" collapsed="false">
      <c r="M60" s="75"/>
    </row>
    <row r="61" customFormat="false" ht="18" hidden="false" customHeight="true" outlineLevel="0" collapsed="false">
      <c r="M61" s="75"/>
    </row>
    <row r="62" customFormat="false" ht="18" hidden="false" customHeight="true" outlineLevel="0" collapsed="false">
      <c r="M62" s="75"/>
    </row>
    <row r="63" customFormat="false" ht="18" hidden="false" customHeight="true" outlineLevel="0" collapsed="false">
      <c r="M63" s="75"/>
    </row>
    <row r="64" customFormat="false" ht="18" hidden="false" customHeight="true" outlineLevel="0" collapsed="false">
      <c r="M64" s="75"/>
    </row>
    <row r="65" customFormat="false" ht="112.5" hidden="false" customHeight="true" outlineLevel="0" collapsed="false">
      <c r="M65" s="75"/>
    </row>
    <row r="66" customFormat="false" ht="21.75" hidden="false" customHeight="true" outlineLevel="0" collapsed="false">
      <c r="A66" s="76"/>
      <c r="M66" s="75"/>
    </row>
    <row r="67" customFormat="false" ht="25.5" hidden="false" customHeight="true" outlineLevel="0" collapsed="false">
      <c r="A67" s="74"/>
      <c r="M67" s="75"/>
    </row>
    <row r="68" customFormat="false" ht="45.75" hidden="false" customHeight="true" outlineLevel="0" collapsed="false">
      <c r="A68" s="77"/>
      <c r="B68" s="78"/>
      <c r="C68" s="78"/>
      <c r="D68" s="79"/>
      <c r="M68" s="75"/>
    </row>
    <row r="69" customFormat="false" ht="45.75" hidden="false" customHeight="true" outlineLevel="0" collapsed="false">
      <c r="A69" s="77"/>
      <c r="B69" s="78"/>
      <c r="C69" s="78"/>
      <c r="D69" s="79"/>
      <c r="M69" s="75"/>
    </row>
    <row r="70" customFormat="false" ht="45.75" hidden="false" customHeight="true" outlineLevel="0" collapsed="false">
      <c r="A70" s="77"/>
      <c r="B70" s="78"/>
      <c r="C70" s="78"/>
      <c r="D70" s="79"/>
      <c r="M70" s="75"/>
    </row>
    <row r="71" customFormat="false" ht="45.75" hidden="false" customHeight="true" outlineLevel="0" collapsed="false">
      <c r="A71" s="77"/>
      <c r="B71" s="78"/>
      <c r="C71" s="78"/>
      <c r="D71" s="79"/>
      <c r="M71" s="75"/>
    </row>
    <row r="72" customFormat="false" ht="45.75" hidden="false" customHeight="true" outlineLevel="0" collapsed="false">
      <c r="A72" s="77"/>
      <c r="B72" s="78"/>
      <c r="C72" s="78"/>
      <c r="D72" s="79"/>
    </row>
    <row r="73" customFormat="false" ht="45.75" hidden="false" customHeight="true" outlineLevel="0" collapsed="false">
      <c r="A73" s="77"/>
      <c r="B73" s="78"/>
      <c r="C73" s="78"/>
      <c r="D73" s="79"/>
    </row>
    <row r="74" customFormat="false" ht="45.75" hidden="false" customHeight="true" outlineLevel="0" collapsed="false">
      <c r="A74" s="77"/>
      <c r="B74" s="78"/>
      <c r="C74" s="78"/>
      <c r="D74" s="79"/>
    </row>
    <row r="75" customFormat="false" ht="45.75" hidden="false" customHeight="true" outlineLevel="0" collapsed="false">
      <c r="A75" s="77"/>
      <c r="B75" s="78"/>
      <c r="C75" s="78"/>
      <c r="D75" s="79"/>
    </row>
    <row r="76" customFormat="false" ht="45.75" hidden="false" customHeight="true" outlineLevel="0" collapsed="false">
      <c r="A76" s="77"/>
      <c r="B76" s="78"/>
      <c r="C76" s="78"/>
      <c r="D76" s="79"/>
    </row>
    <row r="77" customFormat="false" ht="45.75" hidden="false" customHeight="true" outlineLevel="0" collapsed="false">
      <c r="A77" s="77"/>
      <c r="B77" s="78"/>
      <c r="C77" s="78"/>
      <c r="D77" s="79"/>
    </row>
    <row r="78" customFormat="false" ht="45.75" hidden="false" customHeight="true" outlineLevel="0" collapsed="false">
      <c r="A78" s="77"/>
      <c r="B78" s="78"/>
      <c r="C78" s="78"/>
      <c r="D78" s="79"/>
    </row>
    <row r="79" customFormat="false" ht="45.75" hidden="false" customHeight="true" outlineLevel="0" collapsed="false">
      <c r="A79" s="77"/>
      <c r="B79" s="78"/>
      <c r="C79" s="78"/>
      <c r="D79" s="79"/>
    </row>
    <row r="80" customFormat="false" ht="45.75" hidden="false" customHeight="true" outlineLevel="0" collapsed="false">
      <c r="A80" s="77"/>
      <c r="B80" s="78"/>
      <c r="C80" s="78"/>
      <c r="D80" s="79"/>
    </row>
    <row r="81" customFormat="false" ht="45.75" hidden="false" customHeight="true" outlineLevel="0" collapsed="false">
      <c r="A81" s="77"/>
      <c r="B81" s="78"/>
      <c r="C81" s="78"/>
      <c r="D81" s="79"/>
    </row>
    <row r="82" customFormat="false" ht="45.75" hidden="false" customHeight="true" outlineLevel="0" collapsed="false">
      <c r="A82" s="77"/>
      <c r="B82" s="78"/>
      <c r="C82" s="78"/>
      <c r="D82" s="79"/>
    </row>
    <row r="83" customFormat="false" ht="45.75" hidden="false" customHeight="true" outlineLevel="0" collapsed="false">
      <c r="A83" s="77"/>
      <c r="B83" s="78"/>
      <c r="C83" s="78"/>
      <c r="D83" s="79"/>
    </row>
    <row r="84" customFormat="false" ht="45.75" hidden="false" customHeight="true" outlineLevel="0" collapsed="false">
      <c r="A84" s="77"/>
      <c r="B84" s="78"/>
      <c r="C84" s="78"/>
      <c r="D84" s="79"/>
    </row>
    <row r="85" customFormat="false" ht="45.75" hidden="false" customHeight="true" outlineLevel="0" collapsed="false">
      <c r="A85" s="77"/>
      <c r="B85" s="78"/>
      <c r="C85" s="78"/>
      <c r="D85" s="79"/>
    </row>
    <row r="86" customFormat="false" ht="45.75" hidden="false" customHeight="true" outlineLevel="0" collapsed="false">
      <c r="A86" s="77"/>
      <c r="B86" s="78"/>
      <c r="C86" s="78"/>
      <c r="D86" s="79"/>
    </row>
    <row r="87" customFormat="false" ht="45.75" hidden="false" customHeight="true" outlineLevel="0" collapsed="false">
      <c r="A87" s="77"/>
      <c r="B87" s="78"/>
      <c r="C87" s="78"/>
      <c r="D87" s="79"/>
    </row>
    <row r="88" customFormat="false" ht="45.75" hidden="false" customHeight="true" outlineLevel="0" collapsed="false">
      <c r="A88" s="77"/>
      <c r="B88" s="78"/>
      <c r="C88" s="78"/>
      <c r="D88" s="79"/>
    </row>
    <row r="89" customFormat="false" ht="45.75" hidden="false" customHeight="true" outlineLevel="0" collapsed="false">
      <c r="A89" s="77"/>
      <c r="B89" s="78"/>
      <c r="C89" s="78"/>
      <c r="D89" s="79"/>
    </row>
    <row r="90" customFormat="false" ht="45.75" hidden="false" customHeight="true" outlineLevel="0" collapsed="false">
      <c r="A90" s="77"/>
      <c r="B90" s="78"/>
      <c r="C90" s="78"/>
      <c r="D90" s="79"/>
    </row>
    <row r="91" customFormat="false" ht="45.75" hidden="false" customHeight="true" outlineLevel="0" collapsed="false">
      <c r="A91" s="77"/>
      <c r="B91" s="78"/>
      <c r="C91" s="78"/>
      <c r="D91" s="79"/>
    </row>
    <row r="93" customFormat="false" ht="15" hidden="false" customHeight="true" outlineLevel="0" collapsed="false">
      <c r="A93" s="80"/>
    </row>
    <row r="94" customFormat="false" ht="19.5" hidden="false" customHeight="true" outlineLevel="0" collapsed="false">
      <c r="A94" s="81"/>
      <c r="B94" s="82"/>
      <c r="C94" s="83"/>
      <c r="D94" s="84"/>
      <c r="E94" s="85"/>
    </row>
    <row r="96" customFormat="false" ht="39.75" hidden="false" customHeight="true" outlineLevel="0" collapsed="false">
      <c r="A96" s="86"/>
    </row>
  </sheetData>
  <mergeCells count="2">
    <mergeCell ref="A2:K2"/>
    <mergeCell ref="A3:K3"/>
  </mergeCells>
  <conditionalFormatting sqref="E6:E29">
    <cfRule type="dataBar" priority="2">
      <dataBar showValue="1" minLength="10" maxLength="90">
        <cfvo type="min" val="0"/>
        <cfvo type="max" val="0"/>
        <color rgb="FF4472C4"/>
      </dataBar>
      <extLst>
        <ext xmlns:x14="http://schemas.microsoft.com/office/spreadsheetml/2009/9/main" uri="{B025F937-C7B1-47D3-B67F-A62EFF666E3E}">
          <x14:id>{EE449C8A-82BD-4AAF-97B3-2C76E0D2C08E}</x14:id>
        </ext>
      </extLst>
    </cfRule>
  </conditionalFormatting>
  <conditionalFormatting sqref="J6:J29">
    <cfRule type="expression" priority="3" aboveAverage="0" equalAverage="0" bottom="0" percent="0" rank="0" text="" dxfId="15">
      <formula>J6="erfasst"</formula>
    </cfRule>
    <cfRule type="expression" priority="4" aboveAverage="0" equalAverage="0" bottom="0" percent="0" rank="0" text="" dxfId="16">
      <formula>J6="bewertet"</formula>
    </cfRule>
    <cfRule type="expression" priority="5" aboveAverage="0" equalAverage="0" bottom="0" percent="0" rank="0" text="" dxfId="17">
      <formula>J6="erfüllt"</formula>
    </cfRule>
    <cfRule type="expression" priority="6" aboveAverage="0" equalAverage="0" bottom="0" percent="0" rank="0" text="" dxfId="18">
      <formula>J6="trifft nicht zu"</formula>
    </cfRule>
    <cfRule type="expression" priority="7" aboveAverage="0" equalAverage="0" bottom="0" percent="0" rank="0" text="" dxfId="24">
      <formula>J6="keine Anforderungen"</formula>
    </cfRule>
  </conditionalFormatting>
  <conditionalFormatting sqref="A6:A29">
    <cfRule type="expression" priority="8" aboveAverage="0" equalAverage="0" bottom="0" percent="0" rank="0" text="" dxfId="22">
      <formula>A6="Zuordnung prüfen"</formula>
    </cfRule>
  </conditionalFormatting>
  <conditionalFormatting sqref="A68:A91">
    <cfRule type="expression" priority="9" aboveAverage="0" equalAverage="0" bottom="0" percent="0" rank="0" text="" dxfId="25">
      <formula>$A68&lt;&gt;""</formula>
    </cfRule>
  </conditionalFormatting>
  <conditionalFormatting sqref="B68:B91">
    <cfRule type="expression" priority="10" aboveAverage="0" equalAverage="0" bottom="0" percent="0" rank="0" text="" dxfId="26">
      <formula>$B68&lt;&gt;""</formula>
    </cfRule>
  </conditionalFormatting>
  <conditionalFormatting sqref="C68:C91">
    <cfRule type="expression" priority="11" aboveAverage="0" equalAverage="0" bottom="0" percent="0" rank="0" text="" dxfId="27">
      <formula>$C68&lt;&gt;""</formula>
    </cfRule>
  </conditionalFormatting>
  <conditionalFormatting sqref="D68:E91">
    <cfRule type="expression" priority="12" aboveAverage="0" equalAverage="0" bottom="0" percent="0" rank="0" text="" dxfId="28">
      <formula>$J6="erfasst"</formula>
    </cfRule>
    <cfRule type="expression" priority="13" aboveAverage="0" equalAverage="0" bottom="0" percent="0" rank="0" text="" dxfId="29">
      <formula>$J6="bewertet"</formula>
    </cfRule>
    <cfRule type="expression" priority="14" aboveAverage="0" equalAverage="0" bottom="0" percent="0" rank="0" text="" dxfId="17">
      <formula>$J6="erfüllt"</formula>
    </cfRule>
    <cfRule type="expression" priority="15" aboveAverage="0" equalAverage="0" bottom="0" percent="0" rank="0" text="" dxfId="18">
      <formula>$J6="trifft nicht zu"</formula>
    </cfRule>
    <cfRule type="expression" priority="16" aboveAverage="0" equalAverage="0" bottom="0" percent="0" rank="0" text="" dxfId="24">
      <formula>$J6="keine Anforderungen"</formula>
    </cfRule>
  </conditionalFormatting>
  <dataValidations count="1">
    <dataValidation allowBlank="true" errorStyle="stop" operator="between" showDropDown="false" showErrorMessage="true" showInputMessage="true" sqref="B6:B29" type="list">
      <formula1>$N$6:$N$29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EE449C8A-82BD-4AAF-97B3-2C76E0D2C08E}">
            <x14:dataBar minLength="10" maxLength="90" axisPosition="none" gradient="true">
              <x14:cfvo type="min"/>
              <x14:cfvo type="max"/>
              <x14:negativeFillColor rgb="FF4472C4"/>
              <x14:axisColor rgb="FF000000"/>
            </x14:dataBar>
          </x14:cfRule>
          <xm:sqref>E6:E29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3" min="3" style="1" width="14"/>
    <col collapsed="false" customWidth="true" hidden="false" outlineLevel="0" max="4" min="4" style="1" width="30"/>
    <col collapsed="false" customWidth="true" hidden="false" outlineLevel="0" max="5" min="5" style="1" width="13"/>
    <col collapsed="false" customWidth="true" hidden="false" outlineLevel="0" max="26" min="26" style="1" width="46"/>
  </cols>
  <sheetData>
    <row r="1" customFormat="false" ht="21.75" hidden="false" customHeight="true" outlineLevel="0" collapsed="false">
      <c r="A1" s="87" t="s">
        <v>6272</v>
      </c>
    </row>
    <row r="2" customFormat="false" ht="27.75" hidden="false" customHeight="true" outlineLevel="0" collapsed="false">
      <c r="A2" s="35" t="s">
        <v>6273</v>
      </c>
      <c r="B2" s="35"/>
      <c r="C2" s="35"/>
      <c r="D2" s="35"/>
      <c r="E2" s="35"/>
      <c r="F2" s="35"/>
      <c r="G2" s="35"/>
      <c r="H2" s="35"/>
      <c r="I2" s="35"/>
      <c r="J2" s="35"/>
      <c r="K2" s="35"/>
    </row>
    <row r="3" customFormat="false" ht="7.5" hidden="false" customHeight="true" outlineLevel="0" collapsed="false">
      <c r="Z3" s="88" t="s">
        <v>6274</v>
      </c>
    </row>
    <row r="4" customFormat="false" ht="18" hidden="false" customHeight="true" outlineLevel="0" collapsed="false">
      <c r="Z4" s="89" t="str">
        <f aca="false">"SMARTINFRA"&amp;CHAR(10)&amp;COUNTA(Komponenten!$D$6:$D$29)&amp;" Komponenten / Schnittstellen"</f>
        <v>SMARTINFRA
18 Komponenten / Schnittstellen</v>
      </c>
    </row>
    <row r="5" customFormat="false" ht="18" hidden="false" customHeight="true" outlineLevel="0" collapsed="false">
      <c r="Z5" s="89" t="str">
        <f aca="false">Komponenten!$A6&amp;CHAR(10)&amp;COUNTIF(Komponenten!$A$6:$A$29,Komponenten!$A6)&amp;IF(COUNTIF(Komponenten!$A$6:$A$29,Komponenten!$A6)=1," Komponente"," Komponenten")</f>
        <v>LIS
1 Komponente</v>
      </c>
    </row>
    <row r="6" customFormat="false" ht="18" hidden="false" customHeight="true" outlineLevel="0" collapsed="false">
      <c r="Z6" s="89" t="str">
        <f aca="false">Komponenten!$A7&amp;CHAR(10)&amp;COUNTIF(Komponenten!$A$6:$A$29,Komponenten!$A7)&amp;IF(COUNTIF(Komponenten!$A$6:$A$29,Komponenten!$A7)=1," Komponente"," Komponenten")</f>
        <v>WWL
4 Komponenten</v>
      </c>
    </row>
    <row r="7" customFormat="false" ht="18" hidden="false" customHeight="true" outlineLevel="0" collapsed="false">
      <c r="Z7" s="89" t="str">
        <f aca="false">Komponenten!$A11&amp;CHAR(10)&amp;COUNTIF(Komponenten!$A$6:$A$29,Komponenten!$A11)&amp;IF(COUNTIF(Komponenten!$A$6:$A$29,Komponenten!$A11)=1," Komponente"," Komponenten")</f>
        <v>SmartInfra
8 Komponenten</v>
      </c>
    </row>
    <row r="8" customFormat="false" ht="18" hidden="false" customHeight="true" outlineLevel="0" collapsed="false">
      <c r="Z8" s="89" t="str">
        <f aca="false">Komponenten!$A18&amp;CHAR(10)&amp;COUNTIF(Komponenten!$A$6:$A$29,Komponenten!$A18)&amp;IF(COUNTIF(Komponenten!$A$6:$A$29,Komponenten!$A18)=1," Komponente"," Komponenten")</f>
        <v>AUP
1 Komponente</v>
      </c>
    </row>
    <row r="9" customFormat="false" ht="18" hidden="false" customHeight="true" outlineLevel="0" collapsed="false">
      <c r="Z9" s="89" t="str">
        <f aca="false">Komponenten!$A20&amp;CHAR(10)&amp;COUNTIF(Komponenten!$A$6:$A$29,Komponenten!$A20)&amp;IF(COUNTIF(Komponenten!$A$6:$A$29,Komponenten!$A20)=1," Komponente"," Komponenten")</f>
        <v>Zuordnung prüfen
4 Komponenten</v>
      </c>
    </row>
    <row r="10" customFormat="false" ht="18" hidden="false" customHeight="true" outlineLevel="0" collapsed="false">
      <c r="Z10" s="89" t="str">
        <f aca="false">Komponenten!$B6&amp;CHAR(10)&amp;COUNTIFS(Komponenten!$A$6:$A$29,Komponenten!$A6,Komponenten!$B$6:$B$29,Komponenten!$B6)&amp;IF(COUNTIFS(Komponenten!$A$6:$A$29,Komponenten!$A6,Komponenten!$B$6:$B$29,Komponenten!$B6)=1," Komponente"," Komponenten")</f>
        <v>Alpitronic
1 Komponente</v>
      </c>
    </row>
    <row r="11" customFormat="false" ht="18" hidden="false" customHeight="true" outlineLevel="0" collapsed="false">
      <c r="Z11" s="89" t="str">
        <f aca="false">Komponenten!$B7&amp;CHAR(10)&amp;COUNTIFS(Komponenten!$A$6:$A$29,Komponenten!$A7,Komponenten!$B$6:$B$29,Komponenten!$B7)&amp;IF(COUNTIFS(Komponenten!$A$6:$A$29,Komponenten!$A7,Komponenten!$B$6:$B$29,Komponenten!$B7)=1," Komponente"," Komponenten")</f>
        <v>eRound
4 Komponenten</v>
      </c>
    </row>
    <row r="12" customFormat="false" ht="18" hidden="false" customHeight="true" outlineLevel="0" collapsed="false">
      <c r="Z12" s="89" t="str">
        <f aca="false">Komponenten!$B11&amp;CHAR(10)&amp;COUNTIFS(Komponenten!$A$6:$A$29,Komponenten!$A11,Komponenten!$B$6:$B$29,Komponenten!$B11)&amp;IF(COUNTIFS(Komponenten!$A$6:$A$29,Komponenten!$A11,Komponenten!$B$6:$B$29,Komponenten!$B11)=1," Komponente"," Komponenten")</f>
        <v>Reservierungsplattform
2 Komponenten</v>
      </c>
    </row>
    <row r="13" customFormat="false" ht="18" hidden="false" customHeight="true" outlineLevel="0" collapsed="false">
      <c r="Z13" s="89" t="str">
        <f aca="false">Komponenten!$B13&amp;CHAR(10)&amp;COUNTIFS(Komponenten!$A$6:$A$29,Komponenten!$A13,Komponenten!$B$6:$B$29,Komponenten!$B13)&amp;IF(COUNTIFS(Komponenten!$A$6:$A$29,Komponenten!$A13,Komponenten!$B$6:$B$29,Komponenten!$B13)=1," Komponente"," Komponenten")</f>
        <v>SCS
5 Komponenten</v>
      </c>
    </row>
    <row r="14" customFormat="false" ht="18" hidden="false" customHeight="true" outlineLevel="0" collapsed="false">
      <c r="Z14" s="89" t="str">
        <f aca="false">Komponenten!$B19&amp;CHAR(10)&amp;COUNTIFS(Komponenten!$A$6:$A$29,Komponenten!$A19,Komponenten!$B$6:$B$29,Komponenten!$B19)&amp;IF(COUNTIFS(Komponenten!$A$6:$A$29,Komponenten!$A19,Komponenten!$B$6:$B$29,Komponenten!$B19)=1," Komponente"," Komponenten")</f>
        <v>CAME
1 Komponente</v>
      </c>
    </row>
    <row r="15" customFormat="false" ht="18" hidden="false" customHeight="true" outlineLevel="0" collapsed="false">
      <c r="Z15" s="89" t="str">
        <f aca="false">Komponenten!$B18&amp;CHAR(10)&amp;COUNTIFS(Komponenten!$A$6:$A$29,Komponenten!$A18,Komponenten!$B$6:$B$29,Komponenten!$B18)&amp;IF(COUNTIFS(Komponenten!$A$6:$A$29,Komponenten!$A18,Komponenten!$B$6:$B$29,Komponenten!$B18)=1," Komponente"," Komponenten")</f>
        <v>tbd
1 Komponente</v>
      </c>
    </row>
    <row r="16" customFormat="false" ht="18" hidden="false" customHeight="true" outlineLevel="0" collapsed="false">
      <c r="Z16" s="89" t="str">
        <f aca="false">Komponenten!$B20&amp;CHAR(10)&amp;COUNTIFS(Komponenten!$A$6:$A$29,Komponenten!$A20,Komponenten!$B$6:$B$29,Komponenten!$B20)&amp;IF(COUNTIFS(Komponenten!$A$6:$A$29,Komponenten!$A20,Komponenten!$B$6:$B$29,Komponenten!$B20)=1," Komponente"," Komponenten")</f>
        <v>eRound / SCS
4 Komponenten</v>
      </c>
    </row>
    <row r="17" customFormat="false" ht="18" hidden="false" customHeight="true" outlineLevel="0" collapsed="false">
      <c r="Z17" s="89" t="str">
        <f aca="false">Komponenten!$C6&amp;CHAR(10)&amp;COUNTIFS(Komponenten!$A$6:$A$29,Komponenten!$A6,Komponenten!$B$6:$B$29,Komponenten!$B6,Komponenten!$C$6:$C$29,Komponenten!$C6)&amp;IF(COUNTIFS(Komponenten!$A$6:$A$29,Komponenten!$A6,Komponenten!$B$6:$B$29,Komponenten!$B6,Komponenten!$C$6:$C$29,Komponenten!$C6)=1," Eintrag"," Einträge")</f>
        <v>Komponente
1 Eintrag</v>
      </c>
    </row>
    <row r="18" customFormat="false" ht="18" hidden="false" customHeight="true" outlineLevel="0" collapsed="false">
      <c r="Z18" s="89" t="str">
        <f aca="false">Komponenten!$C7&amp;CHAR(10)&amp;COUNTIFS(Komponenten!$A$6:$A$29,Komponenten!$A7,Komponenten!$B$6:$B$29,Komponenten!$B7,Komponenten!$C$6:$C$29,Komponenten!$C7)&amp;IF(COUNTIFS(Komponenten!$A$6:$A$29,Komponenten!$A7,Komponenten!$B$6:$B$29,Komponenten!$B7,Komponenten!$C$6:$C$29,Komponenten!$C7)=1," Eintrag"," Einträge")</f>
        <v>Komponente
4 Einträge</v>
      </c>
    </row>
    <row r="19" customFormat="false" ht="18" hidden="false" customHeight="true" outlineLevel="0" collapsed="false">
      <c r="Z19" s="89" t="str">
        <f aca="false">Komponenten!$C11&amp;CHAR(10)&amp;COUNTIFS(Komponenten!$A$6:$A$29,Komponenten!$A11,Komponenten!$B$6:$B$29,Komponenten!$B11,Komponenten!$C$6:$C$29,Komponenten!$C11)&amp;IF(COUNTIFS(Komponenten!$A$6:$A$29,Komponenten!$A11,Komponenten!$B$6:$B$29,Komponenten!$B11,Komponenten!$C$6:$C$29,Komponenten!$C11)=1," Eintrag"," Einträge")</f>
        <v>Komponente
2 Einträge</v>
      </c>
    </row>
    <row r="20" customFormat="false" ht="18" hidden="false" customHeight="true" outlineLevel="0" collapsed="false">
      <c r="Z20" s="89" t="str">
        <f aca="false">Komponenten!$C13&amp;CHAR(10)&amp;COUNTIFS(Komponenten!$A$6:$A$29,Komponenten!$A13,Komponenten!$B$6:$B$29,Komponenten!$B13,Komponenten!$C$6:$C$29,Komponenten!$C13)&amp;IF(COUNTIFS(Komponenten!$A$6:$A$29,Komponenten!$A13,Komponenten!$B$6:$B$29,Komponenten!$B13,Komponenten!$C$6:$C$29,Komponenten!$C13)=1," Eintrag"," Einträge")</f>
        <v>Komponente
5 Einträge</v>
      </c>
    </row>
    <row r="21" customFormat="false" ht="18" hidden="false" customHeight="true" outlineLevel="0" collapsed="false">
      <c r="Z21" s="89" t="str">
        <f aca="false">Komponenten!$C19&amp;CHAR(10)&amp;COUNTIFS(Komponenten!$A$6:$A$29,Komponenten!$A19,Komponenten!$B$6:$B$29,Komponenten!$B19,Komponenten!$C$6:$C$29,Komponenten!$C19)&amp;IF(COUNTIFS(Komponenten!$A$6:$A$29,Komponenten!$A19,Komponenten!$B$6:$B$29,Komponenten!$B19,Komponenten!$C$6:$C$29,Komponenten!$C19)=1," Eintrag"," Einträge")</f>
        <v>Komponente
1 Eintrag</v>
      </c>
    </row>
    <row r="22" customFormat="false" ht="18" hidden="false" customHeight="true" outlineLevel="0" collapsed="false">
      <c r="Z22" s="89" t="str">
        <f aca="false">Komponenten!$C18&amp;CHAR(10)&amp;COUNTIFS(Komponenten!$A$6:$A$29,Komponenten!$A18,Komponenten!$B$6:$B$29,Komponenten!$B18,Komponenten!$C$6:$C$29,Komponenten!$C18)&amp;IF(COUNTIFS(Komponenten!$A$6:$A$29,Komponenten!$A18,Komponenten!$B$6:$B$29,Komponenten!$B18,Komponenten!$C$6:$C$29,Komponenten!$C18)=1," Eintrag"," Einträge")</f>
        <v>Komponente
1 Eintrag</v>
      </c>
    </row>
    <row r="23" customFormat="false" ht="18" hidden="false" customHeight="true" outlineLevel="0" collapsed="false">
      <c r="Z23" s="89" t="str">
        <f aca="false">Komponenten!$C20&amp;CHAR(10)&amp;COUNTIFS(Komponenten!$A$6:$A$29,Komponenten!$A20,Komponenten!$B$6:$B$29,Komponenten!$B20,Komponenten!$C$6:$C$29,Komponenten!$C20)&amp;IF(COUNTIFS(Komponenten!$A$6:$A$29,Komponenten!$A20,Komponenten!$B$6:$B$29,Komponenten!$B20,Komponenten!$C$6:$C$29,Komponenten!$C20)=1," Eintrag"," Einträge")</f>
        <v>Schnittstelle
4 Einträge</v>
      </c>
    </row>
    <row r="24" customFormat="false" ht="18" hidden="false" customHeight="true" outlineLevel="0" collapsed="false">
      <c r="Z24" s="89" t="str">
        <f aca="false">IF(Komponenten!$D6="","",Komponenten!$D6&amp;CHAR(10)&amp;Komponenten!$E6&amp;IF(Komponenten!$E6=1," Anforderung"," Anforderungen")&amp;" · "&amp;Komponenten!$H6&amp;"/"&amp;Komponenten!$E6&amp;" erfüllt"&amp;CHAR(10)&amp;"Status: "&amp;Komponenten!$J6)</f>
        <v>Ladeeinrichtung
171 Anforderungen · 0/171 erfüllt
Status: erfasst</v>
      </c>
    </row>
    <row r="25" customFormat="false" ht="18" hidden="false" customHeight="true" outlineLevel="0" collapsed="false">
      <c r="Z25" s="89" t="str">
        <f aca="false">IF(Komponenten!$D7="","",Komponenten!$D7&amp;CHAR(10)&amp;Komponenten!$E7&amp;IF(Komponenten!$E7=1," Anforderung"," Anforderungen")&amp;" · "&amp;Komponenten!$H7&amp;"/"&amp;Komponenten!$E7&amp;" erfüllt"&amp;CHAR(10)&amp;"Status: "&amp;Komponenten!$J7)</f>
        <v>Abrechnungskomponente
50 Anforderungen · 0/50 erfüllt
Status: erfasst</v>
      </c>
    </row>
    <row r="26" customFormat="false" ht="18" hidden="false" customHeight="true" outlineLevel="0" collapsed="false">
      <c r="Z26" s="89" t="str">
        <f aca="false">IF(Komponenten!$D8="","",Komponenten!$D8&amp;CHAR(10)&amp;Komponenten!$E8&amp;IF(Komponenten!$E8=1," Anforderung"," Anforderungen")&amp;" · "&amp;Komponenten!$H8&amp;"/"&amp;Komponenten!$E8&amp;" erfüllt"&amp;CHAR(10)&amp;"Status: "&amp;Komponenten!$J8)</f>
        <v>Authentifizierungskomponente
66 Anforderungen · 2/66 erfüllt
Status: erfasst</v>
      </c>
    </row>
    <row r="27" customFormat="false" ht="18" hidden="false" customHeight="true" outlineLevel="0" collapsed="false">
      <c r="Z27" s="89" t="str">
        <f aca="false">IF(Komponenten!$D9="","",Komponenten!$D9&amp;CHAR(10)&amp;Komponenten!$E9&amp;IF(Komponenten!$E9=1," Anforderung"," Anforderungen")&amp;" · "&amp;Komponenten!$H9&amp;"/"&amp;Komponenten!$E9&amp;" erfüllt"&amp;CHAR(10)&amp;"Status: "&amp;Komponenten!$J9)</f>
        <v>Monitoring
44 Anforderungen · 0/44 erfüllt
Status: trifft nicht zu</v>
      </c>
    </row>
    <row r="28" customFormat="false" ht="18" hidden="false" customHeight="true" outlineLevel="0" collapsed="false">
      <c r="Z28" s="89" t="str">
        <f aca="false">IF(Komponenten!$D10="","",Komponenten!$D10&amp;CHAR(10)&amp;Komponenten!$E10&amp;IF(Komponenten!$E10=1," Anforderung"," Anforderungen")&amp;" · "&amp;Komponenten!$H10&amp;"/"&amp;Komponenten!$E10&amp;" erfüllt"&amp;CHAR(10)&amp;"Status: "&amp;Komponenten!$J10)</f>
        <v>OCPI Buchungskalender
102 Anforderungen · 1/102 erfüllt
Status: erfasst</v>
      </c>
    </row>
    <row r="29" customFormat="false" ht="18" hidden="false" customHeight="true" outlineLevel="0" collapsed="false">
      <c r="Z29" s="89" t="str">
        <f aca="false">IF(Komponenten!$D11="","",Komponenten!$D11&amp;CHAR(10)&amp;Komponenten!$E11&amp;IF(Komponenten!$E11=1," Anforderung"," Anforderungen")&amp;" · "&amp;Komponenten!$H11&amp;"/"&amp;Komponenten!$E11&amp;" erfüllt"&amp;CHAR(10)&amp;"Status: "&amp;Komponenten!$J11)</f>
        <v>Anbindung
3 Anforderungen · 0/3 erfüllt
Status: bewertet</v>
      </c>
    </row>
    <row r="30" customFormat="false" ht="18" hidden="false" customHeight="true" outlineLevel="0" collapsed="false">
      <c r="Z30" s="89" t="str">
        <f aca="false">IF(Komponenten!$D12="","",Komponenten!$D12&amp;CHAR(10)&amp;Komponenten!$E12&amp;IF(Komponenten!$E12=1," Anforderung"," Anforderungen")&amp;" · "&amp;Komponenten!$H12&amp;"/"&amp;Komponenten!$E12&amp;" erfüllt"&amp;CHAR(10)&amp;"Status: "&amp;Komponenten!$J12)</f>
        <v>Reservierungsplattform
12 Anforderungen · 0/12 erfüllt
Status: erfasst</v>
      </c>
    </row>
    <row r="31" customFormat="false" ht="18" hidden="false" customHeight="true" outlineLevel="0" collapsed="false">
      <c r="Z31" s="89" t="str">
        <f aca="false">IF(Komponenten!$D13="","",Komponenten!$D13&amp;CHAR(10)&amp;Komponenten!$E13&amp;IF(Komponenten!$E13=1," Anforderung"," Anforderungen")&amp;" · "&amp;Komponenten!$H13&amp;"/"&amp;Komponenten!$E13&amp;" erfüllt"&amp;CHAR(10)&amp;"Status: "&amp;Komponenten!$J13)</f>
        <v>Belegungsdetektion
5 Anforderungen · 1/5 erfüllt
Status: erfasst</v>
      </c>
    </row>
    <row r="32" customFormat="false" ht="18" hidden="false" customHeight="true" outlineLevel="0" collapsed="false">
      <c r="Z32" s="89" t="str">
        <f aca="false">IF(Komponenten!$D14="","",Komponenten!$D14&amp;CHAR(10)&amp;Komponenten!$E14&amp;IF(Komponenten!$E14=1," Anforderung"," Anforderungen")&amp;" · "&amp;Komponenten!$H14&amp;"/"&amp;Komponenten!$E14&amp;" erfüllt"&amp;CHAR(10)&amp;"Status: "&amp;Komponenten!$J14)</f>
        <v>Dynamische Anzeige
12 Anforderungen · 2/12 erfüllt
Status: erfasst</v>
      </c>
    </row>
    <row r="33" customFormat="false" ht="18" hidden="false" customHeight="true" outlineLevel="0" collapsed="false">
      <c r="Z33" s="89" t="str">
        <f aca="false">IF(Komponenten!$D15="","",Komponenten!$D15&amp;CHAR(10)&amp;Komponenten!$E15&amp;IF(Komponenten!$E15=1," Anforderung"," Anforderungen")&amp;" · "&amp;Komponenten!$H15&amp;"/"&amp;Komponenten!$E15&amp;" erfüllt"&amp;CHAR(10)&amp;"Status: "&amp;Komponenten!$J15)</f>
        <v>Kennzeichenerfassung
8 Anforderungen · 0/8 erfüllt
Status: erfasst</v>
      </c>
    </row>
    <row r="34" customFormat="false" ht="18" hidden="false" customHeight="true" outlineLevel="0" collapsed="false">
      <c r="Z34" s="89" t="str">
        <f aca="false">IF(Komponenten!$D16="","",Komponenten!$D16&amp;CHAR(10)&amp;Komponenten!$E16&amp;IF(Komponenten!$E16=1," Anforderung"," Anforderungen")&amp;" · "&amp;Komponenten!$H16&amp;"/"&amp;Komponenten!$E16&amp;" erfüllt"&amp;CHAR(10)&amp;"Status: "&amp;Komponenten!$J16)</f>
        <v>Pönalisierungssystem
35 Anforderungen · 0/35 erfüllt
Status: erfasst</v>
      </c>
    </row>
    <row r="35" customFormat="false" ht="27.75" hidden="false" customHeight="true" outlineLevel="0" collapsed="false">
      <c r="Z35" s="89" t="str">
        <f aca="false">IF(Komponenten!$D17="","",Komponenten!$D17&amp;CHAR(10)&amp;Komponenten!$E17&amp;IF(Komponenten!$E17=1," Anforderung"," Anforderungen")&amp;" · "&amp;Komponenten!$H17&amp;"/"&amp;Komponenten!$E17&amp;" erfüllt"&amp;CHAR(10)&amp;"Status: "&amp;Komponenten!$J17)</f>
        <v>Schrankensteuerung
25 Anforderungen · 4/25 erfüllt
Status: erfasst</v>
      </c>
    </row>
    <row r="36" customFormat="false" ht="27.75" hidden="false" customHeight="true" outlineLevel="0" collapsed="false">
      <c r="A36" s="90" t="s">
        <v>6275</v>
      </c>
      <c r="B36" s="90"/>
      <c r="C36" s="90"/>
      <c r="D36" s="90"/>
      <c r="E36" s="90"/>
      <c r="Z36" s="89" t="str">
        <f aca="false">IF(Komponenten!$D19="","",Komponenten!$D19&amp;CHAR(10)&amp;Komponenten!$E19&amp;IF(Komponenten!$E19=1," Anforderung"," Anforderungen")&amp;" · "&amp;Komponenten!$H19&amp;"/"&amp;Komponenten!$E19&amp;" erfüllt"&amp;CHAR(10)&amp;"Status: "&amp;Komponenten!$J19)</f>
        <v>Schrankenanlage
23 Anforderungen · 2/23 erfüllt
Status: erfasst</v>
      </c>
    </row>
    <row r="37" customFormat="false" ht="45.75" hidden="false" customHeight="true" outlineLevel="0" collapsed="false">
      <c r="A37" s="91" t="str">
        <f aca="false">IF(Komponenten!$D6="","",IF(Komponenten!$A6=Komponenten!$A5,"",Komponenten!$A6))</f>
        <v>LIS</v>
      </c>
      <c r="B37" s="92" t="str">
        <f aca="false">IF(Komponenten!$D6="","",IF(AND(Komponenten!$A6=Komponenten!$A5,Komponenten!$B6=Komponenten!$B5),"","└ "&amp;Komponenten!$B6))</f>
        <v>└ Alpitronic</v>
      </c>
      <c r="C37" s="92" t="str">
        <f aca="false">IF(Komponenten!$D6="","",IF(AND(Komponenten!$A6=Komponenten!$A5,Komponenten!$B6=Komponenten!$B5,Komponenten!$C6=Komponenten!$C5),"","└ "&amp;Komponenten!$C6))</f>
        <v>└ Komponente</v>
      </c>
      <c r="D37" s="93" t="str">
        <f aca="false">IF(Komponenten!$D6="","","└ "&amp;Komponenten!$D6&amp;CHAR(10)&amp;Komponenten!$E6&amp;" Anforderungen · "&amp;Komponenten!$H6&amp;"/"&amp;Komponenten!$E6&amp;" erfüllt"&amp;CHAR(10)&amp;"Status: "&amp;Komponenten!$J6)</f>
        <v>└ Ladeeinrichtung
171 Anforderungen · 0/171 erfüllt
Status: erfasst</v>
      </c>
      <c r="E37" s="93"/>
      <c r="Z37" s="89" t="str">
        <f aca="false">IF(Komponenten!$D18="","",Komponenten!$D18&amp;CHAR(10)&amp;Komponenten!$E18&amp;IF(Komponenten!$E18=1," Anforderung"," Anforderungen")&amp;" · "&amp;Komponenten!$H18&amp;"/"&amp;Komponenten!$E18&amp;" erfüllt"&amp;CHAR(10)&amp;"Status: "&amp;Komponenten!$J18)</f>
        <v>Beschilderung
11 Anforderungen · 0/11 erfüllt
Status: trifft nicht zu</v>
      </c>
    </row>
    <row r="38" customFormat="false" ht="45.75" hidden="false" customHeight="true" outlineLevel="0" collapsed="false">
      <c r="A38" s="91" t="str">
        <f aca="false">IF(Komponenten!$D7="","",IF(Komponenten!$A7=Komponenten!$A6,"",Komponenten!$A7))</f>
        <v>WWL</v>
      </c>
      <c r="B38" s="92" t="str">
        <f aca="false">IF(Komponenten!$D7="","",IF(AND(Komponenten!$A7=Komponenten!$A6,Komponenten!$B7=Komponenten!$B6),"","└ "&amp;Komponenten!$B7))</f>
        <v>└ eRound</v>
      </c>
      <c r="C38" s="92" t="str">
        <f aca="false">IF(Komponenten!$D7="","",IF(AND(Komponenten!$A7=Komponenten!$A6,Komponenten!$B7=Komponenten!$B6,Komponenten!$C7=Komponenten!$C6),"","└ "&amp;Komponenten!$C7))</f>
        <v>└ Komponente</v>
      </c>
      <c r="D38" s="93" t="str">
        <f aca="false">IF(Komponenten!$D7="","","└ "&amp;Komponenten!$D7&amp;CHAR(10)&amp;Komponenten!$E7&amp;" Anforderungen · "&amp;Komponenten!$H7&amp;"/"&amp;Komponenten!$E7&amp;" erfüllt"&amp;CHAR(10)&amp;"Status: "&amp;Komponenten!$J7)</f>
        <v>└ Abrechnungskomponente
50 Anforderungen · 0/50 erfüllt
Status: erfasst</v>
      </c>
      <c r="E38" s="93"/>
      <c r="Z38" s="89" t="str">
        <f aca="false">IF(Komponenten!$D20="","",Komponenten!$D20&amp;CHAR(10)&amp;Komponenten!$E20&amp;IF(Komponenten!$E20=1," Anforderung"," Anforderungen")&amp;" · "&amp;Komponenten!$H20&amp;"/"&amp;Komponenten!$E20&amp;" erfüllt"&amp;CHAR(10)&amp;"Status: "&amp;Komponenten!$J20)</f>
        <v>OCPI Buchungskalender / Abrechnungskomponente / Belegungsdetektion / Pönalisierungssystem
1 Anforderung · 0/1 erfüllt
Status: trifft nicht zu</v>
      </c>
    </row>
    <row r="39" customFormat="false" ht="45.75" hidden="false" customHeight="true" outlineLevel="0" collapsed="false">
      <c r="A39" s="91" t="str">
        <f aca="false">IF(Komponenten!$D8="","",IF(Komponenten!$A8=Komponenten!$A7,"",Komponenten!$A8))</f>
        <v/>
      </c>
      <c r="B39" s="92" t="str">
        <f aca="false">IF(Komponenten!$D8="","",IF(AND(Komponenten!$A8=Komponenten!$A7,Komponenten!$B8=Komponenten!$B7),"","└ "&amp;Komponenten!$B8))</f>
        <v/>
      </c>
      <c r="C39" s="92" t="str">
        <f aca="false">IF(Komponenten!$D8="","",IF(AND(Komponenten!$A8=Komponenten!$A7,Komponenten!$B8=Komponenten!$B7,Komponenten!$C8=Komponenten!$C7),"","└ "&amp;Komponenten!$C8))</f>
        <v/>
      </c>
      <c r="D39" s="93" t="str">
        <f aca="false">IF(Komponenten!$D8="","","└ "&amp;Komponenten!$D8&amp;CHAR(10)&amp;Komponenten!$E8&amp;" Anforderungen · "&amp;Komponenten!$H8&amp;"/"&amp;Komponenten!$E8&amp;" erfüllt"&amp;CHAR(10)&amp;"Status: "&amp;Komponenten!$J8)</f>
        <v>└ Authentifizierungskomponente
66 Anforderungen · 2/66 erfüllt
Status: erfasst</v>
      </c>
      <c r="E39" s="93"/>
      <c r="Z39" s="89" t="str">
        <f aca="false">IF(Komponenten!$D21="","",Komponenten!$D21&amp;CHAR(10)&amp;Komponenten!$E21&amp;IF(Komponenten!$E21=1," Anforderung"," Anforderungen")&amp;" · "&amp;Komponenten!$H21&amp;"/"&amp;Komponenten!$E21&amp;" erfüllt"&amp;CHAR(10)&amp;"Status: "&amp;Komponenten!$J21)</f>
        <v>OCPI Buchungskalender / Dynamische Anzeige
5 Anforderungen · 1/5 erfüllt
Status: erfasst</v>
      </c>
    </row>
    <row r="40" customFormat="false" ht="45.75" hidden="false" customHeight="true" outlineLevel="0" collapsed="false">
      <c r="A40" s="91" t="str">
        <f aca="false">IF(Komponenten!$D9="","",IF(Komponenten!$A9=Komponenten!$A8,"",Komponenten!$A9))</f>
        <v/>
      </c>
      <c r="B40" s="92" t="str">
        <f aca="false">IF(Komponenten!$D9="","",IF(AND(Komponenten!$A9=Komponenten!$A8,Komponenten!$B9=Komponenten!$B8),"","└ "&amp;Komponenten!$B9))</f>
        <v/>
      </c>
      <c r="C40" s="92" t="str">
        <f aca="false">IF(Komponenten!$D9="","",IF(AND(Komponenten!$A9=Komponenten!$A8,Komponenten!$B9=Komponenten!$B8,Komponenten!$C9=Komponenten!$C8),"","└ "&amp;Komponenten!$C9))</f>
        <v/>
      </c>
      <c r="D40" s="93" t="str">
        <f aca="false">IF(Komponenten!$D9="","","└ "&amp;Komponenten!$D9&amp;CHAR(10)&amp;Komponenten!$E9&amp;" Anforderungen · "&amp;Komponenten!$H9&amp;"/"&amp;Komponenten!$E9&amp;" erfüllt"&amp;CHAR(10)&amp;"Status: "&amp;Komponenten!$J9)</f>
        <v>└ Monitoring
44 Anforderungen · 0/44 erfüllt
Status: trifft nicht zu</v>
      </c>
      <c r="E40" s="93"/>
      <c r="Z40" s="89" t="str">
        <f aca="false">IF(Komponenten!$D22="","",Komponenten!$D22&amp;CHAR(10)&amp;Komponenten!$E22&amp;IF(Komponenten!$E22=1," Anforderung"," Anforderungen")&amp;" · "&amp;Komponenten!$H22&amp;"/"&amp;Komponenten!$E22&amp;" erfüllt"&amp;CHAR(10)&amp;"Status: "&amp;Komponenten!$J22)</f>
        <v>OCPI Buchungskalender / Kennzeichenerfassung / Pönalisierungssystem
2 Anforderungen · 0/2 erfüllt
Status: erfasst</v>
      </c>
    </row>
    <row r="41" customFormat="false" ht="45.75" hidden="false" customHeight="true" outlineLevel="0" collapsed="false">
      <c r="A41" s="91" t="str">
        <f aca="false">IF(Komponenten!$D10="","",IF(Komponenten!$A10=Komponenten!$A9,"",Komponenten!$A10))</f>
        <v/>
      </c>
      <c r="B41" s="92" t="str">
        <f aca="false">IF(Komponenten!$D10="","",IF(AND(Komponenten!$A10=Komponenten!$A9,Komponenten!$B10=Komponenten!$B9),"","└ "&amp;Komponenten!$B10))</f>
        <v/>
      </c>
      <c r="C41" s="92" t="str">
        <f aca="false">IF(Komponenten!$D10="","",IF(AND(Komponenten!$A10=Komponenten!$A9,Komponenten!$B10=Komponenten!$B9,Komponenten!$C10=Komponenten!$C9),"","└ "&amp;Komponenten!$C10))</f>
        <v/>
      </c>
      <c r="D41" s="93" t="str">
        <f aca="false">IF(Komponenten!$D10="","","└ "&amp;Komponenten!$D10&amp;CHAR(10)&amp;Komponenten!$E10&amp;" Anforderungen · "&amp;Komponenten!$H10&amp;"/"&amp;Komponenten!$E10&amp;" erfüllt"&amp;CHAR(10)&amp;"Status: "&amp;Komponenten!$J10)</f>
        <v>└ OCPI Buchungskalender
102 Anforderungen · 1/102 erfüllt
Status: erfasst</v>
      </c>
      <c r="E41" s="93"/>
      <c r="Z41" s="89" t="str">
        <f aca="false">IF(Komponenten!$D23="","",Komponenten!$D23&amp;CHAR(10)&amp;Komponenten!$E23&amp;IF(Komponenten!$E23=1," Anforderung"," Anforderungen")&amp;" · "&amp;Komponenten!$H23&amp;"/"&amp;Komponenten!$E23&amp;" erfüllt"&amp;CHAR(10)&amp;"Status: "&amp;Komponenten!$J23)</f>
        <v>Authentifizierungskomponente / Schrankensteuerung
8 Anforderungen · 1/8 erfüllt
Status: erfasst</v>
      </c>
    </row>
    <row r="42" customFormat="false" ht="45.75" hidden="false" customHeight="true" outlineLevel="0" collapsed="false">
      <c r="A42" s="91" t="str">
        <f aca="false">IF(Komponenten!$D11="","",IF(Komponenten!$A11=Komponenten!$A10,"",Komponenten!$A11))</f>
        <v>SmartInfra</v>
      </c>
      <c r="B42" s="92" t="str">
        <f aca="false">IF(Komponenten!$D11="","",IF(AND(Komponenten!$A11=Komponenten!$A10,Komponenten!$B11=Komponenten!$B10),"","└ "&amp;Komponenten!$B11))</f>
        <v>└ Reservierungsplattform</v>
      </c>
      <c r="C42" s="92" t="str">
        <f aca="false">IF(Komponenten!$D11="","",IF(AND(Komponenten!$A11=Komponenten!$A10,Komponenten!$B11=Komponenten!$B10,Komponenten!$C11=Komponenten!$C10),"","└ "&amp;Komponenten!$C11))</f>
        <v>└ Komponente</v>
      </c>
      <c r="D42" s="93" t="str">
        <f aca="false">IF(Komponenten!$D11="","","└ "&amp;Komponenten!$D11&amp;CHAR(10)&amp;Komponenten!$E11&amp;" Anforderungen · "&amp;Komponenten!$H11&amp;"/"&amp;Komponenten!$E11&amp;" erfüllt"&amp;CHAR(10)&amp;"Status: "&amp;Komponenten!$J11)</f>
        <v>└ Anbindung
3 Anforderungen · 0/3 erfüllt
Status: bewertet</v>
      </c>
      <c r="E42" s="93"/>
    </row>
    <row r="43" customFormat="false" ht="45.75" hidden="false" customHeight="true" outlineLevel="0" collapsed="false">
      <c r="A43" s="91" t="str">
        <f aca="false">IF(Komponenten!$D12="","",IF(Komponenten!$A12=Komponenten!$A11,"",Komponenten!$A12))</f>
        <v/>
      </c>
      <c r="B43" s="92" t="str">
        <f aca="false">IF(Komponenten!$D12="","",IF(AND(Komponenten!$A12=Komponenten!$A11,Komponenten!$B12=Komponenten!$B11),"","└ "&amp;Komponenten!$B12))</f>
        <v/>
      </c>
      <c r="C43" s="92" t="str">
        <f aca="false">IF(Komponenten!$D12="","",IF(AND(Komponenten!$A12=Komponenten!$A11,Komponenten!$B12=Komponenten!$B11,Komponenten!$C12=Komponenten!$C11),"","└ "&amp;Komponenten!$C12))</f>
        <v/>
      </c>
      <c r="D43" s="93" t="str">
        <f aca="false">IF(Komponenten!$D12="","","└ "&amp;Komponenten!$D12&amp;CHAR(10)&amp;Komponenten!$E12&amp;" Anforderungen · "&amp;Komponenten!$H12&amp;"/"&amp;Komponenten!$E12&amp;" erfüllt"&amp;CHAR(10)&amp;"Status: "&amp;Komponenten!$J12)</f>
        <v>└ Reservierungsplattform
12 Anforderungen · 0/12 erfüllt
Status: erfasst</v>
      </c>
      <c r="E43" s="93"/>
    </row>
    <row r="44" customFormat="false" ht="45.75" hidden="false" customHeight="true" outlineLevel="0" collapsed="false">
      <c r="A44" s="91" t="str">
        <f aca="false">IF(Komponenten!$D13="","",IF(Komponenten!$A13=Komponenten!$A12,"",Komponenten!$A13))</f>
        <v/>
      </c>
      <c r="B44" s="92" t="str">
        <f aca="false">IF(Komponenten!$D13="","",IF(AND(Komponenten!$A13=Komponenten!$A12,Komponenten!$B13=Komponenten!$B12),"","└ "&amp;Komponenten!$B13))</f>
        <v>└ SCS</v>
      </c>
      <c r="C44" s="92" t="str">
        <f aca="false">IF(Komponenten!$D13="","",IF(AND(Komponenten!$A13=Komponenten!$A12,Komponenten!$B13=Komponenten!$B12,Komponenten!$C13=Komponenten!$C12),"","└ "&amp;Komponenten!$C13))</f>
        <v>└ Komponente</v>
      </c>
      <c r="D44" s="93" t="str">
        <f aca="false">IF(Komponenten!$D13="","","└ "&amp;Komponenten!$D13&amp;CHAR(10)&amp;Komponenten!$E13&amp;" Anforderungen · "&amp;Komponenten!$H13&amp;"/"&amp;Komponenten!$E13&amp;" erfüllt"&amp;CHAR(10)&amp;"Status: "&amp;Komponenten!$J13)</f>
        <v>└ Belegungsdetektion
5 Anforderungen · 1/5 erfüllt
Status: erfasst</v>
      </c>
      <c r="E44" s="93"/>
    </row>
    <row r="45" customFormat="false" ht="45.75" hidden="false" customHeight="true" outlineLevel="0" collapsed="false">
      <c r="A45" s="91" t="str">
        <f aca="false">IF(Komponenten!$D14="","",IF(Komponenten!$A14=Komponenten!$A13,"",Komponenten!$A14))</f>
        <v/>
      </c>
      <c r="B45" s="92" t="str">
        <f aca="false">IF(Komponenten!$D14="","",IF(AND(Komponenten!$A14=Komponenten!$A13,Komponenten!$B14=Komponenten!$B13),"","└ "&amp;Komponenten!$B14))</f>
        <v/>
      </c>
      <c r="C45" s="92" t="str">
        <f aca="false">IF(Komponenten!$D14="","",IF(AND(Komponenten!$A14=Komponenten!$A13,Komponenten!$B14=Komponenten!$B13,Komponenten!$C14=Komponenten!$C13),"","└ "&amp;Komponenten!$C14))</f>
        <v/>
      </c>
      <c r="D45" s="93" t="str">
        <f aca="false">IF(Komponenten!$D14="","","└ "&amp;Komponenten!$D14&amp;CHAR(10)&amp;Komponenten!$E14&amp;" Anforderungen · "&amp;Komponenten!$H14&amp;"/"&amp;Komponenten!$E14&amp;" erfüllt"&amp;CHAR(10)&amp;"Status: "&amp;Komponenten!$J14)</f>
        <v>└ Dynamische Anzeige
12 Anforderungen · 2/12 erfüllt
Status: erfasst</v>
      </c>
      <c r="E45" s="93"/>
    </row>
    <row r="46" customFormat="false" ht="45.75" hidden="false" customHeight="true" outlineLevel="0" collapsed="false">
      <c r="A46" s="91" t="str">
        <f aca="false">IF(Komponenten!$D15="","",IF(Komponenten!$A15=Komponenten!$A14,"",Komponenten!$A15))</f>
        <v/>
      </c>
      <c r="B46" s="92" t="str">
        <f aca="false">IF(Komponenten!$D15="","",IF(AND(Komponenten!$A15=Komponenten!$A14,Komponenten!$B15=Komponenten!$B14),"","└ "&amp;Komponenten!$B15))</f>
        <v/>
      </c>
      <c r="C46" s="92" t="str">
        <f aca="false">IF(Komponenten!$D15="","",IF(AND(Komponenten!$A15=Komponenten!$A14,Komponenten!$B15=Komponenten!$B14,Komponenten!$C15=Komponenten!$C14),"","└ "&amp;Komponenten!$C15))</f>
        <v/>
      </c>
      <c r="D46" s="93" t="str">
        <f aca="false">IF(Komponenten!$D15="","","└ "&amp;Komponenten!$D15&amp;CHAR(10)&amp;Komponenten!$E15&amp;" Anforderungen · "&amp;Komponenten!$H15&amp;"/"&amp;Komponenten!$E15&amp;" erfüllt"&amp;CHAR(10)&amp;"Status: "&amp;Komponenten!$J15)</f>
        <v>└ Kennzeichenerfassung
8 Anforderungen · 0/8 erfüllt
Status: erfasst</v>
      </c>
      <c r="E46" s="93"/>
    </row>
    <row r="47" customFormat="false" ht="45.75" hidden="false" customHeight="true" outlineLevel="0" collapsed="false">
      <c r="A47" s="91" t="str">
        <f aca="false">IF(Komponenten!$D16="","",IF(Komponenten!$A16=Komponenten!$A15,"",Komponenten!$A16))</f>
        <v/>
      </c>
      <c r="B47" s="92" t="str">
        <f aca="false">IF(Komponenten!$D16="","",IF(AND(Komponenten!$A16=Komponenten!$A15,Komponenten!$B16=Komponenten!$B15),"","└ "&amp;Komponenten!$B16))</f>
        <v/>
      </c>
      <c r="C47" s="92" t="str">
        <f aca="false">IF(Komponenten!$D16="","",IF(AND(Komponenten!$A16=Komponenten!$A15,Komponenten!$B16=Komponenten!$B15,Komponenten!$C16=Komponenten!$C15),"","└ "&amp;Komponenten!$C16))</f>
        <v/>
      </c>
      <c r="D47" s="93" t="str">
        <f aca="false">IF(Komponenten!$D16="","","└ "&amp;Komponenten!$D16&amp;CHAR(10)&amp;Komponenten!$E16&amp;" Anforderungen · "&amp;Komponenten!$H16&amp;"/"&amp;Komponenten!$E16&amp;" erfüllt"&amp;CHAR(10)&amp;"Status: "&amp;Komponenten!$J16)</f>
        <v>└ Pönalisierungssystem
35 Anforderungen · 0/35 erfüllt
Status: erfasst</v>
      </c>
      <c r="E47" s="93"/>
    </row>
    <row r="48" customFormat="false" ht="45.75" hidden="false" customHeight="true" outlineLevel="0" collapsed="false">
      <c r="A48" s="91" t="str">
        <f aca="false">IF(Komponenten!$D17="","",IF(Komponenten!$A17=Komponenten!$A16,"",Komponenten!$A17))</f>
        <v/>
      </c>
      <c r="B48" s="92" t="str">
        <f aca="false">IF(Komponenten!$D17="","",IF(AND(Komponenten!$A17=Komponenten!$A16,Komponenten!$B17=Komponenten!$B16),"","└ "&amp;Komponenten!$B17))</f>
        <v/>
      </c>
      <c r="C48" s="92" t="str">
        <f aca="false">IF(Komponenten!$D17="","",IF(AND(Komponenten!$A17=Komponenten!$A16,Komponenten!$B17=Komponenten!$B16,Komponenten!$C17=Komponenten!$C16),"","└ "&amp;Komponenten!$C17))</f>
        <v/>
      </c>
      <c r="D48" s="93" t="str">
        <f aca="false">IF(Komponenten!$D17="","","└ "&amp;Komponenten!$D17&amp;CHAR(10)&amp;Komponenten!$E17&amp;" Anforderungen · "&amp;Komponenten!$H17&amp;"/"&amp;Komponenten!$E17&amp;" erfüllt"&amp;CHAR(10)&amp;"Status: "&amp;Komponenten!$J17)</f>
        <v>└ Schrankensteuerung
25 Anforderungen · 4/25 erfüllt
Status: erfasst</v>
      </c>
      <c r="E48" s="93"/>
    </row>
    <row r="49" customFormat="false" ht="45.75" hidden="false" customHeight="true" outlineLevel="0" collapsed="false">
      <c r="A49" s="91" t="str">
        <f aca="false">IF(Komponenten!$D18="","",IF(Komponenten!$A18=Komponenten!$A17,"",Komponenten!$A18))</f>
        <v>AUP</v>
      </c>
      <c r="B49" s="92" t="str">
        <f aca="false">IF(Komponenten!$D18="","",IF(AND(Komponenten!$A18=Komponenten!$A17,Komponenten!$B18=Komponenten!$B17),"","└ "&amp;Komponenten!$B18))</f>
        <v>└ tbd</v>
      </c>
      <c r="C49" s="92" t="str">
        <f aca="false">IF(Komponenten!$D18="","",IF(AND(Komponenten!$A18=Komponenten!$A17,Komponenten!$B18=Komponenten!$B17,Komponenten!$C18=Komponenten!$C17),"","└ "&amp;Komponenten!$C18))</f>
        <v>└ Komponente</v>
      </c>
      <c r="D49" s="93" t="str">
        <f aca="false">IF(Komponenten!$D18="","","└ "&amp;Komponenten!$D18&amp;CHAR(10)&amp;Komponenten!$E18&amp;" Anforderungen · "&amp;Komponenten!$H18&amp;"/"&amp;Komponenten!$E18&amp;" erfüllt"&amp;CHAR(10)&amp;"Status: "&amp;Komponenten!$J18)</f>
        <v>└ Beschilderung
11 Anforderungen · 0/11 erfüllt
Status: trifft nicht zu</v>
      </c>
      <c r="E49" s="93"/>
    </row>
    <row r="50" customFormat="false" ht="45.75" hidden="false" customHeight="true" outlineLevel="0" collapsed="false">
      <c r="A50" s="91" t="str">
        <f aca="false">IF(Komponenten!$D19="","",IF(Komponenten!$A19=Komponenten!$A18,"",Komponenten!$A19))</f>
        <v>SmartInfra</v>
      </c>
      <c r="B50" s="92" t="str">
        <f aca="false">IF(Komponenten!$D19="","",IF(AND(Komponenten!$A19=Komponenten!$A18,Komponenten!$B19=Komponenten!$B18),"","└ "&amp;Komponenten!$B19))</f>
        <v>└ CAME</v>
      </c>
      <c r="C50" s="92" t="str">
        <f aca="false">IF(Komponenten!$D19="","",IF(AND(Komponenten!$A19=Komponenten!$A18,Komponenten!$B19=Komponenten!$B18,Komponenten!$C19=Komponenten!$C18),"","└ "&amp;Komponenten!$C19))</f>
        <v>└ Komponente</v>
      </c>
      <c r="D50" s="93" t="str">
        <f aca="false">IF(Komponenten!$D19="","","└ "&amp;Komponenten!$D19&amp;CHAR(10)&amp;Komponenten!$E19&amp;" Anforderungen · "&amp;Komponenten!$H19&amp;"/"&amp;Komponenten!$E19&amp;" erfüllt"&amp;CHAR(10)&amp;"Status: "&amp;Komponenten!$J19)</f>
        <v>└ Schrankenanlage
23 Anforderungen · 2/23 erfüllt
Status: erfasst</v>
      </c>
      <c r="E50" s="93"/>
    </row>
    <row r="51" customFormat="false" ht="45.75" hidden="false" customHeight="true" outlineLevel="0" collapsed="false">
      <c r="A51" s="91" t="str">
        <f aca="false">IF(Komponenten!$D20="","",IF(Komponenten!$A20=Komponenten!$A19,"",Komponenten!$A20))</f>
        <v>Zuordnung prüfen</v>
      </c>
      <c r="B51" s="92" t="str">
        <f aca="false">IF(Komponenten!$D20="","",IF(AND(Komponenten!$A20=Komponenten!$A19,Komponenten!$B20=Komponenten!$B19),"","└ "&amp;Komponenten!$B20))</f>
        <v>└ eRound / SCS</v>
      </c>
      <c r="C51" s="92" t="str">
        <f aca="false">IF(Komponenten!$D20="","",IF(AND(Komponenten!$A20=Komponenten!$A19,Komponenten!$B20=Komponenten!$B19,Komponenten!$C20=Komponenten!$C19),"","└ "&amp;Komponenten!$C20))</f>
        <v>└ Schnittstelle</v>
      </c>
      <c r="D51" s="93" t="str">
        <f aca="false">IF(Komponenten!$D20="","","└ "&amp;Komponenten!$D20&amp;CHAR(10)&amp;Komponenten!$E20&amp;" Anforderungen · "&amp;Komponenten!$H20&amp;"/"&amp;Komponenten!$E20&amp;" erfüllt"&amp;CHAR(10)&amp;"Status: "&amp;Komponenten!$J20)</f>
        <v>└ OCPI Buchungskalender / Abrechnungskomponente / Belegungsdetektion / Pönalisierungssystem
1 Anforderungen · 0/1 erfüllt
Status: trifft nicht zu</v>
      </c>
      <c r="E51" s="93"/>
    </row>
    <row r="52" customFormat="false" ht="45.75" hidden="false" customHeight="true" outlineLevel="0" collapsed="false">
      <c r="A52" s="91" t="str">
        <f aca="false">IF(Komponenten!$D21="","",IF(Komponenten!$A21=Komponenten!$A20,"",Komponenten!$A21))</f>
        <v/>
      </c>
      <c r="B52" s="92" t="str">
        <f aca="false">IF(Komponenten!$D21="","",IF(AND(Komponenten!$A21=Komponenten!$A20,Komponenten!$B21=Komponenten!$B20),"","└ "&amp;Komponenten!$B21))</f>
        <v/>
      </c>
      <c r="C52" s="92" t="str">
        <f aca="false">IF(Komponenten!$D21="","",IF(AND(Komponenten!$A21=Komponenten!$A20,Komponenten!$B21=Komponenten!$B20,Komponenten!$C21=Komponenten!$C20),"","└ "&amp;Komponenten!$C21))</f>
        <v/>
      </c>
      <c r="D52" s="93" t="str">
        <f aca="false">IF(Komponenten!$D21="","","└ "&amp;Komponenten!$D21&amp;CHAR(10)&amp;Komponenten!$E21&amp;" Anforderungen · "&amp;Komponenten!$H21&amp;"/"&amp;Komponenten!$E21&amp;" erfüllt"&amp;CHAR(10)&amp;"Status: "&amp;Komponenten!$J21)</f>
        <v>└ OCPI Buchungskalender / Dynamische Anzeige
5 Anforderungen · 1/5 erfüllt
Status: erfasst</v>
      </c>
      <c r="E52" s="93"/>
    </row>
    <row r="53" customFormat="false" ht="45.75" hidden="false" customHeight="true" outlineLevel="0" collapsed="false">
      <c r="A53" s="91" t="str">
        <f aca="false">IF(Komponenten!$D22="","",IF(Komponenten!$A22=Komponenten!$A21,"",Komponenten!$A22))</f>
        <v/>
      </c>
      <c r="B53" s="92" t="str">
        <f aca="false">IF(Komponenten!$D22="","",IF(AND(Komponenten!$A22=Komponenten!$A21,Komponenten!$B22=Komponenten!$B21),"","└ "&amp;Komponenten!$B22))</f>
        <v/>
      </c>
      <c r="C53" s="92" t="str">
        <f aca="false">IF(Komponenten!$D22="","",IF(AND(Komponenten!$A22=Komponenten!$A21,Komponenten!$B22=Komponenten!$B21,Komponenten!$C22=Komponenten!$C21),"","└ "&amp;Komponenten!$C22))</f>
        <v/>
      </c>
      <c r="D53" s="93" t="str">
        <f aca="false">IF(Komponenten!$D22="","","└ "&amp;Komponenten!$D22&amp;CHAR(10)&amp;Komponenten!$E22&amp;" Anforderungen · "&amp;Komponenten!$H22&amp;"/"&amp;Komponenten!$E22&amp;" erfüllt"&amp;CHAR(10)&amp;"Status: "&amp;Komponenten!$J22)</f>
        <v>└ OCPI Buchungskalender / Kennzeichenerfassung / Pönalisierungssystem
2 Anforderungen · 0/2 erfüllt
Status: erfasst</v>
      </c>
      <c r="E53" s="93"/>
    </row>
    <row r="54" customFormat="false" ht="45.75" hidden="false" customHeight="true" outlineLevel="0" collapsed="false">
      <c r="A54" s="91" t="str">
        <f aca="false">IF(Komponenten!$D23="","",IF(Komponenten!$A23=Komponenten!$A22,"",Komponenten!$A23))</f>
        <v/>
      </c>
      <c r="B54" s="92" t="str">
        <f aca="false">IF(Komponenten!$D23="","",IF(AND(Komponenten!$A23=Komponenten!$A22,Komponenten!$B23=Komponenten!$B22),"","└ "&amp;Komponenten!$B23))</f>
        <v/>
      </c>
      <c r="C54" s="92" t="str">
        <f aca="false">IF(Komponenten!$D23="","",IF(AND(Komponenten!$A23=Komponenten!$A22,Komponenten!$B23=Komponenten!$B22,Komponenten!$C23=Komponenten!$C22),"","└ "&amp;Komponenten!$C23))</f>
        <v/>
      </c>
      <c r="D54" s="93" t="str">
        <f aca="false">IF(Komponenten!$D23="","","└ "&amp;Komponenten!$D23&amp;CHAR(10)&amp;Komponenten!$E23&amp;" Anforderungen · "&amp;Komponenten!$H23&amp;"/"&amp;Komponenten!$E23&amp;" erfüllt"&amp;CHAR(10)&amp;"Status: "&amp;Komponenten!$J23)</f>
        <v>└ Authentifizierungskomponente / Schrankensteuerung
8 Anforderungen · 1/8 erfüllt
Status: erfasst</v>
      </c>
      <c r="E54" s="93"/>
    </row>
    <row r="55" customFormat="false" ht="45.75" hidden="false" customHeight="true" outlineLevel="0" collapsed="false">
      <c r="A55" s="91" t="str">
        <f aca="false">IF(Komponenten!$D24="","",IF(Komponenten!$A24=Komponenten!$A23,"",Komponenten!$A24))</f>
        <v/>
      </c>
      <c r="B55" s="92" t="str">
        <f aca="false">IF(Komponenten!$D24="","",IF(AND(Komponenten!$A24=Komponenten!$A23,Komponenten!$B24=Komponenten!$B23),"","└ "&amp;Komponenten!$B24))</f>
        <v/>
      </c>
      <c r="C55" s="92" t="str">
        <f aca="false">IF(Komponenten!$D24="","",IF(AND(Komponenten!$A24=Komponenten!$A23,Komponenten!$B24=Komponenten!$B23,Komponenten!$C24=Komponenten!$C23),"","└ "&amp;Komponenten!$C24))</f>
        <v/>
      </c>
      <c r="D55" s="93" t="str">
        <f aca="false">IF(Komponenten!$D24="","","└ "&amp;Komponenten!$D24&amp;CHAR(10)&amp;Komponenten!$E24&amp;" Anforderungen · "&amp;Komponenten!$H24&amp;"/"&amp;Komponenten!$E24&amp;" erfüllt"&amp;CHAR(10)&amp;"Status: "&amp;Komponenten!$J24)</f>
        <v/>
      </c>
      <c r="E55" s="93"/>
    </row>
    <row r="56" customFormat="false" ht="45.75" hidden="false" customHeight="true" outlineLevel="0" collapsed="false">
      <c r="A56" s="91" t="str">
        <f aca="false">IF(Komponenten!$D25="","",IF(Komponenten!$A25=Komponenten!$A24,"",Komponenten!$A25))</f>
        <v/>
      </c>
      <c r="B56" s="92" t="str">
        <f aca="false">IF(Komponenten!$D25="","",IF(AND(Komponenten!$A25=Komponenten!$A24,Komponenten!$B25=Komponenten!$B24),"","└ "&amp;Komponenten!$B25))</f>
        <v/>
      </c>
      <c r="C56" s="92" t="str">
        <f aca="false">IF(Komponenten!$D25="","",IF(AND(Komponenten!$A25=Komponenten!$A24,Komponenten!$B25=Komponenten!$B24,Komponenten!$C25=Komponenten!$C24),"","└ "&amp;Komponenten!$C25))</f>
        <v/>
      </c>
      <c r="D56" s="93" t="str">
        <f aca="false">IF(Komponenten!$D25="","","└ "&amp;Komponenten!$D25&amp;CHAR(10)&amp;Komponenten!$E25&amp;" Anforderungen · "&amp;Komponenten!$H25&amp;"/"&amp;Komponenten!$E25&amp;" erfüllt"&amp;CHAR(10)&amp;"Status: "&amp;Komponenten!$J25)</f>
        <v/>
      </c>
      <c r="E56" s="93"/>
    </row>
    <row r="57" customFormat="false" ht="45.75" hidden="false" customHeight="true" outlineLevel="0" collapsed="false">
      <c r="A57" s="91" t="str">
        <f aca="false">IF(Komponenten!$D26="","",IF(Komponenten!$A26=Komponenten!$A25,"",Komponenten!$A26))</f>
        <v/>
      </c>
      <c r="B57" s="92" t="str">
        <f aca="false">IF(Komponenten!$D26="","",IF(AND(Komponenten!$A26=Komponenten!$A25,Komponenten!$B26=Komponenten!$B25),"","└ "&amp;Komponenten!$B26))</f>
        <v/>
      </c>
      <c r="C57" s="92" t="str">
        <f aca="false">IF(Komponenten!$D26="","",IF(AND(Komponenten!$A26=Komponenten!$A25,Komponenten!$B26=Komponenten!$B25,Komponenten!$C26=Komponenten!$C25),"","└ "&amp;Komponenten!$C26))</f>
        <v/>
      </c>
      <c r="D57" s="93" t="str">
        <f aca="false">IF(Komponenten!$D26="","","└ "&amp;Komponenten!$D26&amp;CHAR(10)&amp;Komponenten!$E26&amp;" Anforderungen · "&amp;Komponenten!$H26&amp;"/"&amp;Komponenten!$E26&amp;" erfüllt"&amp;CHAR(10)&amp;"Status: "&amp;Komponenten!$J26)</f>
        <v/>
      </c>
      <c r="E57" s="93"/>
    </row>
    <row r="58" customFormat="false" ht="45.75" hidden="false" customHeight="true" outlineLevel="0" collapsed="false">
      <c r="A58" s="91" t="str">
        <f aca="false">IF(Komponenten!$D27="","",IF(Komponenten!$A27=Komponenten!$A26,"",Komponenten!$A27))</f>
        <v/>
      </c>
      <c r="B58" s="92" t="str">
        <f aca="false">IF(Komponenten!$D27="","",IF(AND(Komponenten!$A27=Komponenten!$A26,Komponenten!$B27=Komponenten!$B26),"","└ "&amp;Komponenten!$B27))</f>
        <v/>
      </c>
      <c r="C58" s="92" t="str">
        <f aca="false">IF(Komponenten!$D27="","",IF(AND(Komponenten!$A27=Komponenten!$A26,Komponenten!$B27=Komponenten!$B26,Komponenten!$C27=Komponenten!$C26),"","└ "&amp;Komponenten!$C27))</f>
        <v/>
      </c>
      <c r="D58" s="93" t="str">
        <f aca="false">IF(Komponenten!$D27="","","└ "&amp;Komponenten!$D27&amp;CHAR(10)&amp;Komponenten!$E27&amp;" Anforderungen · "&amp;Komponenten!$H27&amp;"/"&amp;Komponenten!$E27&amp;" erfüllt"&amp;CHAR(10)&amp;"Status: "&amp;Komponenten!$J27)</f>
        <v/>
      </c>
      <c r="E58" s="93"/>
    </row>
    <row r="59" customFormat="false" ht="45.75" hidden="false" customHeight="true" outlineLevel="0" collapsed="false">
      <c r="A59" s="91" t="str">
        <f aca="false">IF(Komponenten!$D28="","",IF(Komponenten!$A28=Komponenten!$A27,"",Komponenten!$A28))</f>
        <v/>
      </c>
      <c r="B59" s="92" t="str">
        <f aca="false">IF(Komponenten!$D28="","",IF(AND(Komponenten!$A28=Komponenten!$A27,Komponenten!$B28=Komponenten!$B27),"","└ "&amp;Komponenten!$B28))</f>
        <v/>
      </c>
      <c r="C59" s="92" t="str">
        <f aca="false">IF(Komponenten!$D28="","",IF(AND(Komponenten!$A28=Komponenten!$A27,Komponenten!$B28=Komponenten!$B27,Komponenten!$C28=Komponenten!$C27),"","└ "&amp;Komponenten!$C28))</f>
        <v/>
      </c>
      <c r="D59" s="93" t="str">
        <f aca="false">IF(Komponenten!$D28="","","└ "&amp;Komponenten!$D28&amp;CHAR(10)&amp;Komponenten!$E28&amp;" Anforderungen · "&amp;Komponenten!$H28&amp;"/"&amp;Komponenten!$E28&amp;" erfüllt"&amp;CHAR(10)&amp;"Status: "&amp;Komponenten!$J28)</f>
        <v/>
      </c>
      <c r="E59" s="93"/>
    </row>
    <row r="60" customFormat="false" ht="45.75" hidden="false" customHeight="true" outlineLevel="0" collapsed="false">
      <c r="A60" s="91" t="str">
        <f aca="false">IF(Komponenten!$D29="","",IF(Komponenten!$A29=Komponenten!$A28,"",Komponenten!$A29))</f>
        <v/>
      </c>
      <c r="B60" s="92" t="str">
        <f aca="false">IF(Komponenten!$D29="","",IF(AND(Komponenten!$A29=Komponenten!$A28,Komponenten!$B29=Komponenten!$B28),"","└ "&amp;Komponenten!$B29))</f>
        <v/>
      </c>
      <c r="C60" s="92" t="str">
        <f aca="false">IF(Komponenten!$D29="","",IF(AND(Komponenten!$A29=Komponenten!$A28,Komponenten!$B29=Komponenten!$B28,Komponenten!$C29=Komponenten!$C28),"","└ "&amp;Komponenten!$C29))</f>
        <v/>
      </c>
      <c r="D60" s="93" t="str">
        <f aca="false">IF(Komponenten!$D29="","","└ "&amp;Komponenten!$D29&amp;CHAR(10)&amp;Komponenten!$E29&amp;" Anforderungen · "&amp;Komponenten!$H29&amp;"/"&amp;Komponenten!$E29&amp;" erfüllt"&amp;CHAR(10)&amp;"Status: "&amp;Komponenten!$J29)</f>
        <v/>
      </c>
      <c r="E60" s="93"/>
    </row>
    <row r="62" customFormat="false" ht="15" hidden="false" customHeight="true" outlineLevel="0" collapsed="false">
      <c r="A62" s="94" t="s">
        <v>6276</v>
      </c>
    </row>
    <row r="63" customFormat="false" ht="15" hidden="false" customHeight="true" outlineLevel="0" collapsed="false">
      <c r="A63" s="95" t="s">
        <v>62</v>
      </c>
      <c r="B63" s="96" t="s">
        <v>171</v>
      </c>
      <c r="C63" s="97" t="s">
        <v>163</v>
      </c>
      <c r="D63" s="98" t="s">
        <v>44</v>
      </c>
      <c r="E63" s="99" t="s">
        <v>6277</v>
      </c>
    </row>
  </sheetData>
  <mergeCells count="26">
    <mergeCell ref="A2:K2"/>
    <mergeCell ref="A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s>
  <conditionalFormatting sqref="A37:A60">
    <cfRule type="expression" priority="2" aboveAverage="0" equalAverage="0" bottom="0" percent="0" rank="0" text="" dxfId="25">
      <formula>$A37&lt;&gt;""</formula>
    </cfRule>
  </conditionalFormatting>
  <conditionalFormatting sqref="B37:B60">
    <cfRule type="expression" priority="3" aboveAverage="0" equalAverage="0" bottom="0" percent="0" rank="0" text="" dxfId="26">
      <formula>$B37&lt;&gt;""</formula>
    </cfRule>
  </conditionalFormatting>
  <conditionalFormatting sqref="C37:C60">
    <cfRule type="expression" priority="4" aboveAverage="0" equalAverage="0" bottom="0" percent="0" rank="0" text="" dxfId="27">
      <formula>$C37&lt;&gt;""</formula>
    </cfRule>
  </conditionalFormatting>
  <conditionalFormatting sqref="D37:E60">
    <cfRule type="expression" priority="5" aboveAverage="0" equalAverage="0" bottom="0" percent="0" rank="0" text="" dxfId="28">
      <formula>Komponenten!$J$6="erfasst"</formula>
    </cfRule>
    <cfRule type="expression" priority="6" aboveAverage="0" equalAverage="0" bottom="0" percent="0" rank="0" text="" dxfId="29">
      <formula>Komponenten!$J$6="bewertet"</formula>
    </cfRule>
    <cfRule type="expression" priority="7" aboveAverage="0" equalAverage="0" bottom="0" percent="0" rank="0" text="" dxfId="17">
      <formula>Komponenten!$J$6="erfüllt"</formula>
    </cfRule>
    <cfRule type="expression" priority="8" aboveAverage="0" equalAverage="0" bottom="0" percent="0" rank="0" text="" dxfId="18">
      <formula>Komponenten!$J$6="trifft nicht zu"</formula>
    </cfRule>
    <cfRule type="expression" priority="9" aboveAverage="0" equalAverage="0" bottom="0" percent="0" rank="0" text="" dxfId="24">
      <formula>Komponenten!$J$6="keine Anforderungen"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Orga"/>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A5" activeCellId="0" sqref="A5"/>
    </sheetView>
  </sheetViews>
  <sheetFormatPr defaultColWidth="9.14453125" defaultRowHeight="15" zeroHeight="false" outlineLevelRow="0" outlineLevelCol="0"/>
  <cols>
    <col collapsed="false" customWidth="true" hidden="false" outlineLevel="0" max="1" min="1" style="1" width="26"/>
    <col collapsed="false" customWidth="true" hidden="false" outlineLevel="0" max="2" min="2" style="1" width="92"/>
  </cols>
  <sheetData>
    <row r="1" customFormat="false" ht="23.25" hidden="false" customHeight="true" outlineLevel="0" collapsed="false">
      <c r="A1" s="2" t="s">
        <v>6278</v>
      </c>
      <c r="B1" s="2"/>
    </row>
    <row r="2" customFormat="false" ht="15" hidden="false" customHeight="true" outlineLevel="0" collapsed="false">
      <c r="A2" s="100" t="s">
        <v>6279</v>
      </c>
      <c r="B2" s="100"/>
    </row>
    <row r="5" customFormat="false" ht="33.75" hidden="false" customHeight="true" outlineLevel="0" collapsed="false">
      <c r="A5" s="101" t="s">
        <v>6280</v>
      </c>
      <c r="B5" s="102" t="s">
        <v>6281</v>
      </c>
    </row>
    <row r="6" customFormat="false" ht="33.75" hidden="false" customHeight="true" outlineLevel="0" collapsed="false">
      <c r="A6" s="101" t="s">
        <v>6243</v>
      </c>
      <c r="B6" s="102" t="s">
        <v>6282</v>
      </c>
    </row>
    <row r="7" customFormat="false" ht="33.75" hidden="false" customHeight="true" outlineLevel="0" collapsed="false">
      <c r="A7" s="101" t="s">
        <v>6283</v>
      </c>
      <c r="B7" s="102" t="s">
        <v>6284</v>
      </c>
    </row>
    <row r="8" customFormat="false" ht="33.75" hidden="false" customHeight="true" outlineLevel="0" collapsed="false">
      <c r="A8" s="101" t="s">
        <v>6285</v>
      </c>
      <c r="B8" s="102" t="s">
        <v>6286</v>
      </c>
    </row>
    <row r="9" customFormat="false" ht="33.75" hidden="false" customHeight="true" outlineLevel="0" collapsed="false">
      <c r="A9" s="101" t="s">
        <v>6287</v>
      </c>
      <c r="B9" s="102" t="s">
        <v>6288</v>
      </c>
    </row>
    <row r="10" customFormat="false" ht="33.75" hidden="false" customHeight="true" outlineLevel="0" collapsed="false">
      <c r="A10" s="101" t="s">
        <v>6289</v>
      </c>
      <c r="B10" s="102" t="s">
        <v>6290</v>
      </c>
    </row>
    <row r="11" customFormat="false" ht="15" hidden="false" customHeight="true" outlineLevel="0" collapsed="false">
      <c r="A11" s="103"/>
      <c r="B11" s="48"/>
    </row>
    <row r="12" customFormat="false" ht="33.75" hidden="false" customHeight="true" outlineLevel="0" collapsed="false">
      <c r="A12" s="101" t="s">
        <v>6291</v>
      </c>
      <c r="B12" s="102" t="s">
        <v>6292</v>
      </c>
    </row>
    <row r="13" customFormat="false" ht="33.75" hidden="false" customHeight="true" outlineLevel="0" collapsed="false">
      <c r="A13" s="101" t="s">
        <v>6293</v>
      </c>
      <c r="B13" s="102" t="s">
        <v>6294</v>
      </c>
    </row>
    <row r="14" customFormat="false" ht="33.75" hidden="false" customHeight="true" outlineLevel="0" collapsed="false">
      <c r="A14" s="101" t="s">
        <v>6295</v>
      </c>
      <c r="B14" s="102" t="s">
        <v>6296</v>
      </c>
    </row>
    <row r="15" customFormat="false" ht="33.75" hidden="false" customHeight="true" outlineLevel="0" collapsed="false">
      <c r="A15" s="101" t="s">
        <v>6297</v>
      </c>
      <c r="B15" s="102" t="s">
        <v>6298</v>
      </c>
    </row>
    <row r="16" customFormat="false" ht="30" hidden="false" customHeight="true" outlineLevel="0" collapsed="false">
      <c r="A16" s="103" t="s">
        <v>34</v>
      </c>
      <c r="B16" s="48" t="s">
        <v>6299</v>
      </c>
    </row>
    <row r="17" customFormat="false" ht="33.75" hidden="false" customHeight="true" outlineLevel="0" collapsed="false">
      <c r="A17" s="101" t="s">
        <v>35</v>
      </c>
      <c r="B17" s="102" t="s">
        <v>6300</v>
      </c>
    </row>
    <row r="18" customFormat="false" ht="33.75" hidden="false" customHeight="true" outlineLevel="0" collapsed="false">
      <c r="A18" s="101" t="s">
        <v>6301</v>
      </c>
      <c r="B18" s="102" t="s">
        <v>6302</v>
      </c>
    </row>
    <row r="19" customFormat="false" ht="30" hidden="false" customHeight="true" outlineLevel="0" collapsed="false">
      <c r="A19" s="103" t="s">
        <v>14</v>
      </c>
      <c r="B19" s="48" t="s">
        <v>6303</v>
      </c>
    </row>
    <row r="20" customFormat="false" ht="30" hidden="false" customHeight="true" outlineLevel="0" collapsed="false">
      <c r="A20" s="103" t="s">
        <v>6304</v>
      </c>
      <c r="B20" s="48" t="s">
        <v>6305</v>
      </c>
    </row>
    <row r="21" customFormat="false" ht="30" hidden="false" customHeight="true" outlineLevel="0" collapsed="false">
      <c r="A21" s="103" t="s">
        <v>6232</v>
      </c>
      <c r="B21" s="48" t="s">
        <v>6306</v>
      </c>
    </row>
    <row r="22" customFormat="false" ht="15" hidden="false" customHeight="true" outlineLevel="0" collapsed="false">
      <c r="A22" s="104"/>
      <c r="B22" s="48"/>
    </row>
    <row r="23" customFormat="false" ht="42" hidden="false" customHeight="true" outlineLevel="0" collapsed="false">
      <c r="A23" s="103" t="s">
        <v>282</v>
      </c>
      <c r="B23" s="48" t="s">
        <v>6307</v>
      </c>
    </row>
    <row r="24" customFormat="false" ht="42" hidden="false" customHeight="true" outlineLevel="0" collapsed="false">
      <c r="A24" s="103" t="s">
        <v>28</v>
      </c>
      <c r="B24" s="48" t="s">
        <v>6308</v>
      </c>
    </row>
    <row r="25" customFormat="false" ht="42" hidden="false" customHeight="true" outlineLevel="0" collapsed="false">
      <c r="A25" s="103" t="s">
        <v>6309</v>
      </c>
      <c r="B25" s="48" t="s">
        <v>6310</v>
      </c>
    </row>
    <row r="26" customFormat="false" ht="42" hidden="false" customHeight="true" outlineLevel="0" collapsed="false">
      <c r="A26" s="103" t="s">
        <v>472</v>
      </c>
      <c r="B26" s="48" t="s">
        <v>6311</v>
      </c>
    </row>
    <row r="27" customFormat="false" ht="42" hidden="false" customHeight="true" outlineLevel="0" collapsed="false">
      <c r="A27" s="103" t="s">
        <v>6262</v>
      </c>
      <c r="B27" s="48" t="s">
        <v>6312</v>
      </c>
    </row>
    <row r="28" customFormat="false" ht="42" hidden="false" customHeight="true" outlineLevel="0" collapsed="false">
      <c r="A28" s="103" t="s">
        <v>6313</v>
      </c>
      <c r="B28" s="48" t="s">
        <v>6314</v>
      </c>
    </row>
    <row r="29" customFormat="false" ht="42" hidden="false" customHeight="true" outlineLevel="0" collapsed="false">
      <c r="A29" s="103" t="s">
        <v>6315</v>
      </c>
      <c r="B29" s="48" t="s">
        <v>6316</v>
      </c>
    </row>
    <row r="30" customFormat="false" ht="42" hidden="false" customHeight="true" outlineLevel="0" collapsed="false">
      <c r="A30" s="103" t="s">
        <v>6317</v>
      </c>
      <c r="B30" s="48" t="s">
        <v>6318</v>
      </c>
    </row>
  </sheetData>
  <mergeCells count="2">
    <mergeCell ref="A1:B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Kommentar xmlns="80362a8a-201f-4ea2-ac17-4b7abc09267c" xsi:nil="true"/>
    <lcf76f155ced4ddcb4097134ff3c332f xmlns="80362a8a-201f-4ea2-ac17-4b7abc09267c">
      <Terms xmlns="http://schemas.microsoft.com/office/infopath/2007/PartnerControls"/>
    </lcf76f155ced4ddcb4097134ff3c332f>
    <Status xmlns="80362a8a-201f-4ea2-ac17-4b7abc09267c" xsi:nil="true"/>
    <TaxCatchAll xmlns="96c61de3-509c-437c-86f5-34280879c0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75E5B06CDD19045B5EB70BBCE797125" ma:contentTypeVersion="18" ma:contentTypeDescription="Ein neues Dokument erstellen." ma:contentTypeScope="" ma:versionID="b583c07060245ef3e2913f7ec3062ce7">
  <xsd:schema xmlns:xsd="http://www.w3.org/2001/XMLSchema" xmlns:xs="http://www.w3.org/2001/XMLSchema" xmlns:p="http://schemas.microsoft.com/office/2006/metadata/properties" xmlns:ns2="80362a8a-201f-4ea2-ac17-4b7abc09267c" xmlns:ns3="96c61de3-509c-437c-86f5-34280879c0fe" targetNamespace="http://schemas.microsoft.com/office/2006/metadata/properties" ma:root="true" ma:fieldsID="123ea3794c84145f6ec0384bed699416" ns2:_="" ns3:_="">
    <xsd:import namespace="80362a8a-201f-4ea2-ac17-4b7abc09267c"/>
    <xsd:import namespace="96c61de3-509c-437c-86f5-34280879c0f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SearchProperties" minOccurs="0"/>
                <xsd:element ref="ns2:MediaLengthInSeconds" minOccurs="0"/>
                <xsd:element ref="ns2:Status" minOccurs="0"/>
                <xsd:element ref="ns2:Komment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362a8a-201f-4ea2-ac17-4b7abc092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f0885ee7-a868-45cc-9731-ea1c80d1421f"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Draft"/>
          <xsd:enumeration value="Review"/>
          <xsd:enumeration value="Released"/>
          <xsd:enumeration value="Deprecated"/>
        </xsd:restriction>
      </xsd:simpleType>
    </xsd:element>
    <xsd:element name="Kommentar" ma:index="25" nillable="true" ma:displayName="Kommentar" ma:format="Dropdown" ma:internalName="Kommenta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c61de3-509c-437c-86f5-34280879c0fe"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element name="TaxCatchAll" ma:index="21" nillable="true" ma:displayName="Taxonomy Catch All Column" ma:hidden="true" ma:list="{59d8a12b-8ebe-4397-a2d6-073a6d5e2b45}" ma:internalName="TaxCatchAll" ma:showField="CatchAllData" ma:web="96c61de3-509c-437c-86f5-34280879c0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379345-8930-4838-9190-B7F68E57F945}">
  <ds:schemaRefs>
    <ds:schemaRef ds:uri="http://purl.org/dc/elements/1.1/"/>
    <ds:schemaRef ds:uri="96c61de3-509c-437c-86f5-34280879c0fe"/>
    <ds:schemaRef ds:uri="http://schemas.openxmlformats.org/package/2006/metadata/core-properties"/>
    <ds:schemaRef ds:uri="80362a8a-201f-4ea2-ac17-4b7abc09267c"/>
    <ds:schemaRef ds:uri="http://purl.org/dc/terms/"/>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6DD0F06D-A73D-43B0-B3CB-04DBD7B06BDF}">
  <ds:schemaRefs>
    <ds:schemaRef ds:uri="http://schemas.microsoft.com/sharepoint/v3/contenttype/forms"/>
  </ds:schemaRefs>
</ds:datastoreItem>
</file>

<file path=customXml/itemProps3.xml><?xml version="1.0" encoding="utf-8"?>
<ds:datastoreItem xmlns:ds="http://schemas.openxmlformats.org/officeDocument/2006/customXml" ds:itemID="{92DF09F7-DD72-4466-B184-F75F13BBB5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362a8a-201f-4ea2-ac17-4b7abc09267c"/>
    <ds:schemaRef ds:uri="96c61de3-509c-437c-86f5-34280879c0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2026-08-17T11:30:23Z</dcterms:created>
  <dc:creator>Butt, Walid</dc:creator>
  <dc:description/>
  <dc:language>en-US</dc:language>
  <cp:lastModifiedBy/>
  <dcterms:modified xsi:type="dcterms:W3CDTF">2026-08-31T09:04:52Z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0x010100475E5B06CDD19045B5EB70BBCE797125</vt:lpwstr>
  </property>
  <property fmtid="{D5CDD505-2E9C-101B-9397-08002B2CF9AE}" pid="3" name="MediaServiceImageTags">
    <vt:lpwstr/>
  </property>
</Properties>
</file>