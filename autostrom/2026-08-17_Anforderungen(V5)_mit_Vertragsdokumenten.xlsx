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Auswertung" sheetId="3" state="visible" r:id="rId5"/>
    <sheet name="Komponenten" sheetId="4" state="visible" r:id="rId6"/>
    <sheet name="Lesehilf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<sst xmlns="http://schemas.openxmlformats.org/spreadsheetml/2006/main" count="14113" uniqueCount="6274">
  <si>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</si>
  <si>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</si>
  <si>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</si>
  <si>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</si>
  <si>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</si>
  <si>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</si>
  <si>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</si>
  <si>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</si>
  <si>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</si>
  <si>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</si>
  <si>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</si>
  <si>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</si>
  <si>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</si>
  <si>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</si>
  <si>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</si>
  <si>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</si>
  <si>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</si>
  <si>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</si>
  <si>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</si>
  <si>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</si>
  <si>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</si>
  <si>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</si>
  <si>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</si>
  <si>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 (Konzept)</t>
  </si>
  <si>
    <t xml:space="preserve">ID</t>
  </si>
  <si>
    <t xml:space="preserve">Dokument</t>
  </si>
  <si>
    <t xml:space="preserve">Fundstelle</t>
  </si>
  <si>
    <t xml:space="preserve">Themenfeld</t>
  </si>
  <si>
    <t xml:space="preserve">Kernaussage</t>
  </si>
  <si>
    <t xml:space="preserve">Anforderung / Frage (Originaltext)</t>
  </si>
  <si>
    <t xml:space="preserve">Bemerkung</t>
  </si>
  <si>
    <t xml:space="preserve">Partner</t>
  </si>
  <si>
    <t xml:space="preserve">Komponente(n)</t>
  </si>
  <si>
    <t xml:space="preserve">Status</t>
  </si>
  <si>
    <t xml:space="preserve">Erfüllt am</t>
  </si>
  <si>
    <t xml:space="preserve">Nachweis / Notiz</t>
  </si>
  <si>
    <t xml:space="preserve">ANF-001</t>
  </si>
  <si>
    <t xml:space="preserve">Betreibervertrag</t>
  </si>
  <si>
    <t xml:space="preserve">§ 25 (1)</t>
  </si>
  <si>
    <t xml:space="preserve">Reservierung</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</si>
  <si>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</si>
  <si>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</si>
  <si>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eRound</t>
  </si>
  <si>
    <t xml:space="preserve">OCPI Buchungskalender</t>
  </si>
  <si>
    <t xml:space="preserve">erfasst</t>
  </si>
  <si>
    <t xml:space="preserve">ANF-002</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</si>
  <si>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</si>
  <si>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</si>
  <si>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</si>
  <si>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ANF-003</t>
  </si>
  <si>
    <t xml:space="preserve">§ 25 (2) a</t>
  </si>
  <si>
    <t xml:space="preserve">Die Reservierungsplattform stellt dem Auftragnehmer für die Anbindung der Reservierungsplattform keine Anbindungskosten in Rechnung</t>
  </si>
  <si>
    <t xml:space="preserve">Anbindung</t>
  </si>
  <si>
    <t xml:space="preserve">ANF-004</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</si>
  <si>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</si>
  <si>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</si>
  <si>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</si>
  <si>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ANF-005</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</si>
  <si>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</si>
  <si>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</si>
  <si>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</si>
  <si>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ANF-006</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</si>
  <si>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</si>
  <si>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</si>
  <si>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</si>
  <si>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</si>
  <si>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ANF-007</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</si>
  <si>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</si>
  <si>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</si>
  <si>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</si>
  <si>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ANF-008</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</si>
  <si>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</si>
  <si>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</si>
  <si>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</si>
  <si>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ANF-009</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</si>
  <si>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</si>
  <si>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</si>
  <si>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</si>
  <si>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</si>
  <si>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</si>
  <si>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Schrankenhersteller</t>
  </si>
  <si>
    <t xml:space="preserve">Schrankenanlage</t>
  </si>
  <si>
    <t xml:space="preserve">ANF-010</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</si>
  <si>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</si>
  <si>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</si>
  <si>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</si>
  <si>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Schranken offen lassen?</t>
  </si>
  <si>
    <t xml:space="preserve">ANF-011</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</si>
  <si>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</si>
  <si>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</si>
  <si>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</si>
  <si>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</si>
  <si>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</si>
  <si>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SCS</t>
  </si>
  <si>
    <t xml:space="preserve">Authentifizierungskomponente / Schrankensteuerung</t>
  </si>
  <si>
    <t xml:space="preserve">ANF-012</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</si>
  <si>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</si>
  <si>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</si>
  <si>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</si>
  <si>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</si>
  <si>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</si>
  <si>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ANF-013</t>
  </si>
  <si>
    <t xml:space="preserve">§ 38 (1) a</t>
  </si>
  <si>
    <t xml:space="preserve">Maximale Nutzungsdauer Zwischenladen ist 1h.</t>
  </si>
  <si>
    <t xml:space="preserve">bei MCS-Ladepunkten und CCS-Ladepunkten zum Zwischenladen 1 Stunde.</t>
  </si>
  <si>
    <t xml:space="preserve">ANF-014</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</si>
  <si>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</si>
  <si>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</si>
  <si>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</si>
  <si>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ANF-015</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</si>
  <si>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</si>
  <si>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</si>
  <si>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</si>
  <si>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</si>
  <si>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ANF-016</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</si>
  <si>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</si>
  <si>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</si>
  <si>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</si>
  <si>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ANF-017</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</si>
  <si>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</si>
  <si>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</si>
  <si>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</si>
  <si>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OCPI Buchungskalender / Abrechnungskomponente / Belegungsdetektion / Pönalisierungssystem</t>
  </si>
  <si>
    <t xml:space="preserve">ANF-018</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</si>
  <si>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</si>
  <si>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</si>
  <si>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</si>
  <si>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</si>
  <si>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ANF-019</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</si>
  <si>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</si>
  <si>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</si>
  <si>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</si>
  <si>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ANF-020</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</si>
  <si>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</si>
  <si>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</si>
  <si>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</si>
  <si>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ANF-021</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</si>
  <si>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</si>
  <si>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</si>
  <si>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</si>
  <si>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ANF-022</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</si>
  <si>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</si>
  <si>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</si>
  <si>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</si>
  <si>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</si>
  <si>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</si>
  <si>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trifft nicht zu</t>
  </si>
  <si>
    <t xml:space="preserve">ggf. Thema für eRound ansonsten Beschilderung -&gt; Bau GU</t>
  </si>
  <si>
    <t xml:space="preserve">ANF-023</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</si>
  <si>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</si>
  <si>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</si>
  <si>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</si>
  <si>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</si>
  <si>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Alpitronic</t>
  </si>
  <si>
    <t xml:space="preserve">Ladeeinrichtung</t>
  </si>
  <si>
    <t xml:space="preserve">Betrifft LIS</t>
  </si>
  <si>
    <t xml:space="preserve">ANF-024</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</si>
  <si>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</si>
  <si>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</si>
  <si>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</si>
  <si>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</si>
  <si>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</si>
  <si>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erfüllt</t>
  </si>
  <si>
    <t xml:space="preserve">eRound regelt - SCS zeigt an</t>
  </si>
  <si>
    <t xml:space="preserve">ANF-025</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</si>
  <si>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</si>
  <si>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</si>
  <si>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</si>
  <si>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</si>
  <si>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Autostrom+</t>
  </si>
  <si>
    <t xml:space="preserve">bewertet</t>
  </si>
  <si>
    <t xml:space="preserve">ANF-026</t>
  </si>
  <si>
    <t xml:space="preserve">Vertragsanlage 4</t>
  </si>
  <si>
    <t xml:space="preserve">§ 3.13.2</t>
  </si>
  <si>
    <t xml:space="preserve">Schrankenanlage auf Schrankeninsel</t>
  </si>
  <si>
    <t xml:space="preserve">Anforderungen an Lade-, Schrankeninseln und physische Zufahrtbeschränkungen</t>
  </si>
  <si>
    <t xml:space="preserve">Schranke auf Schrankeninsel geplant</t>
  </si>
  <si>
    <t xml:space="preserve">ANF-027</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</si>
  <si>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</si>
  <si>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</si>
  <si>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</si>
  <si>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</si>
  <si>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Schranken auf beiden Seiten gepplant</t>
  </si>
  <si>
    <t xml:space="preserve">ANF-028</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</si>
  <si>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</si>
  <si>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</si>
  <si>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</si>
  <si>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</si>
  <si>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</si>
  <si>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Dynamische Anzeige</t>
  </si>
  <si>
    <t xml:space="preserve">LIS zeigt Zustand an, Rest auf Anzeige</t>
  </si>
  <si>
    <t xml:space="preserve">ANF-029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</si>
  <si>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</si>
  <si>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</si>
  <si>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</si>
  <si>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Schrankenhersteller / SCS / eRound</t>
  </si>
  <si>
    <t xml:space="preserve">Sicherheitseinrichtung geplant
LED in Schrankenbaum geplant
Integration des Schrankenstatus in eRound</t>
  </si>
  <si>
    <t xml:space="preserve">ANF-030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</si>
  <si>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</si>
  <si>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</si>
  <si>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Längsparken</t>
  </si>
  <si>
    <t xml:space="preserve">–</t>
  </si>
  <si>
    <t xml:space="preserve">Los 2 hat keine Poller - betrifft nur längsparkplätze</t>
  </si>
  <si>
    <t xml:space="preserve">ANF-031</t>
  </si>
  <si>
    <t xml:space="preserve">§ 3.6</t>
  </si>
  <si>
    <t xml:space="preserve">Bau &amp; Dokumentation</t>
  </si>
  <si>
    <t xml:space="preserve">Antrag auf Baufreigabe und Ausführungs-, Werk- und Montageplanung</t>
  </si>
  <si>
    <t xml:space="preserve">Mitwirkung an Planung und Freigabe</t>
  </si>
  <si>
    <t xml:space="preserve">ANF-032</t>
  </si>
  <si>
    <t xml:space="preserve">§ 3.7</t>
  </si>
  <si>
    <t xml:space="preserve">Bestandsunterlagen (As-Built)</t>
  </si>
  <si>
    <t xml:space="preserve">Verantwortlich für Dokumentation und Erstellung Unterlagen</t>
  </si>
  <si>
    <t xml:space="preserve">ANF-033</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</si>
  <si>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</si>
  <si>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</si>
  <si>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</si>
  <si>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</si>
  <si>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</si>
  <si>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ANF-034</t>
  </si>
  <si>
    <t xml:space="preserve">§ 9 (1)</t>
  </si>
  <si>
    <t xml:space="preserve">Belegungsdetektion</t>
  </si>
  <si>
    <t xml:space="preserve">Belegungsdetektion ist gefordert.</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</si>
  <si>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</si>
  <si>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</si>
  <si>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Schrankenhersteller / SCS</t>
  </si>
  <si>
    <t xml:space="preserve">Radarsensor stellt Belegung der Ladesäule bereit</t>
  </si>
  <si>
    <t xml:space="preserve">ANF-035</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</si>
  <si>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</si>
  <si>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</si>
  <si>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</si>
  <si>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</si>
  <si>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</si>
  <si>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ANF-036</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</si>
  <si>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</si>
  <si>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</si>
  <si>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</si>
  <si>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Schranke wird konfiguriert, sodass diese zu ist</t>
  </si>
  <si>
    <t xml:space="preserve">ANF-037</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</si>
  <si>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</si>
  <si>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</si>
  <si>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</si>
  <si>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</si>
  <si>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Radarsensor erkennt Einfahrt bleibt geöffnet bis die Zone wieder frei ist.</t>
  </si>
  <si>
    <t xml:space="preserve">ANF-038</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</si>
  <si>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</si>
  <si>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</si>
  <si>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</si>
  <si>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</si>
  <si>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Die Schranke kann selbstständig öffnen und schließen</t>
  </si>
  <si>
    <t xml:space="preserve">ANF-039</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</si>
  <si>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</si>
  <si>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</si>
  <si>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</si>
  <si>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t>
  </si>
  <si>
    <t xml:space="preserve">Schranke schließt von alleine</t>
  </si>
  <si>
    <t xml:space="preserve">ANF-040</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</si>
  <si>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</si>
  <si>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</si>
  <si>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</si>
  <si>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 genutzt werden</t>
  </si>
  <si>
    <t xml:space="preserve">Authentifizierungskomponente</t>
  </si>
  <si>
    <t xml:space="preserve">Jede LIS hat ein Display, rest in KANN-Anforderung</t>
  </si>
  <si>
    <t xml:space="preserve">ANF-041</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</si>
  <si>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</si>
  <si>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</si>
  <si>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</si>
  <si>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</si>
  <si>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</si>
  <si>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</si>
  <si>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</si>
  <si>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ANF-042</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</si>
  <si>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</si>
  <si>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</si>
  <si>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</si>
  <si>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ANF-043</t>
  </si>
  <si>
    <t xml:space="preserve">Vertragsanlage 13</t>
  </si>
  <si>
    <t xml:space="preserve">§ 8 (1)</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</si>
  <si>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</si>
  <si>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</si>
  <si>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</si>
  <si>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ANF-044</t>
  </si>
  <si>
    <t xml:space="preserve">Bieterfragenkatalog</t>
  </si>
  <si>
    <t xml:space="preserve">§ 351</t>
  </si>
  <si>
    <t xml:space="preserve">Nein, auch bei installierten Zufahrtsbeschränkungen sind Sensoren als Redundanz zum Zweck der Detektion des Belegungsstatus des Ladeplatzes vorzusehen.</t>
  </si>
  <si>
    <t xml:space="preserve"> // Antwort: Nein, auch bei installierten Zufahrtsbeschränkungen sind Sensoren als Redundanz zum Zweck der Detektion des Belegungsstatus des Ladeplatzes vorzusehen.</t>
  </si>
  <si>
    <t xml:space="preserve">SCS</t>
  </si>
  <si>
    <t xml:space="preserve">ANF-045</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</si>
  <si>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</si>
  <si>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</si>
  <si>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</si>
  <si>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OCPI Schnittstelle //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</si>
  <si>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ANF-046</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</si>
  <si>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</si>
  <si>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</si>
  <si>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</si>
  <si>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 // Antwort: Es muss sichergestellt sein, dass die Reservierung für alle Rastanlagen mit Ladeinfrastruktur für E-LKW auf Bundesautobahnen möglich ist.</t>
  </si>
  <si>
    <t xml:space="preserve">Reservierungsplattform</t>
  </si>
  <si>
    <t xml:space="preserve">ANF-047</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</si>
  <si>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</si>
  <si>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</si>
  <si>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 // Antwort: 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</si>
  <si>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offen</t>
  </si>
  <si>
    <t xml:space="preserve">ANF-048</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</si>
  <si>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</si>
  <si>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</si>
  <si>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 // Antwort: Der Betreibervertrag wird mit der Aufforderung der Abgabe verbindlicher Angebote aktualisiert.</t>
  </si>
  <si>
    <t xml:space="preserve">ANF-049</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</si>
  <si>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</si>
  <si>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</si>
  <si>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ANF-050</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</si>
  <si>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</si>
  <si>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</si>
  <si>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</si>
  <si>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 //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</si>
  <si>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ANF-051</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</si>
  <si>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</si>
  <si>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</si>
  <si>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</si>
  <si>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 //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</si>
  <si>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ANF-052</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</si>
  <si>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</si>
  <si>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</si>
  <si>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</si>
  <si>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 // Antwort: Es ist vom AN sicherzustellen, dass sämtliche Statusinformationen der Reservierungen bereitgestellt werden, die mittels der gängigen Roamingprotokolle übermittelt werden können und dem gängigen Marktstandard entsprechen.</t>
  </si>
  <si>
    <t xml:space="preserve">ANF-053</t>
  </si>
  <si>
    <t xml:space="preserve">Nr. 1 / S. 1</t>
  </si>
  <si>
    <t xml:space="preserve">Vergabeverfahren &amp; Angebot</t>
  </si>
  <si>
    <t xml:space="preserve">Klarstellung: Der Zuschlag wird nicht bereits auf die Erstangebote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</si>
  <si>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</si>
  <si>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 // Antwort: 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</si>
  <si>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</si>
  <si>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</si>
  <si>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</si>
  <si>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</si>
  <si>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 // Antwort: Der AG beabsichtigt, die Unterlagen im weiteren Vergabeverfahren zur Verfügung zu stellen. Die Erstellung eines Erstangebotes ist unabhängig davon auch ohne die genannten Unterlagen möglich.</t>
  </si>
  <si>
    <t xml:space="preserve">tbd</t>
  </si>
  <si>
    <t xml:space="preserve">Beschilderung</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</si>
  <si>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</si>
  <si>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</si>
  <si>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</si>
  <si>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</si>
  <si>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</si>
  <si>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 // Antwort: 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</si>
  <si>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</si>
  <si>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</si>
  <si>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</si>
  <si>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</si>
  <si>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Bezug lt. Katalog: Vertrag
Katalogdatum: 09.01.2025 // Antwort: 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</si>
  <si>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</si>
  <si>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</si>
  <si>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</si>
  <si>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</si>
  <si>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</si>
  <si>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 // Antwort: 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</si>
  <si>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</si>
  <si>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</si>
  <si>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</si>
  <si>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</si>
  <si>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</si>
  <si>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 // Antwort: 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</si>
  <si>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</si>
  <si>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</si>
  <si>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</si>
  <si>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</si>
  <si>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 // Antwort: Die Unterlagen Anlage 5 zum Verfahrensbrief wurden entsprechend aktualisiert und stehen Ihnen in der überarbeiteten Version zur Verfügung. Diese aktualisierte Dokumente ist dem Erstangebot zu Grunde zu legen.</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</si>
  <si>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</si>
  <si>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</si>
  <si>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</si>
  <si>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</si>
  <si>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 // Antwort: 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</si>
  <si>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</si>
  <si>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</si>
  <si>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</si>
  <si>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</si>
  <si>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 // Antwort: 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</si>
  <si>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</si>
  <si>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</si>
  <si>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</si>
  <si>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</si>
  <si>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 // Antwort: 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</si>
  <si>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</si>
  <si>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</si>
  <si>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</si>
  <si>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</si>
  <si>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 // Antwort: siehe die Antwort auf Frage 6</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</si>
  <si>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</si>
  <si>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</si>
  <si>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</si>
  <si>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</si>
  <si>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 // Antwort: 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</si>
  <si>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</si>
  <si>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</si>
  <si>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</si>
  <si>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</si>
  <si>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Bezug lt. Katalog: -
Katalogdatum: 15.01.2024 // Antwort: siehe die Antwort auf Frage 1</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</si>
  <si>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</si>
  <si>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</si>
  <si>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</si>
  <si>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</si>
  <si>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Bezug lt. Katalog: -
Katalogdatum: 15.01.2024 // Antwort: 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</si>
  <si>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</si>
  <si>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</si>
  <si>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</si>
  <si>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</si>
  <si>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Bezug lt. Katalog: -
Katalogdatum: 15.01.2024 // Antwort: 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</si>
  <si>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</si>
  <si>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</si>
  <si>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</si>
  <si>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</si>
  <si>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Bezug lt. Katalog: -
Katalogdatum: 15.01.2024 // Antwort: 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</si>
  <si>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</si>
  <si>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</si>
  <si>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</si>
  <si>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</si>
  <si>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Bezug lt. Katalog: -
Katalogdatum: 15.01.2024 // Antwort: 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</si>
  <si>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</si>
  <si>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</si>
  <si>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</si>
  <si>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</si>
  <si>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Bezug lt. Katalog: -
Katalogdatum: 15.01.2024 // Antwort: 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</si>
  <si>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</si>
  <si>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</si>
  <si>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</si>
  <si>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</si>
  <si>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Bezug lt. Katalog: -
Katalogdatum: 15.01.2024 // Antwort: 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</si>
  <si>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</si>
  <si>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</si>
  <si>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</si>
  <si>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</si>
  <si>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 // Antwort: Siehe Antwort auf Frage 5</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</si>
  <si>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</si>
  <si>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</si>
  <si>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</si>
  <si>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</si>
  <si>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Bezug lt. Katalog: –
Katalogdatum: 15.01.2025 // Antwort: 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</si>
  <si>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</si>
  <si>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</si>
  <si>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</si>
  <si>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</si>
  <si>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Bezug lt. Katalog: –
Katalogdatum: 15.01.2025 // Antwort: 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</si>
  <si>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</si>
  <si>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</si>
  <si>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</si>
  <si>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</si>
  <si>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Bezug lt. Katalog: –
Katalogdatum: 15.01.2025 // Antwort: 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</si>
  <si>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</si>
  <si>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</si>
  <si>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</si>
  <si>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</si>
  <si>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 // Antwort: 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</si>
  <si>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</si>
  <si>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</si>
  <si>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</si>
  <si>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</si>
  <si>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Bezug lt. Katalog: Hauptvertrag
Katalogdatum: 17.01.2025 // Antwort: Nein, das Ad-hoc Entgelt soll nicht gemindert werden. § 19 Abs. 6 sieht lediglich eine Anrechnung eines gzahlten Reservierungsentgelts vor.</t>
  </si>
  <si>
    <t xml:space="preserve">eRound / Reservierungsplattform</t>
  </si>
  <si>
    <t xml:space="preserve">Authentifizierungskomponente / OCPI Buchungskalender / Reservierungsplattform</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</si>
  <si>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</si>
  <si>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</si>
  <si>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</si>
  <si>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</si>
  <si>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 // Antwort: 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</si>
  <si>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</si>
  <si>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</si>
  <si>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</si>
  <si>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</si>
  <si>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 // Antwort: Die ladeplatzbezogene Beleuchtung ist an die Niederspannungsanalage der Ladeinfrastruktur anzuschließen.</t>
  </si>
  <si>
    <t xml:space="preserve">Zuordnung prüfen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</si>
  <si>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</si>
  <si>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</si>
  <si>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</si>
  <si>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</si>
  <si>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 // Antwort: 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</si>
  <si>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</si>
  <si>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</si>
  <si>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</si>
  <si>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</si>
  <si>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 // Antwort: 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</si>
  <si>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</si>
  <si>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</si>
  <si>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</si>
  <si>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</si>
  <si>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 // Antwort: 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</si>
  <si>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</si>
  <si>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</si>
  <si>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</si>
  <si>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</si>
  <si>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 // Antwort: 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</si>
  <si>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</si>
  <si>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</si>
  <si>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</si>
  <si>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</si>
  <si>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 // Antwort: 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</si>
  <si>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</si>
  <si>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</si>
  <si>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</si>
  <si>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</si>
  <si>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 // Antwort: 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</si>
  <si>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Schrankensteuerung / OCPI Buchungskalender / Pönalisierungssystem</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</si>
  <si>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</si>
  <si>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</si>
  <si>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</si>
  <si>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</si>
  <si>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 // Antwort: 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</si>
  <si>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</si>
  <si>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</si>
  <si>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</si>
  <si>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</si>
  <si>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 // Antwort: 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</si>
  <si>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</si>
  <si>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</si>
  <si>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</si>
  <si>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</si>
  <si>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 // Antwort: 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</si>
  <si>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</si>
  <si>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</si>
  <si>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</si>
  <si>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</si>
  <si>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 // Antwort: 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</si>
  <si>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</si>
  <si>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</si>
  <si>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</si>
  <si>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</si>
  <si>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 // Antwort: 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</si>
  <si>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</si>
  <si>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</si>
  <si>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</si>
  <si>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</si>
  <si>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Bezug lt. Katalog: –
Katalogdatum: 20.01.2025 // Antwort: 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</si>
  <si>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</si>
  <si>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</si>
  <si>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</si>
  <si>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</si>
  <si>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 // Antwort: Es wird auf §24 Abs. 3 des Vertrages sowie Ziffer 10 der Vertragsanlage 06 "Anforderungen an die Ladeeinrichtung" verwiesen. Einzelheiten können zum Gegenstand der Bieterverhandlungen gemacht werden.</t>
  </si>
  <si>
    <t xml:space="preserve">Alpitronic / eRound</t>
  </si>
  <si>
    <t xml:space="preserve">Abrechnungskomponente / Ladeeinrichtung</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</si>
  <si>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</si>
  <si>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</si>
  <si>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</si>
  <si>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</si>
  <si>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</si>
  <si>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 // Antwort: 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</si>
  <si>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</si>
  <si>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</si>
  <si>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</si>
  <si>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</si>
  <si>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 // Antwort: 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</si>
  <si>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</si>
  <si>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</si>
  <si>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</si>
  <si>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</si>
  <si>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Bezug lt. Katalog: –
Katalogdatum: 20.01.2025 // Antwort: 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</si>
  <si>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</si>
  <si>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</si>
  <si>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</si>
  <si>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</si>
  <si>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Bezug lt. Katalog: –
Katalogdatum: 20.01.2025 // Antwort: 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</si>
  <si>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</si>
  <si>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</si>
  <si>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</si>
  <si>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</si>
  <si>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 // Antwort: 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</si>
  <si>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</si>
  <si>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</si>
  <si>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</si>
  <si>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</si>
  <si>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Bezug lt. Katalog: –
Katalogdatum: 20.01.2025 // Antwort: 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</si>
  <si>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</si>
  <si>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</si>
  <si>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</si>
  <si>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</si>
  <si>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Bezug lt. Katalog: –
Katalogdatum: 20.01.2025 // Antwort: 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</si>
  <si>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</si>
  <si>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</si>
  <si>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</si>
  <si>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</si>
  <si>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 // Antwort: 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</si>
  <si>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</si>
  <si>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</si>
  <si>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</si>
  <si>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</si>
  <si>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 // Antwort: 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</si>
  <si>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</si>
  <si>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</si>
  <si>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</si>
  <si>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</si>
  <si>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 // Antwort: 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</si>
  <si>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</si>
  <si>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</si>
  <si>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</si>
  <si>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</si>
  <si>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 // Antwort: 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</si>
  <si>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Authentifizierungskomponente / OCPI Buchungskalender</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</si>
  <si>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</si>
  <si>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</si>
  <si>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</si>
  <si>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</si>
  <si>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</si>
  <si>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 // Antwort: 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</si>
  <si>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</si>
  <si>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</si>
  <si>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</si>
  <si>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</si>
  <si>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 // Antwort: 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</si>
  <si>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</si>
  <si>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</si>
  <si>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</si>
  <si>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</si>
  <si>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 // Antwort: 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</si>
  <si>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</si>
  <si>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</si>
  <si>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</si>
  <si>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</si>
  <si>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 // Antwort: Siehe Frage 41.</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</si>
  <si>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</si>
  <si>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</si>
  <si>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</si>
  <si>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</si>
  <si>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 // Antwort: Das Formblatt A1 wurde entsprechend korrigiert.</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</si>
  <si>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</si>
  <si>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</si>
  <si>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</si>
  <si>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</si>
  <si>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 // Antwort: 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</si>
  <si>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</si>
  <si>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</si>
  <si>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</si>
  <si>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</si>
  <si>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 // Antwort: 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</si>
  <si>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</si>
  <si>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</si>
  <si>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</si>
  <si>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</si>
  <si>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 // Antwort: 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</si>
  <si>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</si>
  <si>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</si>
  <si>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</si>
  <si>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</si>
  <si>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Bezug lt. Katalog: Vertragsanlage 05
Katalogdatum: 23.01.2025 // Antwort: 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</si>
  <si>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</si>
  <si>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</si>
  <si>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</si>
  <si>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</si>
  <si>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 // Antwort: 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</si>
  <si>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</si>
  <si>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</si>
  <si>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</si>
  <si>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</si>
  <si>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Bezug lt. Katalog: –
Katalogdatum: 23.01.2025 // Antwort: 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</si>
  <si>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</si>
  <si>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</si>
  <si>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</si>
  <si>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</si>
  <si>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Bezug lt. Katalog: –
Katalogdatum: 23.01.2025 // Antwort: 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</si>
  <si>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</si>
  <si>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</si>
  <si>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</si>
  <si>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</si>
  <si>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Bezug lt. Katalog: –
Katalogdatum: 23.01.2025 // Antwort: 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</si>
  <si>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</si>
  <si>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</si>
  <si>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</si>
  <si>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</si>
  <si>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Bezug lt. Katalog: –
Katalogdatum: 23.01.2025 // Antwort: 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</si>
  <si>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</si>
  <si>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</si>
  <si>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</si>
  <si>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</si>
  <si>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Bezug lt. Katalog: –
Katalogdatum: 23.01.2025 // Antwort: Siehe hierzu die Antwort auf die Bieterfrage 59.</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</si>
  <si>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</si>
  <si>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</si>
  <si>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</si>
  <si>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</si>
  <si>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Bezug lt. Katalog: –
Katalogdatum: 23.01.2025 // Antwort: 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</si>
  <si>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</si>
  <si>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</si>
  <si>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</si>
  <si>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</si>
  <si>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Bezug lt. Katalog: –
Katalogdatum: 23.01.2025 // Antwort: 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</si>
  <si>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</si>
  <si>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</si>
  <si>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</si>
  <si>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</si>
  <si>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 // Antwort: 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</si>
  <si>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</si>
  <si>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</si>
  <si>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</si>
  <si>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</si>
  <si>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 // Antwort: 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</si>
  <si>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</si>
  <si>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</si>
  <si>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</si>
  <si>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</si>
  <si>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 // Antwort: 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</si>
  <si>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</si>
  <si>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</si>
  <si>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</si>
  <si>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</si>
  <si>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 // Antwort: 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</si>
  <si>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</si>
  <si>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</si>
  <si>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</si>
  <si>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</si>
  <si>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 // Antwort: 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</si>
  <si>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</si>
  <si>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</si>
  <si>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</si>
  <si>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</si>
  <si>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 // Antwort: Siehe Antwort auf die Bieterfrage 56.</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</si>
  <si>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</si>
  <si>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</si>
  <si>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</si>
  <si>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</si>
  <si>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 // Antwort: 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</si>
  <si>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</si>
  <si>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</si>
  <si>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</si>
  <si>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</si>
  <si>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 // Antwort: 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</si>
  <si>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</si>
  <si>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</si>
  <si>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</si>
  <si>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</si>
  <si>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Bezug lt. Katalog: Vertragsanlage 04 // Antwort: 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</si>
  <si>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</si>
  <si>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</si>
  <si>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</si>
  <si>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</si>
  <si>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Bezug lt. Katalog: Vertragsanlage 04 // Antwort: 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</si>
  <si>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</si>
  <si>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</si>
  <si>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</si>
  <si>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</si>
  <si>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 // Antwort: 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</si>
  <si>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</si>
  <si>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</si>
  <si>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</si>
  <si>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</si>
  <si>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 // Antwort: 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</si>
  <si>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</si>
  <si>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</si>
  <si>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</si>
  <si>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</si>
  <si>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 // Antwort: 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</si>
  <si>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</si>
  <si>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</si>
  <si>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</si>
  <si>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</si>
  <si>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 // Antwort: 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</si>
  <si>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</si>
  <si>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</si>
  <si>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</si>
  <si>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</si>
  <si>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 // Antwort: 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</si>
  <si>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OCPI Buchungskalender / Reservierungsplattform</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</si>
  <si>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</si>
  <si>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</si>
  <si>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</si>
  <si>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</si>
  <si>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 // Antwort: 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</si>
  <si>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</si>
  <si>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</si>
  <si>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</si>
  <si>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</si>
  <si>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 // Antwort: 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</si>
  <si>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</si>
  <si>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</si>
  <si>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</si>
  <si>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</si>
  <si>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 // Antwort: 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</si>
  <si>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</si>
  <si>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</si>
  <si>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</si>
  <si>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</si>
  <si>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 // Antwort: 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</si>
  <si>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</si>
  <si>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</si>
  <si>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</si>
  <si>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</si>
  <si>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 // Antwort: 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</si>
  <si>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</si>
  <si>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</si>
  <si>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</si>
  <si>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</si>
  <si>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 // Antwort: 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</si>
  <si>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</si>
  <si>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</si>
  <si>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</si>
  <si>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</si>
  <si>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 // Antwort: 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</si>
  <si>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</si>
  <si>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</si>
  <si>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</si>
  <si>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</si>
  <si>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Bezug lt. Katalog: –
Katalogdatum: 29.01.2025 // Antwort: Der AG verweist auf die Antwort auf Bieterfrage 33. Dementsprechend ist für die Erstellung der Erstangebote davon auszugehen, dass blockierende Objekte nicht zu Ausfallzeiten führen werden.</t>
  </si>
  <si>
    <t xml:space="preserve">Pönalisierungssystem</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</si>
  <si>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</si>
  <si>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</si>
  <si>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</si>
  <si>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</si>
  <si>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Bezug lt. Katalog: –
Katalogdatum: 29.01.2025 // Antwort: 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</si>
  <si>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</si>
  <si>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</si>
  <si>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</si>
  <si>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</si>
  <si>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Bezug lt. Katalog: –
Katalogdatum: 29.01.2025 // Antwort: 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</si>
  <si>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</si>
  <si>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</si>
  <si>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</si>
  <si>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</si>
  <si>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 // Antwort: 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</si>
  <si>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</si>
  <si>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</si>
  <si>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</si>
  <si>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</si>
  <si>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 // Antwort: Siehe Antwort auf die Bieterfrage 60.</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</si>
  <si>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</si>
  <si>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</si>
  <si>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</si>
  <si>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</si>
  <si>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 // Antwort: 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</si>
  <si>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eRound / SCS / Reservierungsplattform</t>
  </si>
  <si>
    <t xml:space="preserve">Kennzeichenerfassung / OCPI Buchungskalender / Reservierungsplattform / Pönalisierungssystem</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</si>
  <si>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</si>
  <si>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</si>
  <si>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</si>
  <si>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</si>
  <si>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 // Antwort: 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</si>
  <si>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</si>
  <si>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</si>
  <si>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</si>
  <si>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</si>
  <si>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 // Antwort: Siehe hierzu die Antwort auf die Bieterfrage 87.</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</si>
  <si>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</si>
  <si>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</si>
  <si>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</si>
  <si>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</si>
  <si>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Bezug lt. Katalog: –
Katalogdatum: 31.01.2025 // Antwort: 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</si>
  <si>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</si>
  <si>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</si>
  <si>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</si>
  <si>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</si>
  <si>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Bezug lt. Katalog: –
Katalogdatum: 31.01.2025 // Antwort: 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</si>
  <si>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</si>
  <si>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</si>
  <si>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</si>
  <si>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</si>
  <si>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Bezug lt. Katalog: –
Katalogdatum: 31.01.2025 // Antwort: 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</si>
  <si>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</si>
  <si>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</si>
  <si>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</si>
  <si>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</si>
  <si>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Bezug lt. Katalog: –
Katalogdatum: 31.01.2025 // Antwort: 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</si>
  <si>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</si>
  <si>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</si>
  <si>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</si>
  <si>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</si>
  <si>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Bezug lt. Katalog: –
Katalogdatum: 31.01.2025 // Antwort: 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</si>
  <si>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</si>
  <si>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</si>
  <si>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</si>
  <si>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</si>
  <si>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 // Antwort: 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</si>
  <si>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</si>
  <si>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</si>
  <si>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</si>
  <si>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</si>
  <si>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 // Antwort: 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</si>
  <si>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</si>
  <si>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</si>
  <si>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</si>
  <si>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</si>
  <si>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 // Antwort: 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</si>
  <si>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</si>
  <si>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</si>
  <si>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</si>
  <si>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</si>
  <si>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 // Antwort: 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</si>
  <si>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</si>
  <si>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</si>
  <si>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</si>
  <si>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</si>
  <si>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 // Antwort: 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</si>
  <si>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</si>
  <si>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</si>
  <si>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</si>
  <si>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</si>
  <si>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 // Antwort: 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</si>
  <si>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</si>
  <si>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</si>
  <si>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</si>
  <si>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</si>
  <si>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 // Antwort: 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</si>
  <si>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</si>
  <si>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</si>
  <si>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</si>
  <si>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</si>
  <si>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 // Antwort: 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</si>
  <si>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</si>
  <si>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</si>
  <si>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</si>
  <si>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</si>
  <si>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 // Antwort: 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</si>
  <si>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</si>
  <si>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</si>
  <si>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</si>
  <si>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</si>
  <si>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 // Antwort: 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</si>
  <si>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</si>
  <si>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</si>
  <si>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</si>
  <si>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</si>
  <si>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 // Antwort: 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</si>
  <si>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</si>
  <si>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</si>
  <si>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</si>
  <si>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</si>
  <si>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 // Antwort: 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</si>
  <si>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</si>
  <si>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</si>
  <si>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</si>
  <si>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</si>
  <si>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 // Antwort: 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</si>
  <si>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</si>
  <si>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</si>
  <si>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</si>
  <si>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</si>
  <si>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 // Antwort: 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</si>
  <si>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</si>
  <si>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</si>
  <si>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</si>
  <si>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</si>
  <si>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Bezug lt. Katalog: –
Katalogdatum: 31.01.2025 // Antwort: 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</si>
  <si>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</si>
  <si>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</si>
  <si>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</si>
  <si>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</si>
  <si>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 // Antwort: 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</si>
  <si>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</si>
  <si>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</si>
  <si>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</si>
  <si>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</si>
  <si>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 // Antwort: Siehe Antwort auf Bieterfrage 47.</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</si>
  <si>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</si>
  <si>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</si>
  <si>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</si>
  <si>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</si>
  <si>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 // Antwort: 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</si>
  <si>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</si>
  <si>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</si>
  <si>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</si>
  <si>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</si>
  <si>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 // Antwort: 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</si>
  <si>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</si>
  <si>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</si>
  <si>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</si>
  <si>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</si>
  <si>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 // Antwort: 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</si>
  <si>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</si>
  <si>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</si>
  <si>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</si>
  <si>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</si>
  <si>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 // Antwort: 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</si>
  <si>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</si>
  <si>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</si>
  <si>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</si>
  <si>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</si>
  <si>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 // Antwort: 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</si>
  <si>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</si>
  <si>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</si>
  <si>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</si>
  <si>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</si>
  <si>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 // Antwort: Es ist nicht vorgesehen, dass der Ad-hoc-Preis von den Auftraggebern vorgegeben wird. Bei der Kalkulation und Festsetzung des Ad-hoc-Preises sind jedoch die Vorgaben des § 26 des Vertrages zu beachten.</t>
  </si>
  <si>
    <t xml:space="preserve">Authentifizierungskomponente / Abrechnungskomponente</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</si>
  <si>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</si>
  <si>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</si>
  <si>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</si>
  <si>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</si>
  <si>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 // Antwort: 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</si>
  <si>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</si>
  <si>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</si>
  <si>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</si>
  <si>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</si>
  <si>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 // Antwort: 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</si>
  <si>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</si>
  <si>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</si>
  <si>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</si>
  <si>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</si>
  <si>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Bezug lt. Katalog: Verfahren
Katalogdatum: 05.02.2025 // Antwort: 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</si>
  <si>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</si>
  <si>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</si>
  <si>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</si>
  <si>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</si>
  <si>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Bezug lt. Katalog: Verfahren
Katalogdatum: 05.02.2025 // Antwort: 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</si>
  <si>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</si>
  <si>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</si>
  <si>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</si>
  <si>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</si>
  <si>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Bezug lt. Katalog: Anlage 01 zum ersten Verfahrensbrief_Betreibervertrag
Katalogdatum: 05.02.2025 // Antwort: 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</si>
  <si>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</si>
  <si>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</si>
  <si>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</si>
  <si>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</si>
  <si>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Bezug lt. Katalog: Anlage 01 zum ersten Verfahrensbrief_Betreibervertrag
Katalogdatum: 05.02.2025 // Antwort: 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</si>
  <si>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</si>
  <si>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</si>
  <si>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</si>
  <si>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</si>
  <si>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Bezug lt. Katalog: Verfahren
Katalogdatum: 05.02.2025 // Antwort: 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</si>
  <si>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</si>
  <si>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</si>
  <si>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</si>
  <si>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</si>
  <si>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Bezug lt. Katalog: Anlage 01 zum ersten Verfahrensbrief_Betreibervertrag
Katalogdatum: 05.02.2025 // Antwort: Siehe hierzu die Antwort auf die Bieterfrage 103.</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</si>
  <si>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</si>
  <si>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</si>
  <si>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</si>
  <si>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</si>
  <si>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Bezug lt. Katalog: Anlage 01 zum ersten Verfahrensbrief_Betreibervertrag
Katalogdatum: 05.02.2025 // Antwort: 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</si>
  <si>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</si>
  <si>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</si>
  <si>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</si>
  <si>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</si>
  <si>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Bezug lt. Katalog: Anlage 01 zum ersten Verfahrensbrief_Betreibervertrag
Katalogdatum: 05.02.2025 // Antwort: 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</si>
  <si>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</si>
  <si>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</si>
  <si>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</si>
  <si>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</si>
  <si>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Bezug lt. Katalog: Anlage 01 zum ersten Verfahrensbrief_Betreibervertrag
Katalogdatum: 05.02.2025 // Antwort: 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</si>
  <si>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</si>
  <si>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</si>
  <si>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</si>
  <si>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</si>
  <si>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Bezug lt. Katalog: Anlage 01 zum ersten Verfahrensbrief_Betreibervertrag
Katalogdatum: 05.02.2025 // Antwort: 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</si>
  <si>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</si>
  <si>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</si>
  <si>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</si>
  <si>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</si>
  <si>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 // Antwort: 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</si>
  <si>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</si>
  <si>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</si>
  <si>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</si>
  <si>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</si>
  <si>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Bezug lt. Katalog: Anlage 01 zum ersten Verfahrensbrief_Betreibervertrag
Katalogdatum: 05.02.2025
Zuordnung prüfen (Komponente/Partner nicht eindeutig) // Antwort: §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</si>
  <si>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</si>
  <si>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</si>
  <si>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</si>
  <si>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</si>
  <si>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 // Antwort: 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</si>
  <si>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</si>
  <si>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</si>
  <si>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</si>
  <si>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</si>
  <si>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Bezug lt. Katalog: Anlage 01 zum ersten Verfahrensbrief_Betreibervertrag
Katalogdatum: 05.02.2025 // Antwort: Siehe Antwort auf die Bieterfrage 81.</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</si>
  <si>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</si>
  <si>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</si>
  <si>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</si>
  <si>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</si>
  <si>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Bezug lt. Katalog: Anlage 01 zum ersten Verfahrensbrief_Betreibervertrag
Katalogdatum: 05.02.2025 // Antwort: 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</si>
  <si>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</si>
  <si>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</si>
  <si>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</si>
  <si>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</si>
  <si>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Bezug lt. Katalog: Anlage 01 zum ersten Verfahrensbrief_Betreibervertrag
Katalogdatum: 05.02.2025 // Antwort: 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</si>
  <si>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</si>
  <si>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</si>
  <si>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</si>
  <si>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</si>
  <si>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 // Antwort: 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</si>
  <si>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</si>
  <si>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</si>
  <si>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</si>
  <si>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</si>
  <si>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 // Antwort: 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</si>
  <si>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</si>
  <si>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</si>
  <si>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</si>
  <si>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</si>
  <si>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 // Antwort: 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</si>
  <si>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</si>
  <si>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</si>
  <si>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</si>
  <si>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</si>
  <si>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</si>
  <si>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</si>
  <si>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</si>
  <si>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</si>
  <si>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</si>
  <si>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</si>
  <si>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</si>
  <si>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</si>
  <si>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</si>
  <si>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Bezug lt. Katalog: Horizontalbohrungen
Katalogdatum: 05.02.2025 // Antwort: 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</si>
  <si>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</si>
  <si>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</si>
  <si>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</si>
  <si>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</si>
  <si>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</si>
  <si>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</si>
  <si>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</si>
  <si>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 // Antwort: 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</si>
  <si>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</si>
  <si>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</si>
  <si>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</si>
  <si>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</si>
  <si>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 // Antwort: Siehe hierzu die Antwort auf die Bieterfrage 113.</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</si>
  <si>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</si>
  <si>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</si>
  <si>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</si>
  <si>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</si>
  <si>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 // Antwort: 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</si>
  <si>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</si>
  <si>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</si>
  <si>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</si>
  <si>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</si>
  <si>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 // Antwort: 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</si>
  <si>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</si>
  <si>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</si>
  <si>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</si>
  <si>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</si>
  <si>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 // Antwort: Siehe hierzu die Antwort auf Bieterfrage 44.</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</si>
  <si>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</si>
  <si>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</si>
  <si>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</si>
  <si>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</si>
  <si>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 // Antwort: 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</si>
  <si>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</si>
  <si>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</si>
  <si>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</si>
  <si>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</si>
  <si>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 // Antwort: 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</si>
  <si>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</si>
  <si>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</si>
  <si>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</si>
  <si>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</si>
  <si>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 // Antwort: 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</si>
  <si>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</si>
  <si>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</si>
  <si>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</si>
  <si>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</si>
  <si>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 // Antwort: 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</si>
  <si>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</si>
  <si>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</si>
  <si>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</si>
  <si>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</si>
  <si>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 // Antwort: 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</si>
  <si>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</si>
  <si>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</si>
  <si>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</si>
  <si>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</si>
  <si>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 // Antwort: 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</si>
  <si>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</si>
  <si>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</si>
  <si>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</si>
  <si>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</si>
  <si>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 // Antwort: 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</si>
  <si>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</si>
  <si>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</si>
  <si>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</si>
  <si>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</si>
  <si>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 // Antwort: 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</si>
  <si>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</si>
  <si>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</si>
  <si>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</si>
  <si>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</si>
  <si>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 // Antwort: 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</si>
  <si>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</si>
  <si>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</si>
  <si>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</si>
  <si>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</si>
  <si>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 // Antwort: 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</si>
  <si>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</si>
  <si>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</si>
  <si>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</si>
  <si>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</si>
  <si>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Bezug lt. Katalog: Vertragsanlage 04_Leistungsbeschreibung Errichtung, S.26
Katalogdatum: 10.02.2025 // Antwort: 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</si>
  <si>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</si>
  <si>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</si>
  <si>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</si>
  <si>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</si>
  <si>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 // Antwort: 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</si>
  <si>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</si>
  <si>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</si>
  <si>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</si>
  <si>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</si>
  <si>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 // Antwort: 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</si>
  <si>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</si>
  <si>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</si>
  <si>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</si>
  <si>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</si>
  <si>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 // Antwort: 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</si>
  <si>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</si>
  <si>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</si>
  <si>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</si>
  <si>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</si>
  <si>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 // Antwort: 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</si>
  <si>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</si>
  <si>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</si>
  <si>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</si>
  <si>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</si>
  <si>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 // Antwort: 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</si>
  <si>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</si>
  <si>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</si>
  <si>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</si>
  <si>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</si>
  <si>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 // Antwort: 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</si>
  <si>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</si>
  <si>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</si>
  <si>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</si>
  <si>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</si>
  <si>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 // Antwort: 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</si>
  <si>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</si>
  <si>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</si>
  <si>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</si>
  <si>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</si>
  <si>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 // Antwort: 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</si>
  <si>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</si>
  <si>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</si>
  <si>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</si>
  <si>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</si>
  <si>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 // Antwort: 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</si>
  <si>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</si>
  <si>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</si>
  <si>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</si>
  <si>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</si>
  <si>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Bezug lt. Katalog: Vertrag, § 6
Katalogdatum: 12.02.2025 // Antwort: 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</si>
  <si>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</si>
  <si>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</si>
  <si>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</si>
  <si>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</si>
  <si>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 // Antwort: Siehe die Antwort auf die Bieterfrage 33.</t>
  </si>
  <si>
    <t xml:space="preserve">SCS / tbd</t>
  </si>
  <si>
    <t xml:space="preserve">Schrankenanlage / Schrankensteuerung</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</si>
  <si>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</si>
  <si>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</si>
  <si>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</si>
  <si>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</si>
  <si>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Bezug lt. Katalog: Vertrag, § 7
Katalogdatum: 12.02.2025 // Antwort: 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</si>
  <si>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</si>
  <si>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</si>
  <si>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</si>
  <si>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</si>
  <si>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Bezug lt. Katalog: Vertrag, § 7
Katalogdatum: 12.02.2025 // Antwort: 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</si>
  <si>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</si>
  <si>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</si>
  <si>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</si>
  <si>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</si>
  <si>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 // Antwort: 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</si>
  <si>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</si>
  <si>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</si>
  <si>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</si>
  <si>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</si>
  <si>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 // Antwort: 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</si>
  <si>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</si>
  <si>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</si>
  <si>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</si>
  <si>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</si>
  <si>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Bezug lt. Katalog: Vertrag, § 13
Katalogdatum: 12.02.2025 // Antwort: 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</si>
  <si>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</si>
  <si>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</si>
  <si>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</si>
  <si>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</si>
  <si>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 // Antwort: 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</si>
  <si>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</si>
  <si>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</si>
  <si>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</si>
  <si>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</si>
  <si>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 // Antwort: 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</si>
  <si>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</si>
  <si>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</si>
  <si>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</si>
  <si>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</si>
  <si>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 // Antwort: 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</si>
  <si>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</si>
  <si>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</si>
  <si>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</si>
  <si>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</si>
  <si>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 // Antwort: 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</si>
  <si>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</si>
  <si>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</si>
  <si>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</si>
  <si>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</si>
  <si>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 // Antwort: 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</si>
  <si>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</si>
  <si>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</si>
  <si>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</si>
  <si>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</si>
  <si>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 // Antwort: 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</si>
  <si>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</si>
  <si>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</si>
  <si>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</si>
  <si>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</si>
  <si>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 // Antwort: 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</si>
  <si>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</si>
  <si>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</si>
  <si>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</si>
  <si>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</si>
  <si>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 // Antwort: 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</si>
  <si>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</si>
  <si>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</si>
  <si>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</si>
  <si>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</si>
  <si>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 // Antwort: 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</si>
  <si>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</si>
  <si>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</si>
  <si>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</si>
  <si>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</si>
  <si>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Bezug lt. Katalog: Vertragsanlage 04
Katalogdatum: 12.02.2025 // Antwort: 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</si>
  <si>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</si>
  <si>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</si>
  <si>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</si>
  <si>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</si>
  <si>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Bezug lt. Katalog: Vertrag, § 7
Katalogdatum: 12.02.2025 // Antwort: 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</si>
  <si>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</si>
  <si>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</si>
  <si>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</si>
  <si>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</si>
  <si>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 // Antwort: 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</si>
  <si>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</si>
  <si>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</si>
  <si>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</si>
  <si>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</si>
  <si>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 // Antwort: 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</si>
  <si>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</si>
  <si>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</si>
  <si>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</si>
  <si>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</si>
  <si>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 // Antwort: 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</si>
  <si>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</si>
  <si>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</si>
  <si>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</si>
  <si>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</si>
  <si>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 // Antwort: Siehe Antworten auf die Bieterfragen 25, 33, 83 und 102. Etwaiger darüber hinaus gehender Verhandlungsbedarf kann angemeldet werden.</t>
  </si>
  <si>
    <t xml:space="preserve">OCPI Buchungskalender / Pönalisierungssystem</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</si>
  <si>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</si>
  <si>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</si>
  <si>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</si>
  <si>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</si>
  <si>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 // Antwort: 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</si>
  <si>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</si>
  <si>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</si>
  <si>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</si>
  <si>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</si>
  <si>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 // Antwort: 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</si>
  <si>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</si>
  <si>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</si>
  <si>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</si>
  <si>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</si>
  <si>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 // Antwort: 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</si>
  <si>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</si>
  <si>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</si>
  <si>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</si>
  <si>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</si>
  <si>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 // Antwort: 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</si>
  <si>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</si>
  <si>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</si>
  <si>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</si>
  <si>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</si>
  <si>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 // Antwort: 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</si>
  <si>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</si>
  <si>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</si>
  <si>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</si>
  <si>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</si>
  <si>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 // Antwort: 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</si>
  <si>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</si>
  <si>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</si>
  <si>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</si>
  <si>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</si>
  <si>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 // Antwort: Dieser Punkt kann zum Gegenstand der Vertragsverhandlungen gemacht werden. Der AG bittet um Verwendung der mit dem Erstangebot einzureichenden Verhandlungsbedarfsliste.</t>
  </si>
  <si>
    <t xml:space="preserve">OCPI Buchungskalender / Monitoring</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</si>
  <si>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</si>
  <si>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</si>
  <si>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</si>
  <si>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</si>
  <si>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 // Antwort: 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</si>
  <si>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</si>
  <si>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</si>
  <si>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</si>
  <si>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</si>
  <si>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 // Antwort: 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</si>
  <si>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</si>
  <si>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</si>
  <si>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</si>
  <si>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</si>
  <si>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 // Antwort: Siehe die Antwort auf die Bieterfrage 111.</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</si>
  <si>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</si>
  <si>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</si>
  <si>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</si>
  <si>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</si>
  <si>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 // Antwort: 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</si>
  <si>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</si>
  <si>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</si>
  <si>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</si>
  <si>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</si>
  <si>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 // Antwort: 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</si>
  <si>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</si>
  <si>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</si>
  <si>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</si>
  <si>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</si>
  <si>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 // Antwort: 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</si>
  <si>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</si>
  <si>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</si>
  <si>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</si>
  <si>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</si>
  <si>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 // Antwort: 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</si>
  <si>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</si>
  <si>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</si>
  <si>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</si>
  <si>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</si>
  <si>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 // Antwort: 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</si>
  <si>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</si>
  <si>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</si>
  <si>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</si>
  <si>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</si>
  <si>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Bezug lt. Katalog: Vertragsanlage 6
Katalogdatum: 17.02.2025 // Antwort: 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</si>
  <si>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</si>
  <si>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</si>
  <si>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</si>
  <si>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</si>
  <si>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 // Antwort: 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</si>
  <si>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</si>
  <si>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</si>
  <si>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</si>
  <si>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</si>
  <si>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 // Antwort: 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</si>
  <si>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</si>
  <si>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</si>
  <si>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</si>
  <si>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</si>
  <si>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 // Antwort: 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</si>
  <si>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</si>
  <si>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</si>
  <si>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</si>
  <si>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</si>
  <si>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 // Antwort: 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</si>
  <si>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</si>
  <si>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</si>
  <si>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</si>
  <si>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</si>
  <si>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 // Antwort: 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</si>
  <si>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</si>
  <si>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</si>
  <si>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</si>
  <si>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</si>
  <si>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 // Antwort: 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</si>
  <si>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</si>
  <si>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</si>
  <si>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</si>
  <si>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</si>
  <si>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 // Antwort: 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</si>
  <si>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</si>
  <si>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</si>
  <si>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</si>
  <si>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</si>
  <si>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 // Antwort: 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</si>
  <si>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</si>
  <si>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</si>
  <si>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</si>
  <si>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</si>
  <si>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 // Antwort: 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</si>
  <si>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</si>
  <si>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</si>
  <si>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</si>
  <si>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</si>
  <si>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 // Antwort: 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</si>
  <si>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</si>
  <si>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</si>
  <si>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</si>
  <si>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</si>
  <si>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 // Antwort: 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</si>
  <si>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</si>
  <si>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</si>
  <si>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</si>
  <si>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</si>
  <si>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 // Antwort: 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</si>
  <si>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</si>
  <si>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</si>
  <si>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</si>
  <si>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</si>
  <si>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 // Antwort: 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</si>
  <si>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</si>
  <si>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</si>
  <si>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</si>
  <si>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</si>
  <si>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 // Antwort: 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</si>
  <si>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</si>
  <si>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</si>
  <si>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</si>
  <si>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</si>
  <si>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Bezug lt. Katalog: BV §23.3, vorletz- ter Absatz
Katalogdatum: 17.02.2025 // Antwort: 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</si>
  <si>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</si>
  <si>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</si>
  <si>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</si>
  <si>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</si>
  <si>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 // Antwort: Siehe Antwort auf Bieterfrage Nr. 211.</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</si>
  <si>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</si>
  <si>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</si>
  <si>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</si>
  <si>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</si>
  <si>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 // Antwort: 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</si>
  <si>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</si>
  <si>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</si>
  <si>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</si>
  <si>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</si>
  <si>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 // Antwort: 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</si>
  <si>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</si>
  <si>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</si>
  <si>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</si>
  <si>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</si>
  <si>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 // Antwort: 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</si>
  <si>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</si>
  <si>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</si>
  <si>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</si>
  <si>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</si>
  <si>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 // Antwort: 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</si>
  <si>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</si>
  <si>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</si>
  <si>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</si>
  <si>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</si>
  <si>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 // Antwort: 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</si>
  <si>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</si>
  <si>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</si>
  <si>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</si>
  <si>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</si>
  <si>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 // Antwort: 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</si>
  <si>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OCPI Buchungskalender / Abrechnungskomponente</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</si>
  <si>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</si>
  <si>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</si>
  <si>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</si>
  <si>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</si>
  <si>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 // Antwort: 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</si>
  <si>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</si>
  <si>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</si>
  <si>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</si>
  <si>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</si>
  <si>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 // Antwort: 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</si>
  <si>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</si>
  <si>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</si>
  <si>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</si>
  <si>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</si>
  <si>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 // Antwort: 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</si>
  <si>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</si>
  <si>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</si>
  <si>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</si>
  <si>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</si>
  <si>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 // Antwort: 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</si>
  <si>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</si>
  <si>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</si>
  <si>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</si>
  <si>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</si>
  <si>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 // Antwort: 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</si>
  <si>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</si>
  <si>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</si>
  <si>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</si>
  <si>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</si>
  <si>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 // Antwort: 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</si>
  <si>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</si>
  <si>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</si>
  <si>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</si>
  <si>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</si>
  <si>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 // Antwort: 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</si>
  <si>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</si>
  <si>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</si>
  <si>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</si>
  <si>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</si>
  <si>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 // Antwort: 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</si>
  <si>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</si>
  <si>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</si>
  <si>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</si>
  <si>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</si>
  <si>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 // Antwort: 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</si>
  <si>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</si>
  <si>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</si>
  <si>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</si>
  <si>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</si>
  <si>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 // Antwort: 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</si>
  <si>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</si>
  <si>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</si>
  <si>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</si>
  <si>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</si>
  <si>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 // Antwort: 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</si>
  <si>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</si>
  <si>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</si>
  <si>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</si>
  <si>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</si>
  <si>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 // Antwort: 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</si>
  <si>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</si>
  <si>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</si>
  <si>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</si>
  <si>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</si>
  <si>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 // Antwort: 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</si>
  <si>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</si>
  <si>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</si>
  <si>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</si>
  <si>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</si>
  <si>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 // Antwort: 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</si>
  <si>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</si>
  <si>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</si>
  <si>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</si>
  <si>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</si>
  <si>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 // Antwort: 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</si>
  <si>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</si>
  <si>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</si>
  <si>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</si>
  <si>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</si>
  <si>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 // Antwort: Siehe hierzu die Antwort auf die Bieterfrage 174.</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</si>
  <si>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</si>
  <si>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</si>
  <si>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</si>
  <si>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</si>
  <si>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 // Antwort: Siehe die Antworten auf die Bieterfragen 124 und 172.</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</si>
  <si>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</si>
  <si>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</si>
  <si>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</si>
  <si>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</si>
  <si>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 // Antwort: 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</si>
  <si>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</si>
  <si>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</si>
  <si>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</si>
  <si>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</si>
  <si>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 // Antwort: 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</si>
  <si>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</si>
  <si>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</si>
  <si>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</si>
  <si>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</si>
  <si>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 // Antwort: 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</si>
  <si>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</si>
  <si>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</si>
  <si>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</si>
  <si>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</si>
  <si>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 // Antwort: Siehe die Antwort auf die Bieterfrage 165.</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</si>
  <si>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</si>
  <si>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</si>
  <si>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</si>
  <si>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</si>
  <si>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Bezug lt. Katalog: Beantwortung Bieterfragen
Katalogdatum: 28.02.2025 // Antwort: 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</si>
  <si>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</si>
  <si>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</si>
  <si>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</si>
  <si>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</si>
  <si>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 // Antwort: 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</si>
  <si>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</si>
  <si>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</si>
  <si>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</si>
  <si>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</si>
  <si>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 // Antwort: 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</si>
  <si>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</si>
  <si>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</si>
  <si>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</si>
  <si>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</si>
  <si>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 // Antwort: 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</si>
  <si>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</si>
  <si>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</si>
  <si>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</si>
  <si>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</si>
  <si>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 // Antwort: 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</si>
  <si>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</si>
  <si>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</si>
  <si>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</si>
  <si>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</si>
  <si>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 // Antwort: Siehe Antwort auf Bieterfrage 14.</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</si>
  <si>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</si>
  <si>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</si>
  <si>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</si>
  <si>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</si>
  <si>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 // Antwort: 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</si>
  <si>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</si>
  <si>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</si>
  <si>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</si>
  <si>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</si>
  <si>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 // Antwort: 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</si>
  <si>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</si>
  <si>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</si>
  <si>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</si>
  <si>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</si>
  <si>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 // Antwort: 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</si>
  <si>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</si>
  <si>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</si>
  <si>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</si>
  <si>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</si>
  <si>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 // Antwort: 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</si>
  <si>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</si>
  <si>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</si>
  <si>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</si>
  <si>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</si>
  <si>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 // Antwort: 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</si>
  <si>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</si>
  <si>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</si>
  <si>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</si>
  <si>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</si>
  <si>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 // Antwort: 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</si>
  <si>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</si>
  <si>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</si>
  <si>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</si>
  <si>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</si>
  <si>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 // Antwort: Siehe Antwort auf Bieterfrage 33 und 96.</t>
  </si>
  <si>
    <t xml:space="preserve">Kennzeichenerfassung / Pönalisierungssystem</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</si>
  <si>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</si>
  <si>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</si>
  <si>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</si>
  <si>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</si>
  <si>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 // Antwort: 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</si>
  <si>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</si>
  <si>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</si>
  <si>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</si>
  <si>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</si>
  <si>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 // Antwort: Siehe Antwort auf Bieterfrage 41 und 225.</t>
  </si>
  <si>
    <t xml:space="preserve">ANF-326</t>
  </si>
  <si>
    <t xml:space="preserve">Korrektur 252 / S. 25</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</si>
  <si>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</si>
  <si>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</si>
  <si>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</si>
  <si>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</si>
  <si>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 // Antwort: 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</si>
  <si>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</si>
  <si>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</si>
  <si>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</si>
  <si>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</si>
  <si>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 // Antwort: 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</si>
  <si>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</si>
  <si>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</si>
  <si>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</si>
  <si>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</si>
  <si>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 // Antwort: 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</si>
  <si>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</si>
  <si>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</si>
  <si>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</si>
  <si>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</si>
  <si>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 // Antwort: 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</si>
  <si>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</si>
  <si>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</si>
  <si>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</si>
  <si>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</si>
  <si>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 // Antwort: 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</si>
  <si>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</si>
  <si>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</si>
  <si>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</si>
  <si>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</si>
  <si>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 // Antwort: 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</si>
  <si>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</si>
  <si>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</si>
  <si>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</si>
  <si>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</si>
  <si>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 // Antwort: 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</si>
  <si>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</si>
  <si>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</si>
  <si>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</si>
  <si>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</si>
  <si>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 // Antwort: 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</si>
  <si>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</si>
  <si>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</si>
  <si>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</si>
  <si>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</si>
  <si>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 // Antwort: 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</si>
  <si>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</si>
  <si>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</si>
  <si>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</si>
  <si>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</si>
  <si>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 // Antwort: 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</si>
  <si>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</si>
  <si>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</si>
  <si>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</si>
  <si>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</si>
  <si>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 // Antwort: 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</si>
  <si>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</si>
  <si>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</si>
  <si>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</si>
  <si>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</si>
  <si>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 // Antwort: 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</si>
  <si>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</si>
  <si>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</si>
  <si>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</si>
  <si>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</si>
  <si>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 // Antwort: 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</si>
  <si>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</si>
  <si>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</si>
  <si>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</si>
  <si>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Bezug lt. Katalog: Hinweis des AG // Antwort: 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</si>
  <si>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</si>
  <si>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</si>
  <si>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</si>
  <si>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</si>
  <si>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 // Antwort: 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</si>
  <si>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</si>
  <si>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</si>
  <si>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</si>
  <si>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</si>
  <si>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 // Antwort: 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</si>
  <si>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</si>
  <si>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</si>
  <si>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</si>
  <si>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</si>
  <si>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 // Antwort: 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</si>
  <si>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</si>
  <si>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</si>
  <si>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</si>
  <si>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</si>
  <si>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 // Antwort: 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</si>
  <si>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</si>
  <si>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</si>
  <si>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</si>
  <si>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</si>
  <si>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 // Antwort: 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</si>
  <si>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</si>
  <si>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</si>
  <si>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</si>
  <si>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</si>
  <si>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 // Antwort: 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</si>
  <si>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</si>
  <si>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</si>
  <si>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</si>
  <si>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</si>
  <si>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 // Antwort: Siehe hierzu Antwort auf die Bieterfrage 278 und 290.</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</si>
  <si>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</si>
  <si>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</si>
  <si>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</si>
  <si>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</si>
  <si>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 // Antwort: 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</si>
  <si>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</si>
  <si>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</si>
  <si>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</si>
  <si>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</si>
  <si>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 // Antwort: 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</si>
  <si>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</si>
  <si>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</si>
  <si>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</si>
  <si>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</si>
  <si>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 // Antwort: 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</si>
  <si>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</si>
  <si>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</si>
  <si>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</si>
  <si>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</si>
  <si>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 // Antwort: 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</si>
  <si>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</si>
  <si>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</si>
  <si>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</si>
  <si>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</si>
  <si>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 // Antwort: 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</si>
  <si>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</si>
  <si>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</si>
  <si>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</si>
  <si>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</si>
  <si>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 // Antwort: 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</si>
  <si>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</si>
  <si>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</si>
  <si>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</si>
  <si>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</si>
  <si>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Bezug lt. Katalog: Anlage 3 zum Verfahrensbrief
Katalogdatum: 14.04.2025 // Antwort: 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</si>
  <si>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</si>
  <si>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</si>
  <si>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</si>
  <si>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</si>
  <si>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 // Antwort: 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</si>
  <si>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</si>
  <si>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</si>
  <si>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</si>
  <si>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</si>
  <si>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 // Antwort: 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</si>
  <si>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</si>
  <si>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</si>
  <si>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</si>
  <si>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</si>
  <si>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 // Antwort: 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</si>
  <si>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</si>
  <si>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</si>
  <si>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</si>
  <si>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</si>
  <si>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 // Antwort: 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</si>
  <si>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</si>
  <si>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</si>
  <si>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</si>
  <si>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</si>
  <si>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 // Antwort: siehe Bieterfrage 303</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</si>
  <si>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</si>
  <si>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</si>
  <si>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</si>
  <si>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</si>
  <si>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</si>
  <si>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</si>
  <si>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</si>
  <si>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</si>
  <si>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</si>
  <si>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</si>
  <si>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</si>
  <si>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</si>
  <si>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</si>
  <si>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 // Antwort: 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</si>
  <si>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</si>
  <si>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</si>
  <si>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</si>
  <si>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 // Antwort: Der AG befindet sich aktuell in der fachlichen Prüfung dieser Frage. Einzelheiten werden den Bietern spätestens mit den Vergabeunterlagen für die Erstellung der finalen Angebote zu Verfügung gestellt.</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</si>
  <si>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</si>
  <si>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</si>
  <si>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</si>
  <si>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</si>
  <si>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</si>
  <si>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</si>
  <si>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</si>
  <si>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</si>
  <si>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</si>
  <si>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</si>
  <si>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 // Antwort: 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</si>
  <si>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</si>
  <si>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</si>
  <si>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</si>
  <si>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</si>
  <si>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 // Antwort: 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</si>
  <si>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</si>
  <si>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</si>
  <si>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</si>
  <si>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</si>
  <si>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 // Antwort: 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</si>
  <si>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</si>
  <si>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</si>
  <si>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</si>
  <si>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 // Antwort: Der AG befindet sich aktuell in der fachlichen Prüfung dieser Frage. Einzelheiten werden den Bietern spätestens mit den Vergabeunterlagen für die Erstellung der finalen Angebote zu Verfügung gestellt.</t>
  </si>
  <si>
    <t xml:space="preserve">Alpitronic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</si>
  <si>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</si>
  <si>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</si>
  <si>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</si>
  <si>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</si>
  <si>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</si>
  <si>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 // Antwort: 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</si>
  <si>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</si>
  <si>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</si>
  <si>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</si>
  <si>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</si>
  <si>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 // Antwort: 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</si>
  <si>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</si>
  <si>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</si>
  <si>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</si>
  <si>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</si>
  <si>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 // Antwort: 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</si>
  <si>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Alpitronic / tbd</t>
  </si>
  <si>
    <t xml:space="preserve">Schrankenanlage / Ladeeinrichtung</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</si>
  <si>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</si>
  <si>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</si>
  <si>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</si>
  <si>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</si>
  <si>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 // Antwort: 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</si>
  <si>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Kennzeichenerfassung / OCPI Buchungskalender / Reservierungsplattform</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</si>
  <si>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</si>
  <si>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</si>
  <si>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</si>
  <si>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</si>
  <si>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Bezug lt. Katalog: Reservierung
Katalogdatum: 25.08.2025 // Antwort: Siehe Antwort auf Bieterfrage 319.</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</si>
  <si>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</si>
  <si>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</si>
  <si>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</si>
  <si>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</si>
  <si>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 // Antwort: 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</si>
  <si>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</si>
  <si>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</si>
  <si>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</si>
  <si>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</si>
  <si>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 // Antwort: 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</si>
  <si>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</si>
  <si>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</si>
  <si>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</si>
  <si>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</si>
  <si>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 // Antwort: 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</si>
  <si>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</si>
  <si>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</si>
  <si>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</si>
  <si>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</si>
  <si>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 // Antwort: 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</si>
  <si>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</si>
  <si>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</si>
  <si>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</si>
  <si>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</si>
  <si>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 // Antwort: 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</si>
  <si>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</si>
  <si>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</si>
  <si>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</si>
  <si>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</si>
  <si>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 // Antwort: 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</si>
  <si>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</si>
  <si>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</si>
  <si>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</si>
  <si>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 // Antwort: 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</si>
  <si>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</si>
  <si>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</si>
  <si>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</si>
  <si>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</si>
  <si>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 // Antwort: 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</si>
  <si>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</si>
  <si>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</si>
  <si>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</si>
  <si>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</si>
  <si>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 // Antwort: 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</si>
  <si>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</si>
  <si>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</si>
  <si>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</si>
  <si>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</si>
  <si>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 // Antwort: 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</si>
  <si>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</si>
  <si>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</si>
  <si>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</si>
  <si>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</si>
  <si>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 // Antwort: 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</si>
  <si>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</si>
  <si>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</si>
  <si>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</si>
  <si>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</si>
  <si>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 // Antwort: 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</si>
  <si>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</si>
  <si>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</si>
  <si>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</si>
  <si>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 // Antwort: Der AG befindet sich aktuell in der fachlichen Prüfung dieser Frage. Einzelheiten werden den Bietern spätestens mit den Vergabeunterlagen für die Erstellung der finalen Angebote zu Verfügung gestellt.</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</si>
  <si>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</si>
  <si>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</si>
  <si>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</si>
  <si>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</si>
  <si>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 // Antwort: 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</si>
  <si>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</si>
  <si>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</si>
  <si>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</si>
  <si>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</si>
  <si>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Bezug lt. Katalog: Formular Aufschlüsselung der Betriebskosten
Katalogdatum: 09.09.2025
Zuordnung prüfen (Komponente/Partner nicht eindeutig) // Antwort: 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</si>
  <si>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</si>
  <si>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</si>
  <si>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</si>
  <si>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</si>
  <si>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Bezug lt. Katalog: Formular Aufschlüsselung der Betriebskosten
Katalogdatum: 09.09.2025
Zuordnung prüfen (Komponente/Partner nicht eindeutig) // Antwort: 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</si>
  <si>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</si>
  <si>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</si>
  <si>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</si>
  <si>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</si>
  <si>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 // Antwort: 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</si>
  <si>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</si>
  <si>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</si>
  <si>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</si>
  <si>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</si>
  <si>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 // Antwort: 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</si>
  <si>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</si>
  <si>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</si>
  <si>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</si>
  <si>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</si>
  <si>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 // Antwort: 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</si>
  <si>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</si>
  <si>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</si>
  <si>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</si>
  <si>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</si>
  <si>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 // Antwort: 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</si>
  <si>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</si>
  <si>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</si>
  <si>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</si>
  <si>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</si>
  <si>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 // Antwort: 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</si>
  <si>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</si>
  <si>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</si>
  <si>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</si>
  <si>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</si>
  <si>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 // Antwort: 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</si>
  <si>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</si>
  <si>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</si>
  <si>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</si>
  <si>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</si>
  <si>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 // Antwort: §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</si>
  <si>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</si>
  <si>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</si>
  <si>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</si>
  <si>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</si>
  <si>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 // Antwort: 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</si>
  <si>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</si>
  <si>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</si>
  <si>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</si>
  <si>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</si>
  <si>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 // Antwort: §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</si>
  <si>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</si>
  <si>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</si>
  <si>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</si>
  <si>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</si>
  <si>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 // Antwort: §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</si>
  <si>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</si>
  <si>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</si>
  <si>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</si>
  <si>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</si>
  <si>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 // Antwort: 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</si>
  <si>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</si>
  <si>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</si>
  <si>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</si>
  <si>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</si>
  <si>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 // Antwort: 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</si>
  <si>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</si>
  <si>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</si>
  <si>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</si>
  <si>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</si>
  <si>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 // Antwort: Siehe § 23 Abs. 4 in der Fassung des Betreibervertrages vom 17.10.2025.</t>
  </si>
  <si>
    <t xml:space="preserve">OCPI Buchungskalender / Ladeeinrichtung</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</si>
  <si>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</si>
  <si>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</si>
  <si>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</si>
  <si>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</si>
  <si>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 // Antwort: 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</si>
  <si>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</si>
  <si>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</si>
  <si>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</si>
  <si>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</si>
  <si>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 // Antwort: 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</si>
  <si>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</si>
  <si>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</si>
  <si>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</si>
  <si>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</si>
  <si>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 // Antwort: 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</si>
  <si>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</si>
  <si>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</si>
  <si>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</si>
  <si>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</si>
  <si>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 // Antwort: 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</si>
  <si>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</si>
  <si>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</si>
  <si>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</si>
  <si>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</si>
  <si>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 // Antwort: 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</si>
  <si>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</si>
  <si>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</si>
  <si>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</si>
  <si>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</si>
  <si>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 // Antwort: 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</si>
  <si>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</si>
  <si>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</si>
  <si>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</si>
  <si>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</si>
  <si>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 // Antwort: 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</si>
  <si>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</si>
  <si>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</si>
  <si>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</si>
  <si>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</si>
  <si>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 // Antwort: 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</si>
  <si>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Authentifizierungskomponente / OCPI Buchungskalender / Ladeeinrichtung</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</si>
  <si>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</si>
  <si>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</si>
  <si>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</si>
  <si>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</si>
  <si>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 // Antwort: 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</si>
  <si>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</si>
  <si>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</si>
  <si>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</si>
  <si>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</si>
  <si>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 // Antwort: 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</si>
  <si>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</si>
  <si>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</si>
  <si>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</si>
  <si>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</si>
  <si>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 // Antwort: 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</si>
  <si>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</si>
  <si>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</si>
  <si>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</si>
  <si>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</si>
  <si>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 // Antwort: 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</si>
  <si>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</si>
  <si>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</si>
  <si>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</si>
  <si>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</si>
  <si>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 // Antwort: 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</si>
  <si>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</si>
  <si>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</si>
  <si>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</si>
  <si>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</si>
  <si>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 // Antwort: 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</si>
  <si>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</si>
  <si>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</si>
  <si>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</si>
  <si>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</si>
  <si>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 // Antwort: 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</si>
  <si>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</si>
  <si>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</si>
  <si>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</si>
  <si>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</si>
  <si>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 // Antwort: 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</si>
  <si>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</si>
  <si>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</si>
  <si>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</si>
  <si>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</si>
  <si>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 // Antwort: 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</si>
  <si>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</si>
  <si>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</si>
  <si>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</si>
  <si>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</si>
  <si>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 // Antwort: 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</si>
  <si>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</si>
  <si>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</si>
  <si>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</si>
  <si>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</si>
  <si>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 // Antwort: 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</si>
  <si>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</si>
  <si>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</si>
  <si>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</si>
  <si>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</si>
  <si>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 // Antwort: 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</si>
  <si>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</si>
  <si>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</si>
  <si>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</si>
  <si>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</si>
  <si>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 // Antwort: 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</si>
  <si>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</si>
  <si>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</si>
  <si>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</si>
  <si>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</si>
  <si>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 // Antwort: 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</si>
  <si>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</si>
  <si>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</si>
  <si>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</si>
  <si>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</si>
  <si>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 // Antwort: 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</si>
  <si>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</si>
  <si>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</si>
  <si>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</si>
  <si>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</si>
  <si>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 // Antwort: Siehe Antwort auf Bieterfrage 365.</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</si>
  <si>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</si>
  <si>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</si>
  <si>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</si>
  <si>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</si>
  <si>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 // Antwort: 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</si>
  <si>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</si>
  <si>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</si>
  <si>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</si>
  <si>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</si>
  <si>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 // Antwort: 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</si>
  <si>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</si>
  <si>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</si>
  <si>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</si>
  <si>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</si>
  <si>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 // Antwort: 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</si>
  <si>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</si>
  <si>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</si>
  <si>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</si>
  <si>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</si>
  <si>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 // Antwort: 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</si>
  <si>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</si>
  <si>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</si>
  <si>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</si>
  <si>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</si>
  <si>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 // Antwort: 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</si>
  <si>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</si>
  <si>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</si>
  <si>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</si>
  <si>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</si>
  <si>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 // Antwort: Siehe Antwort auf Bieterfrage 382.</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</si>
  <si>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</si>
  <si>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</si>
  <si>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</si>
  <si>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</si>
  <si>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Bezug lt. Katalog: Vertragsanlage 5
Katalogdatum: 03.11.2025 // Antwort: 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</si>
  <si>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</si>
  <si>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</si>
  <si>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</si>
  <si>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</si>
  <si>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 // Antwort: 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</si>
  <si>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</si>
  <si>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</si>
  <si>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</si>
  <si>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</si>
  <si>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 // Antwort: 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</si>
  <si>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</si>
  <si>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</si>
  <si>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</si>
  <si>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</si>
  <si>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 // Antwort: 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</si>
  <si>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</si>
  <si>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</si>
  <si>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</si>
  <si>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</si>
  <si>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 // Antwort: 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</si>
  <si>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</si>
  <si>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</si>
  <si>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</si>
  <si>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</si>
  <si>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Bezug lt. Katalog: Layout unverbindliche Plnaunsgempfehlung
Katalogdatum: 03.11.2025 // Antwort: 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</si>
  <si>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Alpitronic / SCS</t>
  </si>
  <si>
    <t xml:space="preserve">Schrankensteuerung / Ladeeinrichtung</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</si>
  <si>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</si>
  <si>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</si>
  <si>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</si>
  <si>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</si>
  <si>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Bezug lt. Katalog: Vertragsanlage 3
Katalogdatum: 03.11.2025 // Antwort: 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</si>
  <si>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</si>
  <si>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</si>
  <si>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</si>
  <si>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 // Antwort: Die Vertragsanlage 4 enthält zusätzliche Informationen und wird mit der Aufforderung zur Abgabe verbindlicher Angbeote zur Verfügung gestellt.</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</si>
  <si>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</si>
  <si>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</si>
  <si>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</si>
  <si>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</si>
  <si>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 // Antwort: 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</si>
  <si>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</si>
  <si>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</si>
  <si>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</si>
  <si>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</si>
  <si>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 // Antwort: 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</si>
  <si>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</si>
  <si>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</si>
  <si>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</si>
  <si>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</si>
  <si>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 // Antwort: 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</si>
  <si>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</si>
  <si>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</si>
  <si>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</si>
  <si>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</si>
  <si>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 // Antwort: §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</si>
  <si>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</si>
  <si>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</si>
  <si>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</si>
  <si>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</si>
  <si>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 // Antwort: 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</si>
  <si>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</si>
  <si>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</si>
  <si>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</si>
  <si>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</si>
  <si>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 // Antwort: 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</si>
  <si>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</si>
  <si>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</si>
  <si>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</si>
  <si>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</si>
  <si>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 // Antwort: 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</si>
  <si>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</si>
  <si>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</si>
  <si>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</si>
  <si>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</si>
  <si>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 // Antwort: 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</si>
  <si>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</si>
  <si>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</si>
  <si>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</si>
  <si>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</si>
  <si>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 // Antwort: 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</si>
  <si>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</si>
  <si>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</si>
  <si>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</si>
  <si>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Bezug lt. Katalog: Speicher
Katalogdatum: 06.11.2025 // Antwort: Die Vertragsanlage 4 enthält zusätzliche Informationen und wird mit der Aufforderung zur Abgabe verbindlicher Angbeote zur Verfügung gestellt.</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</si>
  <si>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</si>
  <si>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</si>
  <si>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</si>
  <si>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</si>
  <si>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Bezug lt. Katalog: Speicher
Katalogdatum: 06.11.2025 // Antwort: 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</si>
  <si>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</si>
  <si>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</si>
  <si>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</si>
  <si>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</si>
  <si>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 // Antwort: 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</si>
  <si>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</si>
  <si>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</si>
  <si>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</si>
  <si>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</si>
  <si>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 // Antwort: 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</si>
  <si>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</si>
  <si>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</si>
  <si>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</si>
  <si>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</si>
  <si>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 // Antwort: 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</si>
  <si>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</si>
  <si>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</si>
  <si>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</si>
  <si>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</si>
  <si>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 // Antwort: Siehe Antwort auf Bieterfrage 384 und 405.</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</si>
  <si>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</si>
  <si>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</si>
  <si>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</si>
  <si>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</si>
  <si>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 // Antwort: 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</si>
  <si>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</si>
  <si>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</si>
  <si>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</si>
  <si>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</si>
  <si>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 // Antwort: 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</si>
  <si>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</si>
  <si>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</si>
  <si>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</si>
  <si>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</si>
  <si>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 // Antwort: Siehe Antwort auf Bieterfrage 405.</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</si>
  <si>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</si>
  <si>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</si>
  <si>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</si>
  <si>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 // Antwort: Siehe Antwort auf Bieterfrage 405.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</si>
  <si>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</si>
  <si>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</si>
  <si>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</si>
  <si>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 // Antwort: Siehe Antwort auf Bieterfrage 405.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</si>
  <si>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</si>
  <si>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</si>
  <si>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</si>
  <si>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</si>
  <si>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 // Antwort: 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</si>
  <si>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</si>
  <si>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</si>
  <si>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</si>
  <si>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</si>
  <si>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 // Antwort: 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</si>
  <si>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</si>
  <si>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</si>
  <si>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</si>
  <si>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</si>
  <si>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Bezug lt. Katalog: Vertragsanlage 5
Katalogdatum: 07.11.2025 // Antwort: 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</si>
  <si>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</si>
  <si>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</si>
  <si>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</si>
  <si>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</si>
  <si>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 // Antwort: 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</si>
  <si>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</si>
  <si>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</si>
  <si>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</si>
  <si>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</si>
  <si>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 // Antwort: 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</si>
  <si>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</si>
  <si>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</si>
  <si>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</si>
  <si>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</si>
  <si>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 // Antwort: 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</si>
  <si>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</si>
  <si>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</si>
  <si>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</si>
  <si>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</si>
  <si>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 // Antwort: Die Vertragsanlage wird mit der Aufforderung der Abgabe verbindlicher Angebote weiter konkretisiert.</t>
  </si>
  <si>
    <t xml:space="preserve">Authentifizierungskomponente / OCPI Buchungskalender / Abrechnungskomponente</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</si>
  <si>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</si>
  <si>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</si>
  <si>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</si>
  <si>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</si>
  <si>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 // Antwort: 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</si>
  <si>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</si>
  <si>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</si>
  <si>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</si>
  <si>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</si>
  <si>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 // Antwort: 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</si>
  <si>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</si>
  <si>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</si>
  <si>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</si>
  <si>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</si>
  <si>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 // Antwort: 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</si>
  <si>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</si>
  <si>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</si>
  <si>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</si>
  <si>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</si>
  <si>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 // Antwort: 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</si>
  <si>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</si>
  <si>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</si>
  <si>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</si>
  <si>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</si>
  <si>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 // Antwort: 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</si>
  <si>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</si>
  <si>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</si>
  <si>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</si>
  <si>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 // Antwort: 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</si>
  <si>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</si>
  <si>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</si>
  <si>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</si>
  <si>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</si>
  <si>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 // Antwort: zu a) Der Auftragnehmer ist für die Erhebung des Blockadeentgelts beim Endnutzer bzw. Mobilitätsdienstleister zuständig. Er kann hierfür auch Regelungen mit Reservfierungsplattformen treffen. Zu b) Ihr Verständnis ist zutreffend.</t>
  </si>
  <si>
    <t xml:space="preserve">OCPI Buchungskalender / Reservierungsplattform / Abrechnungskomponente</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</si>
  <si>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</si>
  <si>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</si>
  <si>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</si>
  <si>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</si>
  <si>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 // Antwort: 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</si>
  <si>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</si>
  <si>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</si>
  <si>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</si>
  <si>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</si>
  <si>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 // Antwort: 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</si>
  <si>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</si>
  <si>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</si>
  <si>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</si>
  <si>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 // Antwort: Der Betreibervertrag wurde mit der Aufforderung der Abgabe verbindlicher Angebote aktualisiert.</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</si>
  <si>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</si>
  <si>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</si>
  <si>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</si>
  <si>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</si>
  <si>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 // Antwort: 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</si>
  <si>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</si>
  <si>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</si>
  <si>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</si>
  <si>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</si>
  <si>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 // Antwort: Der Betreibervertrag wird mit der Aufforderung der Abgabe verbindlicher Angebote aktualisiert.</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</si>
  <si>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</si>
  <si>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</si>
  <si>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</si>
  <si>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 // Antwort: Der Betreibervertrag wird mit der Aufforderung der Abgabe verbindlicher Angebote aktualisiert.</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</si>
  <si>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</si>
  <si>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</si>
  <si>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</si>
  <si>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 // Antwort: Der Betreibervertrag wurde mit der Aufforderung der Abgabe verbindlicher Angebote aktualisiert.</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</si>
  <si>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</si>
  <si>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</si>
  <si>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</si>
  <si>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 // Antwort: Der Betreibervertrag wird mit der Aufforderung der Abgabe verbindlicher Angebote aktualisiert.</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</si>
  <si>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</si>
  <si>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</si>
  <si>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</si>
  <si>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</si>
  <si>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 // Antwort: 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</si>
  <si>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</si>
  <si>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</si>
  <si>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</si>
  <si>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 // Antwort: Die Vertragsanlage wird mit der Aufforderung der Abgabe verbindlicher Angebote aktualisiert.</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</si>
  <si>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</si>
  <si>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</si>
  <si>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</si>
  <si>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</si>
  <si>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 // Antwort: 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</si>
  <si>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</si>
  <si>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</si>
  <si>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</si>
  <si>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</si>
  <si>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 // Antwort: Die Vertragsanlage 6 wird mit der Aufforderung der Abgabe verbindlicher Angebote aktualisiert.</t>
  </si>
  <si>
    <t xml:space="preserve">Alpitronic / eRound / SCS / tbd</t>
  </si>
  <si>
    <t xml:space="preserve">Schrankenanlage / Schrankensteuerung / Authentifizierungskomponente / Ladeeinrichtung</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</si>
  <si>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</si>
  <si>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</si>
  <si>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</si>
  <si>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</si>
  <si>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Bezug lt. Katalog: Vertragsanlage 6 Anforderungen an die Ladeeinrichtung 8 Authentifizierungsoptionen – Ad hoc-Laden
Katalogdatum: 20.11.2025 // Antwort: Die entsprechenden Vertragsanlagen enthalten zusätzliche Informationen und werden mit der Aufforderung zur Abgabe verbindlicher Angbeote zur Verfügung gestellt.</t>
  </si>
  <si>
    <t xml:space="preserve">Authentifizierungskomponente / Ladeeinrichtung</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</si>
  <si>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</si>
  <si>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</si>
  <si>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</si>
  <si>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</si>
  <si>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Bezug lt. Katalog: Vertragsanlage 6 Anforderungen an die Ladeeinrichtung 8 Authentifizierungsoptionen – Ad hoc-Laden
Katalogdatum: 20.11.2025 // Antwort: 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</si>
  <si>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</si>
  <si>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</si>
  <si>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</si>
  <si>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</si>
  <si>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 // Antwort: 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</si>
  <si>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</si>
  <si>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</si>
  <si>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</si>
  <si>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</si>
  <si>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Bezug lt. Katalog: Vertragsanlage 4 Errichtung 3.8.3 Fahrzeugrückhaltesysteme
Katalogdatum: 20.11.2025 // Antwort: 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</si>
  <si>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</si>
  <si>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</si>
  <si>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</si>
  <si>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</si>
  <si>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 // Antwort: 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</si>
  <si>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</si>
  <si>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</si>
  <si>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</si>
  <si>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</si>
  <si>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 // Antwort: 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</si>
  <si>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</si>
  <si>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</si>
  <si>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</si>
  <si>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</si>
  <si>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 // Antwort: 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</si>
  <si>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</si>
  <si>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</si>
  <si>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</si>
  <si>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</si>
  <si>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 // Antwort: 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</si>
  <si>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</si>
  <si>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</si>
  <si>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</si>
  <si>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</si>
  <si>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 // Antwort: 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</si>
  <si>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</si>
  <si>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</si>
  <si>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</si>
  <si>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</si>
  <si>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 // Antwort: 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</si>
  <si>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</si>
  <si>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</si>
  <si>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</si>
  <si>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</si>
  <si>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 // Antwort: 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</si>
  <si>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</si>
  <si>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</si>
  <si>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</si>
  <si>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</si>
  <si>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Bezug lt. Katalog: § 8 Abs. 3
Katalogdatum: 20.11.2025 // Antwort: 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</si>
  <si>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</si>
  <si>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</si>
  <si>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</si>
  <si>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</si>
  <si>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 // Antwort: 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</si>
  <si>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</si>
  <si>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</si>
  <si>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</si>
  <si>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</si>
  <si>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 // Antwort: 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</si>
  <si>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</si>
  <si>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</si>
  <si>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</si>
  <si>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 // Antwort: Die Vertragsanlage wird mit der Aufforderung der Abgabe verbindlicher Angebote aktualisiert.</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</si>
  <si>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</si>
  <si>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</si>
  <si>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</si>
  <si>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</si>
  <si>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</si>
  <si>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 // Antwort: Die Angebotsaufforderung ist erfolgt. Die Angebotsfrist wurde entsprechend auskömmlich und angemessen bemessen.</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</si>
  <si>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</si>
  <si>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</si>
  <si>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</si>
  <si>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</si>
  <si>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 // Antwort: 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</si>
  <si>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</si>
  <si>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</si>
  <si>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</si>
  <si>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</si>
  <si>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 // Antwort: 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</si>
  <si>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</si>
  <si>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</si>
  <si>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</si>
  <si>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</si>
  <si>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 // Antwort: 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</si>
  <si>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Dynamische Anzeige / Authentifizierungskomponente / Abrechnungskomponente</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</si>
  <si>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</si>
  <si>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</si>
  <si>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</si>
  <si>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</si>
  <si>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 // Antwort: 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</si>
  <si>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</si>
  <si>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</si>
  <si>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</si>
  <si>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</si>
  <si>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 // Antwort: 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</si>
  <si>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</si>
  <si>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</si>
  <si>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</si>
  <si>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</si>
  <si>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 // Antwort: 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</si>
  <si>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</si>
  <si>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</si>
  <si>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</si>
  <si>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</si>
  <si>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 // Antwort: 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</si>
  <si>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</si>
  <si>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</si>
  <si>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</si>
  <si>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</si>
  <si>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 // Antwort: 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</si>
  <si>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</si>
  <si>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</si>
  <si>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</si>
  <si>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</si>
  <si>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 // Antwort: 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</si>
  <si>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</si>
  <si>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</si>
  <si>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</si>
  <si>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</si>
  <si>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 // Antwort: 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</si>
  <si>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</si>
  <si>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</si>
  <si>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</si>
  <si>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</si>
  <si>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 // Antwort: 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</si>
  <si>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</si>
  <si>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</si>
  <si>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</si>
  <si>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</si>
  <si>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 // Antwort: Soweit der Vertrag dem Betreiber Zeit für eine Vor-Ort-Entstörung einräumt, wird die Nichtverfügbarkeit nicht pönalisiert.</t>
  </si>
  <si>
    <t xml:space="preserve">OCPI Buchungskalender / Pönalisierungssystem / Monitoring</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</si>
  <si>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</si>
  <si>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</si>
  <si>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</si>
  <si>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</si>
  <si>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 // Antwort: 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</si>
  <si>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</si>
  <si>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</si>
  <si>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</si>
  <si>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</si>
  <si>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 // Antwort: 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</si>
  <si>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</si>
  <si>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</si>
  <si>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</si>
  <si>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</si>
  <si>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 // Antwort: 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</si>
  <si>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</si>
  <si>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</si>
  <si>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</si>
  <si>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</si>
  <si>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 // Antwort: 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</si>
  <si>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</si>
  <si>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</si>
  <si>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</si>
  <si>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</si>
  <si>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 // Antwort: 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</si>
  <si>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</si>
  <si>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</si>
  <si>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</si>
  <si>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</si>
  <si>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 // Antwort: 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</si>
  <si>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</si>
  <si>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</si>
  <si>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</si>
  <si>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</si>
  <si>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 // Antwort: 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</si>
  <si>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</si>
  <si>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</si>
  <si>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</si>
  <si>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</si>
  <si>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 // Antwort: 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</si>
  <si>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Dynamische Anzeige / Schrankenanlage</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</si>
  <si>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</si>
  <si>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</si>
  <si>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</si>
  <si>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</si>
  <si>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 // Antwort: 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</si>
  <si>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</si>
  <si>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</si>
  <si>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</si>
  <si>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</si>
  <si>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 // Antwort: 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</si>
  <si>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</si>
  <si>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</si>
  <si>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</si>
  <si>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</si>
  <si>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 // Antwort: 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</si>
  <si>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</si>
  <si>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</si>
  <si>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</si>
  <si>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</si>
  <si>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 // Antwort: 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</si>
  <si>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</si>
  <si>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</si>
  <si>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</si>
  <si>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</si>
  <si>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 // Antwort: 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</si>
  <si>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</si>
  <si>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</si>
  <si>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</si>
  <si>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</si>
  <si>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 // Antwort: 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</si>
  <si>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</si>
  <si>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</si>
  <si>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</si>
  <si>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</si>
  <si>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 // Antwort: 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</si>
  <si>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eRound / SCS / tbd</t>
  </si>
  <si>
    <t xml:space="preserve">Schrankenanlage / Schrankensteuerung / Authentifizierungskomponente</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</si>
  <si>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</si>
  <si>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</si>
  <si>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</si>
  <si>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</si>
  <si>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 // Antwort: 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</si>
  <si>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</si>
  <si>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</si>
  <si>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</si>
  <si>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</si>
  <si>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Bezug lt. Katalog: Vertragsanlage 4, Ziffer 3.13.1
Katalogdatum: 19.12.2025 // Antwort: 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</si>
  <si>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</si>
  <si>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</si>
  <si>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</si>
  <si>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</si>
  <si>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Bezug lt. Katalog: Vertragsanlage 4, Ziffer 3.13.1
Katalogdatum: 19.12.2025 // Antwort: Siehe Antwort auf Frage 337</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</si>
  <si>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</si>
  <si>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</si>
  <si>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</si>
  <si>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</si>
  <si>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 // Antwort: 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</si>
  <si>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</si>
  <si>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</si>
  <si>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</si>
  <si>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</si>
  <si>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 // Antwort: 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</si>
  <si>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</si>
  <si>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</si>
  <si>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</si>
  <si>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</si>
  <si>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 // Antwort: 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</si>
  <si>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</si>
  <si>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</si>
  <si>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</si>
  <si>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</si>
  <si>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 // Antwort: 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</si>
  <si>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</si>
  <si>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</si>
  <si>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</si>
  <si>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</si>
  <si>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 // Antwort: 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</si>
  <si>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</si>
  <si>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</si>
  <si>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</si>
  <si>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</si>
  <si>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 // Antwort: 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</si>
  <si>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</si>
  <si>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</si>
  <si>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</si>
  <si>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</si>
  <si>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 // Antwort: 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</si>
  <si>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</si>
  <si>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</si>
  <si>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</si>
  <si>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</si>
  <si>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 // Antwort: 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</si>
  <si>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</si>
  <si>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</si>
  <si>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</si>
  <si>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</si>
  <si>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 // Antwort: 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</si>
  <si>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</si>
  <si>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</si>
  <si>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</si>
  <si>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</si>
  <si>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 // Antwort: 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</si>
  <si>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</si>
  <si>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</si>
  <si>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</si>
  <si>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</si>
  <si>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 // Antwort: 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</si>
  <si>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</si>
  <si>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</si>
  <si>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</si>
  <si>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</si>
  <si>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 // Antwort: 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</si>
  <si>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</si>
  <si>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</si>
  <si>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</si>
  <si>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</si>
  <si>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 // Antwort: 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</si>
  <si>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</si>
  <si>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</si>
  <si>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</si>
  <si>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</si>
  <si>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Bezug lt. Katalog: Vertragsanlage 4, Ziff. 3.13.2
Katalogdatum: 19.12.2025 // Antwort: Sofern sich eine solche, nicht vom Auftragnehmer zu vertretende, Verzögerung ergibt, wären daraus resultierende Ausfälle nicht mit Pönalen belegt. Die entsprechenden Umstände wären vom AN darzulegen und ggf. nachzuweisen.</t>
  </si>
  <si>
    <t xml:space="preserve">Schrankenanlage / Pönalisierungssystem</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</si>
  <si>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</si>
  <si>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</si>
  <si>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</si>
  <si>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</si>
  <si>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 // Antwort: 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</si>
  <si>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</si>
  <si>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</si>
  <si>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</si>
  <si>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</si>
  <si>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Bezug lt. Katalog: § 25 Abs. 4 BV
Katalogdatum: 19.12.2025 // Antwort: 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</si>
  <si>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</si>
  <si>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</si>
  <si>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</si>
  <si>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</si>
  <si>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 // Antwort: 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</si>
  <si>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</si>
  <si>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</si>
  <si>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</si>
  <si>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</si>
  <si>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 // Antwort: 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</si>
  <si>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</si>
  <si>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</si>
  <si>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</si>
  <si>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</si>
  <si>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 // Antwort: 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</si>
  <si>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</si>
  <si>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</si>
  <si>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</si>
  <si>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</si>
  <si>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 // Antwort: 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</si>
  <si>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</si>
  <si>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</si>
  <si>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</si>
  <si>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</si>
  <si>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 // Antwort: 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</si>
  <si>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</si>
  <si>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</si>
  <si>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</si>
  <si>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</si>
  <si>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 // Antwort: 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</si>
  <si>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</si>
  <si>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</si>
  <si>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</si>
  <si>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</si>
  <si>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 // Antwort: 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</si>
  <si>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</si>
  <si>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</si>
  <si>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</si>
  <si>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</si>
  <si>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 // Antwort: 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</si>
  <si>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</si>
  <si>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</si>
  <si>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</si>
  <si>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</si>
  <si>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 // Antwort: 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</si>
  <si>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</si>
  <si>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</si>
  <si>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</si>
  <si>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</si>
  <si>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 // Antwort: 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</si>
  <si>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</si>
  <si>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</si>
  <si>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</si>
  <si>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</si>
  <si>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 // Antwort: 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</si>
  <si>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</si>
  <si>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</si>
  <si>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</si>
  <si>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</si>
  <si>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 // Antwort: 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</si>
  <si>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</si>
  <si>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</si>
  <si>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</si>
  <si>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</si>
  <si>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 // Antwort: 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</si>
  <si>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</si>
  <si>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</si>
  <si>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</si>
  <si>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</si>
  <si>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 // Antwort: 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</si>
  <si>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</si>
  <si>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</si>
  <si>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</si>
  <si>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</si>
  <si>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 // Antwort: 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</si>
  <si>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</si>
  <si>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</si>
  <si>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</si>
  <si>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 // Antwort: 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</si>
  <si>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</si>
  <si>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</si>
  <si>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</si>
  <si>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</si>
  <si>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 // Antwort: 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</si>
  <si>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</si>
  <si>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</si>
  <si>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</si>
  <si>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</si>
  <si>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 // Antwort: 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</si>
  <si>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</si>
  <si>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</si>
  <si>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</si>
  <si>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</si>
  <si>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 // Antwort: 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</si>
  <si>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</si>
  <si>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</si>
  <si>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</si>
  <si>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</si>
  <si>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 // Antwort: 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</si>
  <si>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</si>
  <si>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</si>
  <si>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</si>
  <si>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</si>
  <si>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 // Antwort: 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</si>
  <si>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</si>
  <si>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</si>
  <si>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</si>
  <si>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</si>
  <si>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 // Antwort: 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</si>
  <si>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</si>
  <si>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</si>
  <si>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</si>
  <si>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</si>
  <si>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 // Antwort: 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</si>
  <si>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</si>
  <si>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</si>
  <si>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</si>
  <si>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</si>
  <si>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 // Antwort: 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</si>
  <si>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</si>
  <si>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</si>
  <si>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</si>
  <si>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</si>
  <si>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 // Antwort: 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</si>
  <si>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eRound / tbd</t>
  </si>
  <si>
    <t xml:space="preserve">Schrankenanlage / Authentifizierungskomponente / OCPI Buchungskalender</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</si>
  <si>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</si>
  <si>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</si>
  <si>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</si>
  <si>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</si>
  <si>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 // Antwort: 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</si>
  <si>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Schrankenanlage / Authentifizierungskomponente</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</si>
  <si>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</si>
  <si>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</si>
  <si>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</si>
  <si>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</si>
  <si>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 // Antwort: 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</si>
  <si>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</si>
  <si>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</si>
  <si>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</si>
  <si>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</si>
  <si>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 // Antwort: 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</si>
  <si>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</si>
  <si>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</si>
  <si>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</si>
  <si>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</si>
  <si>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 // Antwort: 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</si>
  <si>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</si>
  <si>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</si>
  <si>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</si>
  <si>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</si>
  <si>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 // Antwort: 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</si>
  <si>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Schrankenanlage / Schrankensteuerung / Pönalisierungssystem</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</si>
  <si>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</si>
  <si>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</si>
  <si>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</si>
  <si>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</si>
  <si>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 // Antwort: 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</si>
  <si>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</si>
  <si>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</si>
  <si>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</si>
  <si>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</si>
  <si>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 // Antwort: 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</si>
  <si>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</si>
  <si>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</si>
  <si>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</si>
  <si>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</si>
  <si>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 // Antwort: (i)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</si>
  <si>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</si>
  <si>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</si>
  <si>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</si>
  <si>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</si>
  <si>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 // Antwort: 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</si>
  <si>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</si>
  <si>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</si>
  <si>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</si>
  <si>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</si>
  <si>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 // Antwort: 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</si>
  <si>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</si>
  <si>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</si>
  <si>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</si>
  <si>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</si>
  <si>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 // Antwort: 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</si>
  <si>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</si>
  <si>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</si>
  <si>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</si>
  <si>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</si>
  <si>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 // Antwort: 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</si>
  <si>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</si>
  <si>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</si>
  <si>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</si>
  <si>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</si>
  <si>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 // Antwort: 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</si>
  <si>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</si>
  <si>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</si>
  <si>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</si>
  <si>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</si>
  <si>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 // Antwort: 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</si>
  <si>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</si>
  <si>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</si>
  <si>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</si>
  <si>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</si>
  <si>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 // Antwort: 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</si>
  <si>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</si>
  <si>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</si>
  <si>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</si>
  <si>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</si>
  <si>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 // Antwort: 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</si>
  <si>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</si>
  <si>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</si>
  <si>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</si>
  <si>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</si>
  <si>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 // Antwort: 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</si>
  <si>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</si>
  <si>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</si>
  <si>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</si>
  <si>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</si>
  <si>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 // Antwort: 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</si>
  <si>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</si>
  <si>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</si>
  <si>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</si>
  <si>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</si>
  <si>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 // Antwort: 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</si>
  <si>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</si>
  <si>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</si>
  <si>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</si>
  <si>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</si>
  <si>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Bezug lt. Katalog: siehe 547
Katalogdatum: 27.01.2026 // Antwort: 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</si>
  <si>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</si>
  <si>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</si>
  <si>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</si>
  <si>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</si>
  <si>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 // Antwort: Siehe Antwort auf Bieterfrage 506.</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</si>
  <si>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</si>
  <si>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</si>
  <si>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</si>
  <si>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</si>
  <si>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 // Antwort: 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</si>
  <si>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</si>
  <si>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</si>
  <si>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</si>
  <si>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</si>
  <si>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 // Antwort: 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</si>
  <si>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</si>
  <si>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</si>
  <si>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</si>
  <si>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</si>
  <si>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 // Antwort: 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</si>
  <si>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</si>
  <si>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</si>
  <si>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</si>
  <si>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</si>
  <si>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 // Antwort: 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</si>
  <si>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</si>
  <si>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</si>
  <si>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</si>
  <si>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</si>
  <si>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 // Antwort: 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</si>
  <si>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</si>
  <si>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</si>
  <si>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</si>
  <si>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</si>
  <si>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 // Antwort: 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</si>
  <si>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</si>
  <si>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</si>
  <si>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</si>
  <si>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</si>
  <si>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 // Antwort: 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</si>
  <si>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</si>
  <si>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</si>
  <si>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</si>
  <si>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</si>
  <si>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 // Antwort: 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</si>
  <si>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</si>
  <si>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</si>
  <si>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</si>
  <si>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</si>
  <si>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 // Antwort: 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</si>
  <si>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</si>
  <si>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</si>
  <si>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</si>
  <si>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</si>
  <si>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 // Antwort: 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</si>
  <si>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</si>
  <si>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</si>
  <si>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</si>
  <si>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</si>
  <si>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 // Antwort: 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</si>
  <si>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</si>
  <si>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</si>
  <si>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</si>
  <si>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</si>
  <si>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 // Antwort: 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</si>
  <si>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</si>
  <si>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</si>
  <si>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</si>
  <si>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</si>
  <si>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 // Antwort: 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</si>
  <si>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</si>
  <si>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</si>
  <si>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</si>
  <si>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</si>
  <si>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 // Antwort: 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</si>
  <si>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</si>
  <si>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</si>
  <si>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</si>
  <si>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</si>
  <si>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 // Antwort: 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</si>
  <si>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</si>
  <si>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</si>
  <si>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</si>
  <si>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</si>
  <si>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 // Antwort: 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</si>
  <si>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</si>
  <si>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</si>
  <si>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</si>
  <si>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</si>
  <si>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 // Antwort: 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</si>
  <si>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</si>
  <si>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</si>
  <si>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</si>
  <si>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</si>
  <si>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 // Antwort: 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</si>
  <si>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</si>
  <si>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</si>
  <si>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</si>
  <si>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</si>
  <si>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Bezug lt. Katalog: § 37 Abs. 1 BV
Katalogdatum: 06.02.2026 // Antwort: 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</si>
  <si>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</si>
  <si>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</si>
  <si>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</si>
  <si>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</si>
  <si>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 // Antwort: 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</si>
  <si>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</si>
  <si>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</si>
  <si>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</si>
  <si>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</si>
  <si>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 // Antwort: 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</si>
  <si>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</si>
  <si>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</si>
  <si>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</si>
  <si>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</si>
  <si>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Bezug lt. Katalog: Vertragsanlage 04 – Leistungsbeschreibung Errichtung, Kapitel 4.12.1
Katalogdatum: 06.02.2026 // Antwort: 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</si>
  <si>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</si>
  <si>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</si>
  <si>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</si>
  <si>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</si>
  <si>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 // Antwort: 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</si>
  <si>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</si>
  <si>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</si>
  <si>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</si>
  <si>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</si>
  <si>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 // Antwort: 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</si>
  <si>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</si>
  <si>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</si>
  <si>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</si>
  <si>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</si>
  <si>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 // Antwort: 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</si>
  <si>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</si>
  <si>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</si>
  <si>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</si>
  <si>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</si>
  <si>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 // Antwort: 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</si>
  <si>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</si>
  <si>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</si>
  <si>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</si>
  <si>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</si>
  <si>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 // Antwort: 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</si>
  <si>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</si>
  <si>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</si>
  <si>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</si>
  <si>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 // Antwort: 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</si>
  <si>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</si>
  <si>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</si>
  <si>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</si>
  <si>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</si>
  <si>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 // Antwort: 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</si>
  <si>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</si>
  <si>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</si>
  <si>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</si>
  <si>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</si>
  <si>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 // Antwort: 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</si>
  <si>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</si>
  <si>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</si>
  <si>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</si>
  <si>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</si>
  <si>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 // Antwort: 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</si>
  <si>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</si>
  <si>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</si>
  <si>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</si>
  <si>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</si>
  <si>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 // Antwort: 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</si>
  <si>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</si>
  <si>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</si>
  <si>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</si>
  <si>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</si>
  <si>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 // Antwort: 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</si>
  <si>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</si>
  <si>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</si>
  <si>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</si>
  <si>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</si>
  <si>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 // Antwort: 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</si>
  <si>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</si>
  <si>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</si>
  <si>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</si>
  <si>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</si>
  <si>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 // Antwort: 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</si>
  <si>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</si>
  <si>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</si>
  <si>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</si>
  <si>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</si>
  <si>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 // Antwort: 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</si>
  <si>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</si>
  <si>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</si>
  <si>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</si>
  <si>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</si>
  <si>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 // Antwort: 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</si>
  <si>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</si>
  <si>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</si>
  <si>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</si>
  <si>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</si>
  <si>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 // Antwort: 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</si>
  <si>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Kennzeichenerfassung / Schrankenanlage / Schrankensteuerung / Authentifizierungskomponente / OCPI Buchungskalender</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</si>
  <si>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</si>
  <si>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</si>
  <si>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</si>
  <si>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</si>
  <si>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 // Antwort: 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</si>
  <si>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</si>
  <si>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</si>
  <si>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</si>
  <si>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</si>
  <si>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 // Antwort: 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</si>
  <si>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</si>
  <si>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</si>
  <si>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</si>
  <si>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</si>
  <si>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 // Antwort: 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</si>
  <si>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</si>
  <si>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</si>
  <si>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</si>
  <si>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</si>
  <si>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 // Antwort: 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</si>
  <si>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</si>
  <si>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</si>
  <si>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</si>
  <si>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</si>
  <si>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 // Antwort: 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</si>
  <si>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Kennzeichenerfassung / OCPI Buchungskalender / Ladeeinrichtung</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</si>
  <si>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</si>
  <si>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</si>
  <si>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</si>
  <si>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</si>
  <si>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 // Antwort: 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</si>
  <si>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</si>
  <si>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</si>
  <si>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</si>
  <si>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</si>
  <si>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Bezug lt. Katalog: Anhang 01a zur Vertragsanlage 04
Katalogdatum: 02.03.2026 // Antwort: 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</si>
  <si>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</si>
  <si>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</si>
  <si>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</si>
  <si>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</si>
  <si>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 // Antwort: 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</si>
  <si>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</si>
  <si>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</si>
  <si>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</si>
  <si>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</si>
  <si>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 // Antwort: 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</si>
  <si>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</si>
  <si>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</si>
  <si>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</si>
  <si>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</si>
  <si>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 // Antwort: 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</si>
  <si>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</si>
  <si>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</si>
  <si>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</si>
  <si>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</si>
  <si>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 // Antwort: 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</si>
  <si>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</si>
  <si>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</si>
  <si>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</si>
  <si>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</si>
  <si>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 // Antwort: Ob eine eine Anforderung durch eine Prüforganisation oder durch einen Servicedienstleister ausgeführt werden muss, ergibt sich aus den jeweils relevanten gesetzlichen und normativen Vorgaben und liegt in der Verantwortung des AN.</t>
  </si>
  <si>
    <t xml:space="preserve">Alpitronic / eRound / Reservierungsplattform</t>
  </si>
  <si>
    <t xml:space="preserve">OCPI Buchungskalender / Reservierungsplattform / Ladeeinrichtung</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</si>
  <si>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</si>
  <si>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</si>
  <si>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</si>
  <si>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</si>
  <si>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 // Antwort: 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</si>
  <si>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Kennzeichenerfassung / Schrankenanlage / Authentifizierungskomponente / Ladeeinrichtung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</si>
  <si>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</si>
  <si>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</si>
  <si>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</si>
  <si>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</si>
  <si>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 // Antwort: 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</si>
  <si>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</si>
  <si>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</si>
  <si>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</si>
  <si>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</si>
  <si>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 // Antwort: 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</si>
  <si>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</si>
  <si>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</si>
  <si>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</si>
  <si>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</si>
  <si>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 // Antwort: 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</si>
  <si>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</si>
  <si>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</si>
  <si>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</si>
  <si>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</si>
  <si>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 // Antwort: 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</si>
  <si>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</si>
  <si>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</si>
  <si>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</si>
  <si>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</si>
  <si>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 // Antwort: 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</si>
  <si>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</si>
  <si>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</si>
  <si>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</si>
  <si>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 // Antwort: Diese Annahme ist zutreffend.</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</si>
  <si>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</si>
  <si>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</si>
  <si>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</si>
  <si>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</si>
  <si>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 // Antwort: 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</si>
  <si>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</si>
  <si>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</si>
  <si>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</si>
  <si>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</si>
  <si>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 // Antwort: 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</si>
  <si>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</si>
  <si>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</si>
  <si>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</si>
  <si>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</si>
  <si>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Bezug lt. Katalog: Vermessung, Be- standsdaten
Katalogdatum: 12.03.2026 // Antwort: 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</si>
  <si>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</si>
  <si>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</si>
  <si>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</si>
  <si>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</si>
  <si>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Bezug lt. Katalog: Vermessung, Be- standsdaten
Katalogdatum: 12.03.2026 // Antwort: 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</si>
  <si>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</si>
  <si>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</si>
  <si>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</si>
  <si>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</si>
  <si>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 // Antwort: 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</si>
  <si>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Kennzeichenerfassung</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</si>
  <si>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</si>
  <si>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</si>
  <si>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</si>
  <si>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</si>
  <si>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 // Antwort: 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</si>
  <si>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</si>
  <si>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</si>
  <si>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</si>
  <si>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</si>
  <si>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 // Antwort: 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</si>
  <si>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</si>
  <si>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</si>
  <si>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</si>
  <si>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</si>
  <si>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 // Antwort: 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</si>
  <si>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</si>
  <si>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</si>
  <si>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</si>
  <si>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</si>
  <si>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Bezug lt. Katalog: Betreibervertrag §55 Versicherungen.
Katalogdatum: 12.03.2026 // Antwort: 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</si>
  <si>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</si>
  <si>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</si>
  <si>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</si>
  <si>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</si>
  <si>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Bezug lt. Katalog: Betreibervertrag §55 Versicherungen.
Katalogdatum: 12.03.2026 // Antwort: 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</si>
  <si>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</si>
  <si>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</si>
  <si>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</si>
  <si>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</si>
  <si>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</si>
  <si>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</si>
  <si>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</si>
  <si>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Bezug lt. Katalog: Betreibervertrag §55 Versicherungen.
Katalogdatum: 12.03.2026 // Antwort: 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</si>
  <si>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</si>
  <si>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</si>
  <si>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</si>
  <si>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</si>
  <si>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Bezug lt. Katalog: Betreibervertrag §55 Versicherungen.
Katalogdatum: 12.03.2026 // Antwort: 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</si>
  <si>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</si>
  <si>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</si>
  <si>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</si>
  <si>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</si>
  <si>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Bezug lt. Katalog: Betreibervertrag §55 Versicherungen.
Katalogdatum: 12.03.2026 // Antwort: 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</si>
  <si>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</si>
  <si>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</si>
  <si>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</si>
  <si>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</si>
  <si>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Bezug lt. Katalog: Betreibervertrag §55 Versicherungen.
Katalogdatum: 12.03.2026 // Antwort: §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</si>
  <si>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</si>
  <si>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</si>
  <si>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</si>
  <si>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</si>
  <si>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Bezug lt. Katalog: Betreibervertrag §55 Versicherungen.
Katalogdatum: 12.03.2026 // Antwort: 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</si>
  <si>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</si>
  <si>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</si>
  <si>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</si>
  <si>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</si>
  <si>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Bezug lt. Katalog: Betreibervertrag §55 Versicherungen.
Katalogdatum: 12.03.2026 // Antwort: 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</si>
  <si>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</si>
  <si>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</si>
  <si>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</si>
  <si>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</si>
  <si>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Bezug lt. Katalog: Betreibervertrag §55 Versicherungen.
Katalogdatum: 12.03.2026 // Antwort: 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</si>
  <si>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</si>
  <si>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</si>
  <si>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</si>
  <si>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</si>
  <si>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Bezug lt. Katalog: Betreibervertrag §55 Versicherungen.
Katalogdatum: 12.03.2026 // Antwort: 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</si>
  <si>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</si>
  <si>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</si>
  <si>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</si>
  <si>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</si>
  <si>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 // Antwort: 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</si>
  <si>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</si>
  <si>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</si>
  <si>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</si>
  <si>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</si>
  <si>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 // Antwort: 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</si>
  <si>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</si>
  <si>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</si>
  <si>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</si>
  <si>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</si>
  <si>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 // Antwort: 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</si>
  <si>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</si>
  <si>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</si>
  <si>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</si>
  <si>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</si>
  <si>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 // Antwort: 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</si>
  <si>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</si>
  <si>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</si>
  <si>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</si>
  <si>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</si>
  <si>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 // Antwort: 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</si>
  <si>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</si>
  <si>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</si>
  <si>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</si>
  <si>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</si>
  <si>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 // Antwort: 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</si>
  <si>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</si>
  <si>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</si>
  <si>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</si>
  <si>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</si>
  <si>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 // Antwort: 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</si>
  <si>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</si>
  <si>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</si>
  <si>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</si>
  <si>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</si>
  <si>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 // Antwort: 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</si>
  <si>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</si>
  <si>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</si>
  <si>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</si>
  <si>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</si>
  <si>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 // Antwort: 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</si>
  <si>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</si>
  <si>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</si>
  <si>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</si>
  <si>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</si>
  <si>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 // Antwort: 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</si>
  <si>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</si>
  <si>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</si>
  <si>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</si>
  <si>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</si>
  <si>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 // Antwort: 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</si>
  <si>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</si>
  <si>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</si>
  <si>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</si>
  <si>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</si>
  <si>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 // Antwort: 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</si>
  <si>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</si>
  <si>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</si>
  <si>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</si>
  <si>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</si>
  <si>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 // Antwort: 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</si>
  <si>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</si>
  <si>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</si>
  <si>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</si>
  <si>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</si>
  <si>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 // Antwort: 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</si>
  <si>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</si>
  <si>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</si>
  <si>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</si>
  <si>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</si>
  <si>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</si>
  <si>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</si>
  <si>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</si>
  <si>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</si>
  <si>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</si>
  <si>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 // Antwort: 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</si>
  <si>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</si>
  <si>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</si>
  <si>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</si>
  <si>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</si>
  <si>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 // Antwort: 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</si>
  <si>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</si>
  <si>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</si>
  <si>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</si>
  <si>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</si>
  <si>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 // Antwort: 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</si>
  <si>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</si>
  <si>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</si>
  <si>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</si>
  <si>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</si>
  <si>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 // Antwort: 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</si>
  <si>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</si>
  <si>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</si>
  <si>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</si>
  <si>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</si>
  <si>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 // Antwort: 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</si>
  <si>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</si>
  <si>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</si>
  <si>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</si>
  <si>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</si>
  <si>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 // Antwort: 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</si>
  <si>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</si>
  <si>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</si>
  <si>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</si>
  <si>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</si>
  <si>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 // Antwort: 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</si>
  <si>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</si>
  <si>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</si>
  <si>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</si>
  <si>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</si>
  <si>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 // Antwort: 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</si>
  <si>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</si>
  <si>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</si>
  <si>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</si>
  <si>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</si>
  <si>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 // Antwort: 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</si>
  <si>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</si>
  <si>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</si>
  <si>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</si>
  <si>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</si>
  <si>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 // Antwort: 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</si>
  <si>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</si>
  <si>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</si>
  <si>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</si>
  <si>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</si>
  <si>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 // Antwort: 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</si>
  <si>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</si>
  <si>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</si>
  <si>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</si>
  <si>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</si>
  <si>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 // Antwort: 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</si>
  <si>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</si>
  <si>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</si>
  <si>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</si>
  <si>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</si>
  <si>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 // Antwort: 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</si>
  <si>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</si>
  <si>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</si>
  <si>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</si>
  <si>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</si>
  <si>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 // Antwort: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</si>
  <si>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</si>
  <si>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</si>
  <si>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</si>
  <si>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</si>
  <si>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 // Antwort: 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</si>
  <si>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</si>
  <si>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</si>
  <si>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</si>
  <si>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</si>
  <si>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 // Antwort: 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</si>
  <si>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</si>
  <si>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</si>
  <si>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</si>
  <si>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</si>
  <si>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 // Antwort: 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</si>
  <si>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</si>
  <si>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</si>
  <si>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</si>
  <si>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</si>
  <si>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 // Antwort: 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</si>
  <si>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</si>
  <si>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</si>
  <si>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</si>
  <si>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</si>
  <si>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 // Antwort: a) Der Zuschlag wird voraussichtlich bis Ende des zweiten Quartals 2026 erteilt. Entsprechende weitere Schritte werden im Anschluss kommuniziert. b) Die Rechtsmittelfrist zur Notifizierungsentscheidung der Europäischen Kommission endete am 05.05.2026.</t>
  </si>
  <si>
    <t xml:space="preserve">ANF-707</t>
  </si>
  <si>
    <t xml:space="preserve">§ 1 (1)</t>
  </si>
  <si>
    <t xml:space="preserve">Dieser Vertrag hat die nachfolgenden Vertragsbestandteile, wobei Reihenfolge gleich Rangfolge für die Auslegung und Anwendung ist:</t>
  </si>
  <si>
    <t xml:space="preserve">Kapitel: Vertragsbestandteile, Geltungsreihenfolge, Auslegung
Fundstelle im PDF: Seite 6</t>
  </si>
  <si>
    <t xml:space="preserve">ANF-708</t>
  </si>
  <si>
    <t xml:space="preserve">§ 1 (1) a</t>
  </si>
  <si>
    <t xml:space="preserve">die Vereinbarungen dieses Vertragstextes einschließlich der dazugehörigen Vertragsanlagen,</t>
  </si>
  <si>
    <t xml:space="preserve">ANF-709</t>
  </si>
  <si>
    <t xml:space="preserve">§ 1 (1) b</t>
  </si>
  <si>
    <t xml:space="preserve">alle im Vertrag und seinen Vertragsanlagen, insbesondere in den Leistungsbeschreibungen Errichtung und Betrieb, genannten Richtlinien und technischen Regelwerke, und</t>
  </si>
  <si>
    <t xml:space="preserve">ANF-710</t>
  </si>
  <si>
    <t xml:space="preserve">§ 1 (1) c</t>
  </si>
  <si>
    <t xml:space="preserve">das Angebot des Auftragnehmers (beigefügt als Vertragsanlage 1: Angebot des Auftragnehmers vom [...]), soweit es über die Vorgaben der Leistungsbeschreibungen hinausgehende quantitative und …</t>
  </si>
  <si>
    <t xml:space="preserve">das Angebot des Auftragnehmers (beigefügt als Vertragsanlage 1: Angebot des Auftragnehmers vom [...]), soweit es über die Vorgaben der Leistungsbeschreibungen hinausgehende quantitative und qualitative Leistungsversprechen enthält.</t>
  </si>
  <si>
    <t xml:space="preserve">ANF-711</t>
  </si>
  <si>
    <t xml:space="preserve">§ 1 (2)</t>
  </si>
  <si>
    <t xml:space="preserve">Bei Widersprüchen zwischen textlicher Beschreibung und zeichnerischer Darstellung innerhalb einer Kategorie nach Absatz 1 a) und Absatz 1 b) gilt aufgrund allgemeiner Auslegungsmethoden zunächst das …</t>
  </si>
  <si>
    <t xml:space="preserve">Bei Widersprüchen zwischen textlicher Beschreibung und zeichnerischer Darstellung innerhalb einer Kategorie nach Absatz 1 a) und Absatz 1 b) gilt aufgrund allgemeiner Auslegungsmethoden zunächst das von den Parteien gemeinsam Gewollte. In verbleibenden Zweifelsfällen gehen zeichnerische Darstellungen dort, wo sie einen höheren Detaillierungsgrad als die entsprechenden textlichen Beschreibungen aufweisen, den textlichen Ausführungen vor, im Übrigen gelten für den gesamten Vertragsgegenstand vorrangig die textlichen Beschreibungen.</t>
  </si>
  <si>
    <t xml:space="preserve">ANF-712</t>
  </si>
  <si>
    <t xml:space="preserve">§ 2</t>
  </si>
  <si>
    <t xml:space="preserve">Der Auftraggeber 1 ist Eigentümer der Liegenschaften der Standorte.</t>
  </si>
  <si>
    <t xml:space="preserve">Der Auftraggeber 1 ist Eigentümer der Liegenschaften der Standorte. Der Auftraggeber 2 ist aufgrund des Gesetzes zur Errichtung einer Infrastrukturgesellschaft für Autobahnen und andere Bundesfernstraßen (Infrastrukturgesellschaftserrichtungsgesetz – InfrGG) sowie der auf dessen Grundlage erlassenen Verordnung über die Beleihung der Gesellschaft privaten Rechts im Sinne des Infrastrukturgesellschaftserrichtungsgesetzes (InfrGG-Beleihungsverordnung – InfrGGBV) umfassend mit Planung, Bau, Betrieb, Erhaltung, Finanzierung und vermögensmäßigen Verwaltung der Bundesautobahnen betraut. Die Vertragsdurchführung samt Vornahme von Zahlungen sowie Abgabe und Entgegennahme von Erklärungen und Unterlagen erfolgt durch den Auftraggeber 2, der insoweit als Vertreter des Auftraggebers 1 agiert, soweit er nicht aufgrund der vorgenannten Betrauung im eigenen Namen agiert.</t>
  </si>
  <si>
    <t xml:space="preserve">Kapitel: Mehrheit von Auftraggebern
Fundstelle im PDF: Seite 6</t>
  </si>
  <si>
    <t xml:space="preserve">ANF-713</t>
  </si>
  <si>
    <t xml:space="preserve">§ 3 (1)</t>
  </si>
  <si>
    <t xml:space="preserve">Gegenstand des Vertrags sind</t>
  </si>
  <si>
    <t xml:space="preserve">Kapitel: Vertragsgegenstand und Hauptleistungspflichten
Fundstelle im PDF: Seite 6</t>
  </si>
  <si>
    <t xml:space="preserve">ANF-714</t>
  </si>
  <si>
    <t xml:space="preserve">§ 3 (1) a</t>
  </si>
  <si>
    <t xml:space="preserve">die Verpflichtungen des Auftragnehmers zur Planung, Errichtung, zum Betrieb sowie zur Instandhaltung von öffentlich zugänglicher Ladeinfrastruktur für E-Lkw an den in Vertragsanlage 2: Standorte …</t>
  </si>
  <si>
    <t xml:space="preserve">die Verpflichtungen des Auftragnehmers zur Planung, Errichtung, zum Betrieb sowie zur Instandhaltung von öffentlich zugänglicher Ladeinfrastruktur für E-Lkw an den in Vertragsanlage 2: Standorte definierten Standorten,</t>
  </si>
  <si>
    <t xml:space="preserve">Kapitel: Vertragsgegenstand und Hauptleistungspflichten
Fundstelle im PDF: Seite 6
Zuordnung prüfen (Komponente/Partner nicht eindeutig)</t>
  </si>
  <si>
    <t xml:space="preserve">ANF-715</t>
  </si>
  <si>
    <t xml:space="preserve">§ 3 (1) b</t>
  </si>
  <si>
    <t xml:space="preserve">die Gewährung des diskriminierungsfreien Zugangs zu dieser Ladeinfrastruktur durch den Auftragnehmer aa) für Endnutzer im Rahmen des Ad-hoc-Ladens (punktuelles Laden i.</t>
  </si>
  <si>
    <t xml:space="preserve">die Gewährung des diskriminierungsfreien Zugangs zu dieser Ladeinfrastruktur durch den Auftragnehmer aa) für Endnutzer im Rahmen des Ad-hoc-Ladens (punktuelles Laden i. S. v. Art. 2 Nr. 47 der AFIR) nach § 31 sowie bb) für andere Mobilitätsdienstleister nach § 33,</t>
  </si>
  <si>
    <t xml:space="preserve">ANF-716</t>
  </si>
  <si>
    <t xml:space="preserve">§ 3 (1) c</t>
  </si>
  <si>
    <t xml:space="preserve">die Entrichtung eines Errichtungsentgelts und eines Betreiberentgelts durch den Auftraggeber 2 an den Auftragnehmer nach § 44 und § 45,</t>
  </si>
  <si>
    <t xml:space="preserve">ANF-717</t>
  </si>
  <si>
    <t xml:space="preserve">§ 3 (1) d</t>
  </si>
  <si>
    <t xml:space="preserve">die Zahlung eines Infrastrukturentgelts durch den Auftragnehmer an den Auftraggeber 2 nach § 46 sowie</t>
  </si>
  <si>
    <t xml:space="preserve">ANF-718</t>
  </si>
  <si>
    <t xml:space="preserve">§ 3 (1) e</t>
  </si>
  <si>
    <t xml:space="preserve">die Übertragung des Rechts zur Vermarktung der THG-Quoten durch den Auftragnehmer an den Auftraggeber 1 nach § 50.</t>
  </si>
  <si>
    <t xml:space="preserve">ANF-719</t>
  </si>
  <si>
    <t xml:space="preserve">§ 3 (2)</t>
  </si>
  <si>
    <t xml:space="preserve">Die konkreten Pflichten der Parteien ergeben sich aus den folgenden Regelungen.</t>
  </si>
  <si>
    <t xml:space="preserve">Die konkreten Pflichten der Parteien ergeben sich aus den folgenden Regelungen. Soweit sich aus dem Angebot des Auftragnehmers weitere Zusagen ergeben, sind diese ebenfalls geschuldet.</t>
  </si>
  <si>
    <t xml:space="preserve">ANF-720</t>
  </si>
  <si>
    <t xml:space="preserve">§ 4 (1)</t>
  </si>
  <si>
    <t xml:space="preserve">„Abnahme“: Die bauliche Abnahme der Ladeinfrastruktur nach Abschluss der Errichtung und technischer Inbetriebnahme der Ladeeinrichtungen nach Maßgabe von § 13.</t>
  </si>
  <si>
    <t xml:space="preserve">Kapitel: Begriffsbestimmungen
Fundstelle im PDF: Seite 7</t>
  </si>
  <si>
    <t xml:space="preserve">Aplitronic</t>
  </si>
  <si>
    <t xml:space="preserve">ANF-721</t>
  </si>
  <si>
    <t xml:space="preserve">§ 4 (2)</t>
  </si>
  <si>
    <t xml:space="preserve">„Ad-hoc-Laden“: Ein Ladedienst i. S. d.</t>
  </si>
  <si>
    <t xml:space="preserve">„Ad-hoc-Laden“: Ein Ladedienst i. S. d. Art. 2 Nr. 47 AFIR, der von einem Endnutzer erworben wird, ohne dass dieser Endnutzer sich registrieren, eine schriftliche Vereinbarung schließen oder eine Geschäftsbeziehung mit dem Betreiber des Ladepunkts eingehen muss, die über den bloßen Erwerb des Aufladedienstes hinausgeht (auch “punktuelles Aufladen“).</t>
  </si>
  <si>
    <t xml:space="preserve">ANF-722</t>
  </si>
  <si>
    <t xml:space="preserve">§ 4 (3)</t>
  </si>
  <si>
    <t xml:space="preserve">„Ad-hoc-Preis“: Der Preis, den der Auftragnehmer als Betreiber eines Ladepunkts einem Endnutzer für das punktuelle Aufladen außerhalb eines Dauerschuldverhältnisses in Rechnung stellt.</t>
  </si>
  <si>
    <t xml:space="preserve">ANF-723</t>
  </si>
  <si>
    <t xml:space="preserve">§ 4 (4)</t>
  </si>
  <si>
    <t xml:space="preserve">„AFIR“: Die Verordnung (EU) 2023/1804 des Europäischen Parlaments und des Rates vom</t>
  </si>
  <si>
    <t xml:space="preserve">Kapitel: Begriffsbestimmungen
Fundstelle im PDF: Seite 7
Zuordnung prüfen (Komponente/Partner nicht eindeutig)</t>
  </si>
  <si>
    <t xml:space="preserve">ANF-724</t>
  </si>
  <si>
    <t xml:space="preserve">§ 4 (13)</t>
  </si>
  <si>
    <t xml:space="preserve">September 2023 über den Aufbau der Infrastruktur für alternative Kraftstoffe und zur Aufhebung der Richtlinie 2014/94/EU.</t>
  </si>
  <si>
    <t xml:space="preserve">ANF-725</t>
  </si>
  <si>
    <t xml:space="preserve">§ 4 (5)</t>
  </si>
  <si>
    <t xml:space="preserve">„Back-End“: Ein IT-System, das den Betrieb und die Verwaltung der Ladeeinrichtungen eines Auftragnehmers steuert und hierfür mittels eines Schnittstellenprotokolls mit den Ladeeinrichtungen …</t>
  </si>
  <si>
    <t xml:space="preserve">„Back-End“: Ein IT-System, das den Betrieb und die Verwaltung der Ladeeinrichtungen eines Auftragnehmers steuert und hierfür mittels eines Schnittstellenprotokolls mit den Ladeeinrichtungen kommuniziert.</t>
  </si>
  <si>
    <t xml:space="preserve">ANF-726</t>
  </si>
  <si>
    <t xml:space="preserve">§ 4 (6)</t>
  </si>
  <si>
    <t xml:space="preserve">„Batterieelektrofahrzeug“: Kraftfahrzeug, einschließlich E-Lkw, mit einem Antriebsstrang, der mindestens einen nichtperipheren elektrischen Motor als Energiewandler mit einem elektrisch aufladbaren …</t>
  </si>
  <si>
    <t xml:space="preserve">„Batterieelektrofahrzeug“: Kraftfahrzeug, einschließlich E-Lkw, mit einem Antriebsstrang, der mindestens einen nichtperipheren elektrischen Motor als Energiewandler mit einem elektrisch aufladbaren Energiespeichersystem, das extern aufgeladen werden kann, enthält.</t>
  </si>
  <si>
    <t xml:space="preserve">ANF-727</t>
  </si>
  <si>
    <t xml:space="preserve">§ 4 (7)</t>
  </si>
  <si>
    <t xml:space="preserve">„Baufreigabe“: Die öffentlich-rechtliche Freigabe der Errichtungstätigkeiten des Auftragnehmers durch den Auftraggeber 2 gemäß § 4 FStrG.</t>
  </si>
  <si>
    <t xml:space="preserve">ANF-728</t>
  </si>
  <si>
    <t xml:space="preserve">§ 4 (8)</t>
  </si>
  <si>
    <t xml:space="preserve">„BDEW“: Bundesverband der Energie- und Wasserwirtschaft e.</t>
  </si>
  <si>
    <t xml:space="preserve">„BDEW“: Bundesverband der Energie- und Wasserwirtschaft e. V.</t>
  </si>
  <si>
    <t xml:space="preserve">ANF-729</t>
  </si>
  <si>
    <t xml:space="preserve">§ 4 (9)</t>
  </si>
  <si>
    <t xml:space="preserve">„Betrieb“: Sämtliche Maßnahmen, die die Funktionsfähigkeit der Ladeeinrichtungen gewährleisten.</t>
  </si>
  <si>
    <t xml:space="preserve">ANF-730</t>
  </si>
  <si>
    <t xml:space="preserve">§ 4 (10)</t>
  </si>
  <si>
    <t xml:space="preserve">„Betriebsfreigabe“: Die öffentlich-rechtliche Freigabe der Ladeinfrastruktur durch den Auftraggeber 2 gemäß § 4 FStrG.</t>
  </si>
  <si>
    <t xml:space="preserve">ANF-731</t>
  </si>
  <si>
    <t xml:space="preserve">§ 4 (11)</t>
  </si>
  <si>
    <t xml:space="preserve">„Bidirektionales Laden“: Ein Ladevorgang, bei der die Richtung des Stromflusses umgekehrt werden kann, sodass Strom von der Batterie zu dem Ladepunkt fließen kann, an den sie angeschlossen ist.</t>
  </si>
  <si>
    <t xml:space="preserve">ANF-732</t>
  </si>
  <si>
    <t xml:space="preserve">§ 4 (12)</t>
  </si>
  <si>
    <t xml:space="preserve">„CCS“: „Combined Charging System“ („kombiniertes Ladesystem“), nach der Norm IEC 62196, ein Ladesystem, das sich sowohl zum Laden mit Gleichstrom als auch zum Laden mit Wechselstrom eignet.</t>
  </si>
  <si>
    <t xml:space="preserve">ANF-733</t>
  </si>
  <si>
    <t xml:space="preserve">„CCS-Ladepunkt“: Jede Anschlussmöglichkeit mit Fahrzeugkupplung des Typs CCS für einen E-Lkw an einer Ladeeinrichtung, mit einer Nennladeleistung von mindestens 150 kW (DC) zum Übernachtladen bzw. …</t>
  </si>
  <si>
    <t xml:space="preserve">„CCS-Ladepunkt“: Jede Anschlussmöglichkeit mit Fahrzeugkupplung des Typs CCS für einen E-Lkw an einer Ladeeinrichtung, mit einer Nennladeleistung von mindestens 150 kW (DC) zum Übernachtladen bzw. für das Zwischenladen mit mindestens 400 kW (DC). Soweit Leistungseinheiten durch mehrere CCS-Ladepunkte für das Übernachtladen gemeinsam genutzt werden, muss eine Ladeleistung von 100 kW (DC) dauerhaft zeitgleich an jedem CCS-Ladepunkt zum Übernachtladen bereitstehen. Soweit Leistungseinheiten durch mehrere CCS-Ladepunkte für das Zwischenladen gemeinsam genutzt werden, muss eine Ladeleistung von 400 kW (DC) an jedem CCS-Ladepunkt zum Zwischenladen bereitstehen.</t>
  </si>
  <si>
    <t xml:space="preserve">ANF-734</t>
  </si>
  <si>
    <t xml:space="preserve">§ 4 (14)</t>
  </si>
  <si>
    <t xml:space="preserve">„EEG“: Erneuerbare-Energien-Gesetz vom 21. Juli 2014 (BGBI.</t>
  </si>
  <si>
    <t xml:space="preserve">„EEG“: Erneuerbare-Energien-Gesetz vom 21. Juli 2014 (BGBI. I S. 1066), zuletzt geändert durch Art. 23 des Gesetzes vom 18. Dezember 2025 (BGBl. 2025 I Nr. 347).</t>
  </si>
  <si>
    <t xml:space="preserve">ANF-735</t>
  </si>
  <si>
    <t xml:space="preserve">§ 4 (15)</t>
  </si>
  <si>
    <t xml:space="preserve">„Endnutzer“: Jede natürliche oder juristische Person, die Strom als alternativen Kraftstoff i.</t>
  </si>
  <si>
    <t xml:space="preserve">„Endnutzer“: Jede natürliche oder juristische Person, die Strom als alternativen Kraftstoff i. S. d. Art. 2 Nr. 4 lit. a) AFIR zur unmittelbaren Verwendung in einem Fahrzeug erwirbt.</t>
  </si>
  <si>
    <t xml:space="preserve">ANF-736</t>
  </si>
  <si>
    <t xml:space="preserve">§ 4 (16)</t>
  </si>
  <si>
    <t xml:space="preserve">„Erneuerung“: Der vollständige oder teilweise Austausch der Ladeinfrastruktur durch gleichartige und vertragsgemäße Teile der Ladeinfrastruktur bzw. durch eine gleichartige und vertragsgemäße …</t>
  </si>
  <si>
    <t xml:space="preserve">„Erneuerung“: Der vollständige oder teilweise Austausch der Ladeinfrastruktur durch gleichartige und vertragsgemäße Teile der Ladeinfrastruktur bzw. durch eine gleichartige und vertragsgemäße Ladeinfrastruktur.</t>
  </si>
  <si>
    <t xml:space="preserve">ANF-737</t>
  </si>
  <si>
    <t xml:space="preserve">§ 4 (17)</t>
  </si>
  <si>
    <t xml:space="preserve">„Errichtung“: Sämtliche Maßnahmen im Zusammenhang mit dem Aufbau der Ladeinfrastruktur, die einzelne Ladeeinrichtung ist mit ihrer technischen Inbetriebnahme errichtet.</t>
  </si>
  <si>
    <t xml:space="preserve">ANF-738</t>
  </si>
  <si>
    <t xml:space="preserve">§ 4 (18)</t>
  </si>
  <si>
    <t xml:space="preserve">„ERS-Empfehlung“: Empfehlungen für Rastanlagen an Straßen, eingeführt mit dem Allgemeinen Rundschreiben Straßenbau Nr.</t>
  </si>
  <si>
    <t xml:space="preserve">„ERS-Empfehlung“: Empfehlungen für Rastanlagen an Straßen, eingeführt mit dem Allgemeinen Rundschreiben Straßenbau Nr. 2/2011 v. 2. März 2011, geändert und ergänzt durch die Allgemeine Rundschreiben Straßenbau (ARS) 07/2019 und 17/2021.</t>
  </si>
  <si>
    <t xml:space="preserve">ANF-739</t>
  </si>
  <si>
    <t xml:space="preserve">§ 4 (19)</t>
  </si>
  <si>
    <t xml:space="preserve">„E-Lkw“: Reine Batterieelektrofahrzeuge sowie von außen aufladbare Hybridelektrofahrzeuge der Klasse M2 gemäß Art.</t>
  </si>
  <si>
    <t xml:space="preserve">„E-Lkw“: Reine Batterieelektrofahrzeuge sowie von außen aufladbare Hybridelektrofahrzeuge der Klasse M2 gemäß Art. 4 Abs. 1 lit. a) Ziffer ii), der Klasse M3 gemäß Art. 4 Abs. 1 lit. a) Ziffer iii) und der Klassen N2 und N3 gemäß Art. 4 Abs. 1 lit. b) Ziffer ii) und Ziffer iii) sowie deren Kombinationen mit Anhängern der Klassen O3 und O4 gemäß Art. 4 Abs. 1 lit. c) Ziffer iii) und Ziffer iv) der Verordnung (EU) 2018/858.</t>
  </si>
  <si>
    <t xml:space="preserve">ANF-740</t>
  </si>
  <si>
    <t xml:space="preserve">§ 4 (20)</t>
  </si>
  <si>
    <t xml:space="preserve">„E-Roaming-Plattform“: Plattform, die Marktteilnehmer, insbesondere Mobilitätsdienstleister und Ladepunktbetreiber, miteinander verbindet, um zwischen ihnen die Erbringung von Diensten, …</t>
  </si>
  <si>
    <t xml:space="preserve">„E-Roaming-Plattform“: Plattform, die Marktteilnehmer, insbesondere Mobilitätsdienstleister und Ladepunktbetreiber, miteinander verbindet, um zwischen ihnen die Erbringung von Diensten, einschließlich E-Roaming, zu ermöglichen.</t>
  </si>
  <si>
    <t xml:space="preserve">ANF-741</t>
  </si>
  <si>
    <t xml:space="preserve">§ 4 (21)</t>
  </si>
  <si>
    <t xml:space="preserve">„Fördermittel“: Finanzielle Zuwendung des Staates oder staatlicher Stellen einschließlich der EU zur Förderung von Ladeinfrastruktur.</t>
  </si>
  <si>
    <t xml:space="preserve">ANF-742</t>
  </si>
  <si>
    <t xml:space="preserve">§ 4 (22)</t>
  </si>
  <si>
    <t xml:space="preserve">„FStrG“: Das Bundesfernstraßengesetz in der Fassung der Bekanntmachung vom 28.</t>
  </si>
  <si>
    <t xml:space="preserve">„FStrG“: Das Bundesfernstraßengesetz in der Fassung der Bekanntmachung vom 28. Juni 2007 (BGBl. I S. 1206), zuletzt geändert durch Art. 1 des Gesetzes vom 22. Dezember 2023 (BGBI. 2023 I Nr. 409).</t>
  </si>
  <si>
    <t xml:space="preserve">ANF-743</t>
  </si>
  <si>
    <t xml:space="preserve">§ 4 (23)</t>
  </si>
  <si>
    <t xml:space="preserve">„Instandhaltung“: Sämtliche Maßnahmen zur Erhaltung des funktionsfähigen Zustandes der Ladeinfrastruktur oder der Rückführung in diesen während des Vertragszeitraums, insbesondere die für einen …</t>
  </si>
  <si>
    <t xml:space="preserve">„Instandhaltung“: Sämtliche Maßnahmen zur Erhaltung des funktionsfähigen Zustandes der Ladeinfrastruktur oder der Rückführung in diesen während des Vertragszeitraums, insbesondere die für einen ordnungsgemäßen Betrieb erforderlichen Unterhaltungs-, Reinigungs-, Wartungs-, Inspektion- und Instandsetzungsmaßnahmen sowie der Austausch von Komponenten und Kleinteilen.</t>
  </si>
  <si>
    <t xml:space="preserve">ANF-744</t>
  </si>
  <si>
    <t xml:space="preserve">§ 4 (24)</t>
  </si>
  <si>
    <t xml:space="preserve">„Kunde“: Endnutzer, der in einer vertraglichen Beziehung zu einem Mobilitätsdienstleister betreffend die Nutzung der Ladeinfrastruktur steht.</t>
  </si>
  <si>
    <t xml:space="preserve">ANF-745</t>
  </si>
  <si>
    <t xml:space="preserve">§ 4 (25)</t>
  </si>
  <si>
    <t xml:space="preserve">„Ladeeinrichtung“: Anlage, die über einen oder mehrere Ladepunkte verfügt.</t>
  </si>
  <si>
    <t xml:space="preserve">„Ladeeinrichtung“: Anlage, die über einen oder mehrere Ladepunkte verfügt. Zur Ladeeinrichtung gehören auch die für den Betrieb der Ladeeinrichtung notwendige Software, die untrennbarer Bestandteil der Ladeeinrichtung ist, das Front-End sowie auch die Kommunikationseinrichtungen, die der Anbindung an ein Back-End dienen. Das Back-End selbst wie der Netzanschluss und die elektrische Anlage sind nicht Bestandteil der Ladeeinrichtung.</t>
  </si>
  <si>
    <t xml:space="preserve">ANF-746</t>
  </si>
  <si>
    <t xml:space="preserve">§ 4 (26)</t>
  </si>
  <si>
    <t xml:space="preserve">„Ladeinfrastruktur“: Die Ladeeinrichtungen sowie sämtliche für den Ladevorgang erforderliche Anlagenteile, insbesondere das Lade-/Steuerungsgerät und das angeschlagene Kabel sowie eine …</t>
  </si>
  <si>
    <t xml:space="preserve">„Ladeinfrastruktur“: Die Ladeeinrichtungen sowie sämtliche für den Ladevorgang erforderliche Anlagenteile, insbesondere das Lade-/Steuerungsgerät und das angeschlagene Kabel sowie eine Übergabestation samt einem Transformator, wie in Abschnitt 4.12.1 der Vertragsanlage 4: Leistungsbeschreibung Errichtung beschrieben. Nicht zur Ladeinfrastruktur gehören sonstige bauliche Elemente wie z. B. Pfosten oder Schutzbügel.</t>
  </si>
  <si>
    <t xml:space="preserve">ANF-747</t>
  </si>
  <si>
    <t xml:space="preserve">§ 4 (27)</t>
  </si>
  <si>
    <t xml:space="preserve">„Ladepunkt“: Schnittstelle für die Übertragung von Strom auf einen E-Lkw (Laden) mit einer Nennladeleistung von mindestens 150 kW (DC) (CCS-Ladepunkt) zum Übernachtladen bzw. für das Zwischenladen …</t>
  </si>
  <si>
    <t xml:space="preserve">„Ladepunkt“: Schnittstelle für die Übertragung von Strom auf einen E-Lkw (Laden) mit einer Nennladeleistung von mindestens 150 kW (DC) (CCS-Ladepunkt) zum Übernachtladen bzw. für das Zwischenladen mit mindestens 400 kW (DC) (CCS-Ladepunkt) bzw. 1.000 kW (DC) (MCS-Ladepunkt).</t>
  </si>
  <si>
    <t xml:space="preserve">ANF-748</t>
  </si>
  <si>
    <t xml:space="preserve">§ 4 (28)</t>
  </si>
  <si>
    <t xml:space="preserve">„Ladepunktbetreiber“: Die für die Verwaltung und den Betrieb eines Ladepunktes zuständige Stelle, die Endnutzern einen Aufladedienst erbringt, auch im Namen und Auftrag eines Mobilitätsdienstleisters …</t>
  </si>
  <si>
    <t xml:space="preserve">„Ladepunktbetreiber“: Die für die Verwaltung und den Betrieb eines Ladepunktes zuständige Stelle, die Endnutzern einen Aufladedienst erbringt, auch im Namen und Auftrag eines Mobilitätsdienstleisters („Charge-Point-Operator“).</t>
  </si>
  <si>
    <t xml:space="preserve">ANF-749</t>
  </si>
  <si>
    <t xml:space="preserve">§ 4 (29)</t>
  </si>
  <si>
    <t xml:space="preserve">„Lieferant“: Betreffend die Belieferung mit Strom jede (juristische) Person i.</t>
  </si>
  <si>
    <t xml:space="preserve">„Lieferant“: Betreffend die Belieferung mit Strom jede (juristische) Person i. S. v. § 2 Nr. 5 Strom-NZV; im Übrigen ein sonstiger Lieferant des Auftragnehmers.</t>
  </si>
  <si>
    <t xml:space="preserve">ANF-750</t>
  </si>
  <si>
    <t xml:space="preserve">§ 4 (30)</t>
  </si>
  <si>
    <t xml:space="preserve">„MaBiS“: Marktregeln für die Durchführung der Bilanzkreisabrechnung Strom, gültig ab 04.04.2025, in der Fassung gemäß Festlegung BK6-24-174 (Beschluss vom 24.10.2024) der Bundesnetzagentur.</t>
  </si>
  <si>
    <t xml:space="preserve">ANF-751</t>
  </si>
  <si>
    <t xml:space="preserve">§ 4 (31)</t>
  </si>
  <si>
    <t xml:space="preserve">„MCS“: „Megawatt Charging System“ (Megawatt-Ladesystem), Ladepunkte einer Ladeleistung von mindestens 1.000 kW (DC).</t>
  </si>
  <si>
    <t xml:space="preserve">ANF-752</t>
  </si>
  <si>
    <t xml:space="preserve">§ 4 (32)</t>
  </si>
  <si>
    <t xml:space="preserve">„MCS-Ladepunkt“: Jede Anschlussmöglichkeit mit Fahrzeugkupplung des Typs MCS für einen E-Lkw an einer Ladeeinrichtung, die dem Ladevorgang dient und zur Abgabe einer Nennladeleistung von 1.000 kW …</t>
  </si>
  <si>
    <t xml:space="preserve">„MCS-Ladepunkt“: Jede Anschlussmöglichkeit mit Fahrzeugkupplung des Typs MCS für einen E-Lkw an einer Ladeeinrichtung, die dem Ladevorgang dient und zur Abgabe einer Nennladeleistung von 1.000 kW (DC) geeignet ist. Bei gemeinsam genutzten Leistungseinheiten und mehreren zeitgleichen Ladevorgängen muss die verfügbare Ladeleistung dauerhaft mindestens 800 kW (DC) pro Ladepunkt betragen.</t>
  </si>
  <si>
    <t xml:space="preserve">ANF-753</t>
  </si>
  <si>
    <t xml:space="preserve">§ 4 (33)</t>
  </si>
  <si>
    <t xml:space="preserve">„Mobilitätsdienstleister“: Jede juristische Person, die einem Endnutzer gegen Entgelt Dienstleistungen erbringt, einschließlich des Verkaufs von Auflade- oder Betankungsdiensten (englisch: …</t>
  </si>
  <si>
    <t xml:space="preserve">„Mobilitätsdienstleister“: Jede juristische Person, die einem Endnutzer gegen Entgelt Dienstleistungen erbringt, einschließlich des Verkaufs von Auflade- oder Betankungsdiensten (englisch: „e-mobility provider“ bzw. e-mobility service provider). Der Mobilitätsdienstleister kann selbst Endnutzer sein.</t>
  </si>
  <si>
    <t xml:space="preserve">ANF-754</t>
  </si>
  <si>
    <t xml:space="preserve">§ 4 (34)</t>
  </si>
  <si>
    <t xml:space="preserve">„Nahfeldkommunikation“: Ein auf RFID-Technik basierender Übertragungsstandard zum kontaktlosen Austausch von Daten per elektromagnetischer Induktion mittels loser gekoppelter Spulen über kurze …</t>
  </si>
  <si>
    <t xml:space="preserve">„Nahfeldkommunikation“: Ein auf RFID-Technik basierender Übertragungsstandard zum kontaktlosen Austausch von Daten per elektromagnetischer Induktion mittels loser gekoppelter Spulen über kurze Strecken von wenigen Zentimetern und einer Datenübertragungsrate von maximal 424 kBit/s (englisch: „near field communication“, abgekürzt NFC).</t>
  </si>
  <si>
    <t xml:space="preserve">ANF-755</t>
  </si>
  <si>
    <t xml:space="preserve">§ 4 (35)</t>
  </si>
  <si>
    <t xml:space="preserve">„Netzanschluss“: Die Verbindung des Elektrizitätsversorgungsnetzes der allgemeinen Versorgung mit der vom Auftraggeber genutzten elektrischen Anlage der Ladeinfrastruktur am Standort.</t>
  </si>
  <si>
    <t xml:space="preserve">„Netzanschluss“: Die Verbindung des Elektrizitätsversorgungsnetzes der allgemeinen Versorgung mit der vom Auftraggeber genutzten elektrischen Anlage der Ladeinfrastruktur am Standort. Er beginnt an der Abzweigstelle des Netzes und endet mit der Anschlusssicherung, soweit nicht im Netzanschlussvertrag eine andere Eigentumsgrenze definiert wurde. Eine Abgrenzung der Bestandteile des Netzanschlusses von der Ladeinfrastruktur ist in Abschnitt 4.12.1 der Vertragsanlage 4: Leistungsbeschreibung Errichtung enthalten</t>
  </si>
  <si>
    <t xml:space="preserve">ANF-756</t>
  </si>
  <si>
    <t xml:space="preserve">§ 4 (36)</t>
  </si>
  <si>
    <t xml:space="preserve">„Netzbetreiber“: Betreiber des einer Ladeeinrichtung vorgelagerten Elektrizitätsversorgungsnetzes der allgemeinen Versorgung.</t>
  </si>
  <si>
    <t xml:space="preserve">ANF-757</t>
  </si>
  <si>
    <t xml:space="preserve">§ 4 (37)</t>
  </si>
  <si>
    <t xml:space="preserve">„Öffentlicher Raum“: Öffentliche Straßen im Sinne des Bundesfernstraßengesetzes sowie der Landesstraßengesetze.</t>
  </si>
  <si>
    <t xml:space="preserve">ANF-758</t>
  </si>
  <si>
    <t xml:space="preserve">§ 4 (38)</t>
  </si>
  <si>
    <t xml:space="preserve">„Planfreigabe“: Die Freigabe von Plänen des Auftragnehmers durch den Auftraggeber 2 gemäß Abschnitt 3.1 (Planungs- und Freigabeprozess) der Vertragsanlage 4: Leistungsbeschreibung Errichtung.</t>
  </si>
  <si>
    <t xml:space="preserve">ANF-759</t>
  </si>
  <si>
    <t xml:space="preserve">§ 4 (39)</t>
  </si>
  <si>
    <t xml:space="preserve">„Punktuelles Aufladen“: vgl. „Ad-hoc-Laden“.</t>
  </si>
  <si>
    <t xml:space="preserve">ANF-760</t>
  </si>
  <si>
    <t xml:space="preserve">§ 4 (40)</t>
  </si>
  <si>
    <t xml:space="preserve">„QR-Code“: Quick-Response-Code, bezeichnet eine ISO/IEC-18004:2015-konforme Kodierung und Visualisierung von Daten.</t>
  </si>
  <si>
    <t xml:space="preserve">ANF-761</t>
  </si>
  <si>
    <t xml:space="preserve">§ 4 (42)</t>
  </si>
  <si>
    <t xml:space="preserve">„RFID-Karte“: Karte zur Identifizierung von Endnutzern einer Ladeeinrichtung mit Hilfe elektromagnetischer Wellen (englisch: „radio frequency identification“, abgekürzt RFID).</t>
  </si>
  <si>
    <t xml:space="preserve">Aplitronic / eRound</t>
  </si>
  <si>
    <t xml:space="preserve">ANF-762</t>
  </si>
  <si>
    <t xml:space="preserve">§ 4 (43)</t>
  </si>
  <si>
    <t xml:space="preserve">„Schaden“: Jede Substanzbeeinträchtigung einer Ladeeinrichtung unabhängig davon, ob sie die Funktionstüchtigkeit einer Ladeeinrichtung beeinträchtigt.</t>
  </si>
  <si>
    <t xml:space="preserve">ANF-763</t>
  </si>
  <si>
    <t xml:space="preserve">§ 4 (44)</t>
  </si>
  <si>
    <t xml:space="preserve">„Standort“: Unbewirtschaftete Rastanlage gemäß Vertragsanlage 2: Standorte, auf dem die Ladeinfrastruktur nach diesem Vertrag errichtet wird.</t>
  </si>
  <si>
    <t xml:space="preserve">ANF-764</t>
  </si>
  <si>
    <t xml:space="preserve">§ 4 (45)</t>
  </si>
  <si>
    <t xml:space="preserve">„Störung“: Die zumindest eingeschränkte Funktionstüchtigkeit einer Ladeeinrichtung.</t>
  </si>
  <si>
    <t xml:space="preserve">„Störung“: Die zumindest eingeschränkte Funktionstüchtigkeit einer Ladeeinrichtung. Die Funktionstüchtigkeit ist eingeschränkt, wenn die Ladeeinrichtung den vertraglichen Vorgaben nicht mehr entspricht.</t>
  </si>
  <si>
    <t xml:space="preserve">ANF-765</t>
  </si>
  <si>
    <t xml:space="preserve">§ 4 (46)</t>
  </si>
  <si>
    <t xml:space="preserve">„Technische Inbetriebnahme“: Die technische Inbetriebnahme der Ladeeinrichtung durch den Auftragnehmer.</t>
  </si>
  <si>
    <t xml:space="preserve">ANF-766</t>
  </si>
  <si>
    <t xml:space="preserve">§ 4 (47)</t>
  </si>
  <si>
    <t xml:space="preserve">„Telematisches Parken": Eine intelligente Technologie zur Steuerung und Optimierung von Parkplätzen, die Echtzeitdaten nutzt, um freie Plätze zu ermitteln und Fahrer zu leiten.</t>
  </si>
  <si>
    <t xml:space="preserve">ANF-767</t>
  </si>
  <si>
    <t xml:space="preserve">§ 4 (48)</t>
  </si>
  <si>
    <t xml:space="preserve">„Terminplan“: Der Rahmenterminplan und die Bauzeitenpläne, die vom Auftragnehmer unter Beachtung der Vorgaben in Vertragsanlage 4: Leistungsbeschreibung Errichtung erstellt und fortgeschrieben wurden …</t>
  </si>
  <si>
    <t xml:space="preserve">„Terminplan“: Der Rahmenterminplan und die Bauzeitenpläne, die vom Auftragnehmer unter Beachtung der Vorgaben in Vertragsanlage 4: Leistungsbeschreibung Errichtung erstellt und fortgeschrieben wurden und die gegebenenfalls nach Maßgabe des § 12 angepasst werden.</t>
  </si>
  <si>
    <t xml:space="preserve">ANF-768</t>
  </si>
  <si>
    <t xml:space="preserve">§ 4 (49)</t>
  </si>
  <si>
    <t xml:space="preserve">„Übernachtladen“: Ladeszenario, welches sich auf die gesetzlich vorgeschriebene tägliche, meist nächtliche Ruhepause von regelmäßig 11 Stunden plus einen Puffer von einer Stunde bezieht und eine der …</t>
  </si>
  <si>
    <t xml:space="preserve">„Übernachtladen“: Ladeszenario, welches sich auf die gesetzlich vorgeschriebene tägliche, meist nächtliche Ruhepause von regelmäßig 11 Stunden plus einen Puffer von einer Stunde bezieht und eine der Dauer entsprechende Anforderung an die Ladeleistung berücksichtigt. Werden MCS- und CCS-Ladepunkte zum Zwischenladen nach Maßgabe dieses Vertrags zum Übernachtladen freigegeben, gelten diese für den freigegebenen Zeitraum als Ladepunkte zum Übernachtladen.</t>
  </si>
  <si>
    <t xml:space="preserve">ANF-769</t>
  </si>
  <si>
    <t xml:space="preserve">§ 4 (50)</t>
  </si>
  <si>
    <t xml:space="preserve">„Umbau“: Jede bauliche Veränderung der Ladeeinrichtung; auch deren Versetzen.</t>
  </si>
  <si>
    <t xml:space="preserve">ANF-770</t>
  </si>
  <si>
    <t xml:space="preserve">§ 4 (51)</t>
  </si>
  <si>
    <t xml:space="preserve">„Vertragsjahr“: Jeweils ein Zeitraum von zwölf vollen Monaten, wobei das erste Vertragsjahr mit dem Tage beginnt, der auf die Zuschlagserteilung folgt.</t>
  </si>
  <si>
    <t xml:space="preserve">ANF-771</t>
  </si>
  <si>
    <t xml:space="preserve">„Werktag“: Tage von Montag bis Samstag, sofern diese nicht auf einen bundeseinheitlichen gesetzlich geregelten Feiertag fallen.</t>
  </si>
  <si>
    <t xml:space="preserve">Kapitel: Begriffsbestimmungen
Fundstelle im PDF: Seite 7
Fundstelle im Bestand bereits belegt, Text weicht ab – bitte gegen die alte Zeile prüfen
Zuordnung prüfen (Komponente/Partner nicht eindeutig)</t>
  </si>
  <si>
    <t xml:space="preserve">ANF-772</t>
  </si>
  <si>
    <t xml:space="preserve">§ 4 (53)</t>
  </si>
  <si>
    <t xml:space="preserve">„Zwischenladen“: Ladeszenario, welches sich auf die gesetzlich vorgeschriebene Lenkpause von 45 Minuten plus einen Zeitpuffer von 15 Minuten nach 4,5 Stunden Lenkzeit bezieht und eine der Dauer …</t>
  </si>
  <si>
    <t xml:space="preserve">„Zwischenladen“: Ladeszenario, welches sich auf die gesetzlich vorgeschriebene Lenkpause von 45 Minuten plus einen Zeitpuffer von 15 Minuten nach 4,5 Stunden Lenkzeit bezieht und eine der Dauer entsprechende Anforderung an die Ladeleistung berücksichtigt.</t>
  </si>
  <si>
    <t xml:space="preserve">ANF-773</t>
  </si>
  <si>
    <t xml:space="preserve">§ 5</t>
  </si>
  <si>
    <t xml:space="preserve">Die Errichtung und der Betrieb der Ladeinfrastruktur nach diesem Vertrag erfolgen an den durch die Vertragsanlage 2: Standorte definierten Standorten und gegebenenfalls an vom Auftraggeber 2 nach § …</t>
  </si>
  <si>
    <t xml:space="preserve">Die Errichtung und der Betrieb der Ladeinfrastruktur nach diesem Vertrag erfolgen an den durch die Vertragsanlage 2: Standorte definierten Standorten und gegebenenfalls an vom Auftraggeber 2 nach § 17 Abs. 1 benannten Ersatzstandorten. ABSCHNITT 2 PLANUNG, ERRICHTUNG UND BETRIEBSFREIGABE</t>
  </si>
  <si>
    <t xml:space="preserve">Kapitel: Standorte
Fundstelle im PDF: Seite 10</t>
  </si>
  <si>
    <t xml:space="preserve">ANF-774</t>
  </si>
  <si>
    <t xml:space="preserve">§ 6 (1)</t>
  </si>
  <si>
    <t xml:space="preserve">Der Auftragnehmer ist verpflichtet, sämtliche für die Errichtung, den Betrieb und die Erhaltung der Ladeinfrastruktur notwendigen Planungsleistungen zu erbringen.</t>
  </si>
  <si>
    <t xml:space="preserve">Kapitel: Planungsleistungen, Planfreigabe, Baufreigabe
Fundstelle im PDF: Seite 10</t>
  </si>
  <si>
    <t xml:space="preserve">ANF-775</t>
  </si>
  <si>
    <t xml:space="preserve">§ 6 (2)</t>
  </si>
  <si>
    <t xml:space="preserve">Dem Auftragnehmer obliegt die Ermittlung der Planungsgrundlagen, wie in Vertragsanlage 4: Leistungsbeschreibung Errichtung dargelegt.</t>
  </si>
  <si>
    <t xml:space="preserve">Dem Auftragnehmer obliegt die Ermittlung der Planungsgrundlagen, wie in Vertragsanlage 4: Leistungsbeschreibung Errichtung dargelegt. Die vom Auftraggeber 2 im Rahmen des Vergabeverfahrens zur Verfügung gestellten Unterlagen stellen einen unverbindlichen Planungsbeitrag des Auftraggebers 2 dar. Der Auftraggeber 2 übernimmt für die Vollständigkeit und Richtigkeit dieser Unterlagen keine Gewähr.</t>
  </si>
  <si>
    <t xml:space="preserve">ANF-776</t>
  </si>
  <si>
    <t xml:space="preserve">§ 6 (3)</t>
  </si>
  <si>
    <t xml:space="preserve">Die vom Auftragnehmer zu erstellenden Pläne bedürfen der Freigabe durch den Auftraggeber 2.</t>
  </si>
  <si>
    <t xml:space="preserve">Die vom Auftragnehmer zu erstellenden Pläne bedürfen der Freigabe durch den Auftraggeber 2. Eine Darstellung des Planungsablaufes einschließlich Planabstimmung, Einbindung verschiedener Beteiligter, Planprüfung und Planfreigabe ist in Vertragsanlage 4: Leistungsbeschreibung Errichtung enthalten.</t>
  </si>
  <si>
    <t xml:space="preserve">ANF-777</t>
  </si>
  <si>
    <t xml:space="preserve">§ 6 (4)</t>
  </si>
  <si>
    <t xml:space="preserve">Der Auftragnehmer ist verpflichtet, das in seinem Angebot enthaltene Errichtungskonzept in Abstimmung mit dem Auftraggeber 2 zu konkretisieren und bei der Erbringung seiner Planungs- und …</t>
  </si>
  <si>
    <t xml:space="preserve">Der Auftragnehmer ist verpflichtet, das in seinem Angebot enthaltene Errichtungskonzept in Abstimmung mit dem Auftraggeber 2 zu konkretisieren und bei der Erbringung seiner Planungs- und Bauleistungen nach diesem Vertrag umzusetzen.</t>
  </si>
  <si>
    <t xml:space="preserve">ANF-778</t>
  </si>
  <si>
    <t xml:space="preserve">§ 6 (5)</t>
  </si>
  <si>
    <t xml:space="preserve">Auf der Grundlage der vom Auftragnehmer einzureichenden standortspezifischen Unterlagen für den Antrag auf Erteilung der Baufreigabe (Vertragsanlage 4: Leistungsbeschreibung Errichtung) erteilt die …</t>
  </si>
  <si>
    <t xml:space="preserve">Auf der Grundlage der vom Auftragnehmer einzureichenden standortspezifischen Unterlagen für den Antrag auf Erteilung der Baufreigabe (Vertragsanlage 4: Leistungsbeschreibung Errichtung) erteilt die zuständige Niederlassung des Auftraggebers 2 die Baufreigabe, falls alle Voraussetzungen erfüllt sind. Die Erteilung der Baufreigabe ist Voraussetzung dafür, dass der Auftragnehmer mit der Ausführung von Errichtungsleistungen beginnen kann.</t>
  </si>
  <si>
    <t xml:space="preserve">ANF-779</t>
  </si>
  <si>
    <t xml:space="preserve">§ 7 (1)</t>
  </si>
  <si>
    <t xml:space="preserve">Der Auftragnehmer ist verpflichtet, MCS- und CCS-Ladepunkte in der in Vertragsanlage 2: Standorte für den jeweiligen Standort genannten Zahl und mit den genannten Nennladeleistungen zu errichten.</t>
  </si>
  <si>
    <t xml:space="preserve">Kapitel: Errichtungsverpflichtungen; Risiken aus Bodenbelastungen
Fundstelle im PDF: Seite 11
Zuordnung prüfen (Komponente/Partner nicht eindeutig)</t>
  </si>
  <si>
    <t xml:space="preserve">ANF-780</t>
  </si>
  <si>
    <t xml:space="preserve">§ 7 (2)</t>
  </si>
  <si>
    <t xml:space="preserve">Der Auftragnehmer ist verpflichtet, alle Leistungen zu erbringen, die zur mangelfreien Herstellung der Ladeinfrastruktur erforderlich sind.</t>
  </si>
  <si>
    <t xml:space="preserve">Der Auftragnehmer ist verpflichtet, alle Leistungen zu erbringen, die zur mangelfreien Herstellung der Ladeinfrastruktur erforderlich sind. Dies umfasst diejenigen Anforderungen an die Ladeinfrastruktur nach § 8, an die Kennzeichnung nach § 9 und die Stellplätze nach § 10, die sich auf die Errichtung beziehen, sowie die Leistungen, die nach der Vertragsanlage 4: Leistungsbeschreibung Errichtung vom Auftragnehmer mit Blick auf die Verbindung der Ladeinfrastruktur mit dem öffentlichen Netz (definierte Schnittstelle zum Netzanschluss) oder die Einbindung eines die Netzanschlusskapazität ersetzenden Speichers zu erbringen sind.</t>
  </si>
  <si>
    <t xml:space="preserve">Kapitel: Errichtungsverpflichtungen; Risiken aus Bodenbelastungen
Fundstelle im PDF: Seite 11</t>
  </si>
  <si>
    <t xml:space="preserve">ANF-781</t>
  </si>
  <si>
    <t xml:space="preserve">§ 7 (3)</t>
  </si>
  <si>
    <t xml:space="preserve">Erfasst sind in diesem Vertrag und seinen Vertragsanlagen auch nicht ausdrücklich erwähnte Leistungen, sofern sie erforderlich sind, um eine technisch betriebsbereite Ladeinfrastruktur errichten und …</t>
  </si>
  <si>
    <t xml:space="preserve">Erfasst sind in diesem Vertrag und seinen Vertragsanlagen auch nicht ausdrücklich erwähnte Leistungen, sofern sie erforderlich sind, um eine technisch betriebsbereite Ladeinfrastruktur errichten und betreiben zu können. Diese sind so zu erbringen, dass sie sich für die gewöhnliche Verwendung eignen und eine Beschaffenheit aufweisen, die bei Werken der gleichen Art üblich ist und die die Auftraggeber nach Art und Umfang der Leistung erwarten kann.</t>
  </si>
  <si>
    <t xml:space="preserve">ANF-782</t>
  </si>
  <si>
    <t xml:space="preserve">§ 7 (4)</t>
  </si>
  <si>
    <t xml:space="preserve">An den Standorten ist eine Nutzung der errichteten Ladeinfrastruktur für andere Fahrzeuge als E-Lkw nicht gestattet.</t>
  </si>
  <si>
    <t xml:space="preserve">ANF-783</t>
  </si>
  <si>
    <t xml:space="preserve">§ 7 (5)</t>
  </si>
  <si>
    <t xml:space="preserve">Der Auftragnehmer hat als Teil des von der Vergütungsabrede umfassten Leistungsumfangs im Hinblick auf die Entwässerungs- und Abwassereinrichtungen die in Abschnitt 4.11.2 der Vertragsanlage 4: …</t>
  </si>
  <si>
    <t xml:space="preserve">Der Auftragnehmer hat als Teil des von der Vergütungsabrede umfassten Leistungsumfangs im Hinblick auf die Entwässerungs- und Abwassereinrichtungen die in Abschnitt 4.11.2 der Vertragsanlage 4: Leistungsbeschreibung Errichtung aufgeführten Leistungen zu erbringen. Weitergehende Leistungen kann der Auftraggeber 2 vom Auftragnehmer nach den Bestimmungen über geänderte oder zusätzliche Leistungen gemäß § 40 verlangen, für die Vergütung des Auftragnehmers gilt § 40 Abs. 2.</t>
  </si>
  <si>
    <t xml:space="preserve">ANF-784</t>
  </si>
  <si>
    <t xml:space="preserve">§ 7 (6)</t>
  </si>
  <si>
    <t xml:space="preserve">Hinsichtlich solcher Standorte, die gemäß entsprechender Kennzeichnung in Vertragsanlage 3: Angaben und Informationen zu den einzelnen Standorten bei Vertragsbeginn noch keinen oder keinen …</t>
  </si>
  <si>
    <t xml:space="preserve">Hinsichtlich solcher Standorte, die gemäß entsprechender Kennzeichnung in Vertragsanlage 3: Angaben und Informationen zu den einzelnen Standorten bei Vertragsbeginn noch keinen oder keinen ausreichenden Netzanschluss aufweisen, wird der Auftraggeber 2 alle erforderlichen Handlungen und Maßnahmen vornehmen oder veranlassen, damit die Ladeinfrastruktur am Standort in Übereinstimmung mit den öffentlich zugänglichen technischen Anschlussbedingungen des jeweiligen Netzbetreibers an das Netz angeschlossen werden kann (Schaffung der technischen Schnittstelle zum Netzbetreiber).</t>
  </si>
  <si>
    <t xml:space="preserve">ANF-785</t>
  </si>
  <si>
    <t xml:space="preserve">§ 7 (7)</t>
  </si>
  <si>
    <t xml:space="preserve">Vom Netzbetreiber nicht bereitgestellte Netzanschlusskapazität kann durch den Betrieb von Speichern ersetzt werden (vgl.</t>
  </si>
  <si>
    <t xml:space="preserve">Vom Netzbetreiber nicht bereitgestellte Netzanschlusskapazität kann durch den Betrieb von Speichern ersetzt werden (vgl. Vertragsanlage 5: Details zum Netzanschluss). Bei nicht ausreichender Netzanschlusskapazität sind die Vorgaben zur Bereitstellung geringerer Ladeleistung (vgl. § 15) und zur Reduzierung der Anzahl der Ladepunkte (vgl. § 16) zu beachten.</t>
  </si>
  <si>
    <t xml:space="preserve">ANF-786</t>
  </si>
  <si>
    <t xml:space="preserve">§ 7 (8)</t>
  </si>
  <si>
    <t xml:space="preserve">Die Beauftragung des Netzanschlusses sowie die Tragung der Errichtungs- und Bereitstellungskosten für die Netzanschlüsse erfolgt durch den Auftraggeber 2.</t>
  </si>
  <si>
    <t xml:space="preserve">Die Beauftragung des Netzanschlusses sowie die Tragung der Errichtungs- und Bereitstellungskosten für die Netzanschlüsse erfolgt durch den Auftraggeber 2. Der Auftraggeber 2 schließt die für den Netzanschluss erforderlichen Vereinbarungen mit den Netzbetreibern. Die Kostentragung für gegebenenfalls – vorübergehend – erforderliche Speicher erfolgt nach Maßgabe von § 49.</t>
  </si>
  <si>
    <t xml:space="preserve">ANF-787</t>
  </si>
  <si>
    <t xml:space="preserve">§ 7 (9)</t>
  </si>
  <si>
    <t xml:space="preserve">Die Errichtung der Ladeinfrastruktur hat so zu erfolgen, dass der Verkehr auf den Bundesautobahnen, an der die jeweilige unbewirtschaftete Rastanlage gelegen ist, sowie auf der Rastanlage selbst …</t>
  </si>
  <si>
    <t xml:space="preserve">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</si>
  <si>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ANF-788</t>
  </si>
  <si>
    <t xml:space="preserve">§ 7 (10)</t>
  </si>
  <si>
    <t xml:space="preserve">Dem Auftragnehmer obliegt die Wahl geeigneter Gründungen für die Errichtung der Ladeinfrastruktur.</t>
  </si>
  <si>
    <t xml:space="preserve">Dem Auftragnehmer obliegt die Wahl geeigneter Gründungen für die Errichtung der Ladeinfrastruktur. Mit Blick auf die Risikotragung hinsichtlich unbekannter Bodenverhältnisse gilt im Übrigen Folgendes: Die Auftraggeber tragen das Risiko des Vorhandenseins von Denkmälern oder Kampfmitteln. Das Risiko des Vorhandenseins von Schadstoffbelastungen des Bodens und von Ausbaustoffen trägt der Auftragnehmer in dem in Vertragsanlage 4: Leistungsbeschreibung Errichtung beschriebenen Umfang, im Übrigen die Auftraggeber. Demgemäß kann der Auftragnehmer, wenn Bodenmaterialien und Ausbaustoffe die Materialklasse 2 der ErsatzbaustoffV bzw. die LAGA Klassifizierung Z2 überschreiten oder dem gefährlichen Abfall zuzuordnen sind, diejenigen Kosten als tatsächlich erforderliche Kosten geltend machen, die über die Kosten einer ordnungsgemäßen Verwertung oder Entsorgung von Bodenmaterialien und Ausbaustoffen der Materialklasse 2 hinausgehen.</t>
  </si>
  <si>
    <t xml:space="preserve">ANF-789</t>
  </si>
  <si>
    <t xml:space="preserve">Der Auftragnehmer errichtet MCS- und CCS-Ladepunkte zum Zwischenladen mit einer Nennladeleistung von jeweils mindestens 400 kW für CCS-Ladepunkte und 1.000 kW für MCS-Ladepunkte entsprechend den …</t>
  </si>
  <si>
    <t xml:space="preserve">Der Auftragnehmer errichtet MCS- und CCS-Ladepunkte zum Zwischenladen mit einer Nennladeleistung von jeweils mindestens 400 kW für CCS-Ladepunkte und 1.000 kW für MCS-Ladepunkte entsprechend den Vorgaben der Vertragsanlage 6: Anforderungen an die Ladeinfrastruktur.</t>
  </si>
  <si>
    <t xml:space="preserve">Kapitel: Technische Anforderungen an die Ladeinfrastruktur
Fundstelle im PDF: Seite 12
Zuordnung prüfen (Komponente/Partner nicht eindeutig)</t>
  </si>
  <si>
    <t xml:space="preserve">ANF-790</t>
  </si>
  <si>
    <t xml:space="preserve">§ 8 (2)</t>
  </si>
  <si>
    <t xml:space="preserve">Der Auftragnehmer ist verpflichtet, die Ladeeinrichtungen gemäß den bei Errichtung geltenden gesetzlichen und untergesetzlichen Vorgaben sowie den anerkannten Regeln der Technik zu errichten.</t>
  </si>
  <si>
    <t xml:space="preserve">Der Auftragnehmer ist verpflichtet, die Ladeeinrichtungen gemäß den bei Errichtung geltenden gesetzlichen und untergesetzlichen Vorgaben sowie den anerkannten Regeln der Technik zu errichten. Dazu zählen neben den einschlägigen technischen Vorgaben insbesondere auch die der AFIR, die der mess- und eichrechtlichen Bestimmungen sowie der Preisangabenverordnung, jeweils in ihrer aktuell gültigen Fassung. Ändern sich die anerkannten Regeln der Technik bzw. anzuwendenden Vorgaben und Bestimmungen nach Vertragsschluss, so ist § 41 anzuwenden.</t>
  </si>
  <si>
    <t xml:space="preserve">Kapitel: Technische Anforderungen an die Ladeinfrastruktur
Fundstelle im PDF: Seite 12</t>
  </si>
  <si>
    <t xml:space="preserve">ANF-791</t>
  </si>
  <si>
    <t xml:space="preserve">§ 8 (3)</t>
  </si>
  <si>
    <t xml:space="preserve">Die Pflicht zur Errichtung von MCS-Ladepunkten besteht nicht, solange eine eichrechtskonforme Errichtung von MCS-Ladepunkten mangels verfügbarer Technik nicht möglich ist.</t>
  </si>
  <si>
    <t xml:space="preserve">Die Pflicht zur Errichtung von MCS-Ladepunkten besteht nicht, solange eine eichrechtskonforme Errichtung von MCS-Ladepunkten mangels verfügbarer Technik nicht möglich ist. Eichrechtskonforme Ladepunkte gelten erst dann als verfügbar, wenn mindestens vier Hersteller solche anbieten. Soweit 18 Monate nach Zuschlagserteilung mindestens ein, jedoch weniger als vier Hersteller eichrechtskonforme MCS-Ladepunkte anbieten, ist der Auftragnehmer auf Aufforderung des Auftraggebers 2 verpflichtet, eichrechtskonforme MCS-Ladepunkte zu errichten. Hinsichtlich der technischen Inbetriebnahme der Ladeinfrastruktur gilt § 13 Abs. 7.</t>
  </si>
  <si>
    <t xml:space="preserve">ANF-792</t>
  </si>
  <si>
    <t xml:space="preserve">§ 8 (4)</t>
  </si>
  <si>
    <t xml:space="preserve">Weitere Vorgaben an die Ladeeinrichtungen ergeben sich aus Vertragsanlage 6: Anforderungen an die Ladeinfrastruktur, weitere Vorgaben für die sonstigen Einrichtungen, die Teil der Ladeinfrastruktur …</t>
  </si>
  <si>
    <t xml:space="preserve">Weitere Vorgaben an die Ladeeinrichtungen ergeben sich aus Vertragsanlage 6: Anforderungen an die Ladeinfrastruktur, weitere Vorgaben für die sonstigen Einrichtungen, die Teil der Ladeinfrastruktur sind, ergeben sich aus Vertragsanlage 4: Leistungsbeschreibung Errichtung.</t>
  </si>
  <si>
    <t xml:space="preserve">ANF-793</t>
  </si>
  <si>
    <t xml:space="preserve">Der Auftragnehmer ist verpflichtet, alle Ladeeinrichtungen mit einer Kennzeichnung in Form eines Firmen-Signets des Auftragnehmers zu versehen.</t>
  </si>
  <si>
    <t xml:space="preserve">Der Auftragnehmer ist verpflichtet, alle Ladeeinrichtungen mit einer Kennzeichnung in Form eines Firmen-Signets des Auftragnehmers zu versehen. Daneben ist ein üblicher – dezenter – Herstellerhinweis sowie ein Co-Branding für einen Standortpartner zulässig. Die Größe dieser weiteren Kennzeichnungen darf die Größe des Firmen-Signets nicht überschreiten.</t>
  </si>
  <si>
    <t xml:space="preserve">Kapitel: Kennzeichnung von bzw. Informationen an der Ladeeinrichtung
Fundstelle im PDF: Seite 12</t>
  </si>
  <si>
    <t xml:space="preserve">ANF-794</t>
  </si>
  <si>
    <t xml:space="preserve">An der Ladeeinrichtung sind in Abstimmung mit dem Auftraggeber 2 an mindestens zwei Stellen die in der Vertragsanlage 7: Logos aufgeführten Logos anzubringen.</t>
  </si>
  <si>
    <t xml:space="preserve">An der Ladeeinrichtung sind in Abstimmung mit dem Auftraggeber 2 an mindestens zwei Stellen die in der Vertragsanlage 7: Logos aufgeführten Logos anzubringen. Die anzubringenden Logos werden dem Auftragnehmer innerhalb von zwölf Wochen nach Zuschlagserteilung zur Verfügung gestellt und dann als Vertragsanlage 7: Logos zum Vertrag genommen.</t>
  </si>
  <si>
    <t xml:space="preserve">ANF-795</t>
  </si>
  <si>
    <t xml:space="preserve">§ 9 (3)</t>
  </si>
  <si>
    <t xml:space="preserve">Im Übrigen ist jede Werbung an der Ladeinfrastruktur oder am Standort unzulässig.</t>
  </si>
  <si>
    <t xml:space="preserve">Im Übrigen ist jede Werbung an der Ladeinfrastruktur oder am Standort unzulässig. Dies gilt nicht für das Display der Ladeeinrichtungen sowie für eine sich aus der Anbindung an eine E-Roaming-Plattform ergebende Kennzeichnungspflicht an der Ladeeinrichtung.</t>
  </si>
  <si>
    <t xml:space="preserve">Aplitronic / eRound / SCS</t>
  </si>
  <si>
    <t xml:space="preserve">ANF-796</t>
  </si>
  <si>
    <t xml:space="preserve">§ 9 (4)</t>
  </si>
  <si>
    <t xml:space="preserve">Die Telefonnummer der technischen Hotline gemäß § 26 ist aus unmittelbarer Nähe gut sichtbar an der Vorderseite oder den Seitenflächen der Ladeeinrichtung kenntlich zu machen.</t>
  </si>
  <si>
    <t xml:space="preserve">ANF-797</t>
  </si>
  <si>
    <t xml:space="preserve">§ 9 (5)</t>
  </si>
  <si>
    <t xml:space="preserve">Eine allgemeinverständliche graphische Darstellung muss den Gebrauch der Ladeeinrichtung für Endnutzer erläutern.</t>
  </si>
  <si>
    <t xml:space="preserve">ANF-798</t>
  </si>
  <si>
    <t xml:space="preserve">§ 9 (7)</t>
  </si>
  <si>
    <t xml:space="preserve">Abweichungen von vorstehenden Vorgaben bedürfen der vorherigen schriftlichen Zustimmung des Auftraggebers 2.</t>
  </si>
  <si>
    <t xml:space="preserve">ANF-799</t>
  </si>
  <si>
    <t xml:space="preserve">Für jeden Ladepunkt muss ein Park- bzw. Stellplatz (Ladeplatz) zur Verfügung stehen, der durch entsprechende Beschilderung1 das Parken von E-Lkw während des Ladevorganges gestattet.</t>
  </si>
  <si>
    <t xml:space="preserve">Für jeden Ladepunkt muss ein Park- bzw. Stellplatz (Ladeplatz) zur Verfügung stehen, der durch entsprechende Beschilderung1 das Parken von E-Lkw während des Ladevorganges gestattet. Der Auftragnehmer ist verpflichtet, notwendige bauliche Anpassungen in dem erforderlichen Umfang durchzuführen. Die Vorgaben der Vertragsanlage 4: Leistungsbeschreibung Errichtung sind einzuhalten.</t>
  </si>
  <si>
    <t xml:space="preserve">Kapitel: Einrichtung von Stellplätzen
Fundstelle im PDF: Seite 13</t>
  </si>
  <si>
    <t xml:space="preserve">ANF-800</t>
  </si>
  <si>
    <t xml:space="preserve">Der Auftragnehmer ist verpflichtet, bei der zuständigen Behörde die verkehrsrechtlichen Anordnungen der Beschilderung der Stellplätze zu veranlassen und die Beschilderung vorzunehmen.</t>
  </si>
  <si>
    <t xml:space="preserve">ANF-801</t>
  </si>
  <si>
    <t xml:space="preserve">§ 11 (1)</t>
  </si>
  <si>
    <t xml:space="preserve">Der Auftragnehmer ist verpflichtet, rechtzeitig die erforderlichen Planungsleistungen zu erbringen, die jeweils notwendigen Genehmigungen, Freigaben und Erlaubnisse zu beantragen und die notwendigen …</t>
  </si>
  <si>
    <t xml:space="preserve">Der Auftragnehmer ist verpflichtet, rechtzeitig die erforderlichen Planungsleistungen zu erbringen, die jeweils notwendigen Genehmigungen, Freigaben und Erlaubnisse zu beantragen und die notwendigen Anmeldungen vorzunehmen, sodass diese zu einem Zeitpunkt vorliegen, der eine fristgerechte Errichtung, technische Inbetriebnahme, Abnahme und Betriebsfreigabe der Ladeeinrichtungen ermöglicht.</t>
  </si>
  <si>
    <t xml:space="preserve">Kapitel: Errichtungsfristen, baubezogene Mitteilungspflichten
Fundstelle im PDF: Seite 13</t>
  </si>
  <si>
    <t xml:space="preserve">ANF-802</t>
  </si>
  <si>
    <t xml:space="preserve">§ 11 (2)</t>
  </si>
  <si>
    <t xml:space="preserve">Der Rahmenterminplan und die Standortterminpläne (künftige Vertragsanlage 8: Terminplan) sind vom Auftragnehmer nach Vertragsschluss unter Beachtung der Vorgaben der Vertragsanlage 4: …</t>
  </si>
  <si>
    <t xml:space="preserve">Der Rahmenterminplan und die Standortterminpläne (künftige Vertragsanlage 8: Terminplan) sind vom Auftragnehmer nach Vertragsschluss unter Beachtung der Vorgaben der Vertragsanlage 4: Leistungsbeschreibung Errichtung zu erstellen.</t>
  </si>
  <si>
    <t xml:space="preserve">ANF-803</t>
  </si>
  <si>
    <t xml:space="preserve">§ 11 (3)</t>
  </si>
  <si>
    <t xml:space="preserve">Der Auftragnehmer ist verpflichtet, für jeden Standort die für die Baufreigabe erforderlichen Unterlagen, die in Vertragsanlage 4: Leistungsbeschreibung Errichtung aufgeführt sind, bis zu dem für den …</t>
  </si>
  <si>
    <t xml:space="preserve">Der Auftragnehmer ist verpflichtet, für jeden Standort die für die Baufreigabe erforderlichen Unterlagen, die in Vertragsanlage 4: Leistungsbeschreibung Errichtung aufgeführt sind, bis zu dem für den Standort im Rahmenterminplan (Vertragsanlage 8: Terminplan) genannten verbindlichen Vertragstermin bei den in der Vertragsanlage 2: Standorte für den jeweiligen Standort benannten Niederlassung des Auftraggebers 2 einzureichen.</t>
  </si>
  <si>
    <t xml:space="preserve">ANF-804</t>
  </si>
  <si>
    <t xml:space="preserve">§ 11 (4)</t>
  </si>
  <si>
    <t xml:space="preserve">Der Auftragnehmer ist verpflichtet, die Errichtungsleistungen so zu erbringen, dass die Abnahme der Bauleistungen durch den Auftraggeber 2 bis zu dem für den jeweiligen Standort im Rahmenterminplan …</t>
  </si>
  <si>
    <t xml:space="preserve">Der Auftragnehmer ist verpflichtet, die Errichtungsleistungen so zu erbringen, dass die Abnahme der Bauleistungen durch den Auftraggeber 2 bis zu dem für den jeweiligen Standort im Rahmenterminplan (Vertragsanlage 8: Terminplan) vorgesehenen Meilenstein für die Abnahme möglich ist. Die in § 13 Abs. 2 und 3 sowie in Abschnitt 2.2 der Vertragsanlage 4: Leistungsbeschreibung Errichtung vorgesehenen verbindlichen Vertragstermine für die Einreichung des Antrags auf Baufreigabe und die Baufreigabe, jeweils einschließlich Ausführungs-, Werk- und Montageplanung, sowie die Einreichung des Antrags auf Betriebsfreigabe sowie die Betriebsfreigabe sind einzuhalten. Dies gilt nicht, wenn und soweit der Auftragnehmer die Nichteinhaltung eines der vorgenannten verbindlichen Vertragstermine nicht zu vertreten hat.</t>
  </si>
  <si>
    <t xml:space="preserve">ANF-805</t>
  </si>
  <si>
    <t xml:space="preserve">§ 11 (5)</t>
  </si>
  <si>
    <t xml:space="preserve">Im Hinblick auf die Beantragung und Erlangung der Betriebsfreigabe gilt § 13 Abs.</t>
  </si>
  <si>
    <t xml:space="preserve">Im Hinblick auf die Beantragung und Erlangung der Betriebsfreigabe gilt § 13 Abs. 5 und 6. gemäß den Vorgaben der Vertragsanlage 4: Leistungsbeschreibung Errichtung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 Soweit für einzelne Standorte in der Vertragsanlage 5: Details zum Netzanschluss für einen Standort kein voraussichtlicher Zeitpunkt der Inbetriebnahme angegeben wird, ist für die Erstellung der Rahmenterminpläne davon auszugehen, dass die Inbetriebnahme des Standortes im Kalenderjahr 2030 mit der in der Spalte „Startleistung 2026“ genannten Leistung möglich ist. Der Auftragnehmer ist verpflichtet, den Antrag auf Betriebsfreigabe so rechtzeitig einzureichen, dass bei Einhaltung der Regelbearbeitungsfrist von sechs Wochen (Abschnitt 2.2.1 der Vertragsanlage 4: Leistungsbeschreibung Errichtung) mit fristgerechter Erteilung der Betriebsfreigabe gerechnet werden kann.</t>
  </si>
  <si>
    <t xml:space="preserve">ANF-806</t>
  </si>
  <si>
    <t xml:space="preserve">§ 11 (6)</t>
  </si>
  <si>
    <t xml:space="preserve">Soweit die Erteilung der Baufreigabe länger als sechs Monate (nach Antrag auf Erteilung gemäß § 6 Abs.</t>
  </si>
  <si>
    <t xml:space="preserve">Soweit die Erteilung der Baufreigabe länger als sechs Monate (nach Antrag auf Erteilung gemäß § 6 Abs. 5) dauert, ist dies dem Auftraggeber 2 unverzüglich in Textform anzuzeigen. Die Anzeige 1 Die entsprechenden rechtlichen Grundlagen sollen bis zum Aufbau der Ladeinfrastruktur geschaffen werden. Für die Angebotsabgabe ist davon auszugehen, dass die Einrichtung eines Park- bzw. Stellplatzes mit entsprechender Beschilderung rechtlich zulässig ist. ist gegebenenfalls nach (jeweils) weiteren drei Monaten unter Hinweis auf die in der Zwischenzeit ergriffenen Maßnahmen zu wiederholen.</t>
  </si>
  <si>
    <t xml:space="preserve">ANF-807</t>
  </si>
  <si>
    <t xml:space="preserve">§ 12 (1)</t>
  </si>
  <si>
    <t xml:space="preserve">Der Rahmenterminplan und die Standortterminpläne sind vom Auftragnehmer gemäß den Regelungen dieser Vertragsanlage als SOLL- und IST-Terminpläne zu führen, fortzuschreiben und dem Auftraggeber 2 …</t>
  </si>
  <si>
    <t xml:space="preserve">Der Rahmenterminplan und die Standortterminpläne sind vom Auftragnehmer gemäß den Regelungen dieser Vertragsanlage als SOLL- und IST-Terminpläne zu führen, fortzuschreiben und dem Auftraggeber 2 vorzulegen.</t>
  </si>
  <si>
    <t xml:space="preserve">Kapitel: Anpassung des Terminplans
Fundstelle im PDF: Seite 14</t>
  </si>
  <si>
    <t xml:space="preserve">ANF-808</t>
  </si>
  <si>
    <t xml:space="preserve">§ 12 (2)</t>
  </si>
  <si>
    <t xml:space="preserve">Eine Anpassung des Rahmenterminplans und der im Rahmenterminplan enthaltenen verbindlichen Vertragstermine setzt einen entsprechenden Anspruch des Auftragnehmers voraus.</t>
  </si>
  <si>
    <t xml:space="preserve">Eine Anpassung des Rahmenterminplans und der im Rahmenterminplan enthaltenen verbindlichen Vertragstermine setzt einen entsprechenden Anspruch des Auftragnehmers voraus. Der Auftragnehmer hat neben weiteren im Vertrag ausdrücklich genannten Fällen auch dann einen Anspruch auf Anpassung, wenn und soweit</t>
  </si>
  <si>
    <t xml:space="preserve">ANF-809</t>
  </si>
  <si>
    <t xml:space="preserve">§ 12 (2) a</t>
  </si>
  <si>
    <t xml:space="preserve">eine Verzögerung von den Auftraggebern zu vertreten ist oder ein Ereignis eintritt, das nicht in den Risikobereich des Auftragnehmers fällt (z.</t>
  </si>
  <si>
    <t xml:space="preserve">eine Verzögerung von den Auftraggebern zu vertreten ist oder ein Ereignis eintritt, das nicht in den Risikobereich des Auftragnehmers fällt (z. B. unvermeidbare Terminverschiebungen auf Seiten der Auftraggeber; höhere Gewalt),</t>
  </si>
  <si>
    <t xml:space="preserve">ANF-810</t>
  </si>
  <si>
    <t xml:space="preserve">§ 12 (2) b</t>
  </si>
  <si>
    <t xml:space="preserve">sich Verzögerungen aus dem Fehlen einer Baufreigabe, einer Abnahme, einer Betriebsfreigabe oder eines sonstigen öffentlich-rechtlichen Genehmigungsverfahren ergeben, wenn und soweit die Verzögerungen …</t>
  </si>
  <si>
    <t xml:space="preserve">sich Verzögerungen aus dem Fehlen einer Baufreigabe, einer Abnahme, einer Betriebsfreigabe oder eines sonstigen öffentlich-rechtlichen Genehmigungsverfahren ergeben, wenn und soweit die Verzögerungen nicht vom Auftragnehmer zu vertreten sind; dies ist insbesondere im Falle einer verspäteten oder unvollständigen Antragstellung durch den Auftragnehmer der Fall,</t>
  </si>
  <si>
    <t xml:space="preserve">ANF-811</t>
  </si>
  <si>
    <t xml:space="preserve">§ 12 (2) c</t>
  </si>
  <si>
    <t xml:space="preserve">in den Fällen des § 17 Abs. 10 und § 18 Abs.</t>
  </si>
  <si>
    <t xml:space="preserve">in den Fällen des § 17 Abs. 10 und § 18 Abs. 7, wenn sich Verzögerungen aus der Realisierung des Netzanschlusses ergeben und die Verzögerungen nicht vom Auftragnehmer zu vertreten sind, oder</t>
  </si>
  <si>
    <t xml:space="preserve">ANF-812</t>
  </si>
  <si>
    <t xml:space="preserve">§ 12 (2) d</t>
  </si>
  <si>
    <t xml:space="preserve">nach dem Vertragsschluss der Fall eintritt, dass vom Auftragnehmer vorgesehenen Lieferanten oder Nachunternehmern die Erbringung der von ihnen zu übernehmenden Leistungen unmöglich wird, ohne dass …</t>
  </si>
  <si>
    <t xml:space="preserve">nach dem Vertragsschluss der Fall eintritt, dass vom Auftragnehmer vorgesehenen Lieferanten oder Nachunternehmern die Erbringung der von ihnen zu übernehmenden Leistungen unmöglich wird, ohne dass dies auf ein Verhalten des Auftragnehmers zurückzuführen ist und der Auftragnehmer gegenüber dem Auftraggeber 2 nachvollziehbar darlegt, dass er unter Anwendung der Sorgfalt eines ordentlichen Kaufmanns vernünftige Anstrengungen unternommen hat, um seine Errichtungsverpflichtungen termingerecht erbringen zu können; die Darlegung hat insbesondere auch eine Darstellung der von ihm hinsichtlich der betreffenden Leistungen ergriffenen Vorsorge- und Absicherungsmaßnahmen einschließlich der sorgfältigen Auswahl der Lieferanten und Nachunternehmer zu umfassen.</t>
  </si>
  <si>
    <t xml:space="preserve">ANF-813</t>
  </si>
  <si>
    <t xml:space="preserve">§ 12 (3)</t>
  </si>
  <si>
    <t xml:space="preserve">Der Auftragnehmer hat einen Sachverhalt, der zu Verzögerungen führt, dem Auftraggeber 2 unverzüglich anzuzeigen, sobald er Kenntnis davon erlangt.</t>
  </si>
  <si>
    <t xml:space="preserve">Der Auftragnehmer hat einen Sachverhalt, der zu Verzögerungen führt, dem Auftraggeber 2 unverzüglich anzuzeigen, sobald er Kenntnis davon erlangt. Er hat sodann nachvollziehbar unter Berücksichtigung des tatsächlichen Planungs- und Baugeschehens darzulegen, welche konkreten Auswirkungen das Ereignis auf den Rahmenterminplan und die darin enthaltenen verbindlichen Vertragstermine hat. Sofern Vertragstermine betroffen sind, sind sie jeweils um den erforderlichen Zeitraum anzupassen. Die Anpassungen sind von den Parteien in Form einer Ersetzung der Vertragsanlage 8: Terminplan mittels einer Nachtragsvereinbarung zu diesem Vertrag zu dokumentieren und gelten ab dem Zeitpunkt des Abschlusses der Nachtragsvereinbarung.</t>
  </si>
  <si>
    <t xml:space="preserve">ANF-814</t>
  </si>
  <si>
    <t xml:space="preserve">§ 13 (1)</t>
  </si>
  <si>
    <t xml:space="preserve">Nach Fertigstellung der Errichtungsleistungen erfolgt die technische Inbetriebnahme der Ladeinfrastruktur durch den Auftragnehmer.</t>
  </si>
  <si>
    <t xml:space="preserve">Nach Fertigstellung der Errichtungsleistungen erfolgt die technische Inbetriebnahme der Ladeinfrastruktur durch den Auftragnehmer. Die technische Inbetriebnahme ist zu protokollieren; das Protokoll ist als Teil der Unterlagen für die Abnahme und als Teil der Unterlagen für die Betriebsfreigabe bei der jeweiligen Beantragung einzureichen.</t>
  </si>
  <si>
    <t xml:space="preserve">Kapitel: Fertigstellung, technische Inbetriebnahme, Abnahme, Betriebsfreigabe
Fundstelle im PDF: Seite 14</t>
  </si>
  <si>
    <t xml:space="preserve">ANF-815</t>
  </si>
  <si>
    <t xml:space="preserve">§ 13 (2)</t>
  </si>
  <si>
    <t xml:space="preserve">Ist der Auftragnehmer der Ansicht, dass die Errichtungsleistungen betreffend die Ladeinfrastruktur an einem Standort fertiggestellt worden sind und Abnahmereife vorliegt, so zeigt er dies dem …</t>
  </si>
  <si>
    <t xml:space="preserve">Ist der Auftragnehmer der Ansicht, dass die Errichtungsleistungen betreffend die Ladeinfrastruktur an einem Standort fertiggestellt worden sind und Abnahmereife vorliegt, so zeigt er dies dem Auftraggeber 2 an.</t>
  </si>
  <si>
    <t xml:space="preserve">ANF-816</t>
  </si>
  <si>
    <t xml:space="preserve">§ 13 (3)</t>
  </si>
  <si>
    <t xml:space="preserve">Auftraggeber 2 und Auftragnehmer vereinbaren einen Termin für die Durchführung der Abnahme der Errichtungsleistungen.</t>
  </si>
  <si>
    <t xml:space="preserve">Auftraggeber 2 und Auftragnehmer vereinbaren einen Termin für die Durchführung der Abnahme der Errichtungsleistungen. Der Termin soll regelmäßig nicht später als 14 Kalendertage nach der Anzeige der Abnahmereife durch den Auftragnehmer liegen.</t>
  </si>
  <si>
    <t xml:space="preserve">ANF-817</t>
  </si>
  <si>
    <t xml:space="preserve">§ 13 (4)</t>
  </si>
  <si>
    <t xml:space="preserve">Am Tag der Abnahme erfolgt am Standort eine Begehung und Inspektion der erbrachten Leistungen und der vom Auftragnehmer vorgelegten Dokumentation.</t>
  </si>
  <si>
    <t xml:space="preserve">Am Tag der Abnahme erfolgt am Standort eine Begehung und Inspektion der erbrachten Leistungen und der vom Auftragnehmer vorgelegten Dokumentation. Beide Parteien können hierzu weitere Beteiligte hinzuziehen. Das Ergebnis der Begehung und Inspektion wird vom Auftraggeber 2 in einem Abnahmeprotokoll festgehalten. Etwaige Restleistungen und Mängel werden mit Nacherfüllungs- und Behebungsfristen festgehalten. Bei wesentlichen Mängeln ist der Auftraggeber 2 berechtigt, die Abnahme zu verweigern.</t>
  </si>
  <si>
    <t xml:space="preserve">ANF-818</t>
  </si>
  <si>
    <t xml:space="preserve">§ 13 (5)</t>
  </si>
  <si>
    <t xml:space="preserve">Der Auftragnehmer ist verpflichtet, die Betriebsfreigabe für den jeweiligen Standort bis zu dem im Terminplan jeweils vorgesehenen verbindlichen Vertragstermin bei der zuständigen Niederlassung des …</t>
  </si>
  <si>
    <t xml:space="preserve">Der Auftragnehmer ist verpflichtet, die Betriebsfreigabe für den jeweiligen Standort bis zu dem im Terminplan jeweils vorgesehenen verbindlichen Vertragstermin bei der zuständigen Niederlassung des Auftraggebers 2 zu beantragen. Dabei sind die Unterlagen, die in Vertragsanlage 9: Anforderungen für die Betriebsfreigabe aufgeführt sind, beim Auftraggeber 2 einzureichen. Der Auftragnehmer ist des Weiteren verpflichtet, die Betriebsfreigabe jeweils bis zu dem im Rahmenterminplan benannten verbindlichen Vertragstermin zu erlangen; § 12 Abs. 2 und § 14 bleiben unberührt.</t>
  </si>
  <si>
    <t xml:space="preserve">ANF-819</t>
  </si>
  <si>
    <t xml:space="preserve">§ 13 (6)</t>
  </si>
  <si>
    <t xml:space="preserve">Sofern an einem Standort die technische Betriebsbereitschaft früher hergestellt ist als die übrigen Gewerke (mithin die Ladeeinrichtungen bereits vollständig betriebsbereit sind und beispielsweise …</t>
  </si>
  <si>
    <t xml:space="preserve">Sofern an einem Standort die technische Betriebsbereitschaft früher hergestellt ist als die übrigen Gewerke (mithin die Ladeeinrichtungen bereits vollständig betriebsbereit sind und beispielsweise die Fertigstellung der Kennzeichnung der Ladeeinrichtungen noch nicht erfolgt ist) und die Verzögerung bei der Fertigstellung der ausstehenden Gewerke nicht durch den Auftragnehmer zu vertreten ist, so kann gleichwohl eine Betriebsfreigabe für die bereits errichteten Bestandteile der Ladeinfrastruktur erfolgen, sofern der Auftragnehmer nachgewiesen hat, dass die gesetzlichen Voraussetzungen für den Betrieb der Ladeeinrichtung insbesondere hinsichtlich Betriebs- und Verkehrssicherheit erfüllt sind. Die Zahlung des Errichtungsentgelts für diesen Standort erfolgt jedoch erst nach Fertigstellung aller Gewerke und erfolgter Betriebsfreigabe für die noch ausstehenden Gewerke entsprechend den Absätzen 3 und 4.</t>
  </si>
  <si>
    <t xml:space="preserve">ANF-820</t>
  </si>
  <si>
    <t xml:space="preserve">§ 13 (7)</t>
  </si>
  <si>
    <t xml:space="preserve">Sofern an einem Standort die technische Betriebsbereitschaft hergestellt ist, der Standort insgesamt aufgrund einer Verzögerung bei der Entwicklung technischer Standards noch nicht den vereinbarten …</t>
  </si>
  <si>
    <t xml:space="preserve">Sofern an einem Standort die technische Betriebsbereitschaft hergestellt ist, der Standort insgesamt aufgrund einer Verzögerung bei der Entwicklung technischer Standards noch nicht den vereinbarten technischen Anforderungen genügt (z. B. CCS-Ladepunkte vollständig betriebsbereit, die MCS-Ladepunkte jedoch nicht) und die Verzögerung nicht der Auftragnehmer zu vertreten hat, kann die technische Inbetriebnahme der Ladeinfrastruktur nach Absatz 1 auch ohne vollständige Betriebsbereitschaft erfolgen.</t>
  </si>
  <si>
    <t xml:space="preserve">ANF-821</t>
  </si>
  <si>
    <t xml:space="preserve">§ 13 (8)</t>
  </si>
  <si>
    <t xml:space="preserve">Verwirklicht sich das nach § 12 Abs. 2 a) und b) von den Auftraggebern zu tragende Risiko und verzögert sich die Inbetriebnahme eines Standortes deshalb um mindestens zwei Monate gegenüber dem im …</t>
  </si>
  <si>
    <t xml:space="preserve">Verwirklicht sich das nach § 12 Abs. 2 a) und b) von den Auftraggebern zu tragende Risiko und verzögert sich die Inbetriebnahme eines Standortes deshalb um mindestens zwei Monate gegenüber dem im Rahmenterminplan vorgesehenen Zeitpunkt (gegebenenfalls unter Berücksichtigung einer Fortschreibung gemäß § 12 Abs. 2), so erfolgt auch ohne die Inbetriebnahme zwei Monate nach dem geplanten Inbetriebnahme Datum die Zahlung der letzten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</si>
  <si>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ANF-822</t>
  </si>
  <si>
    <t xml:space="preserve">§ 14</t>
  </si>
  <si>
    <t xml:space="preserve">Erfolgt die vollständige Betriebsfreigabe für den nach der Vertragsanlage 4: Leistungsbeschreibung Errichtung vorgesehenen prozentualen Anteil der Standorte nicht zu dem verbindlichen Vertragstermin, …</t>
  </si>
  <si>
    <t xml:space="preserve">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die aufgrund eines vom Auftragnehmer zu vertretenden Umstands entgegen dem verbindlichen Vertragstermin keine vollständige Betriebsfreigabe erhalten haben, eine Vertragsstrafe zu zahlen. Die Höhe der täglichen Vertragsstrafe beträgt 0,1 % des gemäß Preisblatt des Auftragnehmers durchschnittlich zu zahlenden Errichtungsentgelts, multipliziert mit dem Prozentsatz der vertragswidrig und vom Auftragnehmer zu vertreten nicht vollständig freigegebenen Standorte. Die sonstigen vertraglichen und gesetzlichen Rechte der Auftraggeber im Falle von Verzögerungen bleiben von der Vertragsstrafe unberührt.</t>
  </si>
  <si>
    <t xml:space="preserve">Kapitel: Vertragsstrafe bei verspäteter Errichtung
Fundstelle im PDF: Seite 15</t>
  </si>
  <si>
    <t xml:space="preserve">ANF-823</t>
  </si>
  <si>
    <t xml:space="preserve">§ 15 (1)</t>
  </si>
  <si>
    <t xml:space="preserve">Ist die für den Betrieb der Ladeinfrastruktur an einem in der Vertragsanlage 2: Standorte genannten Standort vorgesehene Netzanschlusskapazität – gegebenenfalls unter Berücksichtigung eines …</t>
  </si>
  <si>
    <t xml:space="preserve">Ist die für den Betrieb der Ladeinfrastruktur an einem in der Vertragsanlage 2: Standorte genannten Standort vorgesehene Netzanschlusskapazität – gegebenenfalls unter Berücksichtigung eines zusätzlichen Einsatzes eines Speichers – bis zum 31.12.2030 nicht vorhanden, mit der vorhandenen Netzanschlusskapazität ein Betrieb der für diesen Standort in der Vertragsanlage 2: Standorte vorgesehenen Ladeeinrichtungen unter Anwendung eines Lastmanagements jedoch möglich, ist der Auftragnehmer verpflichtet, die Ladeeinrichtungen zu errichten und bei einer Auslastung, die die vorhandene Netzanschlusskapazität übersteigt, mit einer im Vergleich zu der in der Vertragsanlage 2: Standorte vorgesehenen reduzierten Ladeleistung zu betreiben. Der Auftragnehmer ist verpflichtet, das Lademanagement bezogen auf die einzelnen Formen des Zugangs zur Ladeinfrastruktur des § 30 und bezogen auf einzelne Ladevorgänge diskriminierungsfrei zu betreiben. Der Auftragnehmer hat in den Fällen des Satzes 1 keinen Anspruch auf Anpassung des Rahmenterminplans nach § 12 Abs. 2 lit c).</t>
  </si>
  <si>
    <t xml:space="preserve">Kapitel: Errichtung von Standorten mit geringerer Netzanschlusskapazität / Lastmanagement
Fundstelle im PDF: Seite 15</t>
  </si>
  <si>
    <t xml:space="preserve">ANF-824</t>
  </si>
  <si>
    <t xml:space="preserve">§ 15 (2)</t>
  </si>
  <si>
    <t xml:space="preserve">Ist ein Betrieb nach Absatz 1 bis zum 31.12.2030 nicht möglich, ist der Auftragnehmer verpflichtet, in der Vertragsanlage 2: Standorte vorgesehene Standorte auf Aufforderung des Auftraggebers 2 auch …</t>
  </si>
  <si>
    <t xml:space="preserve">Ist ein Betrieb nach Absatz 1 bis zum 31.12.2030 nicht möglich, ist der Auftragnehmer verpflichtet, in der Vertragsanlage 2: Standorte vorgesehene Standorte auf Aufforderung des Auftraggebers 2 auch nach dem 31.12.2030 zu errichten und unter Anwendung eines Lastmanagements zu betreiben, soweit dies unter Berücksichtigung der an dem Standort vorhandenen Netzanschlusskapazität möglich ist. Absatz 1 Satz 2 gilt entsprechend. Der Auftragnehmer hat in den Fällen des Satzes 1 einen Anspruch auf Anpassung des Rahmenterminplans nach § 12 Abs. 2 lit c). Daneben hat der Auftragnehmer ab dem 31.12.2030 einen Anspruch auf Zahlung eines Betreiberentgelts und Zahlung von entgangenem Gewinn, § 16 Abs. 2 lit. b Satz 2 gilt entsprechend.</t>
  </si>
  <si>
    <t xml:space="preserve">ANF-825</t>
  </si>
  <si>
    <t xml:space="preserve">§ 15 (3)</t>
  </si>
  <si>
    <t xml:space="preserve">Darüber hinausgehende Ansprüche des Auftragnehmers bestehen nicht.</t>
  </si>
  <si>
    <t xml:space="preserve">ANF-826</t>
  </si>
  <si>
    <t xml:space="preserve">§ 16 (1)</t>
  </si>
  <si>
    <t xml:space="preserve">Ist eine vollständige Errichtung aller in der Vertragsanlage 2: Standorte für einen Standort vorgesehenen Ladepunkte unter Berücksichtigung der vom jeweiligen Anschlussnetzbetreiber zur Verfügung …</t>
  </si>
  <si>
    <t xml:space="preserve">Ist eine vollständige Errichtung aller in der Vertragsanlage 2: Standorte für einen Standort vorgesehenen Ladepunkte unter Berücksichtigung der vom jeweiligen Anschlussnetzbetreiber zur Verfügung gestellten maximalen Netzanschlusskapazität und gegebenenfalls eines Speichers an einem Standort nicht möglich, kann der Auftraggeber 2 die Anzahl der zu errichtenden Ladepunkte vor vollständiger Errichtung eines Standortes reduzieren. Der Auftraggeber 2 wird den Auftragnehmer über die Reduzierung der Ladepunkte unverzüglich nach Kenntniserlangung über die nicht ausreichende Netzanschlusskapazität an dem Standort informieren.</t>
  </si>
  <si>
    <t xml:space="preserve">Kapitel: Standortverkleinerung vor vollständiger Errichtung
Fundstelle im PDF: Seite 16</t>
  </si>
  <si>
    <t xml:space="preserve">ANF-827</t>
  </si>
  <si>
    <t xml:space="preserve">§ 16 (2)</t>
  </si>
  <si>
    <t xml:space="preserve">Der Auftragnehmer erhält für die nicht errichteten Ladepunkte folgende Ausgleichszahlungen:</t>
  </si>
  <si>
    <t xml:space="preserve">Kapitel: Standortverkleinerung vor vollständiger Errichtung
Fundstelle im PDF: Seite 16
Zuordnung prüfen (Komponente/Partner nicht eindeutig)</t>
  </si>
  <si>
    <t xml:space="preserve">ANF-828</t>
  </si>
  <si>
    <t xml:space="preserve">§ 16 (2) a</t>
  </si>
  <si>
    <t xml:space="preserve">Betreiberentgelt Der Auftragnehmer erhält die Differenz zwischen dem für den Standort unter Berücksichtigung der in der Vertragsanlage 2: Standorte ursprünglich vorgesehenen Anzahl von Ladepunkten zu …</t>
  </si>
  <si>
    <t xml:space="preserve">Betreiberentgelt Der Auftragnehmer erhält die Differenz zwischen dem für den Standort unter Berücksichtigung der in der Vertragsanlage 2: Standorte ursprünglich vorgesehenen Anzahl von Ladepunkten zu zahlenden Betreiberentgelt und dem nunmehr für den Standort nach Maßgabe von § 45 zu zahlenden Betreiberentgelt in dem Umfang, in dem der Auftragnehmer nachweist, dass dies zur Deckung nicht vermeidbarer Kosten erforderlich ist.</t>
  </si>
  <si>
    <t xml:space="preserve">ANF-829</t>
  </si>
  <si>
    <t xml:space="preserve">§ 16 (2) b</t>
  </si>
  <si>
    <t xml:space="preserve">Entgangener Gewinn Der Auftragnehmer erhält ab Betriebsfreigabe nach § 13 Abs.</t>
  </si>
  <si>
    <t xml:space="preserve">Entgangener Gewinn Der Auftragnehmer erhält ab Betriebsfreigabe nach § 13 Abs. 4 bzw. im Fall einer teilweisen Errichtung des Standortes mit Teilabnahme nach § 18 Abs. 3 einen Ausgleich für den entgangenen Gewinn. Die Höhe ermittelt sich aus dem Durchschnitt des Gewinns (entgangene Marge pro kWh verladenen Stroms) des Auftragnehmers je Art von ursprünglich vorgesehenem und nunmehr nicht mehr zu errichtendem Ladepunkt (MCS bzw. CCS) in den letzten drei Kalendermonaten an einem hinsichtlich der Anzahl der Ladepunkte, der an dem Standort vorhandenen Netzanschlusskapazität und der Auslastung des jeweiligen Streckenabschnitts vergleichbaren Standort der ursprünglichen Größe. Die Parteien verständigen sich hierzu über die Vergleichbarkeit der Standorte. Die Höhe wird kalenderjährlich jeweils zum Jahresersten unter Berücksichtigung des Durchschnittsgewinns der vorangegangenen drei Kalendermonate angepasst. Darüber hinausgehende Ansprüche des Auftragnehmers bestehen nicht, insbesondere steht die Reduzierung der am Anschluss vorgehaltenen Leistung nach § 15 Abs. 1 einer Reduzierung von Ladepunkten nicht gleich.</t>
  </si>
  <si>
    <t xml:space="preserve">ANF-830</t>
  </si>
  <si>
    <t xml:space="preserve">§ 16 (3)</t>
  </si>
  <si>
    <t xml:space="preserve">Für nach Maßgabe von Absatz 1 errichtete Standorte erhält der Auftragnehmer ein reduziertes Errichtungsentgelt, bestehend aus • 30 % des für den Standort nach dem Preisblatt gemäß dem Angebot des …</t>
  </si>
  <si>
    <t xml:space="preserve">Für nach Maßgabe von Absatz 1 errichtete Standorte erhält der Auftragnehmer ein reduziertes Errichtungsentgelt, bestehend aus • 30 % des für den Standort nach dem Preisblatt gemäß dem Angebot des Auftragnehmers regulär zu zahlenden Errichtungsentgelts und • einem weiteren – gekürzten – Anteil der verbleibenden 70 % des regulären Errichtungsentgelts. Die Höhe dieses Teils wird pauschal im Rahmen eines Dreisatzes ermittelt, wobei die 70 % des regulären Errichtungsentgelts nach dem Verhältnis der bereits errichteten Ladepunkte zu den an dem Standort ursprünglich zu errichtenden Ladepunkte reduziert wird; hierbei werden MCS-Ladepunkte doppelt gewichtet. Das reduzierte Errichtungsentgelt wird mithin nach folgender Formel ermittelt: 𝐸𝐺𝑒𝑙𝑡𝑟𝑒𝑑𝑢𝑧𝑖𝑒𝑟𝑡 = 𝐸𝐺𝑒𝑙𝑡𝑟𝑒𝑔𝑢𝑙ä𝑟∗30 %+ (𝐸𝐺𝑒𝑙𝑡𝑟𝑒𝑔𝑢𝑙ä𝑟∗70 % ∗ (2∗ (2 𝐴 ∗ 𝑛𝑧 𝐴 𝑎 𝑛 ℎ 𝑧 𝑙 𝑎 𝑀 ℎ𝑙 𝐶 𝑀 𝑆𝑢 𝐶 𝑟 𝑆 𝑠𝑝 𝑟 𝑟 𝑒 ü 𝑑 𝑛 𝑢 𝑔 𝑧𝑖 𝑙 𝑒 𝑖𝑐 𝑟 ℎ 𝑡+ + 𝐴 𝐴 𝑛 𝑛 𝑧 𝑧 𝑎 𝑎 ℎ ℎ 𝑙 𝑙 𝐶 𝐶 𝐶 𝐶 𝑆 𝑆 𝑟 𝑢 𝑒 𝑟 𝑑 𝑠𝑝 𝑢 𝑟 𝑧 ü 𝑖𝑒 𝑛 𝑟 𝑔 𝑡 𝑙 ) 𝑖𝑐ℎ) ) EGelt = Reduziertes Errichtungsentgelt reduziert EGelt = Errichtungsentgelt gemäß Preisblatt aus dem Angebot des regulär Auftragnehmers MCS = Anzahl der errichteten MCS-Ladepunkte reduziert MCS = Anzahl der nach der Vertragsanlage 2: Standorte an dem ursprünglich Standort zu errichtenden MCS-Ladepunkte CCS = Anzahl der bereits errichteten CCS-Ladepunkte reduziert CCS = Anzahl der nach der Vertragsanlage 2: Standorte an dem ursprünglich Standort zu errichtenden CCS-Ladepunkte</t>
  </si>
  <si>
    <t xml:space="preserve">ANF-831</t>
  </si>
  <si>
    <t xml:space="preserve">§ 16 (4)</t>
  </si>
  <si>
    <t xml:space="preserve">Hinsichtlich der Zahlungsmodalitäten des reduzierten Errichtungsentgelts gilt § 44 Abs.</t>
  </si>
  <si>
    <t xml:space="preserve">Hinsichtlich der Zahlungsmodalitäten des reduzierten Errichtungsentgelts gilt § 44 Abs. 3 des Vertrags entsprechend; mithin werden 70 % des reduzierten Errichtungsentgelts nach Abschluss der in § 44 Abs. 3 beschriebenen drei Phasen (vgl. § 44 Abs. 3 lit. a. bis c.) gezahlt. Die übrigen 30 % (Einbehalt) werden in dem auf die Teilabnahme folgenden Quartal ratierlich in vierteljährlichen Teilbeträgen gezahlt.</t>
  </si>
  <si>
    <t xml:space="preserve">ANF-832</t>
  </si>
  <si>
    <t xml:space="preserve">§ 16 (5)</t>
  </si>
  <si>
    <t xml:space="preserve">Die Außerbetriebnahme bereits errichteter Ladepunkte richtet sich nach § 39.</t>
  </si>
  <si>
    <t xml:space="preserve">ANF-833</t>
  </si>
  <si>
    <t xml:space="preserve">§ 17 (1)</t>
  </si>
  <si>
    <t xml:space="preserve">Ist die Errichtung einzelner in der Vertragsanlage 2: Standorte aufgeführter Standorte nicht oder vorübergehend nicht möglich, weil der Netzanschluss nicht oder nicht in dem erforderlichen Umfang …</t>
  </si>
  <si>
    <t xml:space="preserve">Ist die Errichtung einzelner in der Vertragsanlage 2: Standorte aufgeführter Standorte nicht oder vorübergehend nicht möglich, weil der Netzanschluss nicht oder nicht in dem erforderlichen Umfang hergestellt werden kann, und hat der Auftragnehmer dies nicht zu vertreten, so kann der Auftraggeber 2 bis zum 31.12.2030 in dem Gebiet des Loses einen in der Vertragsanlage 2: Standorte nicht aufgeführten Standort als Ersatzstandort benennen. Das Gebiet eines Loses umfasst die Fläche innerhalb eines Umkreises der geografisch jeweils am äußersten Rand des Loses gelegenen Standorte zuzüglich 20 Kilometer. Zur Benennung eines Ersatzstandortes wird der Auftraggeber 2 dem Auftragnehmer Informationen zu dem Ersatzstandort (Daten und Informationen entsprechend der Vertragsanlage 2: Standorte sowie der Vertragsanlage 3: Angaben und Informationen zu den einzelnen Standorten) sowie das Datum der geplanten Inbetriebnahme rechtzeitig, spätestens zwölf Monate vor dem geplanten Inbetriebnahmedatum, mitteilen.</t>
  </si>
  <si>
    <t xml:space="preserve">Kapitel: Benennung von Ersatzstandorten / Errichtung von Standorten nach dem 31.12.2030 / Kos-
Fundstelle im PDF: Seite 17</t>
  </si>
  <si>
    <t xml:space="preserve">ANF-834</t>
  </si>
  <si>
    <t xml:space="preserve">§ 17 (2)</t>
  </si>
  <si>
    <t xml:space="preserve">Benennt der Auftraggeber 2 in den Fällen des Absatzes 1 einen Ersatzstandort, erhält der Auftragnehmer für die Errichtung des Ersatzstandortes eine Vergütung nach § 40 Abs.</t>
  </si>
  <si>
    <t xml:space="preserve">Benennt der Auftraggeber 2 in den Fällen des Absatzes 1 einen Ersatzstandort, erhält der Auftragnehmer für die Errichtung des Ersatzstandortes eine Vergütung nach § 40 Abs. 2. Zusätzlich erhält der Auftragnehmer für Ersatzstandorte ein Betreiberentgelt nach § 45. Ein Errichtungsentgelt nach § 44 wird für Ersatzstandorte nicht gezahlt. Dieser Absatz 2 gilt nicht, wenn der Abschluss der Errichtungsleistung des Ersatzstandortes nach Maßgabe von Abs. 8 Satz 1 erst nach dem 31.12.2030 möglich ist; in diesen Fällen richtet sich die Errichtung des Ersatzstandortes nach Absatz 8.</t>
  </si>
  <si>
    <t xml:space="preserve">ANF-835</t>
  </si>
  <si>
    <t xml:space="preserve">§ 17 (3)</t>
  </si>
  <si>
    <t xml:space="preserve">Ist die Errichtung eines Standortes bis zum 31.12.2030 aus den in Absatz 1 genannten Gründen nicht möglich und benennt der Auftraggeber 2 keinen Ersatzstandort, erhält der Auftragnehmer ab diesem …</t>
  </si>
  <si>
    <t xml:space="preserve">Ist die Errichtung eines Standortes bis zum 31.12.2030 aus den in Absatz 1 genannten Gründen nicht möglich und benennt der Auftraggeber 2 keinen Ersatzstandort, erhält der Auftragnehmer ab diesem Zeitpunkt für die in der Vertragsanlage 2: Standorte aufgeführten Standorte, deren Errichtung nicht oder vorübergehend nicht möglich ist, ein Betreiberentgelt entsprechend § 16 Abs. 2 lit. a sowie eine Ausgleichszahlung für den entgangenen Gewinn entsprechend § 16 Abs. 2 lit. b Satz 2.</t>
  </si>
  <si>
    <t xml:space="preserve">ANF-836</t>
  </si>
  <si>
    <t xml:space="preserve">§ 17 (4)</t>
  </si>
  <si>
    <t xml:space="preserve">Verzögert sich die Errichtung eines vom Auftraggeber 2 benannten Ersatzstandorts aus den in Absatz 1 genannten Gründen um mehr als zwei Jahre, werden das Betreiberentgelt sowie der entgangene Gewinn …</t>
  </si>
  <si>
    <t xml:space="preserve">Verzögert sich die Errichtung eines vom Auftraggeber 2 benannten Ersatzstandorts aus den in Absatz 1 genannten Gründen um mehr als zwei Jahre, werden das Betreiberentgelt sowie der entgangene Gewinn nach Absatz 3 für die Dauer der Verzögerung gezahlt.</t>
  </si>
  <si>
    <t xml:space="preserve">ANF-837</t>
  </si>
  <si>
    <t xml:space="preserve">§ 17 (5)</t>
  </si>
  <si>
    <t xml:space="preserve">Hat der Auftraggeber 2 keinen Ersatzstandort benannt und ist die Errichtung eines in der Vertragsanlage 2: Standorte aufgeführten Standortes unter Berücksichtigung der an dem Standort vorhandenen …</t>
  </si>
  <si>
    <t xml:space="preserve">Hat der Auftraggeber 2 keinen Ersatzstandort benannt und ist die Errichtung eines in der Vertragsanlage 2: Standorte aufgeführten Standortes unter Berücksichtigung der an dem Standort vorhandenen Netzanschlusskapazität erst nach dem 31.12.2030 möglich, ist der Auftragnehmer unter Beachtung der Vorgaben des Absatzes 8 verpflichtet, den Standort auch nach dem 31.12.2030 zu errichten und anschließend zu betreiben, sofern die Errichtung innerhalb der regulären Vertragslaufzeit nach § 56 Abs. 1 noch möglich ist. Hat der Auftraggeber 2 von der in § 56 Abs. 1 vorgesehen Möglichkeit zur einseitigen Vertragsverlängerung Gebrauch gemacht und ist die Errichtung erst in der Vertragsverlängerung möglich, kann der Auftraggeber 2 die Errichtung und den anschließenden Betrieb eines in der Vertragsanlage 2: Standorte vorgesehenen Standorts unter Beachtung der Vorgaben des Absatzes 8 auch nach dem 31.12.2035 vom Auftragnehmer verlangen. Die Einzelheiten der Errichtung und des Betriebs des Standortes vereinbaren die Parteien in den Fällen des Satzes 2 mittels gesonderter Nachtragsvereinbarung zu diesem Vertrag.</t>
  </si>
  <si>
    <t xml:space="preserve">ANF-838</t>
  </si>
  <si>
    <t xml:space="preserve">§ 17 (6)</t>
  </si>
  <si>
    <t xml:space="preserve">In den Fällen des Absatzes 5 werden das Betreiberentgelt und der entgangene Gewinn entsprechend § 16 Abs.</t>
  </si>
  <si>
    <t xml:space="preserve">In den Fällen des Absatzes 5 werden das Betreiberentgelt und der entgangene Gewinn entsprechend § 16 Abs. 2 lit. a bzw. lit. b Satz 2 gezahlt. Im Übrigen gilt § 15 entsprechend für Standorte, die nach Maßgabe des Absatzes 5 errichtet werden.</t>
  </si>
  <si>
    <t xml:space="preserve">ANF-839</t>
  </si>
  <si>
    <t xml:space="preserve">§ 17 (7)</t>
  </si>
  <si>
    <t xml:space="preserve">Soweit dem Auftragnehmer für die Planung eines nach der Vertragsanlage 2: Standorte ursprünglich zu errichtenden Standortes bereits Kosten entstanden sind, die nunmehr nicht mehr nutzbar sind, erhält …</t>
  </si>
  <si>
    <t xml:space="preserve">Soweit dem Auftragnehmer für die Planung eines nach der Vertragsanlage 2: Standorte ursprünglich zu errichtenden Standortes bereits Kosten entstanden sind, die nunmehr nicht mehr nutzbar sind, erhält der Auftragnehmer diese Kosten vom Auftraggeber 2 in dem Umfang ersetzt, in dem der Auftragnehmer diese Kosten nachweist.</t>
  </si>
  <si>
    <t xml:space="preserve">ANF-840</t>
  </si>
  <si>
    <t xml:space="preserve">§ 17 (8)</t>
  </si>
  <si>
    <t xml:space="preserve">Ist der Abschluss der Errichtungsleistungen aus nicht in der Risikosphäre des Auftragnehmers liegenden Gründen (z.</t>
  </si>
  <si>
    <t xml:space="preserve">Ist der Abschluss der Errichtungsleistungen aus nicht in der Risikosphäre des Auftragnehmers liegenden Gründen (z. B. Verzögerungen beim Netzanschluss) an einem in der Vertragsanlage 2: Standorte genannten Standort oder an einem vom Auftraggeber 2 nach Maßgabe von Absatz 1 benannten Ersatzstandort unter Berücksichtigung des Zeitpunkts einer etwaigen Baufreigabe und der vom Auftragnehmer kalkulierten Bauzeiten erst nach dem 31.12.2030 möglich, richtet sich die Errichtung dieses Standortes nach § 40. Ist die Errichtung des Standortes aus diesem Grund trotz nachgewiesener Bemühungen zu den der Angebotskalkulation des Auftragnehmers zugrundeliegenden Errichtungskosten nicht mehr möglich, erhält der Auftragnehmer die nachgewiesenen Mehrkosten nach Maßgabe von § 40 Abs. 2 erstattet. Die Mehrkosten nach Satz 2 umfassen auch die Baustellengemeinkosten (BGK) und die Allgemeinen Geschäftskosten (AGK), Kosten für die verlängerte Vorhaltung des Baukoordinationspersonals, Kosten für die Mobilisierung der einzelnen Baustellen sowie anfallende zusätzliche Finanzierungskosten. § 44 Abs. 2 Satz 2 und Abs. 6 finden für diese Standorte keine Anwendung.</t>
  </si>
  <si>
    <t xml:space="preserve">ANF-841</t>
  </si>
  <si>
    <t xml:space="preserve">§ 17 (9)</t>
  </si>
  <si>
    <t xml:space="preserve">Hat der Auftraggeber 2 nach Maßgabe des § 18 die teilweise Errichtung eines Standortes vom Auftragnehmer verlangt und kann ein Teil der Errichtungsleistungen erst nach dem 31.12.2030 erfolgen, gilt …</t>
  </si>
  <si>
    <t xml:space="preserve">Hat der Auftraggeber 2 nach Maßgabe des § 18 die teilweise Errichtung eines Standortes vom Auftragnehmer verlangt und kann ein Teil der Errichtungsleistungen erst nach dem 31.12.2030 erfolgen, gilt Absatz 8 für diesen Teil der Errichtungsleistungen entsprechend.</t>
  </si>
  <si>
    <t xml:space="preserve">ANF-842</t>
  </si>
  <si>
    <t xml:space="preserve">§ 17 (10)</t>
  </si>
  <si>
    <t xml:space="preserve">Der Anspruch des Auftragnehmers auf Anpassung des Rahmenterminplans richtet sich nach § 12 Abs.</t>
  </si>
  <si>
    <t xml:space="preserve">Der Anspruch des Auftragnehmers auf Anpassung des Rahmenterminplans richtet sich nach § 12 Abs. 2 lit. a und lit c).</t>
  </si>
  <si>
    <t xml:space="preserve">ANF-843</t>
  </si>
  <si>
    <t xml:space="preserve">§ 17 (11)</t>
  </si>
  <si>
    <t xml:space="preserve">Darüber hinausgehende Ansprüche des Auftragnehmers bestehen nicht, insbesondere hat der Auftragnehmer in den Fällen des Absatzes 2 keinen Anspruch auf Ersatz von entgangenem Gewinn.</t>
  </si>
  <si>
    <t xml:space="preserve">Kapitel: Benennung von Ersatzstandorten / Errichtung von Standorten nach dem 31.12.2030 / Kos-
Fundstelle im PDF: Seite 17
Zuordnung prüfen (Komponente/Partner nicht eindeutig)</t>
  </si>
  <si>
    <t xml:space="preserve">ANF-844</t>
  </si>
  <si>
    <t xml:space="preserve">§ 18 (1)</t>
  </si>
  <si>
    <t xml:space="preserve">Benennt der Auftraggeber 2 in den Fällen des § 17 Abs.</t>
  </si>
  <si>
    <t xml:space="preserve">Benennt der Auftraggeber 2 in den Fällen des § 17 Abs. 1 keinen Ersatzstandort, kann er vom Auftragnehmer zunächst die teilweise Errichtung eines in der Vertragsanlage 2: Standorte aufgeführten Standortes verlangen.</t>
  </si>
  <si>
    <t xml:space="preserve">Kapitel: Teilweise Errichtung von Standorten / Kostenersatz
Fundstelle im PDF: Seite 19</t>
  </si>
  <si>
    <t xml:space="preserve">ANF-845</t>
  </si>
  <si>
    <t xml:space="preserve">§ 18 (2)</t>
  </si>
  <si>
    <t xml:space="preserve">Die teilweise Errichtung eines Standortes nach Absatz 1 kann insbesondere die Herstellung der Fundamente, die Durchführung aller erforderlichen Tiefbaumaßnahmen sowie Kabelverlegungen sowie die …</t>
  </si>
  <si>
    <t xml:space="preserve">Die teilweise Errichtung eines Standortes nach Absatz 1 kann insbesondere die Herstellung der Fundamente, die Durchführung aller erforderlichen Tiefbaumaßnahmen sowie Kabelverlegungen sowie die Errichtung einzelner Ladeeinrichtungen unter Berücksichtigung der an dem Standort vorhandenen Netzanschlusskapazität umfassen. Der genaue Umfang wird vom Auftraggeber 2 bestimmt. Im Fall der teilweisen Errichtung eines Standortes sind die noch nicht für das Laden genutzten Ladeplätze soweit möglich für schwere Nutzfahrzeuge und Busse sowie Gespanne (Klasse M2 gemäß Art. 4 Abs. 1 lit. a) Ziffer ii), Klasse M3 gemäß Art. 4 Abs. 1 lit a) Ziffer iii) sowie der Klassen N2 und N3 gemäß Art. 4 Abs. 1 lit. b) Ziffer ii) und Ziffer iii) der Verordnung (EU) 2018/858) freizugeben.</t>
  </si>
  <si>
    <t xml:space="preserve">ANF-846</t>
  </si>
  <si>
    <t xml:space="preserve">§ 18 (3)</t>
  </si>
  <si>
    <t xml:space="preserve">Der Auftragnehmer zeigt dem Auftraggeber 2 die Fertigstellung der teilweisen Errichtung des Standortes an, wenn die Teilabnahmereife vorliegt.</t>
  </si>
  <si>
    <t xml:space="preserve">Der Auftragnehmer zeigt dem Auftraggeber 2 die Fertigstellung der teilweisen Errichtung des Standortes an, wenn die Teilabnahmereife vorliegt. Auftraggeber 2 und Auftragnehmer vereinbaren einen Termin für die Durchführung der Teilabnahme der Errichtungsleistungen. Der Termin soll regelmäßig nicht später als 14 Kalendertage nach der Anzeige der Teilabnahmereife durch den Auftragnehmer liegen.</t>
  </si>
  <si>
    <t xml:space="preserve">Kapitel: Teilweise Errichtung von Standorten / Kostenersatz
Fundstelle im PDF: Seite 19
Zuordnung prüfen (Komponente/Partner nicht eindeutig)</t>
  </si>
  <si>
    <t xml:space="preserve">ANF-847</t>
  </si>
  <si>
    <t xml:space="preserve">§ 18 (4)</t>
  </si>
  <si>
    <t xml:space="preserve">Der Auftragnehmer erhält für die teilweise Errichtung folgende Zahlungen:</t>
  </si>
  <si>
    <t xml:space="preserve">ANF-848</t>
  </si>
  <si>
    <t xml:space="preserve">§ 18 (4) a</t>
  </si>
  <si>
    <t xml:space="preserve">Reduziertes Errichtungsentgelt Der Auftragnehmer erhält ein reduziertes Errichtungsentgelt nach § 16 Abs.</t>
  </si>
  <si>
    <t xml:space="preserve">Reduziertes Errichtungsentgelt Der Auftragnehmer erhält ein reduziertes Errichtungsentgelt nach § 16 Abs. 3. Hinsichtlich der Zahlungsmodalitäten gilt § 16 Abs. 4.</t>
  </si>
  <si>
    <t xml:space="preserve">ANF-849</t>
  </si>
  <si>
    <t xml:space="preserve">§ 18 (4) b</t>
  </si>
  <si>
    <t xml:space="preserve">Betreiberentgelt Zusätzlich erhält der Auftragnehmer für bereits errichtete Ladepunkte ein Betreiberentgelt. nach § 45 Abs.</t>
  </si>
  <si>
    <t xml:space="preserve">Betreiberentgelt Zusätzlich erhält der Auftragnehmer für bereits errichtete Ladepunkte ein Betreiberentgelt. nach § 45 Abs. 2.</t>
  </si>
  <si>
    <t xml:space="preserve">ANF-850</t>
  </si>
  <si>
    <t xml:space="preserve">§ 18 (5)</t>
  </si>
  <si>
    <t xml:space="preserve">Der Auftragnehmer ist verpflichtet, den Standort vollständig zu errichten, sobald der Auftraggeber 2 den Auftragnehmer hierzu schriftlich auffordert.</t>
  </si>
  <si>
    <t xml:space="preserve">Der Auftragnehmer ist verpflichtet, den Standort vollständig zu errichten, sobald der Auftraggeber 2 den Auftragnehmer hierzu schriftlich auffordert. Der Auftraggeber 2 wird dem Auftragnehmer in der Aufforderung, soweit bereits bekannt, das Datum der geplanten Herstellung bzw. Erweiterung des Netzanschlusses mitteilen. Die Parteien werden sich einvernehmlich auf ein Datum für die Betriebsfreigabe nach vollständiger Errichtung des Standortes unter Berücksichtigung der bereits erfolgten Errichtungsleistungen einigen. Im Übrigen gilt § 14 entsprechend.</t>
  </si>
  <si>
    <t xml:space="preserve">ANF-851</t>
  </si>
  <si>
    <t xml:space="preserve">§ 18 (6)</t>
  </si>
  <si>
    <t xml:space="preserve">Nach vollständiger Errichtung und Betriebsfreigabe des Standorts erhält der Auftragnehmer die Differenz zwischen dem vom Auftraggeber 2 bereits gezahlten reduzierten Errichtungsentgelt und dem bis zu …</t>
  </si>
  <si>
    <t xml:space="preserve">Nach vollständiger Errichtung und Betriebsfreigabe des Standorts erhält der Auftragnehmer die Differenz zwischen dem vom Auftraggeber 2 bereits gezahlten reduzierten Errichtungsentgelt und dem bis zu diesem Zeitpunkt nach § 44 Abs. 3 vom Auftraggeber 2 zu zahlenden regulären Errichtungsentgelt entsprechend § 44 Abs. 3 ausgezahlt; der Auftragnehmer erhält mithin 70 % der Differenz des reduzierten Errichtungsentgelts und des regulären Errichtungsentgelts zzgl. der gesamten Umsatzsteuer auf die Differenz. Der Einbehalt ist unter Berücksichtigung bereits aufgelöster Teile neu zu berechnen. Nach der vollständigen Errichtung und Inbetriebnahme der (weiteren) Ladepunkte des Standortes erhält der Auftragnehmer das Betreiberentgelt nach § 45 in voller Höhe.</t>
  </si>
  <si>
    <t xml:space="preserve">ANF-852</t>
  </si>
  <si>
    <t xml:space="preserve">§ 18 (7)</t>
  </si>
  <si>
    <t xml:space="preserve">Hat die teilweise Errichtung eines Standortes Auswirkungen auf den Rahmenterminplan, so hat der Auftragnehmer einen Anspruch auf Anpassung des Rahmenterminplans gemäß § 12 Abs.</t>
  </si>
  <si>
    <t xml:space="preserve">Hat die teilweise Errichtung eines Standortes Auswirkungen auf den Rahmenterminplan, so hat der Auftragnehmer einen Anspruch auf Anpassung des Rahmenterminplans gemäß § 12 Abs. 2.</t>
  </si>
  <si>
    <t xml:space="preserve">ANF-853</t>
  </si>
  <si>
    <t xml:space="preserve">§ 19 (1)</t>
  </si>
  <si>
    <t xml:space="preserve">Der Auftraggeber 2 plant an einzelnen Rastanlagen der Vertragsanlage 2: Standorte die Durchführung von Ausbau- und Erhaltungsmaßnahmen (gemeinsam Baumaßnahmen).</t>
  </si>
  <si>
    <t xml:space="preserve">Der Auftraggeber 2 plant an einzelnen Rastanlagen der Vertragsanlage 2: Standorte die Durchführung von Ausbau- und Erhaltungsmaßnahmen (gemeinsam Baumaßnahmen). Die Details solcher Baumaßnahmen (insbesondere Art der Baumaßnahme, voraussichtlicher Beginn und geplante Verkehrsfreigabe der Rastanlage) ergeben sich aus Vertragsanlage 3: Angaben und Informationen zu den einzelnen Standorten.</t>
  </si>
  <si>
    <t xml:space="preserve">Kapitel: Ausbauvorhaben und Erhaltungsmaßnahmen an Rastanlagen
Fundstelle im PDF: Seite 20</t>
  </si>
  <si>
    <t xml:space="preserve">ANF-854</t>
  </si>
  <si>
    <t xml:space="preserve">§ 19 (2)</t>
  </si>
  <si>
    <t xml:space="preserve">Ist an einer Rastanlage eine Ausbaumaßnahme geplant, erfolgt während der Dauer der Ausbaumaßnahme eine Standortsperrung.</t>
  </si>
  <si>
    <t xml:space="preserve">Ist an einer Rastanlage eine Ausbaumaßnahme geplant, erfolgt während der Dauer der Ausbaumaßnahme eine Standortsperrung. Für die Errichtung der Ladeinfrastruktur gilt Folgendes:</t>
  </si>
  <si>
    <t xml:space="preserve">ANF-855</t>
  </si>
  <si>
    <t xml:space="preserve">§ 19 (2) a</t>
  </si>
  <si>
    <t xml:space="preserve">Erfolgt die planmäßige Verkehrsfreigabe für die Rastanlage bis zum 31.12.2030 (vgl.</t>
  </si>
  <si>
    <t xml:space="preserve">Erfolgt die planmäßige Verkehrsfreigabe für die Rastanlage bis zum 31.12.2030 (vgl. Vertragsanlage 3: Angaben und Informationen zu den einzelnen Standorten), errichtet der Auftragnehmer die Ladeinfrastruktur an dem Standort nach Erteilung der Verkehrsfreigabe der Rastanlage. Ein Anspruch auf Anpassung des Rahmenterminplans nach § 12 Abs. 2 besteht nur, wenn die Verkehrsfreigabe nach dem in der Vertragsanlage 3: Angaben und Informationen zu den einzelnen Standorten vorgesehenen Zeitpunkt erfolgt.</t>
  </si>
  <si>
    <t xml:space="preserve">ANF-856</t>
  </si>
  <si>
    <t xml:space="preserve">§ 19 (2) b</t>
  </si>
  <si>
    <t xml:space="preserve">Erfolgt die planmäßige Verkehrsfreigabe für die Rastanlage nach der Baumaßnahme zwischen dem 01.01.2031 und dem Ende der Vertragslaufzeit (vgl.</t>
  </si>
  <si>
    <t xml:space="preserve">Erfolgt die planmäßige Verkehrsfreigabe für die Rastanlage nach der Baumaßnahme zwischen dem 01.01.2031 und dem Ende der Vertragslaufzeit (vgl. Vertragsanlage 3: Angaben und Informationen zu den einzelnen Standorten), ist der Auftragnehmer verpflichtet, die Ladeinfrastruktur zunächst entsprechend den Vorgaben des Rahmenterminplans (vgl. Vertragsanlage 4: Leistungsbeschreibung Errichtung) zu errichten. Ist die Ladeinfrastruktur räumlich von der Ausbaumaßnahme betroffen, ist der Auftragnehmer verpflichtet, die Ladeinfrastruktur während der Dauer der Ausbaumaßnahme in dem erforderlichen Umfang abzubauen und nach Erteilung der Verkehrsfreigabe erneut aufzubauen. Für die Kosten des Abbaus und des Wideraufbaus gilt § 40 Abs. 2 dieses Vertrags. Ein Anspruch auf Anpassung des Rahmenterminplans nach § 12 Abs. 2 besteht nicht.</t>
  </si>
  <si>
    <t xml:space="preserve">ANF-857</t>
  </si>
  <si>
    <t xml:space="preserve">§ 19 (3)</t>
  </si>
  <si>
    <t xml:space="preserve">Ist an einer Rastanlage eine Erhaltungsmaßnahme geplant, erfolgt während der Dauer der Erhaltungsmaßnahme eine Standortsperrung nur, wenn dies in der Vertragsanlage 3: Angaben und Informationen zu …</t>
  </si>
  <si>
    <t xml:space="preserve">Ist an einer Rastanlage eine Erhaltungsmaßnahme geplant, erfolgt während der Dauer der Erhaltungsmaßnahme eine Standortsperrung nur, wenn dies in der Vertragsanlage 3: Angaben und Informationen zu den einzelnen Standorten vorgesehen ist. Ist eine Standortsperrung vorgesehen, gilt Absatz 2 lit. a und b entsprechend wobei die in Absatz 2 lit. a und b vorgesehene Verkehrsfreigabe das planmäßige Ende der Erhaltungsmaßnahme ist (Vertragsanlage 3: Angaben und Informationen zu den einzelnen Standorten).</t>
  </si>
  <si>
    <t xml:space="preserve">ANF-858</t>
  </si>
  <si>
    <t xml:space="preserve">§ 19 (4)</t>
  </si>
  <si>
    <t xml:space="preserve">Der Auftragnehmer hat in den Fällen des Absatzes 2 lit. b und des Absatzes 3 i.</t>
  </si>
  <si>
    <t xml:space="preserve">Der Auftragnehmer hat in den Fällen des Absatzes 2 lit. b und des Absatzes 3 i. V. m. Absatzes 2 lit. b einen Anspruch auf Zahlung von entgangenem Gewinn und Fortzahlung des Betreiberentgelts entsprechend § 16 Abs. 2 lit. a und b Satz 2, wenn die Verkehrsfreigabe bzw. das Ende der Erhaltungsmaßnahme mehr als zwei volle Kalendermonate nach dem in der Vertragsanlage 3: Angaben und Informationen zu den einzelnen Standorten vorgesehenen Zeitpunkt erfolgt. Der Anspruch besteht ab dem Monatsersten, der auf die zwei vollen Kalendermonate folgt, bis zur Verkehrsfreigabe bzw. zum Ende der Erhaltungsmaßnahme.</t>
  </si>
  <si>
    <t xml:space="preserve">ANF-859</t>
  </si>
  <si>
    <t xml:space="preserve">§ 19 (5)</t>
  </si>
  <si>
    <t xml:space="preserve">Der Auftragnehmer plant an einzelnen Rastanlagen die Umsetzung des telematischen Parkens.</t>
  </si>
  <si>
    <t xml:space="preserve">Der Auftragnehmer plant an einzelnen Rastanlagen die Umsetzung des telematischen Parkens. Die baulichen Maßnahmen zur Umsetzung des telematischen Parkens werden von einem dritten Dienstleister erbracht. Der Auftraggeber 2 wird den Auftragnehmer unverzüglich über entsprechende (bauliche) Umsetzungsmaßnahmen informieren, wenn sich Zeitraum und Umfang hinreichend konkretisieren lassen.</t>
  </si>
  <si>
    <t xml:space="preserve">Kapitel: Ausbauvorhaben und Erhaltungsmaßnahmen an Rastanlagen
Fundstelle im PDF: Seite 20
Zuordnung prüfen (Komponente/Partner nicht eindeutig)</t>
  </si>
  <si>
    <t xml:space="preserve">ANF-860</t>
  </si>
  <si>
    <t xml:space="preserve">§ 19 (6)</t>
  </si>
  <si>
    <t xml:space="preserve">Je nach Zeitpunkt der Umsetzung des telematischen Parkens gilt für den Betreiber das Folgende:</t>
  </si>
  <si>
    <t xml:space="preserve">ANF-861</t>
  </si>
  <si>
    <t xml:space="preserve">§ 19 (6) a</t>
  </si>
  <si>
    <t xml:space="preserve">Erfolgen die Maßnahmen zur Umsetzung des telematischen Parkens an einer Rastanlage bereits vor der Errichtung der Ladeinfrastruktur durch den Auftragnehmer, ist der Auftragnehmer verpflichtet, die …</t>
  </si>
  <si>
    <t xml:space="preserve">Erfolgen die Maßnahmen zur Umsetzung des telematischen Parkens an einer Rastanlage bereits vor der Errichtung der Ladeinfrastruktur durch den Auftragnehmer, ist der Auftragnehmer verpflichtet, die Ladeinfrastruktur entsprechend den Vorgaben des Rahmenterminplans und dem Kapitel 3.13.3 „Telematisches Parken“ der Vertragsanlage 4: Leistungsbeschreibung Errichtung zu errichten und hierbei die Vorgaben aus dem Abschnitt 3.13.3 „Telematisches Parken“ der Vertragsanlage 4: Leistungsbeschreibung Errichtung zu berücksichtigen.</t>
  </si>
  <si>
    <t xml:space="preserve">ANF-862</t>
  </si>
  <si>
    <t xml:space="preserve">§ 19 (7)</t>
  </si>
  <si>
    <t xml:space="preserve">Der Auftragnehmer hat in den Fällen des Absatzes 6 lit. b für die Dauer der baulichen Maßnahmen einen Anspruch auf Zahlung von entgangenem Gewinn und Fortzahlung des Betreiberentgelts entsprechend § …</t>
  </si>
  <si>
    <t xml:space="preserve">Der Auftragnehmer hat in den Fällen des Absatzes 6 lit. b für die Dauer der baulichen Maßnahmen einen Anspruch auf Zahlung von entgangenem Gewinn und Fortzahlung des Betreiberentgelts entsprechend § 16 Abs. 2 lit. a und b Satz 2. Für die Kosten des Abbaus und des Wideraufbaus gilt § 40 Abs. 2 dieses Vertrags.</t>
  </si>
  <si>
    <t xml:space="preserve">ANF-863</t>
  </si>
  <si>
    <t xml:space="preserve">§ 20 (1)</t>
  </si>
  <si>
    <t xml:space="preserve">Der Auftraggeber 2 kann einzelne in der Vertragsanlage 2: Standorte aufgeführte Standorte während der Laufzeit dieses Vertrags auch nach Erteilung der Betriebsfreigabe aus sachlichen Gründen …</t>
  </si>
  <si>
    <t xml:space="preserve">Der Auftraggeber 2 kann einzelne in der Vertragsanlage 2: Standorte aufgeführte Standorte während der Laufzeit dieses Vertrags auch nach Erteilung der Betriebsfreigabe aus sachlichen Gründen vorübergehend außer Betrieb setzen (z. B. im Falle von Straßenbauarbeiten oder sonstigen dem Betrieb entgegenstehenden Renovierungen am Standort) oder dauerhaft stilllegen (etwa im Falle einer dauerhaften Verlegung des Standortes oder der Verwirklichung eines neuen Standortlayouts). Im Fall einer Stilllegung sind die Ladeinfrastruktur sowie die sonstigen baulichen Elemente auf Aufforderung des Auftraggebers 2 in dem in der Aufforderung genannten Umfang innerhalb von zwei Monaten auf Kosten des Auftraggebers 2 zurückzubauen und in Abstimmung mit dem Auftraggeber 2 an einem anderen Standort zu nutzen. Für die Kosten des Rückbaus und des Aufbaus an einem anderen Standort gilt § 40 Abs. 2 dieses Vertrags.</t>
  </si>
  <si>
    <t xml:space="preserve">Kapitel: Außerbetriebnahme und Stilllegung von Standorten
Fundstelle im PDF: Seite 21</t>
  </si>
  <si>
    <t xml:space="preserve">ANF-864</t>
  </si>
  <si>
    <t xml:space="preserve">§ 20 (2)</t>
  </si>
  <si>
    <t xml:space="preserve">Für dauerhaft stillgelegte und vorübergehend außer Betrieb genommene Standorte nach Absatz 1 erfolgt eine Fortzahlung des Betreiberentgelts nach Maßgabe von § 45 Abs.</t>
  </si>
  <si>
    <t xml:space="preserve">Für dauerhaft stillgelegte und vorübergehend außer Betrieb genommene Standorte nach Absatz 1 erfolgt eine Fortzahlung des Betreiberentgelts nach Maßgabe von § 45 Abs. 6 und des noch ausstehenden Errichtungsentgelts nach Maßgabe von § 44. Zusätzlich erhält der Auftragnehmer für dauerhaft stillgelegte Standorte bis zu einer gegebenenfalls erfolgten Inbetriebnahme an einem neuen Standort eine Kompensation, deren Höhe sich nach dem Durchschnitt der Gewinne richtet, die der Auftragnehmer in den drei Kalendermonaten, die der Sperrung vorangingen, erzielt hat. Nach Ablauf des zwölften vollen Kalendermonats ermittelt sich die Höhe der Kompensation anhand der durchschnittlich erzielten Gewinne an einem vergleichbaren Standort. Die Parteien verständigen sich über die Vergleichbarkeit von Standorten. Darüber hinausgehende Ansprüche des Auftragnehmers bestehen nicht.</t>
  </si>
  <si>
    <t xml:space="preserve">ANF-865</t>
  </si>
  <si>
    <t xml:space="preserve">§ 20 (3)</t>
  </si>
  <si>
    <t xml:space="preserve">Bleiben die Parkplätze ausnahmsweise im Falle eines Ausbauvorhabens oder im Fall einer vorübergehenden Außerbetriebnahme der Ladeinfrastruktur nutzbar, sind die Ladeplätze an dem Standort …</t>
  </si>
  <si>
    <t xml:space="preserve">Bleiben die Parkplätze ausnahmsweise im Falle eines Ausbauvorhabens oder im Fall einer vorübergehenden Außerbetriebnahme der Ladeinfrastruktur nutzbar, sind die Ladeplätze an dem Standort unverzüglich für schwere Nutzfahrzeuge, Busse und Gespanne i. S. v. § 18 Abs. 2 freizugeben.</t>
  </si>
  <si>
    <t xml:space="preserve">ANF-866</t>
  </si>
  <si>
    <t xml:space="preserve">§ 21</t>
  </si>
  <si>
    <t xml:space="preserve">Das Eigentum an der im Rahmen dieses Vertrags errichteten Ladeinfrastruktur einschließlich aller im Rahmen der Errichtung verwendeten Materialien geht zum Zeitpunkt der Abnahme auf den Auftraggeber 1 …</t>
  </si>
  <si>
    <t xml:space="preserve">Das Eigentum an der im Rahmen dieses Vertrags errichteten Ladeinfrastruktur einschließlich aller im Rahmen der Errichtung verwendeten Materialien geht zum Zeitpunkt der Abnahme auf den Auftraggeber 1 als Eigentümer der Grundstücke der Standorte über, sofern das Eigentum nicht bereits aufgrund gesetzlicher Vorschriften zu einem früheren Zeitpunkt auf ihn übergegangen ist. Die Einrichtungen des Netzanschlusses sowie gegebenenfalls erforderliche Speicher stehen, soweit sie nicht im Eigentum des Anschlussnetzbetreibers stehen, im Eigentum des Auftraggebers 1. ABSCHNITT 3 BETRIEB UND KUNDENZUFRIEDENHEIT</t>
  </si>
  <si>
    <t xml:space="preserve">Kapitel: Eigentum an der Ladeinfrastruktur und den Einrichtungen des Netzanschlusses
Fundstelle im PDF: Seite 21</t>
  </si>
  <si>
    <t xml:space="preserve">ANF-867</t>
  </si>
  <si>
    <t xml:space="preserve">§ 22 (1)</t>
  </si>
  <si>
    <t xml:space="preserve">Der Auftragnehmer betreibt die Ladeinfrastruktur nach den jeweils geltenden gesetzlichen und untergesetzlichen Vorgaben sowie den anerkannten Regeln der Technik.</t>
  </si>
  <si>
    <t xml:space="preserve">Der Auftragnehmer betreibt die Ladeinfrastruktur nach den jeweils geltenden gesetzlichen und untergesetzlichen Vorgaben sowie den anerkannten Regeln der Technik. Dazu zählen neben der AFIR u. a. die mess- und eichrechtlichen Bestimmungen sowie die der Preisangabenverordnung, in ihren zum Betriebszeitpunkt gültigen Fassungen. Soweit Vorgaben dieses Vertrags darüber hinausgehen, sind diese weiteren Vorgaben in diesem Vertrag nebst seiner Anlagen abschließend geregelt.</t>
  </si>
  <si>
    <t xml:space="preserve">Kapitel: Betrieb der Ladeinfrastruktur; Freigabe von MCS- und CCS-Ladepunkten zum Zwischenla-
Fundstelle im PDF: Seite 22</t>
  </si>
  <si>
    <t xml:space="preserve">ANF-868</t>
  </si>
  <si>
    <t xml:space="preserve">§ 22 (2)</t>
  </si>
  <si>
    <t xml:space="preserve">Der Auftragnehmer wird die Ladeeinrichtungen zudem gemäß den Vorgaben in Vertragsanlage 6: Anforderungen an die Ladeinfrastruktur betreiben.</t>
  </si>
  <si>
    <t xml:space="preserve">Der Auftragnehmer wird die Ladeeinrichtungen zudem gemäß den Vorgaben in Vertragsanlage 6: Anforderungen an die Ladeinfrastruktur betreiben. Der vom Auftragnehmer zu gewährleistende sichere und ordnungsgemäße Betrieb umfasst auch die Installation und gegebenenfalls notwendige Nachrüstung sicherheitsrelevanter Software auf Kosten des Auftragnehmers.</t>
  </si>
  <si>
    <t xml:space="preserve">ANF-869</t>
  </si>
  <si>
    <t xml:space="preserve">§ 23 (1)</t>
  </si>
  <si>
    <t xml:space="preserve">Der Auftragnehmer ist verpflichtet, die Ladeeinrichtungen und die dazugehörige Technik so zu betreiben, dass die daraus entstehenden Behinderungen oder Beeinträchtigungen für alle Verkehrsteilnehmer …</t>
  </si>
  <si>
    <t xml:space="preserve">Der Auftragnehmer ist verpflichtet, die Ladeeinrichtungen und die dazugehörige Technik so zu betreiben, dass die daraus entstehenden Behinderungen oder Beeinträchtigungen für alle Verkehrsteilnehmer möglichst gering sind. Alle Belange der Barrierefreiheit und der Verkehrssicherheit müssen zu jeder Zeit berücksichtigt und eingehalten werden. Die Sicherheit und Leichtigkeit des Verkehrs dürfen nicht eingeschränkt werden.</t>
  </si>
  <si>
    <t xml:space="preserve">Kapitel: Verkehrssicherungspflichten
Fundstelle im PDF: Seite 22</t>
  </si>
  <si>
    <t xml:space="preserve">ANF-870</t>
  </si>
  <si>
    <t xml:space="preserve">§ 23 (2)</t>
  </si>
  <si>
    <t xml:space="preserve">Der Auftragnehmer trägt die Verkehrssicherungspflichten hinsichtlich der von ihm errichteten Ladeinfrastruktur gemäß der Vertragsanlage 10: Leistungsbeschreibung Betrieb.</t>
  </si>
  <si>
    <t xml:space="preserve">Der Auftragnehmer trägt die Verkehrssicherungspflichten hinsichtlich der von ihm errichteten Ladeinfrastruktur gemäß der Vertragsanlage 10: Leistungsbeschreibung Betrieb. Dem Auftraggeber 2 obliegen die (Verkehrssicherungs-)Pflichten aus der Vertragsanlage 11: Leistungsheft für den Straßenbetrieb auf Bundesfernstraßen. Auftraggeber 2 und Auftragnehmer definieren und dokumentieren die Schnittstellen und nähere Abgrenzung der Verantwortungsbereiche von Auftraggeber 2 und Auftragnehmer vor der Betriebsfreigabe des jeweiligen Standorts jeweils mittels einer Nachtragsvereinbarung zu diesem Vertrag.</t>
  </si>
  <si>
    <t xml:space="preserve">ANF-871</t>
  </si>
  <si>
    <t xml:space="preserve">§ 23 (3)</t>
  </si>
  <si>
    <t xml:space="preserve">Der Auftragnehmer ist nach § 54 Abs. 2 verpflichtet, die Auftraggeber von Ansprüchen Dritter freizustellen, die diese gegen die Auftraggeber aufgrund einer Verletzung von Verkehrssicherungspflichten …</t>
  </si>
  <si>
    <t xml:space="preserve">Der Auftragnehmer ist nach § 54 Abs. 2 verpflichtet, die Auftraggeber von Ansprüchen Dritter freizustellen, die diese gegen die Auftraggeber aufgrund einer Verletzung von Verkehrssicherungspflichten durch den Auftragnehmer hinsichtlich der von ihm errichteten Ladeinfrastruktur geltend machen. Der Auftraggeber 2 ist verpflichtet, den Auftragnehmer von Ansprüchen Dritter freizustellen, die diese gegen den Auftragnehmer aufgrund einer schuldhaften Verletzung der von dem Auftraggeber 2 gemäß Abgrenzung in Absatz 2 übernommenen Verkehrssicherungspflichten durch den Auftraggeber 2 geltend machen.</t>
  </si>
  <si>
    <t xml:space="preserve">ANF-872</t>
  </si>
  <si>
    <t xml:space="preserve">§ 23 (4)</t>
  </si>
  <si>
    <t xml:space="preserve">Der Auftraggeber 2 überprüft in regelmäßigen Abständen die Wahrnehmung und Einhaltung der Verkehrssicherungspflichten des Auftragnehmers hinsichtlich der Ladeinfrastruktur und macht diesen …</t>
  </si>
  <si>
    <t xml:space="preserve">Der Auftraggeber 2 überprüft in regelmäßigen Abständen die Wahrnehmung und Einhaltung der Verkehrssicherungspflichten des Auftragnehmers hinsichtlich der Ladeinfrastruktur und macht diesen gegebenenfalls auf Handlungsbedarfe aufmerksam.</t>
  </si>
  <si>
    <t xml:space="preserve">Kapitel: Verkehrssicherungspflichten
Fundstelle im PDF: Seite 22
Zuordnung prüfen (Komponente/Partner nicht eindeutig)</t>
  </si>
  <si>
    <t xml:space="preserve">ANF-873</t>
  </si>
  <si>
    <t xml:space="preserve">§ 23 (5)</t>
  </si>
  <si>
    <t xml:space="preserve">Veränderungen oder Schäden an der Ladeinfrastruktur mit Einfluss auf die Verkehrssicherheit hat der Auftragnehmer unverzüglich zu beseitigen bzw. instand zu setzen sowie die Beseitigung der Schäden …</t>
  </si>
  <si>
    <t xml:space="preserve">Veränderungen oder Schäden an der Ladeinfrastruktur mit Einfluss auf die Verkehrssicherheit hat der Auftragnehmer unverzüglich zu beseitigen bzw. instand zu setzen sowie die Beseitigung der Schäden dem Auftraggeber 2 anzuzeigen. Die Vorgaben der Vertragsanlage 10: Leistungsbeschreibung Betrieb betreffend Berichte, Mitteilungen und Datenübermittlung sind zu beachten. Die Regelungen des § 28 bleiben unberührt.</t>
  </si>
  <si>
    <t xml:space="preserve">ANF-874</t>
  </si>
  <si>
    <t xml:space="preserve">§ 24 (1)</t>
  </si>
  <si>
    <t xml:space="preserve">Der Auftragnehmer ist verpflichtet, die Stromversorgung der Ladeinfrastruktur (Strom für Ladevorgänge sowie für die Einrichtungen gemäß Vertragsanlage 4: Leistungsbeschreibung Errichtung) …</t>
  </si>
  <si>
    <t xml:space="preserve">Der Auftragnehmer ist verpflichtet, die Stromversorgung der Ladeinfrastruktur (Strom für Ladevorgänge sowie für die Einrichtungen gemäß Vertragsanlage 4: Leistungsbeschreibung Errichtung) sicherzustellen, soweit der Strom nicht im Rahmen des Durchleitungsmodells nach § 34 von Dritten bereitgestellt wird. Bei einer vom Auftragnehmer nicht zu vertretenden Unterbrechung oder Unregelmäßigkeit der Stromversorgung ist, soweit es sich um Folgen einer Störung des Netzbetriebs einschließlich des Netzanschlusses oder einer Störung des Messstellenbetriebs handelt, der Auftragnehmer von seiner Leistungspflicht befreit.</t>
  </si>
  <si>
    <t xml:space="preserve">Kapitel: Stromversorgung, Anschlussnutzung, Stromherkunft
Fundstelle im PDF: Seite 23</t>
  </si>
  <si>
    <t xml:space="preserve">ANF-875</t>
  </si>
  <si>
    <t xml:space="preserve">§ 24 (2)</t>
  </si>
  <si>
    <t xml:space="preserve">Der Auftragnehmer bzw. sein Lieferant ist Netznutzer und zahlt die Netznutzungsentgelte, die netzbezogenen Umlagen und Abgaben sowie die Entgelte für Messstellenbetrieb und Messung.</t>
  </si>
  <si>
    <t xml:space="preserve">Der Auftragnehmer bzw. sein Lieferant ist Netznutzer und zahlt die Netznutzungsentgelte, die netzbezogenen Umlagen und Abgaben sowie die Entgelte für Messstellenbetrieb und Messung. Der Leistungspreis der Netzentgelte wird dem Auftragnehmer vom Auftraggeber 2 ersetzt. Der Arbeitspreis der Netzentgelte und die netzbezogenen Abgaben und Umlagen sind bei der Kalkulation der Entgelte für das Ad-hoc-Laden nach § 32 bzw. den von Mobilitätsdienstleistern zu zahlenden Entgelten (vgl. § 36) zu berücksichtigen bzw. werden im Rahmen des Durchleitungsmodells nach § 37 in der jeweils anfallenden Höhe weitergegeben.</t>
  </si>
  <si>
    <t xml:space="preserve">ANF-876</t>
  </si>
  <si>
    <t xml:space="preserve">§ 24 (3)</t>
  </si>
  <si>
    <t xml:space="preserve">Der Auftragnehmer ist Anschlussnutzer und wird, falls es der Anschlussnetzbetreiber verlangt, mit diesem einen Anschlussnutzungsvertrag abschließen.</t>
  </si>
  <si>
    <t xml:space="preserve">ANF-877</t>
  </si>
  <si>
    <t xml:space="preserve">§ 24 (4)</t>
  </si>
  <si>
    <t xml:space="preserve">Die Nutzung des Speichers auch zu anderen Zwecken als dem Betrieb der Ladeinfrastruktur ist ihm möglich, durch eine solche Nutzung darf jedoch ein tatsächlicher Bedarf an nach diesem Vertrag …</t>
  </si>
  <si>
    <t xml:space="preserve">Die Nutzung des Speichers auch zu anderen Zwecken als dem Betrieb der Ladeinfrastruktur ist ihm möglich, durch eine solche Nutzung darf jedoch ein tatsächlicher Bedarf an nach diesem Vertrag vorzuhaltender Ladeleistung nicht beeinträchtigt werden.</t>
  </si>
  <si>
    <t xml:space="preserve">ANF-878</t>
  </si>
  <si>
    <t xml:space="preserve">§ 24 (5)</t>
  </si>
  <si>
    <t xml:space="preserve">Der für den Ladevorgang erforderliche Strom sowie der Strom für die Ladeinfrastruktur müssen aus erneuerbaren Energien stammen (Ökostrom).</t>
  </si>
  <si>
    <t xml:space="preserve">Der für den Ladevorgang erforderliche Strom sowie der Strom für die Ladeinfrastruktur müssen aus erneuerbaren Energien stammen (Ökostrom). Der Lieferant des Stroms muss dazu für die zum Ladevorgang erforderlichen Strommengen Herkunftsnachweise gemäß § 3 Nr. 29 EEG beim Herkunftsnachweisregister des Umweltbundesamts entwerten.</t>
  </si>
  <si>
    <t xml:space="preserve">ANF-879</t>
  </si>
  <si>
    <t xml:space="preserve">§ 24 (6)</t>
  </si>
  <si>
    <t xml:space="preserve">Der Auftragnehmer ist verpflichtet, die Entwertung von Herkunftsnachweisen gemäß § 30 Abs.</t>
  </si>
  <si>
    <t xml:space="preserve">Der Auftragnehmer ist verpflichtet, die Entwertung von Herkunftsnachweisen gemäß § 30 Abs. 3 Herkunfts- und Regionalnachweis-Durchführungsverordnung mittels eines Registerausdrucks nachzuweisen. Der Nachweis ist jährlich, bezogen auf ein Kalenderjahr bis Ende Februar des Folgejahres, gegenüber dem Auftraggeber 2 zu erbringen.</t>
  </si>
  <si>
    <t xml:space="preserve">ANF-880</t>
  </si>
  <si>
    <t xml:space="preserve">§ 24 (7)</t>
  </si>
  <si>
    <t xml:space="preserve">Die Anforderungen nach den Absätzen 5 und 6 gelten nicht unmittelbar für Strom, den Endnutzer unter Inanspruchnahme des Durchleitungsmodells nach § 34 entnehmen.</t>
  </si>
  <si>
    <t xml:space="preserve">Die Anforderungen nach den Absätzen 5 und 6 gelten nicht unmittelbar für Strom, den Endnutzer unter Inanspruchnahme des Durchleitungsmodells nach § 34 entnehmen. In diesen Fällen richtet sich die Stromqualität nach den Vereinbarungen des Endnutzers mit seinem für die Bilanzierung des geladenen Stroms verantwortlichen Mobilitätsdienstleister bzw. Lieferanten, der auch für die Erfüllung der Voraussetzungen für die vereinbarte Qualität verantwortlich ist. Der Auftragnehmer wird im Rahmen des Durchleitungsmodells jedoch entsprechende Vorgaben machen (vgl. § 5 der Vertragsanlage 13: Bilanzierung Durchleitungsmodell).</t>
  </si>
  <si>
    <t xml:space="preserve">ANF-881</t>
  </si>
  <si>
    <t xml:space="preserve">§ 24 (8)</t>
  </si>
  <si>
    <t xml:space="preserve">Sofern das EEG oder ein anderes Gesetz während der Vertragslaufzeit strengere, allgemeinverbindliche Anforderungen an den Nachweis, dass es sich um Strom aus erneuerbaren Energien (Ökostrom) handelt, …</t>
  </si>
  <si>
    <t xml:space="preserve">Sofern das EEG oder ein anderes Gesetz während der Vertragslaufzeit strengere, allgemeinverbindliche Anforderungen an den Nachweis, dass es sich um Strom aus erneuerbaren Energien (Ökostrom) handelt, stellt, sind diese zu erfüllen.</t>
  </si>
  <si>
    <t xml:space="preserve">ANF-882</t>
  </si>
  <si>
    <t xml:space="preserve">Der Auftragnehmer kann CCS- und MCS-Ladepunkte an einem Standort von der Reservierungsmöglichkeit ausnehmen.</t>
  </si>
  <si>
    <t xml:space="preserve">Der Auftragnehmer kann CCS- und MCS-Ladepunkte an einem Standort von der Reservierungsmöglichkeit ausnehmen. Absatz 6 bleibt unberührt.</t>
  </si>
  <si>
    <t xml:space="preserve">Kapitel: Reservierung von Ladepunkten / Vertragsstrafe bei Nichtvorhaltung der Schnittstelle
Fundstelle im PDF: Seite 23
Fundstelle im Bestand bereits belegt, Text weicht ab – bitte gegen die alte Zeile prüfen</t>
  </si>
  <si>
    <t xml:space="preserve">ANF-883</t>
  </si>
  <si>
    <t xml:space="preserve">§ 26 (1)</t>
  </si>
  <si>
    <t xml:space="preserve">Der Auftragnehmer gewährleistet eine für Endnutzer kostenlose Hotline, die täglich 24 Stunden durch technisch kompetentes Personal besetzt ist und einen Remote-Zugriff auf die Ladeeinrichtungen hat.</t>
  </si>
  <si>
    <t xml:space="preserve">Der Auftragnehmer gewährleistet eine für Endnutzer kostenlose Hotline, die täglich 24 Stunden durch technisch kompetentes Personal besetzt ist und einen Remote-Zugriff auf die Ladeeinrichtungen hat. Die Hotline dient der Beantwortung von Fragen der Endnutzer, der Behebung von Störungen oder dem Starten des Ladevorgangs im Rahmen des Fernzugriffs und der Auslösung von Aufträgen zur Instandhaltung und zur Beseitigung von Störungen und Schäden an der Ladeeinrichtung. Anrufe werden unverzüglich entgegengenommen. Dabei bedeutet „unverzüglich“, dass im Normalfall 80 % aller Anrufe innerhalb von 20 Sekunden und 90 % aller Anrufe innerhalb von 60 Sekunden entgegengenommen werden, wobei für die Entgegennahme eine automatisierte Anrufbearbeitung ausreichend ist, mit der das Anliegen des Anrufers kategorisiert, die Eckdaten vorerfasst und nach Möglichkeit eine automatisierte Lösung herbeigeführt wird. Die Kommunikation erfolgt in Deutsch und Englisch. Die datenschutzrechtlichen Vorgaben, insbesondere die Datenschutz-Grundverordnung (DSGVO) sind einzuhalten. Der Auftragnehmer ist berechtigt, einen fachkundigen Dritten als Erfüllungsgehilfen zu beauftragen.</t>
  </si>
  <si>
    <t xml:space="preserve">Kapitel: Einrichtung einer telefonischen Hotline; Kundenzufriedenheit
Fundstelle im PDF: Seite 24</t>
  </si>
  <si>
    <t xml:space="preserve">ANF-884</t>
  </si>
  <si>
    <t xml:space="preserve">§ 26 (2)</t>
  </si>
  <si>
    <t xml:space="preserve">Der Auftragnehmer ist verpflichtet, die Telefonnummer dieser Hotline an der Ladeeinrichtung gemäß § 9 Abs.</t>
  </si>
  <si>
    <t xml:space="preserve">Der Auftragnehmer ist verpflichtet, die Telefonnummer dieser Hotline an der Ladeeinrichtung gemäß § 9 Abs. 4 kenntlich zu machen.</t>
  </si>
  <si>
    <t xml:space="preserve">ANF-885</t>
  </si>
  <si>
    <t xml:space="preserve">§ 26 (3)</t>
  </si>
  <si>
    <t xml:space="preserve">Sofern Anfragen nicht von der Hotline nach Absatz 1 erledigt werden, beantwortet bzw. bearbeitet der Auftragnehmer Anfragen, die wegen ihres geringen Gefahren- oder Schadenspotential kein …</t>
  </si>
  <si>
    <t xml:space="preserve">Sofern Anfragen nicht von der Hotline nach Absatz 1 erledigt werden, beantwortet bzw. bearbeitet der Auftragnehmer Anfragen, die wegen ihres geringen Gefahren- oder Schadenspotential kein unverzügliches Handeln erfordern, werktags, außer an Samstagen, zwischen 08:00 und 19:00 Uhr (Geschäftszeiten). Die Frist zur Initiierung des Prozesses zur Lösungsfindung (Bearbeitungsfrist innerhalb des 1st Level Support) beträgt eine Stunde. Eine finale Bearbeitung (Lösungszeit) erfolgt innerhalb von 12 Stunden. Dabei bleiben Zeiten zwischen 19:00 und 08:00 Uhr des folgenden Werktags unberücksichtigt. Für Kundenanfragen, die die DSGVO und die damit verbundenen Prozesse betreffen, hat im Rahmen der Bearbeitungsfrist lediglich die Mitteilung an den Endnutzer zu erfolgen, dass der entsprechende Prozess initiiert worden ist.</t>
  </si>
  <si>
    <t xml:space="preserve">Kapitel: Einrichtung einer telefonischen Hotline; Kundenzufriedenheit
Fundstelle im PDF: Seite 24
Zuordnung prüfen (Komponente/Partner nicht eindeutig)</t>
  </si>
  <si>
    <t xml:space="preserve">ANF-886</t>
  </si>
  <si>
    <t xml:space="preserve">§ 26 (4)</t>
  </si>
  <si>
    <t xml:space="preserve">Sollten in § 28 von den Fristen zur finalen Bearbeitung in Absatz 3 abweichende Zeiten zur Beseitigung von Störungen oder Schäden vorgesehen sein, gelten diese vorrangig.</t>
  </si>
  <si>
    <t xml:space="preserve">ANF-887</t>
  </si>
  <si>
    <t xml:space="preserve">§ 26 (5)</t>
  </si>
  <si>
    <t xml:space="preserve">Können sich Endnutzer an einer Ladeeinrichtung des Auftragnehmers nicht authentifizieren, ist der Auftragnehmer verpflichtet, unverzüglich, in der Regel innerhalb eines Zeitraums von maximal 15 …</t>
  </si>
  <si>
    <t xml:space="preserve">Können sich Endnutzer an einer Ladeeinrichtung des Auftragnehmers nicht authentifizieren, ist der Auftragnehmer verpflichtet, unverzüglich, in der Regel innerhalb eines Zeitraums von maximal 15 Minuten, zu klären, ob der Fehler vom ihm selbst oder einem Mobilitätsdienstleister des Endnutzers zu verantworten ist. Im letzteren Fall teilt der Auftragnehmer dies dem Endnutzer mit, damit dieser den Mobilitätsdienstleister kontaktieren bzw. einen Ad-hoc-Ladevorgang starten kann; kann der Endnutzer gleichwohl nicht laden, obliegt es dem Auftragnehmer, inwieweit er dem Endnutzer eine Ladung im Kulanzwege anbietet.</t>
  </si>
  <si>
    <t xml:space="preserve">ANF-888</t>
  </si>
  <si>
    <t xml:space="preserve">§ 26 (6)</t>
  </si>
  <si>
    <t xml:space="preserve">Der Auftragnehmer ist verpflichtet, die Kundenzufriedenheit nach Maßgabe der Vertragsanlage 10: Leistungsbeschreibung Betrieb zu ermitteln.</t>
  </si>
  <si>
    <t xml:space="preserve">Der Auftragnehmer ist verpflichtet, die Kundenzufriedenheit nach Maßgabe der Vertragsanlage 10: Leistungsbeschreibung Betrieb zu ermitteln. Dafür stellt er sicher, dass den Endnutzern niederschwellige Möglichkeiten (z. B. mobile Webseite) zur Bewertung („Feedback“) zur Verfügung stehen.</t>
  </si>
  <si>
    <t xml:space="preserve">ANF-889</t>
  </si>
  <si>
    <t xml:space="preserve">§ 26 (7)</t>
  </si>
  <si>
    <t xml:space="preserve">Die Parteien sind sich einig, dass während der Vertragslaufzeit zur Erhöhung der Kundenzufriedenheit Gespräche über geeignete Maßnahmen des Auftragnehmers, insbesondere betreffend die Sicherstellung …</t>
  </si>
  <si>
    <t xml:space="preserve">Die Parteien sind sich einig, dass während der Vertragslaufzeit zur Erhöhung der Kundenzufriedenheit Gespräche über geeignete Maßnahmen des Auftragnehmers, insbesondere betreffend die Sicherstellung hygienischer Grundbedürfnisse, Versorgung mit Artikeln für den Reisebedarf sowie die Erhöhung des Sicherheitsempfindens, geführt werden können. Der Auftraggeber wird bei Vorliegen der rechtlichen und sachlichen Voraussetzung die Umsetzung derartiger Maßnahmen prüfen. ABSCHNITT 4 TECHNISCHE VERFÜGBARKEIT UND INSTANDHALTUNG DER LADEEINRICHTUNGEN</t>
  </si>
  <si>
    <t xml:space="preserve">ANF-890</t>
  </si>
  <si>
    <t xml:space="preserve">§ 27 (1)</t>
  </si>
  <si>
    <t xml:space="preserve">Der Auftragnehmer stellt sicher, dass jeder Ladepunkt ab dem Tag, der auf die Betriebsfreigabe des Standorts gemäß § 13 Abs.</t>
  </si>
  <si>
    <t xml:space="preserve">Der Auftragnehmer stellt sicher, dass jeder Ladepunkt ab dem Tag, der auf die Betriebsfreigabe des Standorts gemäß § 13 Abs. 1 folgt, bis zum Vertragsende technisch verfügbar ist. Ein Ladepunkt ist technisch verfügbar, wenn Endnutzer laden können und dabei die technischen Anforderungen an die Ladeeinrichtungen gemäß Vertragsanlage 6: Anforderungen an die Ladeinfrastruktur eingehalten sind. Einschränkungen der technischen Verfügbarkeit hat der Auftragnehmer im Rahmen seiner vertraglichen Leistungspflichten zu beheben. Bis zum Ablauf des 31.12.2030 gilt ein MCS-Ladepunkt ungeachtet seiner technischen Nichtverfügbarkeit im Sinne von Vertragsstrafen und Regelungen zu Nichtverfügbarkeiten als verfügbar, wenn und soweit Endnutzern bzw. Mobilitätsdienstleistern ein anderer MCS-Ladepunkt an dem Standort technisch und tatsächlich zur Verfügung steht, MCS-Ladewünsche daher nicht zurückgewiesen werden müssen. Die alternative Verfügbarkeit ist durch den Auftragnehmer nachzuweisen (z. B. durch Back-End-Status). § 8 Abs. 3 bleibt unberührt.</t>
  </si>
  <si>
    <t xml:space="preserve">Kapitel: Technische Verfügbarkeit der Ladeeinrichtungen, Vertragsstrafe bei Einschränkungen
Fundstelle im PDF: Seite 25</t>
  </si>
  <si>
    <t xml:space="preserve">ANF-891</t>
  </si>
  <si>
    <t xml:space="preserve">§ 27 (2)</t>
  </si>
  <si>
    <t xml:space="preserve">Bestimmte Einschränkungen der technischen Verfügbarkeit eines Ladepunktes haben, vorbehaltlich von Absatz 4, den Anfall einer Pönale zur Folge, die auf der Grundlage von Ausfallminuten berechnet wird.</t>
  </si>
  <si>
    <t xml:space="preserve">Bestimmte Einschränkungen der technischen Verfügbarkeit eines Ladepunktes haben, vorbehaltlich von Absatz 4, den Anfall einer Pönale zur Folge, die auf der Grundlage von Ausfallminuten berechnet wird. Näheres regelt Vertragsanlage 10: Leistungsbeschreibung Betrieb. Eine hiernach zu zahlende Vertragsstrafe ist • je MCS-Ladepunkt und Kalendertag auf einen Betrag von € 1.000,00 und je MCS-Ladepunkt und Kalenderjahr auf einen Betrag von € 75.000,00 und • je CCS-Ladepunkt und Kalendertag auf einen Betrag von € 750,00 und je CCS-Ladepunkt und Kalenderjahr auf einen Betrag von € 45.000,00 begrenzt. Pönalen werden nach Vorliegen der Abrechnung des Entgelts für ein Quartal des Vertragszeitraums zur Zahlung fällig.</t>
  </si>
  <si>
    <t xml:space="preserve">Aplitronic / SCS</t>
  </si>
  <si>
    <t xml:space="preserve">Pönalisierungssystem / Ladeeinrichtung</t>
  </si>
  <si>
    <t xml:space="preserve">ANF-892</t>
  </si>
  <si>
    <t xml:space="preserve">§ 27 (3)</t>
  </si>
  <si>
    <t xml:space="preserve">Der Auftragnehmer ist verpflichtet, die sich nach Absatz 2 ergebenden Pönalen monatsgenau zu ermitteln und, jeweils für das zurückliegende Quartal, in der jeweiligen quartalsmäßigen Abrechnung und …</t>
  </si>
  <si>
    <t xml:space="preserve">Der Auftragnehmer ist verpflichtet, die sich nach Absatz 2 ergebenden Pönalen monatsgenau zu ermitteln und, jeweils für das zurückliegende Quartal, in der jeweiligen quartalsmäßigen Abrechnung und Rechnungsstellung nach § 44 Abs. 6 und § 45 Abs. 4 zu berücksichtigen, wobei dem Auftraggeber 2 ein Recht zur Prüfung und Beanstandung der Abrechnung ebenso zusteht wie die Verrechnung von Pönalen mit sonstigen Ansprüchen des Auftragnehmers (wobei Verrechnungen gemäß § 51 Abs. 4 vorrangig mit dem Betreiberentgelt erfolgen).</t>
  </si>
  <si>
    <t xml:space="preserve">ANF-893</t>
  </si>
  <si>
    <t xml:space="preserve">§ 27 (4)</t>
  </si>
  <si>
    <t xml:space="preserve">Wenn und soweit der Auftragnehmer nachweist, dass eine Ausfallminute auf Umstände zurückzuführen ist, die nicht von ihm zu vertreten sind und außerhalb seines Verantwortungsbereichs liegen (z.</t>
  </si>
  <si>
    <t xml:space="preserve">Wenn und soweit der Auftragnehmer nachweist, dass eine Ausfallminute auf Umstände zurückzuführen ist, die nicht von ihm zu vertreten sind und außerhalb seines Verantwortungsbereichs liegen (z. B. Endnutzerverhalten oder Ausfall von Strom- oder Funknetzen, nicht jedoch der Ausfall eines Transformators), bleibt diese Ausfallminute bei der Berechnung der Pönale außer Betracht.</t>
  </si>
  <si>
    <t xml:space="preserve">ANF-894</t>
  </si>
  <si>
    <t xml:space="preserve">§ 27 (5)</t>
  </si>
  <si>
    <t xml:space="preserve">Für den Kalendermonat der Betriebsfreigabe eines Standorts sowie die sechs hierauf folgenden Kalendermonate fällt keine Pönale nach Absatz 2 in Verbindung mit Vertragsanlage 10: Leistungsbeschreibung …</t>
  </si>
  <si>
    <t xml:space="preserve">Für den Kalendermonat der Betriebsfreigabe eines Standorts sowie die sechs hierauf folgenden Kalendermonate fällt keine Pönale nach Absatz 2 in Verbindung mit Vertragsanlage 10: Leistungsbeschreibung Betrieb an (Ramp-up-Phase). Die Verpflichtung des Auftragnehmers zur Behebung von Störungen und Schäden nach § 28 besteht auch in dieser Phase.</t>
  </si>
  <si>
    <t xml:space="preserve">ANF-895</t>
  </si>
  <si>
    <t xml:space="preserve">§ 27 (6)</t>
  </si>
  <si>
    <t xml:space="preserve">Ergänzend zu den Vertragsstrafenregelungen gelten die Kündigungsrechte der Auftraggeber gemäß § 56 Abs.</t>
  </si>
  <si>
    <t xml:space="preserve">Ergänzend zu den Vertragsstrafenregelungen gelten die Kündigungsrechte der Auftraggeber gemäß § 56 Abs. 2 e), § 56 Abs. 2 f) sowie, im Falle gravierender Verstöße gegen die vertraglichen Verpflichtungen zur Übermittlung von Störungsmeldungen oder zur Erstellung von Abrechnungen der Pönale, gemäß § 56 Abs. 2 c) aa).</t>
  </si>
  <si>
    <t xml:space="preserve">Pönalisierungssystem / Monitoring / Ladeeinrichtung</t>
  </si>
  <si>
    <t xml:space="preserve">ANF-896</t>
  </si>
  <si>
    <t xml:space="preserve">§ 28 (1)</t>
  </si>
  <si>
    <t xml:space="preserve">Erlangt der Auftragnehmer Kenntnis von einer Störung oder von einem Schaden an der Ladeinfrastruktur oder an sonstigen baulichen Elementen, muss der Auftragnehmer unverzüglich aufklären, ob eine …</t>
  </si>
  <si>
    <t xml:space="preserve">Erlangt der Auftragnehmer Kenntnis von einer Störung oder von einem Schaden an der Ladeinfrastruktur oder an sonstigen baulichen Elementen, muss der Auftragnehmer unverzüglich aufklären, ob eine Gefahr für Leib, Leben oder die Verkehrssicherheit vorliegt. Liegt eine solche Gefahr vor, muss der Auftragnehmer die notwendigen, gegebenenfalls provisorischen Maßnahmen unverzüglich, spätestens aber innerhalb von 30 Minuten ab Kenntnis, veranlassen.</t>
  </si>
  <si>
    <t xml:space="preserve">Kapitel: Entstörung und Behebung von Schäden
Fundstelle im PDF: Seite 26
Zuordnung prüfen (Komponente/Partner nicht eindeutig)</t>
  </si>
  <si>
    <t xml:space="preserve">ANF-897</t>
  </si>
  <si>
    <t xml:space="preserve">§ 28 (2)</t>
  </si>
  <si>
    <t xml:space="preserve">Der Auftragnehmer ist verpflichtet, Störungen und Schäden an der Ladeinfrastruktur oder an sonstigen baulichen Elementen, die die Funktionsfähigkeit der Ladeeinrichtungen beeinträchtigen, unmittelbar …</t>
  </si>
  <si>
    <t xml:space="preserve">Der Auftragnehmer ist verpflichtet, Störungen und Schäden an der Ladeinfrastruktur oder an sonstigen baulichen Elementen, die die Funktionsfähigkeit der Ladeeinrichtungen beeinträchtigen, unmittelbar nach Kenntniserlangung zu beheben, wenn dies durch einen Remote-Zugriff möglich ist. Ladevorgänge müssen seitens der Ladeeinrichtung bei Bedarf oder nach einer Störung unmittelbar und automatisch neu gestartet werden können, soweit dies technisch möglich und zulässig ist.</t>
  </si>
  <si>
    <t xml:space="preserve">Kapitel: Entstörung und Behebung von Schäden
Fundstelle im PDF: Seite 26</t>
  </si>
  <si>
    <t xml:space="preserve">ANF-898</t>
  </si>
  <si>
    <t xml:space="preserve">§ 28 (3)</t>
  </si>
  <si>
    <t xml:space="preserve">Ist eine Vor-Ort-Entstörung notwendig, ist eine Behebung einer Störung oder eines Schadens an der Ladeinfrastruktur oder an sonstigen baulichen Elementen binnen 48 Stunden durchzuführen, dabei …</t>
  </si>
  <si>
    <t xml:space="preserve">Ist eine Vor-Ort-Entstörung notwendig, ist eine Behebung einer Störung oder eines Schadens an der Ladeinfrastruktur oder an sonstigen baulichen Elementen binnen 48 Stunden durchzuführen, dabei bleiben Zeiten zwischen Freitag 17:00 Uhr und Montag 08:00 Uhr unberücksichtigt; sind alle Ladepunkte des Standorts betroffen, ist eine Behebung binnen 24 Stunden durchzuführen. Dies gilt nicht, wenn der Auftragnehmer darlegt und beweist, dass die Behebung der Störung oder des Schadens innerhalb der in Satz 1 genannten Fristen nicht möglich oder unzumutbar</t>
  </si>
  <si>
    <t xml:space="preserve">ANF-899</t>
  </si>
  <si>
    <t xml:space="preserve">§ 28 (3) i</t>
  </si>
  <si>
    <t xml:space="preserve">S. d. § 275 Abs. 2 BGB ist.</t>
  </si>
  <si>
    <t xml:space="preserve">S. d. § 275 Abs. 2 BGB ist. Soweit eine Vor-Ort-Entstörung bei MCS- und CCS-Ladepunkten oder an sonstigen baulichen Elementen nicht unmittelbar durch den Auftragnehmer durchgeführt werden kann, ist eine Behebung von Störungen oder Schäden unverzüglich vom Auftragnehmer zu beauftragen und ab Beauftragung innerhalb der in Satz 1 genannten Fristen zu beheben. Für Schäden und Störungen am Transformator muss abweichend von Satz 1 innerhalb von 24 Stunden nach Kenntniserlangung eine Behebung der Störung/des Schadens (gegebenenfalls durch die übergangsweise Anmietung eines Miettransformators) initiiert werden.</t>
  </si>
  <si>
    <t xml:space="preserve">ANF-900</t>
  </si>
  <si>
    <t xml:space="preserve">§ 28 (4)</t>
  </si>
  <si>
    <t xml:space="preserve">Störungen und Schäden i. S. v.</t>
  </si>
  <si>
    <t xml:space="preserve">Störungen und Schäden i. S. v. Absatz 2 sind als Statusinformation des Ladepunkts im Back-End einzutragen, sodass potenzielle Endnutzer dies erkennen können. Gleiches gilt für die Behebung einer Störung oder eines Schadens. Die Vorgaben zu Datenschnittstelle, Format und Frist gemäß Vertragsanlage 10: Leistungsbeschreibung Betrieb sind zu beachten.</t>
  </si>
  <si>
    <t xml:space="preserve">ANF-901</t>
  </si>
  <si>
    <t xml:space="preserve">§ 28 (5)</t>
  </si>
  <si>
    <t xml:space="preserve">Störungen und Schäden, die die Funktionsfähigkeit der Ladeeinrichtungen nicht beeinträchtigen, wie z.</t>
  </si>
  <si>
    <t xml:space="preserve">Störungen und Schäden, die die Funktionsfähigkeit der Ladeeinrichtungen nicht beeinträchtigen, wie z. B. Graffiti, Beklebungen oder Beulen, sind vom Auftragnehmer spätestens anlässlich geplanter Wartungs- und Instandhaltungsmaßnahmen zu beheben und im Rahmen der zum Wartungs- und Instandhaltungskonzept vereinbarten Berichte die Behebung zu berichten. Absatz 1 bleibt unberührt.</t>
  </si>
  <si>
    <t xml:space="preserve">ANF-902</t>
  </si>
  <si>
    <t xml:space="preserve">§ 28 (6)</t>
  </si>
  <si>
    <t xml:space="preserve">Abweichend von Absatz 5 ist der Auftragnehmer verpflichtet, Symbole oder Parolen verfassungswidriger oder terroristischer Organisationen i.</t>
  </si>
  <si>
    <t xml:space="preserve">Abweichend von Absatz 5 ist der Auftragnehmer verpflichtet, Symbole oder Parolen verfassungswidriger oder terroristischer Organisationen i. S. d. § 86a StGB an der Ladeinfrastruktur nach Möglichkeit – gegebenenfalls provisorisch – innerhalb eines Werktags ab dem Tag der Kenntniserlangung zu entfernen. Für den Fristbeginn gilt § 187 Abs. 1 BGB.</t>
  </si>
  <si>
    <t xml:space="preserve">ANF-903</t>
  </si>
  <si>
    <t xml:space="preserve">§ 29 (1)</t>
  </si>
  <si>
    <t xml:space="preserve">Der Auftragnehmer ist für die bedarfsgerechte Instandhaltung sowie gegebenenfalls Wiederherstellung bzw.</t>
  </si>
  <si>
    <t xml:space="preserve">Der Auftragnehmer ist für die bedarfsgerechte Instandhaltung sowie gegebenenfalls Wiederherstellung bzw. Erneuerung der Ladeinfrastruktur verantwortlich, dies umfasst insbesondere auch die Pflicht zur Beseitigung von Störungen und Schäden.</t>
  </si>
  <si>
    <t xml:space="preserve">Kapitel: Instandhaltung, Wiederherstellung und Erneuerung
Fundstelle im PDF: Seite 27
Zuordnung prüfen (Komponente/Partner nicht eindeutig)</t>
  </si>
  <si>
    <t xml:space="preserve">ANF-904</t>
  </si>
  <si>
    <t xml:space="preserve">§ 29 (2)</t>
  </si>
  <si>
    <t xml:space="preserve">Der Auftragnehmer ist verpflichtet, eigenständig und unter Beachtung rechtlicher Vorgaben bzw. der von den Herstellern vorgegebenen oder den allgemeinen Regeln der Technik entsprechenden …</t>
  </si>
  <si>
    <t xml:space="preserve">Der Auftragnehmer ist verpflichtet, eigenständig und unter Beachtung rechtlicher Vorgaben bzw. der von den Herstellern vorgegebenen oder den allgemeinen Regeln der Technik entsprechenden Wartungsvorgaben und -intervallen zu prüfen, ob eine Instandhaltungsmaßnahme an der Ladeinfrastruktur erforderlich ist, und führt sie fristgerecht aus. Hierzu wird der Auftragnehmer nach Zuschlagserteilung und im Rahmen des Bau- und Betriebsfreigabeprozesses für jeden Standort ein Wartungs- und Instandhaltungskonzept erarbeiten, das dann vom Auftraggeber 2 freigegeben und dem Vertrag als Vertragsanlage 12: Wartungs- und Instandhaltungskonzept beigefügt wird.</t>
  </si>
  <si>
    <t xml:space="preserve">Kapitel: Instandhaltung, Wiederherstellung und Erneuerung
Fundstelle im PDF: Seite 27</t>
  </si>
  <si>
    <t xml:space="preserve">ANF-905</t>
  </si>
  <si>
    <t xml:space="preserve">§ 29 (3)</t>
  </si>
  <si>
    <t xml:space="preserve">Der Auftragnehmer trägt die Gefahr einer Beschädigung oder Zerstörung der Ladeinfrastruktur.</t>
  </si>
  <si>
    <t xml:space="preserve">Der Auftragnehmer trägt die Gefahr einer Beschädigung oder Zerstörung der Ladeinfrastruktur. Eine Wiederherstellungspflicht des Auftragnehmers bei Beschädigung, Zerstörung oder Beeinträchtigung der Nutzbarkeit infolge höherer Gewalt oder aufgrund von Drittgewalt auf Kosten des Auftragnehmers besteht nur in folgenden Fällen:</t>
  </si>
  <si>
    <t xml:space="preserve">ANF-906</t>
  </si>
  <si>
    <t xml:space="preserve">§ 29 (3) a</t>
  </si>
  <si>
    <t xml:space="preserve">wenn und soweit eine teilweise Wiederherstellung möglich ist, soweit die Kosten für die Wiederherstellung von einer Versicherung gedeckt sind (Zahlungsbestätigung der Versicherung) oder gedeckt …</t>
  </si>
  <si>
    <t xml:space="preserve">wenn und soweit eine teilweise Wiederherstellung möglich ist, soweit die Kosten für die Wiederherstellung von einer Versicherung gedeckt sind (Zahlungsbestätigung der Versicherung) oder gedeckt wären, hätte der Auftragnehmer die nach § 55 abzuschließende Versicherung abgeschlossen und alle Pflichten unter dem Versicherungsvertrag erfüllt. Ein im Versicherungsvertrag vereinbarter Selbstbehalt des Auftragnehmers ist von diesem zu tragen.</t>
  </si>
  <si>
    <t xml:space="preserve">ANF-907</t>
  </si>
  <si>
    <t xml:space="preserve">§ 29 (3) b</t>
  </si>
  <si>
    <t xml:space="preserve">bei Schäden, die nicht zu versichern sind, etwa im Falle von Schäden durch Kratzer, Schrammen, Dellen infolge von Vandalismus/böswilliger Beschädigung an der Ladeinfrastruktur, die nicht entsprechend …</t>
  </si>
  <si>
    <t xml:space="preserve">bei Schäden, die nicht zu versichern sind, etwa im Falle von Schäden durch Kratzer, Schrammen, Dellen infolge von Vandalismus/böswilliger Beschädigung an der Ladeinfrastruktur, die nicht entsprechend nachfolgendem lit. c zu ersetzen sind, wenn der Schaden je Schadenereignis einen Betrag von € 50.000,00 nicht übersteigt. Schadenereignis meint jede Handlung, die den Schaden unmittelbar ausgelöst hat. Hierbei können mehrere Handlungen ein Schadenereignis darstellen, wenn zwischen den einzelnen Handlungen ein sachlicher und zeitlicher Zusammengang besteht.</t>
  </si>
  <si>
    <t xml:space="preserve">ANF-908</t>
  </si>
  <si>
    <t xml:space="preserve">§ 29 (3) c</t>
  </si>
  <si>
    <t xml:space="preserve">bei Drittgewalt, wenn der Schaden den Betrag von € 50.000,00 übersteigt, nur, wenn und – soweit eine teilweise Wiederherstellung möglich ist – soweit verbindlich (z.</t>
  </si>
  <si>
    <t xml:space="preserve">bei Drittgewalt, wenn der Schaden den Betrag von € 50.000,00 übersteigt, nur, wenn und – soweit eine teilweise Wiederherstellung möglich ist – soweit verbindlich (z. B. durch eine entsprechende Kostenübernahmeerklärung oder ein rechtskräftiges Gerichtsurteil) feststeht, dass der Verursacher oder dessen Versicherung die Kosten für den entstandenen Schaden übernimmt. Eine Wiederherstellungspflicht nach diesem Absatz auf Kosten des Auftragnehmers besteht nicht (mehr), wenn und sobald die vom Auftragnehmer nach diesem Absatz zu tragenden Kosten (einschließlich der Selbstbehalte) insgesamt über die gesamte Vertragslaufzeit einen Betrag von € 0,5 Mio. übersteigen. Wenn und soweit eine Instandsetzung, Wiederherstellung bzw. Erneuerung durch den Auftragnehmer auf seine Kosten gemäß den vorstehenden Regelungen ausgeschlossen oder nach Maßgabe von Absatz 7 nicht durchsetzbar ist, werden die darüber hinausgehenden erforderlichen Kosten gemäß den Regelungen für geänderte oder zusätzliche Leistungen gemäß § 40 Abs. 2 erstattet. Die Darlegungs- und Beweislast für Tatsachen, die die Wiederherstellungspflicht ausschließen, trifft den Auftragnehmer.</t>
  </si>
  <si>
    <t xml:space="preserve">ANF-909</t>
  </si>
  <si>
    <t xml:space="preserve">§ 29 (4)</t>
  </si>
  <si>
    <t xml:space="preserve">Jede geplante Wartungs- und Instandhaltungsmaßnahme an der Ladeinfrastruktur, die voraussichtlich eine Ausfallzeit des Ladepunkts bzw. der Ladeeinrichtung von mehr als 15 Minuten zur Folge hat, ist …</t>
  </si>
  <si>
    <t xml:space="preserve">Jede geplante Wartungs- und Instandhaltungsmaßnahme an der Ladeinfrastruktur, die voraussichtlich eine Ausfallzeit des Ladepunkts bzw. der Ladeeinrichtung von mehr als 15 Minuten zur Folge hat, ist im Back-End als geplante Statusänderung einzutragen, sodass es den Endnutzern möglich ist, die Ausfallzeit über einen Kartendienst oder eine Kunden-App einzusehen. Nähere Vorgaben sind Vertragsanlage 10: Leistungsbeschreibung Betrieb zu entnehmen.</t>
  </si>
  <si>
    <t xml:space="preserve">ANF-910</t>
  </si>
  <si>
    <t xml:space="preserve">§ 29 (5)</t>
  </si>
  <si>
    <t xml:space="preserve">Wenn Instandhaltungs- oder Erneuerungsmaßnahmen den Verkehr im öffentlichen Raum beeinträchtigen, wird der Auftragnehmer die Maßnahmen nach Möglichkeit außerhalb der Hauptverkehrszeiten durchführen.</t>
  </si>
  <si>
    <t xml:space="preserve">Wenn Instandhaltungs- oder Erneuerungsmaßnahmen den Verkehr im öffentlichen Raum beeinträchtigen, wird der Auftragnehmer die Maßnahmen nach Möglichkeit außerhalb der Hauptverkehrszeiten durchführen. Als Hauptverkehrszeiten gelten von Montag bis Freitag die Zeiten von 07:00 bis 09:30 Uhr sowie von 15:00 bis 19:00 Uhr.</t>
  </si>
  <si>
    <t xml:space="preserve">ANF-911</t>
  </si>
  <si>
    <t xml:space="preserve">§ 29 (6)</t>
  </si>
  <si>
    <t xml:space="preserve">Der Auftragnehmer ist verpflichtet, soweit erforderlich, während einer baulichen oder sonstigen Maßnahme zur Instandhaltung oder Erneuerung Absicherungen nach den Richtlinien für die Sicherung von …</t>
  </si>
  <si>
    <t xml:space="preserve">Der Auftragnehmer ist verpflichtet, soweit erforderlich, während einer baulichen oder sonstigen Maßnahme zur Instandhaltung oder Erneuerung Absicherungen nach den Richtlinien für die Sicherung von Arbeitsstellen an Straßen (RSA), wie etwa Sperreinrichtungen, aufzustellen, um einen sicheren Verkehr zu gewährleisten. Dazu holt der Auftragnehmer von der zuständigen Straßenverkehrsbehörde eine gegebenenfalls erforderliche verkehrsrechtliche Erlaubnis ein und übernimmt die entsprechende Absicherung. Bei der Ergreifung von Sicherungsmaßnahmen sind alle Belange der Barrierefreiheit und der Verkehrssicherheit zu berücksichtigen bzw. einzuhalten.</t>
  </si>
  <si>
    <t xml:space="preserve">ANF-912</t>
  </si>
  <si>
    <t xml:space="preserve">§ 29 (7)</t>
  </si>
  <si>
    <t xml:space="preserve">Der Auftragnehmer ist verpflichtet, alle ihm zur Verfügung stehenden Rechtsmittel und Zwangsvollstreckungsmaßnahmen zur Durchsetzung etwaiger Schadensersatzansprüche gegen Dritte auf eigene Kosten …</t>
  </si>
  <si>
    <t xml:space="preserve">Der Auftragnehmer ist verpflichtet, alle ihm zur Verfügung stehenden Rechtsmittel und Zwangsvollstreckungsmaßnahmen zur Durchsetzung etwaiger Schadensersatzansprüche gegen Dritte auf eigene Kosten auszuschöpfen, soweit bei wirtschaftlich angemessenen Bemühungen hinreichende Aussicht auf Erfolg besteht. Der Auftragnehmer hat dies dem Auftraggeber 2 auf Verlangen nachzuweisen, es sei denn der Auftraggeber 1 verzichtet durch Erklärung gegenüber dem Auftragnehmer darauf, dass der Auftragnehmer dies tut. Die Auftraggeber werden etwaige gegenüber Dritten aufgrund der Zerstörung oder Beschädigung der Ladeinfrastruktur bestehende Ansprüche an den Auftragnehmer abtreten.</t>
  </si>
  <si>
    <t xml:space="preserve">ANF-913</t>
  </si>
  <si>
    <t xml:space="preserve">§ 29 (8)</t>
  </si>
  <si>
    <t xml:space="preserve">Werden Maßnahmen erforderlich, die eine Genehmigung nach § 4 FStrG erfordern, holt der Auftragnehmer diese Genehmigung vor Beginn der Ausführung der Arbeiten von der zuständigen Behörde ein.</t>
  </si>
  <si>
    <t xml:space="preserve">Werden Maßnahmen erforderlich, die eine Genehmigung nach § 4 FStrG erfordern, holt der Auftragnehmer diese Genehmigung vor Beginn der Ausführung der Arbeiten von der zuständigen Behörde ein. ABSCHNITT 5 ZUGANG ZU LADEEINRICHTUNGEN UND ZUGANGSENTGELTE; DURCHLEITUNGSMODELL</t>
  </si>
  <si>
    <t xml:space="preserve">ANF-914</t>
  </si>
  <si>
    <t xml:space="preserve">§ 30 (1)</t>
  </si>
  <si>
    <t xml:space="preserve">Der Auftragnehmer ist verpflichtet, Endnutzern und anderen Mobilitätsdienstleistern diskriminierungsfrei Zugang zur Ladeinfrastruktur gegen Zahlung eines Entgelts zu gewähren.</t>
  </si>
  <si>
    <t xml:space="preserve">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t>
  </si>
  <si>
    <t xml:space="preserve">Kapitel: Bereitstellung der Ladeinfrastruktur
Fundstelle im PDF: Seite 28</t>
  </si>
  <si>
    <t xml:space="preserve">ANF-915</t>
  </si>
  <si>
    <t xml:space="preserve">§ 30 (2)</t>
  </si>
  <si>
    <t xml:space="preserve">Der Zugang erfolgt durch die Bereitstellung von Ladestrom für Endnutzer im Rahmen des Adhoc-Ladens § 31, gegenüber Mobilitätsdienstleistern für deren Kunden auf Grundlage bilateraler Verträge und …</t>
  </si>
  <si>
    <t xml:space="preserve">Der Zugang erfolgt durch die Bereitstellung von Ladestrom für Endnutzer im Rahmen des Adhoc-Ladens § 31, gegenüber Mobilitätsdienstleistern für deren Kunden auf Grundlage bilateraler Verträge und über E-Roaming-Plattformen mit bilanzieller Bereitstellung der geladenen Strommengen durch den Auftragnehmer (vgl. § 33). Zudem ist Mobilitätsdienstleistern für deren Kunden der Zugang zur Infrastruktur auch im Rahmen des Durchleitungsmodells nach § 34 zu gewähren. In diesem Fall ist die Bereitstellung des geladenen Stroms in einem Bilanzkreis des Mobilitätsdienstleisters oder eines von ihm beauftragten Dritten sicherzustellen.</t>
  </si>
  <si>
    <t xml:space="preserve">ANF-916</t>
  </si>
  <si>
    <t xml:space="preserve">§ 30 (3)</t>
  </si>
  <si>
    <t xml:space="preserve">Der Auftragnehmer kann ein Blockadeentgelt nach § 38 erheben.</t>
  </si>
  <si>
    <t xml:space="preserve">Der Auftragnehmer kann ein Blockadeentgelt nach § 38 erheben. Das Blockadeentgelt ist diskriminierungsfrei von allen Endnutzern und Mobilitätsdienstleistern zu erheben.</t>
  </si>
  <si>
    <t xml:space="preserve">ANF-917</t>
  </si>
  <si>
    <t xml:space="preserve">§ 31 (2)</t>
  </si>
  <si>
    <t xml:space="preserve">Bargeldlose Zahlungen müssen entsprechend den Vorgaben der AFIR ermöglicht werden (vgl.</t>
  </si>
  <si>
    <t xml:space="preserve">Bargeldlose Zahlungen müssen entsprechend den Vorgaben der AFIR ermöglicht werden (vgl. Vertragsanlage 6: Anforderungen an die Ladeinfrastruktur). Zusätzliche Authentifizierungsund Zahlungsmöglichkeiten können den Endnutzern kostenlos eingeräumt werden Die Menüführung bei Authentifizierung und Zahlung muss mindestens in den Sprachen Deutsch und Englisch ermöglicht werden.</t>
  </si>
  <si>
    <t xml:space="preserve">Kapitel: Ad-hoc-Laden
Fundstelle im PDF: Seite 29</t>
  </si>
  <si>
    <t xml:space="preserve">ANF-918</t>
  </si>
  <si>
    <t xml:space="preserve">§ 31 (3)</t>
  </si>
  <si>
    <t xml:space="preserve">Mögliche Ad-hoc-Bezahlverfahren müssen dem Endnutzer in geeigneter Weise angezeigt werden.</t>
  </si>
  <si>
    <t xml:space="preserve">Mögliche Ad-hoc-Bezahlverfahren müssen dem Endnutzer in geeigneter Weise angezeigt werden. Die Varianten zum browserbasierten bzw. zum webbasierten Bezahlen sind dem Endnutzer auf geeignete, niederschwellige und sichere Weise (z. B. über einen sicheren QR-Code) zugänglich zu machen. Ein QR-Code muss für den Endnutzer gut sichtbar sein und muss, etwa als spezifischer QR-Code, gegen Verfälschung2 geschützt sein. Zur Nutzung der Ladeeinrichtung scannt der Endnutzer den QR-Code mit seinem Smartphone ein und wird auf eine mobile Website oder zur webbasierten Anwendung weitergeleitet. Mittels der mobilen Website muss ein durchschnittlicher Endnutzer den Ladevorgang bei ordnungsgemäßer Bedienung innerhalb von 90 Sekunden in Gang setzen können.</t>
  </si>
  <si>
    <t xml:space="preserve">ANF-919</t>
  </si>
  <si>
    <t xml:space="preserve">§ 31 (4)</t>
  </si>
  <si>
    <t xml:space="preserve">Um für Benutzer von Ladepunkten Preistransparenz zu gewährleisten, muss das Entgelt für das Ad-hoc-Laden an der Ladeeinrichtung angegeben werden.</t>
  </si>
  <si>
    <t xml:space="preserve">Um für Benutzer von Ladepunkten Preistransparenz zu gewährleisten, muss das Entgelt für das Ad-hoc-Laden an der Ladeeinrichtung angegeben werden. Erfolgt die Zahlung über ein Bezahlterminal, so ist das Entgelt gleichwohl unmittelbar an der Ladeeinrichtung anzuzeigen. Setzt sich das Entgelt aus mehreren Bestandteilen zusammen (z. B. der Preis pro kWh für den gelieferten Strom, Nutzungsentgelte wie Blockadeentgelt etc.), sind diese an der Ladeeinrichtung separat auszuweisen. Im Fall der browserbasierten bzw. webbasierten Begleichung des Ad-hoc-Preises muss der Ad-hoc-Preis spätestens vor der Einleitung des Ladevorgangs angegeben werden. Das Ausweisen der Ad-hoc-Ladekonditionen ausschließlich über eine Smartphone-App ist nicht zulässig.</t>
  </si>
  <si>
    <t xml:space="preserve">Authentifizierungskomponente / Abrechnungskomponente / Ladeeinrichtung</t>
  </si>
  <si>
    <t xml:space="preserve">ANF-920</t>
  </si>
  <si>
    <t xml:space="preserve">§ 32 (1)</t>
  </si>
  <si>
    <t xml:space="preserve">Der Ad-hoc-Preis muss angemessen und transparent sein.</t>
  </si>
  <si>
    <t xml:space="preserve">Der Ad-hoc-Preis muss angemessen und transparent sein. Er ist diskriminierungsfrei von allen Endnutzern zu erheben. Der Ad-hoc-Preis ist in Euro pro kWh auszuweisen.</t>
  </si>
  <si>
    <t xml:space="preserve">Kapitel: Ad-hoc-Preis
Fundstelle im PDF: Seite 29</t>
  </si>
  <si>
    <t xml:space="preserve">ANF-921</t>
  </si>
  <si>
    <t xml:space="preserve">§ 32 (2)</t>
  </si>
  <si>
    <t xml:space="preserve">Der Ad-hoc-Preis muss grundsätzlich dem Entgelt entsprechen, das einem Mobilitätsdienstleister für eine vergleichbare Leistung abgerechnet würde, eine Differenzierung ist nur zulässig, wenn diese …</t>
  </si>
  <si>
    <t xml:space="preserve">Der Ad-hoc-Preis muss grundsätzlich dem Entgelt entsprechen, das einem Mobilitätsdienstleister für eine vergleichbare Leistung abgerechnet würde, eine Differenzierung ist nur zulässig, wenn diese verhältnismäßig und objektiv gerechtfertigt ist, zum Beispiel aufgrund eines höheren oder 2 Künftige gesetzliche Regelungen, die Anforderungen an das Schutzniveau festlegen, sind zu beachten. geringeren Abwicklungsaufwand. Der Ad-hoc-Preis kann an den Standorten unterschiedlich hoch sein.</t>
  </si>
  <si>
    <t xml:space="preserve">ANF-922</t>
  </si>
  <si>
    <t xml:space="preserve">§ 32 (3)</t>
  </si>
  <si>
    <t xml:space="preserve">Das an den Auftraggeber 2 abzuführende Infrastrukturentgelt gemäß § 46 ist Teil der Kalkulation des Ad-hoc-Preises durch den Auftragnehmer.</t>
  </si>
  <si>
    <t xml:space="preserve">ANF-923</t>
  </si>
  <si>
    <t xml:space="preserve">§ 32 (4)</t>
  </si>
  <si>
    <t xml:space="preserve">Es ist dem Auftragnehmer untersagt, von Endnutzern einen Ad-hoc-Preis zu erheben, der marktunüblich und unangemessen i.</t>
  </si>
  <si>
    <t xml:space="preserve">Es ist dem Auftragnehmer untersagt, von Endnutzern einen Ad-hoc-Preis zu erheben, der marktunüblich und unangemessen i. S. v. Rn. 216 der Leitlinien für staatliche Klima-, Umweltschutzund Energiebeihilfen 2022 (KUEBLL) und den einschlägigen zivil- und kartellrechtlichen Regelungen ist. Es ist dem Auftragnehmer insbesondere untersagt, eine marktbeherrschende Stellung bei der Preisfestsetzung zu missbrauchen.</t>
  </si>
  <si>
    <t xml:space="preserve">ANF-924</t>
  </si>
  <si>
    <t xml:space="preserve">§ 32 (5)</t>
  </si>
  <si>
    <t xml:space="preserve">Der Auftragnehmer ist verpflichtet, den Auftraggebern auf Verlangen während der Laufzeit des Vertrags Auskunft über die Höhe seines Ad-hoc-Preises zu erteilen.</t>
  </si>
  <si>
    <t xml:space="preserve">Der Auftragnehmer ist verpflichtet, den Auftraggebern auf Verlangen während der Laufzeit des Vertrags Auskunft über die Höhe seines Ad-hoc-Preises zu erteilen. Auf Nachfrage der Auftraggeber (mindestens in Textform) hat der Auftragnehmer die Marktgerechtigkeit und Angemessenheit des Ad-hoc-Preises unter Bezugnahme auf relevanten Kosten und das Marktumfeld innerhalb von 10 Werktagen nachvollziehbar zu begründen. Nachfragen der Auftraggeber (mindestens in Textform) zu einzelnen Aspekten der Begründung wird der Auftragnehmer innerhalb von 10 Werktagen beantworten.</t>
  </si>
  <si>
    <t xml:space="preserve">ANF-925</t>
  </si>
  <si>
    <t xml:space="preserve">§ 32 (6)</t>
  </si>
  <si>
    <t xml:space="preserve">Halten die Auftraggeber die Höhe des Ad-hoc-Preises dennoch – trotz der Darlegung und Plausibilisierung durch den Auftragnehmer gemäß Absatz 5 – für unangemessen bzw. marktunüblich, insbesondere weil …</t>
  </si>
  <si>
    <t xml:space="preserve">Halten die Auftraggeber die Höhe des Ad-hoc-Preises dennoch – trotz der Darlegung und Plausibilisierung durch den Auftragnehmer gemäß Absatz 5 – für unangemessen bzw. marktunüblich, insbesondere weil der Ad-hoc-Preis signifikant über denen von Anbietern strukturell vergleichbarer Ladeinfrastruktur oder über den Kosten für den Aufbau vergleichbarer Ladeinfrastruktur unter Berücksichtigung von Investitions-, Kapital- und Betriebskosten liegen, können die Auftraggeber den Vorgang bei der zuständigen Kartellbehörde zur Anzeige bringen, damit die zuständige Kartellbehörde für die Parteien verbindlich feststellen kann, ob der Ad-hoc-Preis marktunüblich und unangemessen ist. Dabei ist ihnen eine Offenlegung der insoweit maßgeblichen Informationen gegenüber der zuständigen Kartellbehörde gestattet.</t>
  </si>
  <si>
    <t xml:space="preserve">ANF-926</t>
  </si>
  <si>
    <t xml:space="preserve">§ 32 (7)</t>
  </si>
  <si>
    <t xml:space="preserve">Der Auftragnehmer ist berechtigt, den Ad-hoc-Preis anzupassen und eine Systematik zur flexiblen Festsetzung des Ad-hoc-Preises (etwa durch Kopplung an kurzfristige Energiepreise) zu erstellen.</t>
  </si>
  <si>
    <t xml:space="preserve">Der Auftragnehmer ist berechtigt, den Ad-hoc-Preis anzupassen und eine Systematik zur flexiblen Festsetzung des Ad-hoc-Preises (etwa durch Kopplung an kurzfristige Energiepreise) zu erstellen. Dabei muss sichergestellt werden, dass auch Kostenentlastungen zeitnah und angemessen preiswirksam werden. Sofern dies nicht automatisiert erfolgt, ist der Auftragnehmer verpflichtet, die Systematik anzupassen.</t>
  </si>
  <si>
    <t xml:space="preserve">ANF-927</t>
  </si>
  <si>
    <t xml:space="preserve">§ 33 (1)</t>
  </si>
  <si>
    <t xml:space="preserve">Der Auftragnehmer ist verpflichtet, Mobilitätsdienstleistern für deren Kunden den Zugang zur Ladeinfrastruktur diskriminierungsfrei sowie zu angemessenen und transparenten Bedingungen zu ermöglichen.</t>
  </si>
  <si>
    <t xml:space="preserve">Der Auftragnehmer ist verpflichtet, Mobilitätsdienstleistern für deren Kunden den Zugang zur Ladeinfrastruktur diskriminierungsfrei sowie zu angemessenen und transparenten Bedingungen zu ermöglichen. Dessen ungeachtet kann dem Auftragnehmer die Gewährung des Zugangs zur Ladeinfrastruktur nicht zumutbar sein (z. B. aufgrund negativer Bonität des Mobilitätsdienstleisters). Die Pflicht nach Satz 1 gilt auch, wenn und soweit der Auftragnehmer selbst als Mobilitätsdienstleister auftritt.</t>
  </si>
  <si>
    <t xml:space="preserve">Kapitel: Zugang für Mobilitätsdienstleister / Vertragsstrafe bei Nichtgewährung des Zugangs
Fundstelle im PDF: Seite 30</t>
  </si>
  <si>
    <t xml:space="preserve">ANF-928</t>
  </si>
  <si>
    <t xml:space="preserve">§ 33 (2)</t>
  </si>
  <si>
    <t xml:space="preserve">Der Zugang erfolgt mit bilanzieller Bereitstellung der geladenen Strommengen oder nach Maßgabe der besonderen Voraussetzungen des § 34 im Wege des Durchleitungsmodells ohne bilanzielle Bereitstellung …</t>
  </si>
  <si>
    <t xml:space="preserve">Der Zugang erfolgt mit bilanzieller Bereitstellung der geladenen Strommengen oder nach Maßgabe der besonderen Voraussetzungen des § 34 im Wege des Durchleitungsmodells ohne bilanzielle Bereitstellung der geladenen Strommengen. Die vom Auftragnehmer betriebenen Ladepunkte sind Mobilitätsdienstleistern über bilaterale Verträge und/oder E-Roaming-Plattformen (vgl. § 35) zugänglich zu machen.</t>
  </si>
  <si>
    <t xml:space="preserve">ANF-929</t>
  </si>
  <si>
    <t xml:space="preserve">§ 33 (3)</t>
  </si>
  <si>
    <t xml:space="preserve">Verstößt der Auftragnehmer gegen die Pflicht nach Absatz 1 Satz 1 i.</t>
  </si>
  <si>
    <t xml:space="preserve">Verstößt der Auftragnehmer gegen die Pflicht nach Absatz 1 Satz 1 i. V. m. Absatz 2 wird für jeden Kalendertag eine Vertragsstrafe in Höhe von € 2.500,00 fällig. Die Höhe der Vertragsstrafe ist für ein Kalenderjahr auf einen Betrag von € 40.000,00 begrenzt. Ein Verstoß gegen die Pflichten nach Absatz 1 Satz 1 i. V. m. Absatz 2 liegt insbesondere vor, wenn</t>
  </si>
  <si>
    <t xml:space="preserve">ANF-930</t>
  </si>
  <si>
    <t xml:space="preserve">§ 33 (3) a</t>
  </si>
  <si>
    <t xml:space="preserve">der Auftragnehmer den Zugang zur Ladeinfrastruktur im Wege des Durchleitungsmodells nicht ermöglicht (etwa, weil er die hierfür erforderlichen Maßnahmen nach § 2 Abs.</t>
  </si>
  <si>
    <t xml:space="preserve">der Auftragnehmer den Zugang zur Ladeinfrastruktur im Wege des Durchleitungsmodells nicht ermöglicht (etwa, weil er die hierfür erforderlichen Maßnahmen nach § 2 Abs. 4 der Vertragsanlage 13: Bilanzierung Durchleitungsmodell nicht unternimmt und/oder während der Laufzeit des Vertrags nicht sicherstellt), oder</t>
  </si>
  <si>
    <t xml:space="preserve">ANF-931</t>
  </si>
  <si>
    <t xml:space="preserve">§ 33 (3) b</t>
  </si>
  <si>
    <t xml:space="preserve">der Auftragnehmer den Zugang für einzelne Mobilitätsdienstleister trotz Zumutbarkeit nicht gewährleistet.</t>
  </si>
  <si>
    <t xml:space="preserve">der Auftragnehmer den Zugang für einzelne Mobilitätsdienstleister trotz Zumutbarkeit nicht gewährleistet. In dem Fall fällt die Vertragsstrafe erst an, wenn der Auftragnehmer die Diskriminierung trotz Aufforderung des Auftraggebers 2 in Textform, in der die Diskriminierung darzulegen ist, nicht unverzüglich abstellt.</t>
  </si>
  <si>
    <t xml:space="preserve">ANF-932</t>
  </si>
  <si>
    <t xml:space="preserve">§ 34 (1)</t>
  </si>
  <si>
    <t xml:space="preserve">Der Auftragnehmer ist verpflichtet, nach Wahl des Mobilitätsdienstleisters für die Nutzung im Rahmen des Durchleitungsmodells eine bilanzielle Zuordnung der geladenen Strommengen nach Maßgabe der …</t>
  </si>
  <si>
    <t xml:space="preserve">Der Auftragnehmer ist verpflichtet, nach Wahl des Mobilitätsdienstleisters für die Nutzung im Rahmen des Durchleitungsmodells eine bilanzielle Zuordnung der geladenen Strommengen nach Maßgabe der Anlage 6 der Festlegung BK6-20-160 zur Weiterentwicklung der Netzzugangsbedingungen Strom der Bundesnetzagentur vom 21. Dezember 2020 (Netzzugangsregeln zur Ermöglichung einer ladevorgangscharfen bilanziellen Energiemengenzuordnung für Elektromobilität (NZR-EMob)) zu einem vom Mobilitätsdienstleister benannten Bilanzkonto zu ermöglichen. Der vom Auftragnehmer vertraglich gewährte Zugang zur Ladeinfrastruktur beinhaltet daher nicht die bilanzielle Bereitstellung der vom jeweiligen Endnutzer geladenen Strommengen, für die sein Mobilitätsdienstleister selbst Sorge tragen muss.</t>
  </si>
  <si>
    <t xml:space="preserve">Kapitel: Durchleitungsmodell
Fundstelle im PDF: Seite 31</t>
  </si>
  <si>
    <t xml:space="preserve">ANF-933</t>
  </si>
  <si>
    <t xml:space="preserve">§ 34 (2)</t>
  </si>
  <si>
    <t xml:space="preserve">Der Auftragnehmer wird zur Ermöglichung des Durchleitungsmodells mit den jeweiligen Anschlussnetzbetreibern der Standorte die erforderlichen Vereinbarungen schließen.</t>
  </si>
  <si>
    <t xml:space="preserve">Der Auftragnehmer wird zur Ermöglichung des Durchleitungsmodells mit den jeweiligen Anschlussnetzbetreibern der Standorte die erforderlichen Vereinbarungen schließen. Den Auftragnehmer treffen alle Pflichten eines aggregationsverantwortlichen Netzbetreibers. Er ist verantwortlich für die Bildung der Netzzeitreihe und die Zuordnung der Energiemengen zu den jeweiligen Bilanzkonten. Dazu muss der Auftragnehmer bzw. ein Erfüllungsgehilfe die Regelungen der MaBiS anwenden und im Wege der elektronischen Marktkommunikation nach der vom BDEW veröffentlichten „Anwendungshilfe zum Modell 2 zur ladevorgangsscharfen bilanziellen Energiemengenzuordnungsmöglichkeit“ in der jeweils geltenden Fassung kommunizieren.</t>
  </si>
  <si>
    <t xml:space="preserve">ANF-934</t>
  </si>
  <si>
    <t xml:space="preserve">§ 34 (3)</t>
  </si>
  <si>
    <t xml:space="preserve">Voraussetzung der Wahl des Durchleitungsmodells ist, dass eine entsprechende Vereinbarung über die separate Bilanzierung (vgl.</t>
  </si>
  <si>
    <t xml:space="preserve">Voraussetzung der Wahl des Durchleitungsmodells ist, dass eine entsprechende Vereinbarung über die separate Bilanzierung (vgl. Vertragsanlage 13: Bilanzierung Durchleitungsmodell) getroffen wurde oder ein Dritter, der eine entsprechende Vereinbarung geschlossen hat, gegenüber dem Auftragnehmer eine Zuordnungsvereinbarung entsprechend Vertragsanlage 13: Bilanzierung Durchleitungsmodell erteilt hat.</t>
  </si>
  <si>
    <t xml:space="preserve">ANF-935</t>
  </si>
  <si>
    <t xml:space="preserve">§ 34 (4)</t>
  </si>
  <si>
    <t xml:space="preserve">Wird an einem Standort ein die Anschlusskapazität teilweise ersetzender Speicher aufgestellt (vgl. § 49), so hat der Auftragnehmer sicherzustellen, dass die im Wege des Durchleitungsmodells …</t>
  </si>
  <si>
    <t xml:space="preserve">Wird an einem Standort ein die Anschlusskapazität teilweise ersetzender Speicher aufgestellt (vgl. § 49),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</si>
  <si>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ANF-936</t>
  </si>
  <si>
    <t xml:space="preserve">§ 34 (5)</t>
  </si>
  <si>
    <t xml:space="preserve">Hat der Auftragnehmer für die Umsetzung des Durchleitungsmodells einen Nachunternehmer beauftragt und stellt dieser seine Tätigkeit ein oder erfolgt eine außerordentliche Kündigung, wird die …</t>
  </si>
  <si>
    <t xml:space="preserve">Hat der Auftragnehmer für die Umsetzung des Durchleitungsmodells einen Nachunternehmer beauftragt und stellt dieser seine Tätigkeit ein oder erfolgt eine außerordentliche Kündigung, wird die Verpflichtung nach diesem Paragrafen ausgesetzt. Satz 1 gilt, bis der Auftragnehmer sich einen neuen Dienstleister zu angemessenen wirtschaftlichen und rechtlichen Bedingungen nehmen kann oder er die Umsetzung selbst gewährleisten kann, längstens jedoch für einen Zeitraum von 6 Monaten. Der Auftragnehmer ist verpflichtet, dem Auftraggeber 2 die Aussetzung und Wiederaufnahme des Durchleitungsmodells nach diesem Absatz unverzüglich schriftlich anzeigen. Der Auftragnehmer hat die Gründe, die zu einer Aussetzung der Verpflichtungen nach diesem Paragrafen geführt haben, nachvollziehbar darzulegen; insbesondere hat der Auftragnehmer darzulegen, dass der Nachunternehmer unter Anwendung der Sorgfalt eines ordentlichen Kaufmanns ausgewählt wurde und, dass der Auftragnehmer vernünftige Anstrengungen unternommen hat, um seine Verpflichtung zur Umsetzung des Durchleitungsmodells erbringen zu können.</t>
  </si>
  <si>
    <t xml:space="preserve">ANF-937</t>
  </si>
  <si>
    <t xml:space="preserve">§ 35 (1)</t>
  </si>
  <si>
    <t xml:space="preserve">Der Auftragnehmer hat – während der gesamten Laufzeit dieses Vertrags – die Anbindung an mindestens eine der in der Bundesrepublik Deutschland tätigen zwei größten E-Roaming-Plattformen (größte Zahl …</t>
  </si>
  <si>
    <t xml:space="preserve">Der Auftragnehmer hat – während der gesamten Laufzeit dieses Vertrags – die Anbindung an mindestens eine der in der Bundesrepublik Deutschland tätigen zwei größten E-Roaming-Plattformen (größte Zahl in der Bundesrepublik angebundener Ladepunkte) sicherzustellen. Sofern sich ein abweichender Marktstandard für die Vermittlung von Ladepunkten für E-Lkw entwickelt, kann von Satz 1 mit Zustimmung des Auftraggebers 2 abgewichen werden.</t>
  </si>
  <si>
    <t xml:space="preserve">Kapitel: Anbindung an E-Roaming-Plattformen; Authentifizierung
Fundstelle im PDF: Seite 31</t>
  </si>
  <si>
    <t xml:space="preserve">ANF-938</t>
  </si>
  <si>
    <t xml:space="preserve">§ 35 (2)</t>
  </si>
  <si>
    <t xml:space="preserve">Sofern der Auftragnehmer die Nutzung von Bedingungen abhängig macht, die die Kunden des Mobilitätsdienstleisters als Endnutzer akzeptieren müssen, müssen diese ebenfalls angemessen und …</t>
  </si>
  <si>
    <t xml:space="preserve">Sofern der Auftragnehmer die Nutzung von Bedingungen abhängig macht, die die Kunden des Mobilitätsdienstleisters als Endnutzer akzeptieren müssen, müssen diese ebenfalls angemessen und diskriminierungsfrei sein.</t>
  </si>
  <si>
    <t xml:space="preserve">ANF-939</t>
  </si>
  <si>
    <t xml:space="preserve">§ 35 (3)</t>
  </si>
  <si>
    <t xml:space="preserve">Endnutzern von E-Lkw in der Bundesrepublik Deutschland soll das Laden betreiberübergreifend,</t>
  </si>
  <si>
    <t xml:space="preserve">ANF-940</t>
  </si>
  <si>
    <t xml:space="preserve">§ 35 (3) d</t>
  </si>
  <si>
    <t xml:space="preserve">h. bei allen Auftragnehmern, die im Rahmen der Ausschreibung für Standorte entlang der Bundesautobahn den Zuschlag auf ein Los erhalten haben, einfach möglich sein.</t>
  </si>
  <si>
    <t xml:space="preserve">h. bei allen Auftragnehmern, die im Rahmen der Ausschreibung für Standorte entlang der Bundesautobahn den Zuschlag auf ein Los erhalten haben, einfach möglich sein. Die Möglichkeiten der Authentifizierung müssen daher für jeden Ladepunkt entsprechend Vertragsanlage 6: Anforderungen an die Ladeinfrastruktur ausgestaltet sein.</t>
  </si>
  <si>
    <t xml:space="preserve">ANF-941</t>
  </si>
  <si>
    <t xml:space="preserve">§ 35 (4)</t>
  </si>
  <si>
    <t xml:space="preserve">Jede Ladeeinrichtung muss über ein RFID-Kartenlesegerät entsprechend der Vertragsanlage 6: Anforderungen an die Ladeinfrastruktur verfügen, mit dem sich Endnutzer mittels eines gängigen RFID-fähigen …</t>
  </si>
  <si>
    <t xml:space="preserve">Jede Ladeeinrichtung muss über ein RFID-Kartenlesegerät entsprechend der Vertragsanlage 6: Anforderungen an die Ladeinfrastruktur verfügen, mit dem sich Endnutzer mittels eines gängigen RFID-fähigen Mediums authentifizieren können.</t>
  </si>
  <si>
    <t xml:space="preserve">ANF-942</t>
  </si>
  <si>
    <t xml:space="preserve">§ 35 (5)</t>
  </si>
  <si>
    <t xml:space="preserve">Die Authentifizierung muss zudem über Mobile Apps von Mobilitätsdienstleistern möglich sein.</t>
  </si>
  <si>
    <t xml:space="preserve">Die Authentifizierung muss zudem über Mobile Apps von Mobilitätsdienstleistern möglich sein. Der Auftragnehmer muss dazu die Voraussetzungen gemäß Vertragsanlage 6: Anforderungen an die Ladeinfrastruktur erfüllen.</t>
  </si>
  <si>
    <t xml:space="preserve">ANF-943</t>
  </si>
  <si>
    <t xml:space="preserve">§ 35 (6)</t>
  </si>
  <si>
    <t xml:space="preserve">Die Ladeeinrichtungen des Auftragnehmers sind auf seine Kosten gemäß derzeit geltender folgender Standards auszurüsten: DIN EN ISO 15118-1:2019 ‘Teil 1: Allgemeine Informationen und Festlegungen der …</t>
  </si>
  <si>
    <t xml:space="preserve">Die Ladeeinrichtungen des Auftragnehmers sind auf seine Kosten gemäß derzeit geltender folgender Standards auszurüsten: DIN EN ISO 15118-1:2019 ‘Teil 1: Allgemeine Informationen und Festlegungen der Anwendungsfälle’, DIN EN ISO 15118-2:2016 ‘Teil 2: Anforderungen an das Netzwerk- und Anwendungsprotokoll‘, DIN EN ISO 15118-3:2016 ‘Teil 3: Anforderungen an physikalische- und Datenverbindungsschnittstelle’, DIN EN ISO 15118-4:2019 ‘Teil 4: Konformitätsprüfungen für das Netzwerk- und Anwendungsprotokoll’ und DIN EN ISO 15118-5:2019 ‘Teil 5: Konformitätsprüfungen für die physikalische und Datenverbindungsschnittstelle’ auszurüsten, sodass eine Authentifizierung unter Anwendung des Standards möglich wäre. Ab dem 1. Januar 2027 sind die Ladeeinrichtungen zusätzlich mit dem Standard DIN EN ISO 15118-20:2022 ‘Teil 20: Anforderungen der 2. Generation an das Netzwerk- und Anwendungsprotokoll’ auszurüsten. Dafür hat er die Vorbereitungen gemäß Vertragsanlage 6: Anforderungen an die Ladeinfrastruktur zu treffen. Im Fall einer Änderung der Standards gilt § 41.</t>
  </si>
  <si>
    <t xml:space="preserve">ANF-944</t>
  </si>
  <si>
    <t xml:space="preserve">§ 35 (7)</t>
  </si>
  <si>
    <t xml:space="preserve">Der Auftragnehmer kann für die Zwecke der Authentifizierung von Endnutzern davon ausgehen, dass an jedem Standort eine 4 G Mobilfunkabdeckung vorhanden ist.</t>
  </si>
  <si>
    <t xml:space="preserve">ANF-945</t>
  </si>
  <si>
    <t xml:space="preserve">§ 36 (1)</t>
  </si>
  <si>
    <t xml:space="preserve">Der Auftragnehmer wird Zugangsentgelte gegenüber Mobilitätsdienstleistern diskriminierungsfrei nach grundsätzlich gleichen Bedingungen erheben.</t>
  </si>
  <si>
    <t xml:space="preserve">Kapitel: Zugangsentgelte bei bilanzieller Bereitstellung der entnommenen Strommengen
Fundstelle im PDF: Seite 32
Zuordnung prüfen (Komponente/Partner nicht eindeutig)</t>
  </si>
  <si>
    <t xml:space="preserve">ANF-946</t>
  </si>
  <si>
    <t xml:space="preserve">§ 36 (2)</t>
  </si>
  <si>
    <t xml:space="preserve">Zugangsentgelte müssen marktüblich und angemessen sein.</t>
  </si>
  <si>
    <t xml:space="preserve">Zugangsentgelte müssen marktüblich und angemessen sein. Das an den Auftraggeber 2 abzuführende Infrastrukturentgelt gemäß § 46 ist Teil der Kalkulation des Zugangsentgelts durch den Auftragnehmer. Eine preisliche Differenzierung gegenüber dem Ad-hoc-Preis gemäß § 32 ist nur statthaft, soweit dies insbesondere durch einen geringeren oder höheren Abwicklungsaufwand der Leistungsbeziehung mit einem Mobilitätsdienstleister sachlich gerechtfertigt ist.</t>
  </si>
  <si>
    <t xml:space="preserve">Kapitel: Zugangsentgelte bei bilanzieller Bereitstellung der entnommenen Strommengen
Fundstelle im PDF: Seite 32</t>
  </si>
  <si>
    <t xml:space="preserve">ANF-947</t>
  </si>
  <si>
    <t xml:space="preserve">§ 36 (3)</t>
  </si>
  <si>
    <t xml:space="preserve">Unterschiedliche Zugangsentgelte gegenüber Mobilitätsdienstleistern bedürfen einer sachlichen Rechtfertigung entsprechend § 19 Abs.</t>
  </si>
  <si>
    <t xml:space="preserve">Unterschiedliche Zugangsentgelte gegenüber Mobilitätsdienstleistern bedürfen einer sachlichen Rechtfertigung entsprechend § 19 Abs. 2 Nr. 1, Nr. 4 GWB. Sie muss mit den Zielen des Schnellladegesetzes, insbesondere § 3 Schnelladegesetz, in Einklang stehen und ist dem Auftraggeber im Rahmen des monatlichen Reporting nach § 64 begründet darzulegen. Eine sachliche Rechtfertigung kann insbesondere in unterschiedlichen Abwicklungsaufwänden begründet liegen, beispielsweise, • wenn der Abwicklungsaufwand mit einem Mobilitätsdienstleister aufgrund einer Vielzahl von Ladevorgängen geringer ist oder • wenn ein Auftragnehmer ein geringeres Zugangsentgelt verlangt, weil sich der Mobilitätsdienstleister direkt anbindet, sodass Roaming-Kosten nicht anfallen. Kein sachlicher Grund liegt beispielsweise vor, wenn der Auftragnehmer, der gleichzeitig Mobilitätsdienstleister ist, ein geringeres Zugangsentgelt erhebt, weil der Mobilitätsdienstleister zugleich Ladepunktbetreiber ist und sich wechselseitig günstigere Bedingungen eingeräumt werden (Benachteiligung vertikal nicht integrierter Mobilitätsdienstleister) oder wenn der Mobilitätsdienstleister sonstige Leistungen erbringt, die auch separat abgegolten werden können (z. B. Lieferung von Daten zum Benchmarking der Ladepunkte des Auftragnehmers im Vergleich zu Ladepunkten anderer Anbieter). Ein sachlicher Grund liegt auch nicht in Mengenrabatten oder Auslastungszusicherungen.</t>
  </si>
  <si>
    <t xml:space="preserve">ANF-948</t>
  </si>
  <si>
    <t xml:space="preserve">§ 36 (4)</t>
  </si>
  <si>
    <t xml:space="preserve">Soweit der Auftragnehmer oder ein mit ihm verbundenes Unternehmen zugleich Mobilitätsdienstleister ist, darf er seine besondere Marktstellung bei der Gestaltung der Zugangsentgelte und/oder der …</t>
  </si>
  <si>
    <t xml:space="preserve">Soweit der Auftragnehmer oder ein mit ihm verbundenes Unternehmen zugleich Mobilitätsdienstleister ist, darf er seine besondere Marktstellung bei der Gestaltung der Zugangsentgelte und/oder der Entgelte als Mobilitätsdienstleister nicht missbräuchlich ausnutzen.</t>
  </si>
  <si>
    <t xml:space="preserve">ANF-949</t>
  </si>
  <si>
    <t xml:space="preserve">§ 36 (5)</t>
  </si>
  <si>
    <t xml:space="preserve">Der Auftragnehmer ist verpflichtet, im Rahmen des monatlichen Reportings nach Maßgabe der Vertragsanlage 10: Leistungsbeschreibung Betrieb die Dritten oder intern oder einem verbundenen Unternehmen …</t>
  </si>
  <si>
    <t xml:space="preserve">Der Auftragnehmer ist verpflichtet, im Rahmen des monatlichen Reportings nach Maßgabe der Vertragsanlage 10: Leistungsbeschreibung Betrieb die Dritten oder intern oder einem verbundenen Unternehmen in Rechnung gestellten Zugangsentgelte und die Dritten oder seinen eigenen oder den Kunden des verbundenen Unternehmens in Rechnung gestellten Entgelte offen zu legen.</t>
  </si>
  <si>
    <t xml:space="preserve">ANF-950</t>
  </si>
  <si>
    <t xml:space="preserve">§ 37 (1)</t>
  </si>
  <si>
    <t xml:space="preserve">Der Auftragnehmer kann von seinem Vertragspartner für die Gewährung des Zugangs im Rahmen des Durchleitungsmodells ein Zugangsentgelt verlangen, das sich aus folgenden Preisbestandteilen …</t>
  </si>
  <si>
    <t xml:space="preserve">Der Auftragnehmer kann von seinem Vertragspartner für die Gewährung des Zugangs im Rahmen des Durchleitungsmodells ein Zugangsentgelt verlangen, das sich aus folgenden Preisbestandteilen zusammensetzt:</t>
  </si>
  <si>
    <t xml:space="preserve">Kapitel: Zugangsentgelte ohne bilanzielle Bereitstellung der entnommenen Strommengen
Fundstelle im PDF: Seite 33</t>
  </si>
  <si>
    <t xml:space="preserve">ANF-951</t>
  </si>
  <si>
    <t xml:space="preserve">§ 37 (1) a</t>
  </si>
  <si>
    <t xml:space="preserve">Infrastrukturentgelt nach § 46,</t>
  </si>
  <si>
    <t xml:space="preserve">ANF-952</t>
  </si>
  <si>
    <t xml:space="preserve">§ 37 (1) b</t>
  </si>
  <si>
    <t xml:space="preserve">Ausgleichszahlung für die Kosten für Verlustenergie nach Absatz 2,</t>
  </si>
  <si>
    <t xml:space="preserve">ANF-953</t>
  </si>
  <si>
    <t xml:space="preserve">§ 37 (1) c</t>
  </si>
  <si>
    <t xml:space="preserve">Netzentgelte des jeweiligen Anschlussnetzbetreibers (nur Arbeitspreis),</t>
  </si>
  <si>
    <t xml:space="preserve">ANF-954</t>
  </si>
  <si>
    <t xml:space="preserve">§ 37 (1) f</t>
  </si>
  <si>
    <t xml:space="preserve">Aufschlag für besondere Netznutzung (bestehend aus der § 19 StromNEV-Umlage inkl.</t>
  </si>
  <si>
    <t xml:space="preserve">Aufschlag für besondere Netznutzung (bestehend aus der § 19 StromNEV-Umlage inkl. Wasserstoffumlage und dem Aufschlag für besondere einspeiseseitige Netznutzung) sowie</t>
  </si>
  <si>
    <t xml:space="preserve">ANF-955</t>
  </si>
  <si>
    <t xml:space="preserve">§ 37 (1) g</t>
  </si>
  <si>
    <t xml:space="preserve">Offshore-Netzumlage. Die Entrichtung der Stromsteuer für die von den Kunden des Mobilitätsdienstleisters geladenen Mengen obliegt dem Mobilitätsdienstleister.</t>
  </si>
  <si>
    <t xml:space="preserve">Offshore-Netzumlage. Die Entrichtung der Stromsteuer für die von den Kunden des Mobilitätsdienstleisters geladenen Mengen obliegt dem Mobilitätsdienstleister. Soweit die Entrichtung der Stromsteuer dem Auftragnehmer obliegt, kann der Auftragnehmer zusätzlich die Stromsteuer in der jeweils geltenden Höhe verlangen. Zusätzlich kann der Auftragnehmer von seinem Vertragspartner nach Maßgabe von § 8 der Vertragsanlage 13: Bilanzierung Durchleitungsmodell ein Blockadeentgelt erheben.</t>
  </si>
  <si>
    <t xml:space="preserve">ANF-956</t>
  </si>
  <si>
    <t xml:space="preserve">§ 37 (2)</t>
  </si>
  <si>
    <t xml:space="preserve">Zum Ausgleich der Kosten für die Energiemengen, die im Stromnetz bei der Übertragung und Verteilung von Energie verlorengehen und daher nicht für das Aufladen von E-Lkws genutzt werden können …</t>
  </si>
  <si>
    <t xml:space="preserve">Zum Ausgleich der Kosten für die Energiemengen, die im Stromnetz bei der Übertragung und Verteilung von Energie verlorengehen und daher nicht für das Aufladen von E-Lkws genutzt werden können (Verlustenergie), zahlt der Vertragspartner eine pauschale Ausgleichszahlung je abgegebener kWh Ladestrom. Die Ausgleichszahlung richtet sich der Höhe nach dem von der Bundesnetzagentur für das jeweils vorletzte Quartal durchschnittlichen veröffentlichten Preisindex in ct/kWh für Industriestrom ohne Vergünstigungen (veröffentlicht unter https://www.smard.de) geteilt durch 100 multipliziert mit 7,5. Werden wegen einer Umstellung des Preisindex auf einen neuen Basismonat bereits veröffentlichte Indexzahlen nachträglich geändert, so gilt die Ausgleichszahlung, die sich aufgrund der alten Indexreihe (Basismonat Januar 2021) ergibt, bis zum übernächsten Quartal nach der ersten amtlichen Veröffentlichung der neuen Indexreihe. Wird der Preisindex in Zukunft nicht mehr veröffentlicht werden, so wird er durch einen in seinen wirtschaftlichen Auswirkungen möglichst gleichen oder den bisherigen Bezugsgrößen nahekommenden Index ersetzt.</t>
  </si>
  <si>
    <t xml:space="preserve">ANF-957</t>
  </si>
  <si>
    <t xml:space="preserve">§ 37 (3)</t>
  </si>
  <si>
    <t xml:space="preserve">Wird die Belieferung oder die Verteilung von Energie nach Vertragsschluss mit zusätzlichen, in Absatz 1 nicht genannten Steuern oder Abgaben belegt, ist der Auftragnehmer berechtigt, die hieraus …</t>
  </si>
  <si>
    <t xml:space="preserve">Wird die Belieferung oder die Verteilung von Energie nach Vertragsschluss mit zusätzlichen, in Absatz 1 nicht genannten Steuern oder Abgaben belegt, ist der Auftragnehmer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 Der Auftraggeber 2 ist über eine solche Weiterberechnung unverzüglich zu informieren. Der Auftragnehmer muss vertraglich sicherstellen, dass ihm eine Weitergabe möglich ist.</t>
  </si>
  <si>
    <t xml:space="preserve">ANF-958</t>
  </si>
  <si>
    <t xml:space="preserve">§ 37 (4)</t>
  </si>
  <si>
    <t xml:space="preserve">Bei den unter Absatz 1 bis Absatz 3 aufgeführten Preisbestandteilen handelt es sich um Nettopreise, die zuzüglich der Umsatzsteuer in jeweils geltender Höhe zu zahlen sind.</t>
  </si>
  <si>
    <t xml:space="preserve">ANF-959</t>
  </si>
  <si>
    <t xml:space="preserve">§ 37 (5)</t>
  </si>
  <si>
    <t xml:space="preserve">Alle in Absatz 1 und Absatz 2 nicht genannten Kosten (etwa den Aufwand für Betrieb, das Entgelt für den Messstellenbetrieb sowie die Marge) hat der Auftragnehmer in sein Betreiberentgelt nach § 45 …</t>
  </si>
  <si>
    <t xml:space="preserve">Alle in Absatz 1 und Absatz 2 nicht genannten Kosten (etwa den Aufwand für Betrieb, das Entgelt für den Messstellenbetrieb sowie die Marge) hat der Auftragnehmer in sein Betreiberentgelt nach § 45 einzukalkulieren.</t>
  </si>
  <si>
    <t xml:space="preserve">ANF-960</t>
  </si>
  <si>
    <t xml:space="preserve">§ 39 (1)</t>
  </si>
  <si>
    <t xml:space="preserve">Der Auftraggeber 2 kann auf den in der Vertragsanlage 2: Standorte genannten Standorten zusätzliche Ladepunkte errichten lassen, wenn sich ein nachhaltiger Mehrbedarf ergibt.</t>
  </si>
  <si>
    <t xml:space="preserve">Der Auftraggeber 2 kann auf den in der Vertragsanlage 2: Standorte genannten Standorten zusätzliche Ladepunkte errichten lassen, wenn sich ein nachhaltiger Mehrbedarf ergibt. Der Auftraggeber 2 wird den Auftragnehmer unverzüglich über die geplante Errichtung zusätzlicher Ladepunkte informieren und den Leistungsumfang für die Errichtung zusätzlicher Ladepunkte definieren.</t>
  </si>
  <si>
    <t xml:space="preserve">Kapitel: Skalierung am Standort; Außerbetriebnahme von Ladepunkten
Fundstelle im PDF: Seite 35
Zuordnung prüfen (Komponente/Partner nicht eindeutig)</t>
  </si>
  <si>
    <t xml:space="preserve">ANF-961</t>
  </si>
  <si>
    <t xml:space="preserve">§ 39 (2)</t>
  </si>
  <si>
    <t xml:space="preserve">Für die Errichtung zusätzlicher Ladepunkte nach dem vom Auftraggeber 2 zu definierendem Leistungsumfang, wird der Auftragnehmer mindestens drei Kostenangebote der für die Errichtung zusätzlichen …</t>
  </si>
  <si>
    <t xml:space="preserve">Für die Errichtung zusätzlicher Ladepunkte nach dem vom Auftraggeber 2 zu definierendem Leistungsumfang, wird der Auftragnehmer mindestens drei Kostenangebote der für die Errichtung zusätzlichen Ladeinfrastruktur anfallenden Kosten einholen und dem Auftraggeber 2 übersenden. Der Auftragnehmer wird diese drei Angebote im Rahmen eines wettbewerblichen Verfahrens einholen. Der entsprechende Wettbewerb muss offen, klar, transparent und diskriminierungsfrei erfolgen sowie auf objektiven Kriterien beruhen, die zur Minimierung des Risikos strategischer Angebote festgelegt wurden. Der Auftragnehmer muss die objektiven Kriterien für den Verfahrensablauf (inkl. der Angebotsbewertung) ausreichend lange vor Ablauf der Angebotsfrist veröffentlichen, sodass ein wirksamer Wettbewerb möglich wird. Der Auftragnehmer kann zusätzlich zur Durchführung des vorstehenden Verfahrens ein eigenes Kostenangebot einreichen. Der Auftraggeber 2 hat zudem das Recht mindestens ein weiteres Vergleichsangebot einzuholen und entscheidet nach Prüfung aller Kostenangebote, ob und durch wen die Errichtung zusätzlicher Ladepunkte erfolgen soll. Die Kostentragung richtet sich nach § 47.</t>
  </si>
  <si>
    <t xml:space="preserve">ANF-962</t>
  </si>
  <si>
    <t xml:space="preserve">§ 39 (3)</t>
  </si>
  <si>
    <t xml:space="preserve">Der Auftragnehmer ist verpflichtet, bei der Vergabe und bei der Errichtung zusätzlicher Ladepunkte mitzuwirken.</t>
  </si>
  <si>
    <t xml:space="preserve">Der Auftragnehmer ist verpflichtet, bei der Vergabe und bei der Errichtung zusätzlicher Ladepunkte mitzuwirken. Der Auftragnehmer hat insbesondere die erforderlichen Planungs- und Koordinierungsaufgaben zu übernehmen, die für die Errichtung und den Betrieb zusätzlicher Ladepunkte an den vom Auftragnehmer betriebenen Standorten erforderlich sind und nicht Gegenstand des vom Auftraggeber 2 definierten Leistungsumfang sind. Hierfür erhält der Auftragnehmer eine Vergütung nach Maßgabe von § 40 Abs. 2. Der Auftragnehmer ist verpflichtet, die errichteten Ladepunkte zu betreiben.</t>
  </si>
  <si>
    <t xml:space="preserve">ANF-963</t>
  </si>
  <si>
    <t xml:space="preserve">§ 39 (4)</t>
  </si>
  <si>
    <t xml:space="preserve">Absatz 3 gilt unabhängig davon, ob die Errichtung zusätzlicher Ladepunkte durch einen Dritten oder durch den Auftragnehmer selbst erfolgt.</t>
  </si>
  <si>
    <t xml:space="preserve">Absatz 3 gilt unabhängig davon, ob die Errichtung zusätzlicher Ladepunkte durch einen Dritten oder durch den Auftragnehmer selbst erfolgt. Erfolgt die Errichtung zusätzlicher Ladepunkte durch den Aufragnehmer, erfolgt die Vergütung nach Absatz 3 zusätzlich zu der Vergütung nach § 47.</t>
  </si>
  <si>
    <t xml:space="preserve">ANF-964</t>
  </si>
  <si>
    <t xml:space="preserve">§ 39 (6)</t>
  </si>
  <si>
    <t xml:space="preserve">Im Fall einer vorübergehenden Außerbetriebnahme oder dauerhaften Stilllegung ist der zu der Ladeeinrichtung gehörende Ladeplatz unverzüglich für schwere Nutzfahrzeuge und Busse sowie Gespanne i.</t>
  </si>
  <si>
    <t xml:space="preserve">Im Fall einer vorübergehenden Außerbetriebnahme oder dauerhaften Stilllegung ist der zu der Ladeeinrichtung gehörende Ladeplatz unverzüglich für schwere Nutzfahrzeuge und Busse sowie Gespanne i. S. v. § 18 Abs. 2 freizugeben. Im Fall einer Stilllegung hat innerhalb von sechs Monaten nach Aufforderung durch den Auftraggeber 2 in dem in der Aufforderung genannten Umfang ein Rückbau der Ladeinfrastruktur sowie der sonstigen baulichen Elemente nach § 40 Abs. 2 zu erfolgen. Darüber hinausgehende Ansprüche des Auftragnehmers bestehen nicht.</t>
  </si>
  <si>
    <t xml:space="preserve">Kapitel: Skalierung am Standort; Außerbetriebnahme von Ladepunkten
Fundstelle im PDF: Seite 35</t>
  </si>
  <si>
    <t xml:space="preserve">ANF-965</t>
  </si>
  <si>
    <t xml:space="preserve">§ 40 (1)</t>
  </si>
  <si>
    <t xml:space="preserve">Der Auftraggeber 2 kann von dem Auftragnehmer die Ausführung geänderter oder zusätzlicher Leistungen verlangen, die nicht für die Ausführung der vertraglichen Leistungen erforderlich sind, sofern …</t>
  </si>
  <si>
    <t xml:space="preserve">Der Auftraggeber 2 kann von dem Auftragnehmer die Ausführung geänderter oder zusätzlicher Leistungen verlangen, die nicht für die Ausführung der vertraglichen Leistungen erforderlich sind, sofern diese im sachlichen Zusammenhang mit der vertraglichen Leistung stehen. Insbesondere kann der Auftraggeber 2 von dem Auftragnehmer verlangen, dass über die in der Vertragsanlage 4: Leistungsbeschreibung Errichtung vorgesehenen Leistungen zur Verbindung der Ladeinfrastruktur mit dem Netzanschluss hinaus weitergehende Leistungen in diesem Zusammenhang (z. B. Anwendung von Bodenverdrängungsverfahren zur Verbindung gegenüberliegender Standorte) erbracht werden oder dass die Ladeinfrastruktur zum Ende des Vertragszeitraums bzw. zum Zeitpunkt des Wirksamwerdens einer Kündigung zurückzubauen und ordnungsgemäß zu verwerten ist. Das Recht des Auftraggebers 2, Dritte mit der Durchführung der geänderten oder zusätzlichen Leistungen zu beauftragen, bleibt unberührt.</t>
  </si>
  <si>
    <t xml:space="preserve">Kapitel: Ausführung geänderter oder zusätzlicher Leistungen
Fundstelle im PDF: Seite 36</t>
  </si>
  <si>
    <t xml:space="preserve">ANF-966</t>
  </si>
  <si>
    <t xml:space="preserve">§ 40 (2)</t>
  </si>
  <si>
    <t xml:space="preserve">Die Anordnung, Vereinbarung und die Vergütung von geänderten oder zusätzlichen Leistungen richtet sich nach §§ 650b ff.</t>
  </si>
  <si>
    <t xml:space="preserve">Die Anordnung, Vereinbarung und die Vergütung von geänderten oder zusätzlichen Leistungen richtet sich nach §§ 650b ff. BGB. Hat die Anordnung oder Vereinbarung Auswirkungen auf den Rahmenterminplan, so hat der Auftragnehmer einen Anspruch auf Anpassung des Rahmenterminplans gemäß § 12 Abs. 2.</t>
  </si>
  <si>
    <t xml:space="preserve">ANF-967</t>
  </si>
  <si>
    <t xml:space="preserve">§ 40 (3)</t>
  </si>
  <si>
    <t xml:space="preserve">Der Auftragnehmer ist verpflichtet, die für die Ausführung geänderter oder zusätzlicher Leistungen erforderlichen Planungsleistungen zu erbringen, wenn dies der Auftraggeber 2 verlangt.</t>
  </si>
  <si>
    <t xml:space="preserve">Der Auftragnehmer ist verpflichtet, die für die Ausführung geänderter oder zusätzlicher Leistungen erforderlichen Planungsleistungen zu erbringen, wenn dies der Auftraggeber 2 verlangt. Stellt der Auftraggeber 2 im Zusammenhang mit dem Verlangen der Ausführung geänderter oder zusätzlicher Leistungen Planungsleistungen zur Verfügung, so verpflichtet sich der Auftragnehmer, alle vom Auftraggeber 2 übergebenen Unterlagen vor Legung seines Angebots betreffend die geänderten oder zusätzlichen Leistungen mit der Maßgabe eines gewissenhaften Werkunternehmers zu prüfen und dem Auftraggeber 2 etwaige Bedenken mitzuteilen. Der Auftraggeber 2 übernimmt für die Richtigkeit und Vollständigkeit dieser Unterlagen keine Gewähr. Die vollständige Planungsverpflichtung obliegt dem Auftragnehmer.</t>
  </si>
  <si>
    <t xml:space="preserve">ANF-968</t>
  </si>
  <si>
    <t xml:space="preserve">§ 40 (4)</t>
  </si>
  <si>
    <t xml:space="preserve">Der Auftraggeber 2 entscheidet nach Prüfung des Angebots des Auftragnehmers, ob er den Auftragnehmer mit der Durchführung der gewünschten Leistungen beauftragt.</t>
  </si>
  <si>
    <t xml:space="preserve">Der Auftraggeber 2 entscheidet nach Prüfung des Angebots des Auftragnehmers, ob er den Auftragnehmer mit der Durchführung der gewünschten Leistungen beauftragt. Entscheidet sich der Auftraggeber 2 gegen eine Beauftragung des Auftragnehmers, so kann der Auftragnehmer für erbrachte Planungsleistungen, die über die Erstellung seines Angebots hinausgehen und die der Auftraggeber 2 vom Auftragnehmer verlangt, die Zahlung einer angemessenen Vergütung verlangen. Anspruchsgegner ist, soweit sich die Planungsleistungen auf die Errichtung beziehen, der Auftraggeber 1, im Übrigen der Auftraggeber 2. Die Abwicklung von Zahlungen erfolgt durch den Auftraggeber 2. Entscheidet sich der Auftraggeber 2 für eine Beauftragung des Auftragnehmers, nimmt er das Angebot des Auftragnehmers schriftlich an. Dabei handelt er, soweit sich das Angebot auf die Errichtung (und deren Planung) bezieht, für den Auftraggeber 1. Das Anordnungsrecht des Auftraggebers 2 nach § 650b Abs. 2 BGB bleibt unberührt.</t>
  </si>
  <si>
    <t xml:space="preserve">ANF-969</t>
  </si>
  <si>
    <t xml:space="preserve">§ 40 (5)</t>
  </si>
  <si>
    <t xml:space="preserve">Bestreitet der Auftraggeber 2 unter Angabe von Gründen Ansprüche des Auftragnehmers dem Grunde oder der Höhe nach, so kann der Aufragnehmer die Leistung bis zur vorläufigen oder endgültigen Klärung …</t>
  </si>
  <si>
    <t xml:space="preserve">Bestreitet der Auftraggeber 2 unter Angabe von Gründen Ansprüche des Auftragnehmers dem Grunde oder der Höhe nach, so kann der Aufragnehmer die Leistung bis zur vorläufigen oder endgültigen Klärung der Meinungsverschiedenheit nicht verweigern.</t>
  </si>
  <si>
    <t xml:space="preserve">Kapitel: Ausführung geänderter oder zusätzlicher Leistungen
Fundstelle im PDF: Seite 36
Zuordnung prüfen (Komponente/Partner nicht eindeutig)</t>
  </si>
  <si>
    <t xml:space="preserve">ANF-970</t>
  </si>
  <si>
    <t xml:space="preserve">§ 41 (1)</t>
  </si>
  <si>
    <t xml:space="preserve">Soweit in diesem Vertrag im Einzelfall nicht anders geregelt, hat der Auftragnehmer einen Anspruch auf Erstattung der durch die Neuschaffung oder Änderung verursachten tatsächlich erforderlichen …</t>
  </si>
  <si>
    <t xml:space="preserve">Soweit in diesem Vertrag im Einzelfall nicht anders geregelt, hat der Auftragnehmer einen Anspruch auf Erstattung der durch die Neuschaffung oder Änderung verursachten tatsächlich erforderlichen Kosten, wenn nach der Abgabe des Angebots des Auftragnehmers die auf den Bau, den Betrieb oder die Erhaltung anzuwendenden Rechtsvorschriften oder technischen Regeln und Regelwerke neu geschaffen oder geändert werden und der Auftragnehmer diese umsetzen muss, um die nach diesem Vertrag geschuldeten Leistungen zu erbringen, und diese Neuschaffung oder Änderung dem Auftragnehmer bis zur Abgabe des Angebots nicht bekannt war und auch nicht bekannt sein musste und mit dieser Änderung auch bei Anwendung der Sorgfalt eines erfahrenen Planers und Werkunternehmers nicht gerechnet werden musste. Mit der Änderung oder Schaffung einer anerkannten Regel der Technik muss spätestens dann gerechnet werden, wenn ein Entwurf oder eine Vornorm der betreffenden Norm für Fachkreise veröffentlicht wurde.</t>
  </si>
  <si>
    <t xml:space="preserve">Kapitel: Nachträgliche Änderung von technischen und rechtlichen Normen
Fundstelle im PDF: Seite 37</t>
  </si>
  <si>
    <t xml:space="preserve">ANF-971</t>
  </si>
  <si>
    <t xml:space="preserve">§ 41 (2)</t>
  </si>
  <si>
    <t xml:space="preserve">Die Erstattung der tatsächlich erforderlichen Kosten (zuzüglich angemessener Zuschläge für allgemeine Geschäftskosten, Wagnis und Gewinn) erfolgt nach den Regelungen über geänderte oder zusätzliche …</t>
  </si>
  <si>
    <t xml:space="preserve">Die Erstattung der tatsächlich erforderlichen Kosten (zuzüglich angemessener Zuschläge für allgemeine Geschäftskosten, Wagnis und Gewinn) erfolgt nach den Regelungen über geänderte oder zusätzliche Leistungen nach § 40. Hat die Neuschaffung oder Änderung von technischen und rechtlichen Normen Auswirkungen auf den Rahmenterminplan, so hat der Auftragnehmer einen Anspruch auf Anpassung des Rahmenterminplans gemäß § 12 Abs. 2.</t>
  </si>
  <si>
    <t xml:space="preserve">ANF-972</t>
  </si>
  <si>
    <t xml:space="preserve">§ 42 (1)</t>
  </si>
  <si>
    <t xml:space="preserve">Der Auftraggeber 2 und der Auftragnehmer werden nach Ablauf der ersten zwei Jahre der Vertragslaufzeit und danach bei durch den Auftraggeber 2 und den Auftragnehmer festzustellendem Bedarf alle zwei …</t>
  </si>
  <si>
    <t xml:space="preserve">Der Auftraggeber 2 und der Auftragnehmer werden nach Ablauf der ersten zwei Jahre der Vertragslaufzeit und danach bei durch den Auftraggeber 2 und den Auftragnehmer festzustellendem Bedarf alle zwei Jahre Workshops zu denkbaren und erforderlichen Anpassungen der Ladeinfrastruktur durchführen, insbesondere betreffend den jeweils aktuellen Stand der Technik und der (europäischen) Marktusancen beispielsweise zu folgenden Bereichen: • Zahlungsmöglichkeiten, • Ausstattung Ladeinfrastruktur, z. B. kundenfreundliches Display, • Ladetechnik, z. B. intelligente Kabelführung, Kühltechnik und Innovationen zum Stromsparen, • Lärmschutz, • Last- und Lademanagement, • Bidirektionales Laden, • (soweit rechtlich möglich) Reservierungsmöglichkeiten sowie Möglichkeiten zur Blockade von Ladeplätzen, z. B. physische Zugangsbarrieren, sowie • Online-Informationen auf geeigneten und gemeinhin bekannten Plattformen zu Standort und dynamischen Daten (z. B. Belegung).</t>
  </si>
  <si>
    <t xml:space="preserve">Kapitel: Innovationen und Überprüfungsklausel
Fundstelle im PDF: Seite 37</t>
  </si>
  <si>
    <t xml:space="preserve">Dynamische Anzeige / OCPI Buchungskalender</t>
  </si>
  <si>
    <t xml:space="preserve">ANF-973</t>
  </si>
  <si>
    <t xml:space="preserve">§ 42 (2)</t>
  </si>
  <si>
    <t xml:space="preserve">Der Auftragnehmer ist zur Organisation und Kostentragung des Workshops verpflichtet.</t>
  </si>
  <si>
    <t xml:space="preserve">Kapitel: Innovationen und Überprüfungsklausel
Fundstelle im PDF: Seite 37
Zuordnung prüfen (Komponente/Partner nicht eindeutig)</t>
  </si>
  <si>
    <t xml:space="preserve">ANF-974</t>
  </si>
  <si>
    <t xml:space="preserve">§ 42 (3)</t>
  </si>
  <si>
    <t xml:space="preserve">Damit durchgängig eine zeitgemäße und leistungsfähige Ladeinfrastruktur für die Endnutzer zur Verfügung steht, überprüft der Auftraggeber 2 im Abstand von zwei Jahren nach Wirksamwerden dieses …</t>
  </si>
  <si>
    <t xml:space="preserve">Damit durchgängig eine zeitgemäße und leistungsfähige Ladeinfrastruktur für die Endnutzer zur Verfügung steht, überprüft der Auftraggeber 2 im Abstand von zwei Jahren nach Wirksamwerden dieses Vertrags, ob Innovationen bestehen, die an im Einvernehmen zwischen dem Auftragnehmer und dem Auftraggeber 2 ausgewählten Standorten testweise umgesetzt werden sollen. Unabhängig von dieser regelmäßigen Überprüfung können sowohl der Auftraggeber 2 als auch der Auftragnehmer jederzeit eine Überprüfung hinsichtlich konkreter Innovationen einleiten. Im Falle einer Umsetzung gilt Absatz 1 entsprechend.</t>
  </si>
  <si>
    <t xml:space="preserve">ANF-975</t>
  </si>
  <si>
    <t xml:space="preserve">§ 42 (4)</t>
  </si>
  <si>
    <t xml:space="preserve">Innovationen im Sinne dieses Paragrafen sind • technische Neuerungen an den Ladeeinrichtungen oder einzelnen Ladepunkten (z.</t>
  </si>
  <si>
    <t xml:space="preserve">Innovationen im Sinne dieses Paragrafen sind • technische Neuerungen an den Ladeeinrichtungen oder einzelnen Ladepunkten (z. B. Zahlungsmöglichkeiten, Parkplatzdetektionen etc.) oder • für Endnutzer relevante Einrichtungen gemäß Vertragsanlage 4: Leistungsbeschreibung Errichtung, z. B. Maßnahmen, die den Komfort während des Ladestopps erhöhen, die über den nach diesem Vertrag geschuldeten Standard hinausgehen.</t>
  </si>
  <si>
    <t xml:space="preserve">ANF-976</t>
  </si>
  <si>
    <t xml:space="preserve">§ 42 (6)</t>
  </si>
  <si>
    <t xml:space="preserve">Der Auftragnehmer ist verpflichtet, die Auswirkungen der vom Auftraggeber 2 beauftragten Innovationen in regelmäßigen Abständen zu evaluieren.</t>
  </si>
  <si>
    <t xml:space="preserve">Der Auftragnehmer ist verpflichtet, die Auswirkungen der vom Auftraggeber 2 beauftragten Innovationen in regelmäßigen Abständen zu evaluieren. Der Auftraggeber 2 kann Kriterien für die Evaluation vorgeben. Fordert der Auftraggeber 2 Evaluationsleistungen, die über die Pflichten des Auftragnehmers in Vertragsanlage 10: Leistungsbeschreibung Betrieb hinausgehen, so werden diese Leistungen nach den Regelungen über geänderte oder zusätzliche Leistungen nach § 40 vergütet. ABSCHNITT 7 ENTGELTE UND KOSTENERSATZ</t>
  </si>
  <si>
    <t xml:space="preserve">ANF-977</t>
  </si>
  <si>
    <t xml:space="preserve">§ 43</t>
  </si>
  <si>
    <t xml:space="preserve">Im Rahmen des Vertragsverhältnisses erfolgen folgende Zahlungen, wobei die Auftraggeber gegenüber dem Auftragnehmer verschiedene Zahlungen miteinander verrechnen können:</t>
  </si>
  <si>
    <t xml:space="preserve">Kapitel: Kosten, Entgelte; Infrastrukturentgelt
Fundstelle im PDF: Seite 38</t>
  </si>
  <si>
    <t xml:space="preserve">ANF-978</t>
  </si>
  <si>
    <t xml:space="preserve">§ 43 a</t>
  </si>
  <si>
    <t xml:space="preserve">Errichtungsentgelt pro Standort durch den Auftraggeber 2 gemäß § 44,</t>
  </si>
  <si>
    <t xml:space="preserve">ANF-979</t>
  </si>
  <si>
    <t xml:space="preserve">§ 43 b</t>
  </si>
  <si>
    <t xml:space="preserve">Betreiberentgelt pro Standort durch den Auftraggeber 2 gemäß § 45 sowie</t>
  </si>
  <si>
    <t xml:space="preserve">ANF-980</t>
  </si>
  <si>
    <t xml:space="preserve">§ 43 c</t>
  </si>
  <si>
    <t xml:space="preserve">Infrastrukturentgelt pro abgegebener kWh Ladestrom durch den Auftragnehmer an den Auftraggeber 2 gemäß § 46.</t>
  </si>
  <si>
    <t xml:space="preserve">ANF-981</t>
  </si>
  <si>
    <t xml:space="preserve">§ 44 (1)</t>
  </si>
  <si>
    <t xml:space="preserve">Der Auftraggeber 1 zahlt dem Auftragnehmer für auf Grundlage dieses Vertrags geplante und errichtete, voll funktionsfähige und den vertraglichen Vorgaben entsprechende Ladeinfrastruktur an einem …</t>
  </si>
  <si>
    <t xml:space="preserve">Der Auftraggeber 1 zahlt dem Auftragnehmer für auf Grundlage dieses Vertrags geplante und errichtete, voll funktionsfähige und den vertraglichen Vorgaben entsprechende Ladeinfrastruktur an einem Standort ein einmaliges pauschales Errichtungsentgelt. Mit dem Errichtungsentgelt sind sämtliche Planungs- und Bauleistungen des Auftragnehmers am jeweiligen Standort abgegolten, soweit nachfolgend nichts anderes bestimmt ist. Die Sonderregelung gemäß § 13 Abs. 6 und 7 bleibt unberührt.</t>
  </si>
  <si>
    <t xml:space="preserve">Kapitel: Errichtungsentgelt, weitere errichtungsbezogene Vergütungsbestandteile
Fundstelle im PDF: Seite 38</t>
  </si>
  <si>
    <t xml:space="preserve">ANF-982</t>
  </si>
  <si>
    <t xml:space="preserve">§ 44 (2)</t>
  </si>
  <si>
    <t xml:space="preserve">Das Errichtungsentgelt je Standort ist dem Preisblatt gemäß Angebot des Auftragnehmers zu entnehmen.</t>
  </si>
  <si>
    <t xml:space="preserve">Das Errichtungsentgelt je Standort ist dem Preisblatt gemäß Angebot des Auftragnehmers zu entnehmen. Das Errichtungsentgelt je Standort wird unter Verwendung der Formblätter 141 – Autobahn gemäß Vertragsanlage 14.1: Formblatt 141 - Autobahn, Vertragsanlage 14.2: Formblatt 145 - Autobahn und Vertragsanlage 14.3: Stoffpreisgleitklausel für Kabellieferungen wie folgt an die Preisentwicklung angepasst:</t>
  </si>
  <si>
    <t xml:space="preserve">ANF-983</t>
  </si>
  <si>
    <t xml:space="preserve">§ 44 (2) a</t>
  </si>
  <si>
    <t xml:space="preserve">Für die in Vertragsanlage 14.2: Formblatt 145 - Autobahn aufgeführten Stoffe werden bei Änderung der Preise die Mehr- oder Minderaufwendungen gemäß den Vertragsanlage 14.1: Formblatt 141 - Autobahn …</t>
  </si>
  <si>
    <t xml:space="preserve">Für die in Vertragsanlage 14.2: Formblatt 145 - Autobahn aufgeführten Stoffe werden bei Änderung der Preise die Mehr- oder Minderaufwendungen gemäß den Vertragsanlage 14.1: Formblatt 141 - Autobahn und Vertragsanlage 14.2: Formblatt 145 - Autobahn erstattet. Die Mehr- oder Minderaufwendungen werden standortbezogen ermittelt. Dementsprechend wird die Abrechnungssumme je Standort reduziert bzw. erhöht.</t>
  </si>
  <si>
    <t xml:space="preserve">ANF-984</t>
  </si>
  <si>
    <t xml:space="preserve">§ 44 (2) b</t>
  </si>
  <si>
    <t xml:space="preserve">Die Abrechnung erfolgt nach tatsächlich erforderlichen Mengen und freigegebener Ausführungsplanung.</t>
  </si>
  <si>
    <t xml:space="preserve">ANF-985</t>
  </si>
  <si>
    <t xml:space="preserve">§ 44 (2) c</t>
  </si>
  <si>
    <t xml:space="preserve">Die Preisgleitung für Kabellieferungen richtet sich nach Vertragsanlage 14.3: Stoffpreisgleitklausel für Kabellieferungen.</t>
  </si>
  <si>
    <t xml:space="preserve">Die Preisgleitung für Kabellieferungen richtet sich nach Vertragsanlage 14.3: Stoffpreisgleitklausel für Kabellieferungen. Vertragsanlage 14.1: Formblatt 141 - Autobahn und Vertragsanlage 14.2: Formblatt 145 - Autobahn finden hinsichtlich der Kabellieferungen keine Anwendung.</t>
  </si>
  <si>
    <t xml:space="preserve">ANF-986</t>
  </si>
  <si>
    <t xml:space="preserve">§ 44 (3)</t>
  </si>
  <si>
    <t xml:space="preserve">70 % des für den Standort im Angebot des Auftragnehmers angebotenen Errichtungsentgelts (anteiliges Errichtungsentgelt) werden, sofern die jeweils nachfolgenden Zahlungsvoraussetzungen vorliegen, in …</t>
  </si>
  <si>
    <t xml:space="preserve">70 % des für den Standort im Angebot des Auftragnehmers angebotenen Errichtungsentgelts (anteiliges Errichtungsentgelt) werden, sofern die jeweils nachfolgenden Zahlungsvoraussetzungen vorliegen, in Teilzahlungen gemäß folgenden Phasen gemäß Kapitel 3.2.1 der Vertragsanlage 4: Leistungsbeschreibung Errichtung ausgezahlt:</t>
  </si>
  <si>
    <t xml:space="preserve">ANF-987</t>
  </si>
  <si>
    <t xml:space="preserve">§ 44 (3) a</t>
  </si>
  <si>
    <t xml:space="preserve">30 % des anteiligen Errichtungsentgelts zzgl. der auf diesen Teilbetrag anfallenden Umsatzsteuer mit Abschluss der Phase 4 (Baufreigabe / Ausführungsplanung),</t>
  </si>
  <si>
    <t xml:space="preserve">ANF-988</t>
  </si>
  <si>
    <t xml:space="preserve">§ 44 (3) c</t>
  </si>
  <si>
    <t xml:space="preserve">40 % des anteiligen Errichtungsentgelts zzgl. der auf das Errichtungsentgelt insgesamt anfallenden und noch nicht mit den Teilzahlungen nach lit. a und b gezahlten Umsatzsteuer mit Abschluss der …</t>
  </si>
  <si>
    <t xml:space="preserve">40 % des anteiligen Errichtungsentgelts zzgl. der auf das Errichtungsentgelt insgesamt anfallenden und noch nicht mit den Teilzahlungen nach lit. a und b gezahlten Umsatzsteuer mit Abschluss der Phase 6 (Betriebsfreigabe). Der Auftragnehmer kann die Teilzahlungen unmittelbar nach Abschluss der jeweiligen Phase zzgl. der auf den entsprechenden Anteil anfallenden Umsatzsteuer in Rechnung stellen. Dies gilt nicht, wenn für diesen Teil des Errichtungsentgelts die Sonderregelung des § 13 Abs. 8 greift. Die verbleibenden 30 % des Errichtungsentgelts für den betreffenden Standort werden in dem auf die Betriebsfreigabe folgenden Quartal ratierlich in vierteljährlichen Teilbeträgen über die verbleibende Vertragslaufzeit (ohne optionale Verlängerung) oder mit der Beendigung des Vertrags nach § 56 Abs. 2 nach Maßgabe des § 58 gezahlt.</t>
  </si>
  <si>
    <t xml:space="preserve">ANF-989</t>
  </si>
  <si>
    <t xml:space="preserve">§ 44 (4)</t>
  </si>
  <si>
    <t xml:space="preserve">Kann zunächst nur ein Teil der Ladepunkte an einem Standort für den Betrieb freigegeben werden und liegt der Grund der Teilfreigabe in der Sphäre des Auftragnehmers, so erfolgt eine Zahlung des …</t>
  </si>
  <si>
    <t xml:space="preserve">Kann zunächst nur ein Teil der Ladepunkte an einem Standort für den Betrieb freigegeben werden und liegt der Grund der Teilfreigabe in der Sphäre des Auftragnehmers, so erfolgt eine Zahlung des anteilig reduzierten Teilbetrags des Errichtungsentgelts. Der Restbetrag wird nach vollständiger Freigabe ausgezahlt. Die generelle Nichtverfügbarkeit von MCS-Ladeeinrichtungen liegt dabei nicht in der Sphäre des Auftragnehmers.</t>
  </si>
  <si>
    <t xml:space="preserve">ANF-990</t>
  </si>
  <si>
    <t xml:space="preserve">§ 44 (5)</t>
  </si>
  <si>
    <t xml:space="preserve">Verwirklicht sich das gemäß § 6 Abs. 3 vom Auftraggeber 1 zu tragende Bodenrisiko, so kann der Auftragnehmer für diejenigen Leistungen, die über die in Vertragsanlage 4: Leistungsbeschreibung …</t>
  </si>
  <si>
    <t xml:space="preserve">Verwirklicht sich das gemäß § 6 Abs. 3 vom Auftraggeber 1 zu tragende Bodenrisiko, so kann der Auftragnehmer für diejenigen Leistungen, die über die in Vertragsanlage 4: Leistungsbeschreibung Errichtung beschriebenen Leistungen hinausgehen, eine gesonderte Vergütung nach Maßgabe der Regelungen über die Ausführung geänderter oder zusätzlicher Leistungen (vgl. § 40) verlangen. Gleiches gilt, wenn der Auftraggeber 2 den Auftragnehmer nach § 40 Abs. 1 mit der Ausführung geänderter oder zusätzlicher Leistungen beauftragt, sowie im Falle des § 41 Abs. 2.</t>
  </si>
  <si>
    <t xml:space="preserve">ANF-991</t>
  </si>
  <si>
    <t xml:space="preserve">§ 44 (6)</t>
  </si>
  <si>
    <t xml:space="preserve">Wenn eine zur Errichtung der Ladeinfrastruktur erforderliche Ladeeinrichtung oder ein Transformator trotz nachgewiesener Bemühungen um eine kalkulationskonforme Beschaffung nur noch zu Preisen …</t>
  </si>
  <si>
    <t xml:space="preserve">Wenn eine zur Errichtung der Ladeinfrastruktur erforderliche Ladeeinrichtung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t>
  </si>
  <si>
    <t xml:space="preserve">ANF-992</t>
  </si>
  <si>
    <t xml:space="preserve">§ 44 (6) a</t>
  </si>
  <si>
    <t xml:space="preserve">Im Falle einer Preissteigerung von bis zu 30 % des kalkulierten Preises trägt der Auftragnehmer die Preissteigerung allein.</t>
  </si>
  <si>
    <t xml:space="preserve">ANF-993</t>
  </si>
  <si>
    <t xml:space="preserve">§ 44 (6) b</t>
  </si>
  <si>
    <t xml:space="preserve">Im Falle einer Preissteigerung von mehr als 30 % und weniger als 80 % teilen sich die Parteien die Preissteigerung, soweit diese über 30 % hinausgeht.</t>
  </si>
  <si>
    <t xml:space="preserve">ANF-994</t>
  </si>
  <si>
    <t xml:space="preserve">§ 44 (6) c</t>
  </si>
  <si>
    <t xml:space="preserve">Im Falle einer Preissteigerung von mehr als 80 % trägt der Auftraggeber die über 80 % hinausgehende Preissteigerung.</t>
  </si>
  <si>
    <t xml:space="preserve">Im Falle einer Preissteigerung von mehr als 80 % trägt der Auftraggeber die über 80 % hinausgehende Preissteigerung. Voraussetzung für die Anwendung der vorstehenden Regelung ist, dass der Auftragnehmer dem Auftraggeber nachweist, dass er sowohl im Zuge der Angebotskalkulation als auch zum Zeitpunkt der tatsächlichen Beschaffung in einem wettbewerblichen Verfahren Angebote, in der Regel mindestens drei, betreffend die Beschaffung eingeholt hat.</t>
  </si>
  <si>
    <t xml:space="preserve">ANF-995</t>
  </si>
  <si>
    <t xml:space="preserve">§ 44 (7)</t>
  </si>
  <si>
    <t xml:space="preserve">Der Auftragnehmer erstellt nach Abschluss der jeweiligen Phase bzw. nach Abschluss eines Quartals eine Rechnung gemäß §§ 14, 14a UstG über den entsprechenden Anteil des Errichtungsentgelts.</t>
  </si>
  <si>
    <t xml:space="preserve">Der Auftragnehmer erstellt nach Abschluss der jeweiligen Phase bzw. nach Abschluss eines Quartals eine Rechnung gemäß §§ 14, 14a UstG über den entsprechenden Anteil des Errichtungsentgelts. Mit der Rechnung über die letzte Teilzahlung des anteiligen Errichtungsentgelts nach Absatz 3 übermittelt der Auftragnehmer dem Auftraggeber 2 eine Übersicht, aus der sich die Höhe der vierteljährlichen Teilbeträge der verbleibenden 30 % des Errichtungsentgelts ergibt.</t>
  </si>
  <si>
    <t xml:space="preserve">ANF-996</t>
  </si>
  <si>
    <t xml:space="preserve">§ 45 (1)</t>
  </si>
  <si>
    <t xml:space="preserve">Der Auftragnehmer enthält für jeden Standort, der die Betriebsfreigabe erhalten hat, ein Betreiberentgelt vom Auftraggeber 2 nach Maßgabe der nachfolgenden Bestimmungen.</t>
  </si>
  <si>
    <t xml:space="preserve">Der Auftragnehmer enthält für jeden Standort, der die Betriebsfreigabe erhalten hat, ein Betreiberentgelt vom Auftraggeber 2 nach Maßgabe der nachfolgenden Bestimmungen. Die Sonderregelungen gemäß § 13 Abs. 6 und 7, § 15 Abs. 2, § 16 Abs. 2 lit. a, § 17 Abs. 3 und 6 sowie § 19 Abs. 4 bleiben unberührt.</t>
  </si>
  <si>
    <t xml:space="preserve">Kapitel: Betreiberentgelt
Fundstelle im PDF: Seite 40</t>
  </si>
  <si>
    <t xml:space="preserve">ANF-997</t>
  </si>
  <si>
    <t xml:space="preserve">§ 45 (2)</t>
  </si>
  <si>
    <t xml:space="preserve">Das Betreiberentgelt für einen Standort entspricht dem Anteil an der Summe in der Spalte „Entgelt in Euro (netto)“ des Preisblatts aus dem Angebot des Auftragnehmers, der bei gleichmäßiger Verteilung …</t>
  </si>
  <si>
    <t xml:space="preserve">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tatsächlich errichteten Ladepunkte des betreffenden Standortes entfällt.</t>
  </si>
  <si>
    <t xml:space="preserve">Kapitel: Betreiberentgelt
Fundstelle im PDF: Seite 40
Zuordnung prüfen (Komponente/Partner nicht eindeutig)</t>
  </si>
  <si>
    <t xml:space="preserve">ANF-998</t>
  </si>
  <si>
    <t xml:space="preserve">§ 45 (3)</t>
  </si>
  <si>
    <t xml:space="preserve">Das Betreiberentgelt wird anteilig (taggenaue Berechnung) geschuldet, wenn ein Standort in einem Quartal in Betrieb genommen wird oder wenn sich die Anzahl der errichteten Ladepunkte an einem …</t>
  </si>
  <si>
    <t xml:space="preserve">Das Betreiberentgelt wird anteilig (taggenaue Berechnung) geschuldet, wenn ein Standort in einem Quartal in Betrieb genommen wird oder wenn sich die Anzahl der errichteten Ladepunkte an einem Standort nach Vertragsschluss ändert.</t>
  </si>
  <si>
    <t xml:space="preserve">ANF-999</t>
  </si>
  <si>
    <t xml:space="preserve">§ 45 (4)</t>
  </si>
  <si>
    <t xml:space="preserve">Das Betreiberentgelt wird nachschüssig, jeweils nach Ablauf eines Kalenderquartals – erstmals im Kalenderquartal nach dem Kalenderquartal der Betriebsfreigabe – gezahlt.</t>
  </si>
  <si>
    <t xml:space="preserve">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t>
  </si>
  <si>
    <t xml:space="preserve">ANF-1000</t>
  </si>
  <si>
    <t xml:space="preserve">§ 45 (5)</t>
  </si>
  <si>
    <t xml:space="preserve">Eine Anpassung des Betreiberentgelts erfolgt zum 01.01. eines jeden Jahres, erstmalig zum 01.01.2028, nach Maßgabe der folgenden Formel: 𝐸 = 𝐸 ∗ [(60 %∗ 𝐿𝑖−1)+ (40 %∗ 𝑀𝑖−1)] 𝑖 0 𝐿0 𝑀0 E = Entgelt im …</t>
  </si>
  <si>
    <t xml:space="preserve">Eine Anpassung des Betreiberentgelts erfolgt zum 01.01. eines jeden Jahres, erstmalig zum 01.01.2028, nach Maßgabe der folgenden Formel: 𝐸 = 𝐸 ∗ [(60 %∗ 𝐿𝑖−1)+ (40 %∗ 𝑀𝑖−1)] 𝑖 0 𝐿0 𝑀0 E = Entgelt im Jahr der Vertragsanpassung i E = Entgelt gemäß Preisblatt aus dem Angebot des Auftragnehmers im Jahr 2026 L = Jahresindex der Tarifverdienste, Wochenarbeitszeit für den Wirtschaftszweig Energiei-1 versorgung, der durch das Statistische Bundesamt in Wiesbaden unter Index der Tarifverdienste und Arbeitszeiten unter dem Code 62221-0001 – WZ08-D Energieversorgung veröffentlicht wird, heranzuziehen ist der Jahresindex für das Kalenderjahr i-1 L = Jahresindex für das Jahr 2024 der Tarifverdienste, Wochenarbeitszeit für den Wirtschaftszweig Energieversorgung, der durch das Statistische Bundesamt in Wiesbaden unter Index der Tarifverdienste und Arbeitszeiten unter dem Code 62221-0001 – WZ08-D Energieversorgung, veröffentlicht wird M = Jahresindex der Erzeugerpreise gewerblicher Produkte (Inlandsabsatz), Erzeugnisse i-1 der Investitionsgüterproduzenten, der durch das Statistische Bundesamt in Wiesbaden unter Index der Erzeugerpreise gewerblicher Produkte unter dem Code 61241-0001 veröffentlicht wird, heranzuziehen ist der Jahresindex für das Kalenderjahr i-1 M = Jahresindex für das Jahr 2024 der Erzeugerpreise gewerblicher Produkte (Inlandsabsatz), Erzeugnisse der Investitionsgüterproduzenten, der durch das Statistische Bundesamt unter Index der Erzeugerpreise gewerblicher Produkte unter dem Code 61241- 0001, veröffentlicht wird</t>
  </si>
  <si>
    <t xml:space="preserve">ANF-1001</t>
  </si>
  <si>
    <t xml:space="preserve">§ 45 (6)</t>
  </si>
  <si>
    <t xml:space="preserve">Im Fall einer Vertragsverlängerung nach § 56 Abs.</t>
  </si>
  <si>
    <t xml:space="preserve">Im Fall einer Vertragsverlängerung nach § 56 Abs. 1 wird das Betreiberentgelt während des Verlängerungszeitraums nach Maßgabe dieses § 45 fortgezahlt.</t>
  </si>
  <si>
    <t xml:space="preserve">ANF-1002</t>
  </si>
  <si>
    <t xml:space="preserve">§ 45 (7)</t>
  </si>
  <si>
    <t xml:space="preserve">Wird ein Standort nach Erteilung der Betriebsfreigabe gemäß § 13 Abs.</t>
  </si>
  <si>
    <t xml:space="preserve">Wird ein Standort nach Erteilung der Betriebsfreigabe gemäß § 13 Abs. 5 oder Herstellung der technischen Betriebsbereitschaft gemäß § 13 Abs. 6 von dem Auftraggeber 2 nach § 20 vorübergehend außer Betrieb gesetzt oder dauerhaft stillgelegt oder werden bereits errichtete Ladepunkte vom Auftraggeber 2 nach § 39 Abs. 5 vorübergehend außer Betrieb gesetzt oder dauerhaft stillgelegt und hat der Auftragnehmer die Außerbetriebsetzung oder Stilllegung nicht zu vertreten, so wird das Betreiberentgelt für die Dauer der Außerbetriebsetzung, im Fall einer Stilllegung bis zum Aufbau der Ladeinfrastruktur an einem anderen Standort oder bis zum Ende der Vertragslaufzeit, in dem Umfange weiter gezahlt, in dem der Auftragnehmer nachweist, dass dies zur Deckung nicht vermeidbarer Kosten erforderlich ist.</t>
  </si>
  <si>
    <t xml:space="preserve">ANF-1003</t>
  </si>
  <si>
    <t xml:space="preserve">§ 45 (8)</t>
  </si>
  <si>
    <t xml:space="preserve">Sollte ein in diesem Vertrag verwendeter Index nicht mehr ermittelt bzw. veröffentlicht werden, ist eine Überleitung auf die Basis des nächsten jeweils veröffentlichten, dem nicht mehr ermittelten …</t>
  </si>
  <si>
    <t xml:space="preserve">Sollte ein in diesem Vertrag verwendeter Index nicht mehr ermittelt bzw. veröffentlicht werden, ist eine Überleitung auf die Basis des nächsten jeweils veröffentlichten, dem nicht mehr ermittelten bzw. veröffentlichen Index vergleichbaren Index vorzunehmen. Heranzuziehen ist der Index, der dem bei Vertragsbeginn verwendeten Index so nahe wie möglich kommt.</t>
  </si>
  <si>
    <t xml:space="preserve">ANF-1004</t>
  </si>
  <si>
    <t xml:space="preserve">§ 45 (9)</t>
  </si>
  <si>
    <t xml:space="preserve">Soweit die jeweils ausschlaggebenden Indizes am Preisanpassungsstichtag bzw. am vertraglich vorgesehenen Abrechnungszeitpunkt noch nicht veröffentlicht sind, erfolgt eine vorläufige Abrechnung auf …</t>
  </si>
  <si>
    <t xml:space="preserve">Soweit die jeweils ausschlaggebenden Indizes am Preisanpassungsstichtag bzw. am vertraglich vorgesehenen Abrechnungszeitpunkt noch nicht veröffentlicht sind, erfolgt eine vorläufige Abrechnung auf Grundlage des bisherigen Preises. Die Abrechnung ist zu korrigieren, sobald die betreffenden Indizes veröffentlicht worden sind.</t>
  </si>
  <si>
    <t xml:space="preserve">ANF-1005</t>
  </si>
  <si>
    <t xml:space="preserve">§ 46 (1)</t>
  </si>
  <si>
    <t xml:space="preserve">Für jede abgegebene kWh Ladestrom ist ein Infrastrukturentgelt vom Auftragnehmer an den Auftraggeber 2 zu zahlen.</t>
  </si>
  <si>
    <t xml:space="preserve">Für jede abgegebene kWh Ladestrom ist ein Infrastrukturentgelt vom Auftragnehmer an den Auftraggeber 2 zu zahlen. Erfolgt eine Nutzung der Ladeinfrastruktur im Rahmen des Ad-hoc-Ladens oder mit bilanzieller Bereitstellung der geladenen Strommengen durch den Auftragnehmer, ist das Infrastrukturentgelt vom Auftragnehmer bei der Kalkulation des Ad-hoc-Preises bzw. des Zugangsentgelts nach § 36 zu berücksichtigen. Erfolgt eine Nutzung im Wege des Durchleitungsmodells, ist das Infrastrukturentgelt bei der Kalkulation des Zugangsentgelts nach § 37 Abs. 1 lit. a zu berücksichtigen.</t>
  </si>
  <si>
    <t xml:space="preserve">Kapitel: Infrastrukturentgelt
Fundstelle im PDF: Seite 41</t>
  </si>
  <si>
    <t xml:space="preserve">ANF-1006</t>
  </si>
  <si>
    <t xml:space="preserve">§ 46 (2)</t>
  </si>
  <si>
    <t xml:space="preserve">Der Auftraggeber 2 setzt die Höhe dieses Infrastrukturentgelts für die Nutzung von MCS-Ladepunkten bzw. von CCS-Ladepunkte innerhalb von drei Monaten nach Zuschlagserteilung auf der Grundlage der …</t>
  </si>
  <si>
    <t xml:space="preserve">Der Auftraggeber 2 setzt die Höhe dieses Infrastrukturentgelts für die Nutzung von MCS-Ladepunkten bzw. von CCS-Ladepunkte innerhalb von drei Monaten nach Zuschlagserteilung auf der Grundlage der Ergebnisse der Ausschreibung (Errichtung und Betrieb der Ladepunkte), der Kosten des Netzanschlusses, der vom Auftraggeber 1 zu zahlenden Leistungspreise der Netznutzung, der prognostizierten Erlöse aus der Vermarktung von THG-Quoten sowie der allgemeinen Preisentwicklung für die Nutzung vergleichbarer Ladeinfrastruktur fest.</t>
  </si>
  <si>
    <t xml:space="preserve">ANF-1007</t>
  </si>
  <si>
    <t xml:space="preserve">§ 46 (3)</t>
  </si>
  <si>
    <t xml:space="preserve">Der Auftraggeber 2 kann die Höhe des Infrastrukturentgelts während der Laufzeit des Vertrags mit einer Frist von vier Monaten auf den Beginn eines Quartals schriftlich mit Wirkung gegenüber dem …</t>
  </si>
  <si>
    <t xml:space="preserve">Der Auftraggeber 2 kann die Höhe des Infrastrukturentgelts während der Laufzeit des Vertrags mit einer Frist von vier Monaten auf den Beginn eines Quartals schriftlich mit Wirkung gegenüber dem Auftragnehmer anpassen, wenn ohne eine Anpassung die Gefahr einer Marktverzerrung besteht. Der Auftragnehmer ist verpflichtet, sich seinerseits eine Anpassung seiner Entgelte vorzubehalten und unverzüglich alle erforderlichen Maßnahmen zur Umsetzung der Änderung des Infrastrukturentgelts durchzuführen. Kann der Auftragnehmer nachweisen, dass eine Anpassung des Infrastrukturentgelts zu dem in Satz 1 genannten Zeitpunkt aus Gründen, die er nicht zu vertreten hat, nicht umgesetzt werden kann, kann der Auftraggeber 2 den Stichtag der Anpassung entsprechend verlängern. Auf Nachfrage des Auftragnehmers legt der Auftraggeber 2 dar, warum die Höhe des Infrastrukturentgelts unter Berücksichtigung der in Absatz 2 genannten Kosten angemessen ist.</t>
  </si>
  <si>
    <t xml:space="preserve">ANF-1008</t>
  </si>
  <si>
    <t xml:space="preserve">§ 46 (4)</t>
  </si>
  <si>
    <t xml:space="preserve">Hält der Auftragnehmer die Höhe des Infrastrukturentgelts trotz Begründung durch den Auftraggeber 2 für unangemessen, kann der Auftragnehmer den Vorgang bei der zuständigen Kartellbehörde zur Anzeige …</t>
  </si>
  <si>
    <t xml:space="preserve">Hält der Auftragnehmer die Höhe des Infrastrukturentgelts trotz Begründung durch den Auftraggeber 2 für unangemessen, kann der Auftragnehmer den Vorgang bei der zuständigen Kartellbehörde zur Anzeige bringen, damit die zuständige Kartellbehörde für die Parteien verbindlich feststellen kann, ob die Höhe des Infrastrukturentgelts unangemessen und daher ursächlich für marktunübliche Ladepreise ist. Den Parteien ist eine Offenlegung der insoweit maßgeblichen Informationen gegenüber der zuständigen Kartellbehörde gestattet.</t>
  </si>
  <si>
    <t xml:space="preserve">ANF-1009</t>
  </si>
  <si>
    <t xml:space="preserve">§ 46 (5)</t>
  </si>
  <si>
    <t xml:space="preserve">Das vom Auftragnehmer je abgegebener kWh Ladestrom nach Absatz 1 vereinnahmte Infrastrukturentgelt ist in vollem Umfang an den Auftraggeber 2 abzuführen.</t>
  </si>
  <si>
    <t xml:space="preserve">Das vom Auftragnehmer je abgegebener kWh Ladestrom nach Absatz 1 vereinnahmte Infrastrukturentgelt ist in vollem Umfang an den Auftraggeber 2 abzuführen. Bei dem Ad-hoc-Laden und bei den Zugangsentgelten nach § 36 gilt das Infrastrukturentgelt unabhängig von der tatsächlichen Höhe des Ad-hoc-Preises bzw. des Zugangsentgelts nach § 36 als vereinnahmt. Von der Pflicht zur Zahlung des Infrastrukturentgelts ausgenommen ist Ladestrom, der aufgrund von Kulanz oder aufgrund fehlender Authentifizierung des Endnutzers ohne Verrechnung an einen Endnutzer abgegeben wurde. Beim Durchleitungsmodell gilt das Infrastrukturentgelt nur im Fall des Zahlungseingangs des Zugangsentgelts nach § 37 beim Auftragnehmer als vereinnahmt. Der Auftragnehmer ist verpflichtet, alle zumutbaren Maßnahmen zur Durchsetzung seiner Forderung gegenüber Mobilitätsdienstleistern vorzunehmen.</t>
  </si>
  <si>
    <t xml:space="preserve">ANF-1010</t>
  </si>
  <si>
    <t xml:space="preserve">§ 47</t>
  </si>
  <si>
    <t xml:space="preserve">Erfolgt die Errichtung zusätzlicher Ladepunkte durch den Auftragnehmer, erhält dieser vom Auftraggeber 1 die Kosten nach Maßgabe des vom Auftragnehmer erstellten Kostenangebots erstattet. § 39 Abs.</t>
  </si>
  <si>
    <t xml:space="preserve">Erfolgt die Errichtung zusätzlicher Ladepunkte durch den Auftragnehmer, erhält dieser vom Auftraggeber 1 die Kosten nach Maßgabe des vom Auftragnehmer erstellten Kostenangebots erstattet. § 39 Abs. 3 bleiben unberührt.</t>
  </si>
  <si>
    <t xml:space="preserve">Kapitel: Kosten für die Errichtung zusätzlicher Ladepunkte
Fundstelle im PDF: Seite 42
Zuordnung prüfen (Komponente/Partner nicht eindeutig)</t>
  </si>
  <si>
    <t xml:space="preserve">ANF-1011</t>
  </si>
  <si>
    <t xml:space="preserve">§ 48 (1)</t>
  </si>
  <si>
    <t xml:space="preserve">Der Auftraggeber 1 trägt die Kosten für die Errichtung eines neuen oder die Erweiterung eines bestehenden Netzanschlusses (Anschlusskosten und gegebenenfalls Baukostenzuschuss) für einen Standort.</t>
  </si>
  <si>
    <t xml:space="preserve">Der Auftraggeber 1 trägt die Kosten für die Errichtung eines neuen oder die Erweiterung eines bestehenden Netzanschlusses (Anschlusskosten und gegebenenfalls Baukostenzuschuss) für einen Standort. Zahlungen für den Netzanschluss erfolgen namens des Auftraggebers 1 direkt vom Auftraggeber 2 an den Netzbetreiber. Zusätzlich trägt der Auftraggeber 1 den Leistungspreis der Netzentgelte für die jeweiligen Standorte während der Laufzeit dieses Vertrags.</t>
  </si>
  <si>
    <t xml:space="preserve">Kapitel: Netzanschlusskosten
Fundstelle im PDF: Seite 42</t>
  </si>
  <si>
    <t xml:space="preserve">ANF-1012</t>
  </si>
  <si>
    <t xml:space="preserve">§ 48 (2)</t>
  </si>
  <si>
    <t xml:space="preserve">Kosten für die Nutzung des Netzanschlusses nach Errichtung oder Erweiterung (Leistungs- und Arbeitspreis der Netzentgelte, netzbezogene Umlagen und Abgaben, Entgelte für Messung und …</t>
  </si>
  <si>
    <t xml:space="preserve">Kosten für die Nutzung des Netzanschlusses nach Errichtung oder Erweiterung (Leistungs- und Arbeitspreis der Netzentgelte, netzbezogene Umlagen und Abgaben, Entgelte für Messung und Messstellenbetrieb) sind vom Auftragnehmer zu zahlen (vgl. § 24). Der Auftragnehmer erhält den Leistungspreis der Netzentgelte vom Auftraggeber 1 im Rahmen der Quartalsrechnung nach § 45 Abs. 4 erstattet.</t>
  </si>
  <si>
    <t xml:space="preserve">ANF-1013</t>
  </si>
  <si>
    <t xml:space="preserve">§ 48 (3)</t>
  </si>
  <si>
    <t xml:space="preserve">Für den Fall, dass der Auftragnehmer gemäß § 40 Abs.</t>
  </si>
  <si>
    <t xml:space="preserve">Für den Fall, dass der Auftragnehmer gemäß § 40 Abs. 1 mit geänderten oder zusätzlichen Leistungen im Zusammenhang mit dem Anschluss der Ladeinfrastruktur an das öffentliche Netz beauftragt wird, richtet sich die Vergütung dieser Leistungen nach den Regelungen des § 40 Abs. 2. Eine weitergehende Vergütung des Auftragnehmers für Leistungen im Zusammenhang mit dem Netzanschluss erfolgt nicht.</t>
  </si>
  <si>
    <t xml:space="preserve">ANF-1014</t>
  </si>
  <si>
    <t xml:space="preserve">§ 49 (1)</t>
  </si>
  <si>
    <t xml:space="preserve">Der Auftragnehmer ist verpflichtet, an den in der Vertragsanlage 2: Standorte aufgeführten Standorten sowie an Ersatzstandorten einen Speicher zu errichten, wenn dies teilweise zur Ersetzung der …</t>
  </si>
  <si>
    <t xml:space="preserve">Der Auftragnehmer ist verpflichtet, an den in der Vertragsanlage 2: Standorte aufgeführten Standorten sowie an Ersatzstandorten einen Speicher zu errichten, wenn dies teilweise zur Ersetzung der benötigten Anschlusskapazität erforderlich ist. Voraussetzung dafür ist, dass der Speicher in der Vertragsanlage 5: Details zum Netzanschluss in der Spalte „Aufbau eines Speichers“ vermerkt wurde bzw. ein Ersatzstandort mit einem entsprechenden Hinweis benannt wird. Der Auftraggeber 2 wird den Auftragnehmer unverzüglich nach Kenntniserlangung über die Erforderlichkeit und die Dimensionierung eines Speichers an einem Standort informieren.</t>
  </si>
  <si>
    <t xml:space="preserve">Kapitel: Speicher
Fundstelle im PDF: Seite 42</t>
  </si>
  <si>
    <t xml:space="preserve">ANF-1015</t>
  </si>
  <si>
    <t xml:space="preserve">§ 49 (2)</t>
  </si>
  <si>
    <t xml:space="preserve">In den Fällen des Absatzes 1 ist der Auftragnehmer für Planung, Errichtung, Betrieb und Instandhaltung des Speichers verantwortlich.</t>
  </si>
  <si>
    <t xml:space="preserve">In den Fällen des Absatzes 1 ist der Auftragnehmer für Planung, Errichtung, Betrieb und Instandhaltung des Speichers verantwortlich. Der Auftragnehmer hat die für den Betrieb des Speichers erforderlichen Versicherungen abzuschließen.</t>
  </si>
  <si>
    <t xml:space="preserve">ANF-1016</t>
  </si>
  <si>
    <t xml:space="preserve">§ 49 (3)</t>
  </si>
  <si>
    <t xml:space="preserve">Wurde der Aufbau des Speichers in der Vertragsanlage 5: Details zum Netzanschluss vermerkt, hat der Auftragnehmer die Kosten für die Errichtung und den Betrieb des Speichers in sein …</t>
  </si>
  <si>
    <t xml:space="preserve">Wurde der Aufbau des Speichers in der Vertragsanlage 5: Details zum Netzanschluss vermerkt, hat der Auftragnehmer die Kosten für die Errichtung und den Betrieb des Speichers in sein Errichtungsentgelt nach § 44 einzukalkulieren. Zur Kalkulation der erforderlichen Kapazitätsdimensionierung durch den Auftragnehmer, stellt der Auftraggeber in der Vertragsanlage 5: Details zum Netzanschluss eine unverbindliche prognostische Lastkurve für die Standorte zur Verfügung, an denen der Aufbau eines Speichers vermerkt wurde. Der Auftragnehmer ist verpflichtet, die erforderliche Kapazitätsdimensionierung des Speichers anhand der an dem Standort verfügbaren Netzanschlusskapazität und der prognostischen Lastkurve zu ermitteln. Die vom Auftraggeber 2 zur Verfügung gestellte prognostische Lastkurve dient ausschließlich zur Ermittlung der erforderlichen Kapazitätsdimensionierung des Speichers und ist unverbindlich; sie begründet keine Ansprüche des Auftragnehmers (z. B. hinsichtlich der tatsächlichen Auslastung des Standortes).</t>
  </si>
  <si>
    <t xml:space="preserve">ANF-1017</t>
  </si>
  <si>
    <t xml:space="preserve">§ 49 (4)</t>
  </si>
  <si>
    <t xml:space="preserve">Sollte der Aufbau eines Speichers entgegen der aktuellen Einschätzung des Auftraggeber 2 ausnahmsweise auch an Standorten erforderlich werden die in der Vertragsanlage 5: Details zum Netzanschluss …</t>
  </si>
  <si>
    <t xml:space="preserve">Sollte der Aufbau eines Speichers entgegen der aktuellen Einschätzung des Auftraggeber 2 ausnahmsweise auch an Standorten erforderlich werden die in der Vertragsanlage 5: Details zum Netzanschluss nicht als Speicherstandorte vorgesehen sind, hat der Betreiber auf Verlangen des Auftraggebers 2 auch an solchen Standorten einen Speicher nach Vorgaben des Auftraggebers 2 zu errichten; Absatz 2 gilt in diesem Fall entsprechend. Die Vergütung des Auftragnehmers richtet sich in einem solchen Fall nach § 40 Abs. 2.</t>
  </si>
  <si>
    <t xml:space="preserve">ANF-1018</t>
  </si>
  <si>
    <t xml:space="preserve">§ 50 (1)</t>
  </si>
  <si>
    <t xml:space="preserve">Gemäß § 6 der Verordnung zur Festlegung weiterer Bestimmungen zur Treibhausgasminderung bei Kraftstoffen („38.</t>
  </si>
  <si>
    <t xml:space="preserve">Gemäß § 6 der Verordnung zur Festlegung weiterer Bestimmungen zur Treibhausgasminderung bei Kraftstoffen („38. BImSchV“) können Betreiber öffentlich zugänglicher Ladepunkte (Art. 2 Nr. 38 AFIR) die durch die Abgabe von Ladestrom an diesen Ladepunkten generierte Treibhausgas-Minderungsquote im Sinne der Vorschriften des BImSchG („THG-Quoten“) beantragen und handeln.</t>
  </si>
  <si>
    <t xml:space="preserve">Kapitel: THG-Quoten
Fundstelle im PDF: Seite 43
Zuordnung prüfen (Komponente/Partner nicht eindeutig)</t>
  </si>
  <si>
    <t xml:space="preserve">ANF-1019</t>
  </si>
  <si>
    <t xml:space="preserve">§ 50 (2)</t>
  </si>
  <si>
    <t xml:space="preserve">Der Auftragnehmer wird das Recht zur Vermarktung von THG-Quoten für über die diesem Vertrag unterliegenden Ladepunkte abgegebenen Ladestrommengen nach Maßgabe folgender Absätze auf den Auftraggeber 1 …</t>
  </si>
  <si>
    <t xml:space="preserve">Der Auftragnehmer wird das Recht zur Vermarktung von THG-Quoten für über die diesem Vertrag unterliegenden Ladepunkte abgegebenen Ladestrommengen nach Maßgabe folgender Absätze auf den Auftraggeber 1 oder einen von diesem benannten Dritten übertragen:</t>
  </si>
  <si>
    <t xml:space="preserve">ANF-1020</t>
  </si>
  <si>
    <t xml:space="preserve">§ 50 (2) a</t>
  </si>
  <si>
    <t xml:space="preserve">Der Auftragnehmer bestimmt den Auftraggeber 1 als Dritten gemäß § 5 Abs.</t>
  </si>
  <si>
    <t xml:space="preserve">Der Auftragnehmer bestimmt den Auftraggeber 1 als Dritten gemäß § 5 Abs. 1 Satz 2 Alt. 2</t>
  </si>
  <si>
    <t xml:space="preserve">Kapitel: THG-Quoten
Fundstelle im PDF: Seite 43</t>
  </si>
  <si>
    <t xml:space="preserve">ANF-1021</t>
  </si>
  <si>
    <t xml:space="preserve">§ 50 (2) i</t>
  </si>
  <si>
    <t xml:space="preserve">V. m. § 7 Abs. 5 der 38.</t>
  </si>
  <si>
    <t xml:space="preserve">V. m. § 7 Abs. 5 der 38. BImSchV. Der Auftraggeber 1 ist berechtigt, die Menge des elektrischen Stroms, der über die von diesem Vertrag umfassten Ladepunkte entnommen wird, im Rahmen des THG-Quotenhandels nach § 37a Abs. 6 BImSchG im eigenen Namen und auf eigene Rechnung zu vermarkten, d. h. beim Umweltbundesamt zu melden und an Quotenverpflichtete i. S. v. § 37a Abs. 1 BImSchG zu übertragen.</t>
  </si>
  <si>
    <t xml:space="preserve">ANF-1022</t>
  </si>
  <si>
    <t xml:space="preserve">§ 50 (2) b</t>
  </si>
  <si>
    <t xml:space="preserve">Eine Übertragung erfolgt, soweit der Auftragnehmer die THG-Quoten generiert und jeweils für volle Kalenderjahre.</t>
  </si>
  <si>
    <t xml:space="preserve">Eine Übertragung erfolgt, soweit der Auftragnehmer die THG-Quoten generiert und jeweils für volle Kalenderjahre. Beginn ist das Kalenderjahr der Inbetriebnahme des ersten Ladepunktes nach diesem Vertrag. Die Übertragung endet nach Ablauf des Kalenderjahres nach Ende dieses Vertrags.</t>
  </si>
  <si>
    <t xml:space="preserve">ANF-1023</t>
  </si>
  <si>
    <t xml:space="preserve">§ 50 (2) c</t>
  </si>
  <si>
    <t xml:space="preserve">Der Auftragnehmer teilt dem Auftraggeber 1 die im vorangegangenen Kalenderjahr über die Ladepunkte entnommene Strommenge mit und weist diese in geeigneter Weise nach.</t>
  </si>
  <si>
    <t xml:space="preserve">Der Auftragnehmer teilt dem Auftraggeber 1 die im vorangegangenen Kalenderjahr über die Ladepunkte entnommene Strommenge mit und weist diese in geeigneter Weise nach. Darüber hinaus teilt der Auftragnehmer dem Auftraggeber 1 das Verpflichtungsjahr, die EVSE-ID, den genauen Standort des Ladepunktes und den Zeitraum, in dem die Strommenge dem Ladepunkt entnommen wurde, mit. Die Mitteilung der Angaben nach Satz 1 und 2 dieser lit. c hat bis spätestens 15.02. eines Kalenderjahres zu erfolgen.</t>
  </si>
  <si>
    <t xml:space="preserve">ANF-1024</t>
  </si>
  <si>
    <t xml:space="preserve">§ 50 (2) d</t>
  </si>
  <si>
    <t xml:space="preserve">Ändern sich die gesetzlichen oder behördlichen Anforderungen an den Nachweis der elektrischen Strommengen für Elektrofahrzeuge gegenüber dem Umweltbundesamt, wird der Auftragnehmer den Auftraggeber 1 …</t>
  </si>
  <si>
    <t xml:space="preserve">Ändern sich die gesetzlichen oder behördlichen Anforderungen an den Nachweis der elektrischen Strommengen für Elektrofahrzeuge gegenüber dem Umweltbundesamt, wird der Auftragnehmer den Auftraggeber 1 oder den von ihm benannten Dritten bei der Erfüllung dieser Pflichten unterstützen, insbesondere gegebenenfalls erforderliche Informationen und Unterlagen zur Verfügung stellen.</t>
  </si>
  <si>
    <t xml:space="preserve">ANF-1025</t>
  </si>
  <si>
    <t xml:space="preserve">§ 50 (2) e</t>
  </si>
  <si>
    <t xml:space="preserve">Spätestens zwei Wochen vor Beginn eines Quartals wird der Auftragnehmer dem Auftraggeber 1 eine Absatzprognose für dieses Quartal übermitteln.</t>
  </si>
  <si>
    <t xml:space="preserve">ANF-1026</t>
  </si>
  <si>
    <t xml:space="preserve">§ 51 (1)</t>
  </si>
  <si>
    <t xml:space="preserve">Der Auftragnehmer erstellt jeweils vier Wochen vor Ende eines Quartals eine Prognose zum Mittelabfluss im folgenden Quartal für den Auftraggeber 2 unter Berücksichtigung der Zahlungen des …</t>
  </si>
  <si>
    <t xml:space="preserve">Der Auftragnehmer erstellt jeweils vier Wochen vor Ende eines Quartals eine Prognose zum Mittelabfluss im folgenden Quartal für den Auftraggeber 2 unter Berücksichtigung der Zahlungen des Auftraggebers 2 (im eigenen Namen und auf Rechnung des Auftraggebers 1) sowie der Zahlungen des Auftragnehmers (Infrastrukturentgelt).</t>
  </si>
  <si>
    <t xml:space="preserve">Kapitel: Prognose für den Mittelabfluss, Allgemeine Bestimmungen für Zahlungen der Auftraggeber
Fundstelle im PDF: Seite 43</t>
  </si>
  <si>
    <t xml:space="preserve">ANF-1027</t>
  </si>
  <si>
    <t xml:space="preserve">§ 51 (2)</t>
  </si>
  <si>
    <t xml:space="preserve">Zahlungen des Errichtungsentgelts nach § 44 erfolgen namens und auf Rechnung des Auftraggebers 1 durch den Auftraggeber 2.</t>
  </si>
  <si>
    <t xml:space="preserve">ANF-1028</t>
  </si>
  <si>
    <t xml:space="preserve">§ 51 (3)</t>
  </si>
  <si>
    <t xml:space="preserve">Zahlungen des Betreiberentgelts nach § 45 erfolgen durch den Auftraggeber 2 in eigenem Namen und auf eigene Rechnung.</t>
  </si>
  <si>
    <t xml:space="preserve">ANF-1029</t>
  </si>
  <si>
    <t xml:space="preserve">§ 51 (4)</t>
  </si>
  <si>
    <t xml:space="preserve">Der Auftraggeber 2 ist berechtigt, sämtliche ihm zustehenden Zahlungsansprüche (einschließlich Ansprüche auf Zahlung von Vertragsstrafen und Ansprüche auf Zahlung des Infrastrukturentgelts) mit …</t>
  </si>
  <si>
    <t xml:space="preserve">Der Auftraggeber 2 ist berechtigt, sämtliche ihm zustehenden Zahlungsansprüche (einschließlich Ansprüche auf Zahlung von Vertragsstrafen und Ansprüche auf Zahlung des Infrastrukturentgelts) mit Zahlungsansprüche des Auftragnehmers gegen die Auftraggeber zu verrechnen und gegen diese aufzurechnen. Der Auftraggeber 1 tritt hierzu seine ihm gegen den Auftragnehmer zustehenden Zahlungsansprüche und solche, die in einen Zahlungsanspruch übergeben können, bereits hiermit ab und der Auftraggeber 2 nimmt die Abtretung hiermit an. Eine Verrechnung von Ansprüchen der Auftraggeber erfolgt vorrangig mit dem Betreiberentgelt.</t>
  </si>
  <si>
    <t xml:space="preserve">ANF-1030</t>
  </si>
  <si>
    <t xml:space="preserve">§ 51 (5)</t>
  </si>
  <si>
    <t xml:space="preserve">Der Auftragnehmer erstellt unverzüglich nach Ablauf eines Quartals eine Abrechnung über das dem Auftraggeber 2 für das betreffende Quartal zustehende Infrastrukturentgelt.</t>
  </si>
  <si>
    <t xml:space="preserve">ANF-1031</t>
  </si>
  <si>
    <t xml:space="preserve">§ 51 (6)</t>
  </si>
  <si>
    <t xml:space="preserve">Zahlungen der Auftraggeber sowie Verrechnungen des Auftraggebers 2 erfolgen jeweils binnen 30 Tagen nach Vorlage einer prüffähigen Rechnung durch den Auftragnehmer und des Vorliegens der Abrechnung …</t>
  </si>
  <si>
    <t xml:space="preserve">Zahlungen der Auftraggeber sowie Verrechnungen des Auftraggebers 2 erfolgen jeweils binnen 30 Tagen nach Vorlage einer prüffähigen Rechnung durch den Auftragnehmer und des Vorliegens der Abrechnung nach Absatz 5. Die Rechnungsstellung soll innerhalb eines Monats nach Ende des Quartals erfolgen.</t>
  </si>
  <si>
    <t xml:space="preserve">Kapitel: Prognose für den Mittelabfluss, Allgemeine Bestimmungen für Zahlungen der Auftraggeber
Fundstelle im PDF: Seite 43
Zuordnung prüfen (Komponente/Partner nicht eindeutig)</t>
  </si>
  <si>
    <t xml:space="preserve">ANF-1032</t>
  </si>
  <si>
    <t xml:space="preserve">§ 51 (7)</t>
  </si>
  <si>
    <t xml:space="preserve">Der Auftragnehmer ist verpflichtet, Rechnungen unter Beachtung der rechtlichen Vorgaben zu stellen, insbesondere der Verordnung über die elektronische Rechnungsstellung im öffentlichen Auftragswesen …</t>
  </si>
  <si>
    <t xml:space="preserve">Der Auftragnehmer ist verpflichtet, Rechnungen unter Beachtung der rechtlichen Vorgaben zu stellen, insbesondere der Verordnung über die elektronische Rechnungsstellung im öffentlichen Auftragswesen der Auftraggeber (E-Rechnungsverordnung) in der jeweils geltenden Fassung, elektronisch über die Zentrale Rechnungseingangsplattform des Auftraggebers 2 (ZRE).</t>
  </si>
  <si>
    <t xml:space="preserve">ANF-1033</t>
  </si>
  <si>
    <t xml:space="preserve">§ 51 (8)</t>
  </si>
  <si>
    <t xml:space="preserve">Alle in diesem Vertrag genannten Zahlungen verstehen sich netto, zuzüglich gegebenenfalls anfallender gesetzlicher Umsatzsteuer.</t>
  </si>
  <si>
    <t xml:space="preserve">Alle in diesem Vertrag genannten Zahlungen verstehen sich netto, zuzüglich gegebenenfalls anfallender gesetzlicher Umsatzsteuer. Dies gilt auch für die gemäß § 44 vor Fälligkeit anteilig in Rechnung gestellten Beträge. ABSCHNITT 8 VERTRAGSSTRAFEN, HAFTUNG UND VERSICHERUNG</t>
  </si>
  <si>
    <t xml:space="preserve">ANF-1034</t>
  </si>
  <si>
    <t xml:space="preserve">§ 52 (1)</t>
  </si>
  <si>
    <t xml:space="preserve">Im Fall der Nichteinhaltung von verbindlichen Vertragsterminen zur Erlangung der Betriebsfreigabe findet die Regelung des § 14 Anwendung.</t>
  </si>
  <si>
    <t xml:space="preserve">Kapitel: Vertragsstrafen
Fundstelle im PDF: Seite 44</t>
  </si>
  <si>
    <t xml:space="preserve">ANF-1035</t>
  </si>
  <si>
    <t xml:space="preserve">§ 52 (2)</t>
  </si>
  <si>
    <t xml:space="preserve">Im Fall einer Nichtvorhaltung der Schnittstelle zur Reservierung von Ladepunkten findet die Regelung in § 25 Abs.</t>
  </si>
  <si>
    <t xml:space="preserve">Im Fall einer Nichtvorhaltung der Schnittstelle zur Reservierung von Ladepunkten findet die Regelung in § 25 Abs. 6 Anwendung.</t>
  </si>
  <si>
    <t xml:space="preserve">ANF-1036</t>
  </si>
  <si>
    <t xml:space="preserve">§ 52 (3)</t>
  </si>
  <si>
    <t xml:space="preserve">Im Fall der Überschreitung von maximalen Ausfallzeiten finden die Regelungen des § 27 Abs.</t>
  </si>
  <si>
    <t xml:space="preserve">Im Fall der Überschreitung von maximalen Ausfallzeiten finden die Regelungen des § 27 Abs. 2 und 3 Anwendung.</t>
  </si>
  <si>
    <t xml:space="preserve">ANF-1037</t>
  </si>
  <si>
    <t xml:space="preserve">§ 52 (4)</t>
  </si>
  <si>
    <t xml:space="preserve">Im Fall einer Zuwiderhandlung gegen die Pflicht zur diskriminierungsfreien Zugangsgewährung findet die Regelung in § 33 Abs.</t>
  </si>
  <si>
    <t xml:space="preserve">Im Fall einer Zuwiderhandlung gegen die Pflicht zur diskriminierungsfreien Zugangsgewährung findet die Regelung in § 33 Abs. 1 Anwendung.</t>
  </si>
  <si>
    <t xml:space="preserve">ANF-1038</t>
  </si>
  <si>
    <t xml:space="preserve">§ 52 (5)</t>
  </si>
  <si>
    <t xml:space="preserve">Daneben ist der Auftragnehmer im Falle der nachstehend näher beschriebenen, vom Auftragnehmer zu vertretenden Pflichtverletzungen zur Zahlung von Vertragsstrafen an den Auftraggeber 2 verpflichtet.</t>
  </si>
  <si>
    <t xml:space="preserve">Daneben ist der Auftragnehmer im Falle der nachstehend näher beschriebenen, vom Auftragnehmer zu vertretenden Pflichtverletzungen zur Zahlung von Vertragsstrafen an den Auftraggeber 2 verpflichtet. Schadensersatz-, Freistellungs- sowie weitergehende Ansprüche bleiben unberührt, verwirkte Vertragsstrafen werden auf Schadensersatzansprüche angerechnet.</t>
  </si>
  <si>
    <t xml:space="preserve">ANF-1039</t>
  </si>
  <si>
    <t xml:space="preserve">§ 52 (5) a</t>
  </si>
  <si>
    <t xml:space="preserve">Verletzt der Auftragnehmer seine Pflicht zur Übermittlung von Daten an den Auftraggeber 2 (§ 64 i.</t>
  </si>
  <si>
    <t xml:space="preserve">Verletzt der Auftragnehmer seine Pflicht zur Übermittlung von Daten an den Auftraggeber 2 (§ 64 i. V. m. Kap. 1 (Datenschnittstelle) der Vertragsanlage 10: Leistungsbeschreibung Betrieb) und beseitigt er diese Pflichtverletzung trotz vorheriger Mahnung nicht innerhalb von einer Woche, so wird je Pflichtverletzung (bei nicht fristgemäßer, unvollständiger oder nicht vorgenommener Mitteilung) eine Vertragsstrafe von € 250,00 fällig. Die Vertragsstrafe ist pro Standort auf einen Betrag von € 20.000,00 pro Kalenderjahr des Vertragszeitraums begrenzt.</t>
  </si>
  <si>
    <t xml:space="preserve">ANF-1040</t>
  </si>
  <si>
    <t xml:space="preserve">§ 52 (5) b</t>
  </si>
  <si>
    <t xml:space="preserve">Verletzt der Auftragnehmer seine monatlichen Berichtspflichten (§ 64 i.</t>
  </si>
  <si>
    <t xml:space="preserve">Verletzt der Auftragnehmer seine monatlichen Berichtspflichten (§ 64 i. V. m. Kap. 3 (Monatsberichte) der Vertragsanlage 10: Leistungsbeschreibung Betrieb) und beseitigt er diese Pflichtverletzung trotz vorhergehender Mahnung nicht innerhalb von zwei Wochen, so wird je Pflichtverletzung (bei nicht fristgemäßen, unvollständigen oder nicht vorgenommenen Monatsberichten) eine Vertragsstrafe von € 100,00 pro betroffenem Standort fällig. Verwirklicht ein und dieselbe Pflichtverletzung den Tatbestand mehrerer der in Absatz 5 genannten Fälle, so wird die höchste Vertragsstrafe in Ansatz gebracht.</t>
  </si>
  <si>
    <t xml:space="preserve">ANF-1041</t>
  </si>
  <si>
    <t xml:space="preserve">§ 52 (6)</t>
  </si>
  <si>
    <t xml:space="preserve">Die nach diesem Vertrag hinsichtlich der Verletzung der Pflichten des Auftragnehmers zur Errichtung der Ladeinfrastruktur sowie die nach diesem Vertrag hinsichtlich der Verletzung der Pflichten des …</t>
  </si>
  <si>
    <t xml:space="preserve">Die nach diesem Vertrag hinsichtlich der Verletzung der Pflichten des Auftragnehmers zur Errichtung der Ladeinfrastruktur sowie die nach diesem Vertrag hinsichtlich der Verletzung der Pflichten des Auftragnehmers zum Betrieb der Ladeinfrastruktur zu zahlenden Vertragsstrafen sind jeweils der Höhe nach auf 5 % des im Angebot des Auftragnehmers insgesamt angegebenen Brutto-Errichtungsentgelts (für Errichtungspflichten) bzw. Brutto-Betreiberentgelts (für Betriebspflichten sowie alle weiteren vertragsstrafenbewährten Pflichten des Auftragnehmers) begrenzt.</t>
  </si>
  <si>
    <t xml:space="preserve">ANF-1042</t>
  </si>
  <si>
    <t xml:space="preserve">§ 52 (7)</t>
  </si>
  <si>
    <t xml:space="preserve">Das Recht des Auftraggebers 2 zur außerordentlichen Kündigung aus wichtigem Grund bleibt durch diese Vorgaben unberührt.</t>
  </si>
  <si>
    <t xml:space="preserve">ANF-1043</t>
  </si>
  <si>
    <t xml:space="preserve">§ 53 (1)</t>
  </si>
  <si>
    <t xml:space="preserve">Der Auftragnehmer ist verpflichtet, dem Auftraggeber 2 spätestens 30 Tage nach Vertragsschluss eine Bürgschaft eines europäischen Kreditinstituts zur Sicherung der Ansprüche der Auftraggeber aus …</t>
  </si>
  <si>
    <t xml:space="preserve">Der Auftragnehmer ist verpflichtet, dem Auftraggeber 2 spätestens 30 Tage nach Vertragsschluss eine Bürgschaft eines europäischen Kreditinstituts zur Sicherung der Ansprüche der Auftraggeber aus diesem Vertrag nach dem als Vertragsanlage 15: Muster Vertragserfüllungsbürgschaft beigefügten Muster vorzulegen. Sie ist eine Höchstbetragsbürgschaft und dient als Sicherheit für die Erfüllung sämtlicher Leistungspflichten des Auftragnehmers betreffend Planung, Errichtung und Betrieb der Ladeinfrastruktur einschließlich Zahlungsverpflichtungen, insbesondere betreffend die Zahlung des Infrastrukturentgelts gemäß § 46, von Vertragsstrafen, die Leistung von Schadensersatz, gleich aus welchem Rechtsgrund, sowie Zinsen. Der Auftragnehmer ist berechtigt, anstelle einer Bürgschaft bis zu fünf Höchstbetragsbürgschaften zur Sicherung der vorgenannten Ansprüche zu stellen.</t>
  </si>
  <si>
    <t xml:space="preserve">Kapitel: Sicherheiten
Fundstelle im PDF: Seite 45</t>
  </si>
  <si>
    <t xml:space="preserve">ANF-1044</t>
  </si>
  <si>
    <t xml:space="preserve">§ 53 (2)</t>
  </si>
  <si>
    <t xml:space="preserve">Das sich verbürgende europäische Kreditinstitut muss ein Rating im „BBB“-Bereich von Standard &amp; Poor's oder ein gleichwertiges Rating einer anderen international anerkannten Rating-Agentur aufweisen.</t>
  </si>
  <si>
    <t xml:space="preserve">Das sich verbürgende europäische Kreditinstitut muss ein Rating im „BBB“-Bereich von Standard &amp; Poor's oder ein gleichwertiges Rating einer anderen international anerkannten Rating-Agentur aufweisen. Die Auftraggeber haben einen Anspruch auf Austausch der Bürgschaft, wenn sich das Rating wesentlich verschlechtert, d. h. schlechter als „BBB“- (Standard &amp; Poor's) oder ein gleichwertig schlechteres Rating einer anderen international anerkannten Rating-Agentur. Die Bürgschaft muss schriftlich, unbedingt und unbefristet, unwiderruflich und selbstschuldnerisch sowie unter Verzicht auf die Einrede der Vorausklage erklärt werden. Das Recht zur Hinterlegung muss ebenfalls ausgeschlossen sein. Ferner hat der Bürge zu erklären, dass für Streitigkeiten aus der Bürgschaft ausschließlich das Recht der Bundesrepublik Deutschland Anwendung findet und Gerichtsstand Berlin ist. Weiter hat er zu erklären, dass die Bürgschaftsforderung nicht vor der gesicherten Hauptforderung verjährt.</t>
  </si>
  <si>
    <t xml:space="preserve">ANF-1045</t>
  </si>
  <si>
    <t xml:space="preserve">§ 53 (3)</t>
  </si>
  <si>
    <t xml:space="preserve">Die Höhe der Bürgschaft beträgt 5 % der Gesamtsumme des Netto-Errichtungsentgelts gemäß Preisblatt aus dem Angebot des Auftragnehmers.</t>
  </si>
  <si>
    <t xml:space="preserve">Die Höhe der Bürgschaft beträgt 5 % der Gesamtsumme des Netto-Errichtungsentgelts gemäß Preisblatt aus dem Angebot des Auftragnehmers. Erhöht sich infolge geänderter oder zusätzlicher Leistungen die Vergütung des Auftragnehmers um 10 % oder mehr der Gesamtsumme des Netto-Errichtungsentgelts, so kann der Auftraggeber eine Erhöhung der Bürgschaft um den entsprechenden zusätzlichen Betrag verlangen. Die Höhe der Bürgschaft verringert sich mit der Betriebsfreigabe eines Standorts um einen Betrag, der dem Anteil des Errichtungsentgelts für diesen Standort an der Gesamtsumme des Netto-Errichtungsentgelts (Gesamtkosten aller Standorte gemäß Preisblatt des Angebots des Bieters) entspricht.</t>
  </si>
  <si>
    <t xml:space="preserve">ANF-1046</t>
  </si>
  <si>
    <t xml:space="preserve">§ 53 (4)</t>
  </si>
  <si>
    <t xml:space="preserve">Die Auftraggeber haben die nicht verwertete Bürgschaft zurückzugeben, sobald für alle Standorte, an denen nach diesem Vertrag die Planung, Errichtung, technische Inbetriebnahme, Abnahme und …</t>
  </si>
  <si>
    <t xml:space="preserve">Die Auftraggeber haben die nicht verwertete Bürgschaft zurückzugeben, sobald für alle Standorte, an denen nach diesem Vertrag die Planung, Errichtung, technische Inbetriebnahme, Abnahme und Betriebsfreigabe der Ladeeinrichtungen vom Auftragnehmer zu erbringen bzw. zu bewirken sind, die Betriebsfreigabe erteilt worden ist, es sei denn, zu diesem Zeitpunkt bestehen noch offene Ansprüche und diese sind gegen den Bürgen geltend gemacht. In letzterem Fall ist die Bürgschaft mit Erfüllung dieser offenen, gegen den Bürgen geltend gemachten Ansprüche zurückzugeben.</t>
  </si>
  <si>
    <t xml:space="preserve">ANF-1047</t>
  </si>
  <si>
    <t xml:space="preserve">§ 53 (5)</t>
  </si>
  <si>
    <t xml:space="preserve">Die Bürgschaft ist befristet, sie gilt bis zum Ende des 8. auf das Kalenderjahr der Zuschlagserteilung folgenden Kalenderjahres.</t>
  </si>
  <si>
    <t xml:space="preserve">Die Bürgschaft ist befristet, sie gilt bis zum Ende des 8. auf das Kalenderjahr der Zuschlagserteilung folgenden Kalenderjahres. Der Bürge wird nach Maßgabe von § 777 Abs. 1 Satz 2 BGB mit Ablauf der bestimmten Zeit frei, sofern eine unverzügliche Anzeige der Inanspruchnahme des Bürgen unterbleibt.</t>
  </si>
  <si>
    <t xml:space="preserve">ANF-1048</t>
  </si>
  <si>
    <t xml:space="preserve">§ 53 (6)</t>
  </si>
  <si>
    <t xml:space="preserve">Die Kosten der Bürgschaft hat der Auftragnehmer zu tragen.</t>
  </si>
  <si>
    <t xml:space="preserve">ANF-1049</t>
  </si>
  <si>
    <t xml:space="preserve">§ 53 (7)</t>
  </si>
  <si>
    <t xml:space="preserve">Das Erfordernis zur Stellung einer Bürgschaft gemäß Absatz 1 bis 5 durch den Betreiber kann bis zu 50 % des zu sichernden Betrages durch ein gleichwertiges Sicherungsinstrument (z.</t>
  </si>
  <si>
    <t xml:space="preserve">Das Erfordernis zur Stellung einer Bürgschaft gemäß Absatz 1 bis 5 durch den Betreiber kann bis zu 50 % des zu sichernden Betrages durch ein gleichwertiges Sicherungsinstrument (z. B. Garantie eines oder mehrerer Gesellschafter des Betreibers und/oder eines oder mehrerer mit dem Betreiber im Sinne des § 15 AktG verbundenen Unternehmen oder einer am Betreiber beteiligten Gebietskörperschaft mit Ratings mindestens gemäß Absatz 2 bzw. anderweitig nachgewiesener vergleichbarer Bonität) ersetzt werden. Bezüglich der vergleichbaren Bonität desjenigen, der das vergleichbare Sicherungsinstrument stellt, wäre insoweit ausreichend, wenn diese über eine Muttergesellschaft (oder eine andere Konzerngesellschaft) vermittelt wird, mit der ein Ergebnisabführungsvertrag (oder eine Kette von Ergebnisabführungsverträgen) besteht.</t>
  </si>
  <si>
    <t xml:space="preserve">ANF-1050</t>
  </si>
  <si>
    <t xml:space="preserve">§ 54 (1)</t>
  </si>
  <si>
    <t xml:space="preserve">Die Parteien haften untereinander nach den gesetzlichen Vorschriften, soweit sich aus den folgenden Bestimmungen nichts Abweichendes ergibt.</t>
  </si>
  <si>
    <t xml:space="preserve">Die Parteien haften untereinander nach den gesetzlichen Vorschriften, soweit sich aus den folgenden Bestimmungen nichts Abweichendes ergibt. Die Höhe der Haftung des Auftragnehmers für alle Schäden während der Vertragslaufzeit ist in der Höhe beschränkt auf 50 % der Auftragssumme (Errichtungsentgelt zzgl. Summe der Betreiberentgelte für die Vertragslaufzeit) über die Vertragslaufzeit. Vorstehende Haftungsbegrenzung gilt jedoch nicht für</t>
  </si>
  <si>
    <t xml:space="preserve">Kapitel: Allgemeine Haftungsregeln
Fundstelle im PDF: Seite 46</t>
  </si>
  <si>
    <t xml:space="preserve">ANF-1051</t>
  </si>
  <si>
    <t xml:space="preserve">§ 54 (1) a</t>
  </si>
  <si>
    <t xml:space="preserve">schuldhaft verursachte Schäden aus der Verletzung des Lebens, des Körpers oder der Gesundheit und</t>
  </si>
  <si>
    <t xml:space="preserve">ANF-1052</t>
  </si>
  <si>
    <t xml:space="preserve">§ 54 (1) b</t>
  </si>
  <si>
    <t xml:space="preserve">sonstige Schäden, die auf einer grob fahrlässigen oder vorsätzlichen Pflichtverletzung beruhen sowie</t>
  </si>
  <si>
    <t xml:space="preserve">ANF-1053</t>
  </si>
  <si>
    <t xml:space="preserve">§ 54 (1) c</t>
  </si>
  <si>
    <t xml:space="preserve">die in diesem Vertrag ausdrücklich geregelten Vertragsstrafen.</t>
  </si>
  <si>
    <t xml:space="preserve">ANF-1054</t>
  </si>
  <si>
    <t xml:space="preserve">§ 54 (2)</t>
  </si>
  <si>
    <t xml:space="preserve">Soweit die Auftraggeber im Zusammenhang mit der Planung, der Errichtung oder dem Betrieb der Ladeinfrastruktur Dritten gegenüber allein oder neben dem Auftragnehmer haften (sei es als …</t>
  </si>
  <si>
    <t xml:space="preserve">Soweit die Auftraggeber im Zusammenhang mit der Planung, der Errichtung oder dem Betrieb der Ladeinfrastruktur Dritten gegenüber allein oder neben dem Auftragnehmer haften (sei es als Grundstückseigentümer, Träger der Straßenbaulast oder aus sonstigem Rechtsgrund) und diese Haftung auf einer zu vertretenden Nicht- oder Schlechterfüllung der in diesem Vertrag von dem Auftragnehmer gegenüber den Auftraggebern übernommenen Verpflichtungen oder einer sonstigen schuldhaften Handlung des Auftragnehmers beruht, ist der Auftragnehmer verpflichtet, die Auftraggeber insoweit von Ersatzansprüchen Dritter freizustellen.</t>
  </si>
  <si>
    <t xml:space="preserve">ANF-1055</t>
  </si>
  <si>
    <t xml:space="preserve">§ 54 (3)</t>
  </si>
  <si>
    <t xml:space="preserve">Der Auftraggeber 2 haftet gegenüber dem Auftragnehmer nicht für Nachteile, die diesem aus einer etwaigen verzögerten Erteilung von Planfreigaben, Baufreigaben oder Betriebsfreigaben entstehen.</t>
  </si>
  <si>
    <t xml:space="preserve">Der Auftraggeber 2 haftet gegenüber dem Auftragnehmer nicht für Nachteile, die diesem aus einer etwaigen verzögerten Erteilung von Planfreigaben, Baufreigaben oder Betriebsfreigaben entstehen. Die vorstehende Regelung lässt Ansprüche des Auftragnehmers auf Erstattung tatsächlich erforderlicher Kosten, die ihm nach diesem Vertrag zustehen, unberührt.</t>
  </si>
  <si>
    <t xml:space="preserve">ANF-1056</t>
  </si>
  <si>
    <t xml:space="preserve">§ 55 (1) a</t>
  </si>
  <si>
    <t xml:space="preserve">Sachsubstanzversicherung/Elektronikversicherung aa) Der Auftragnehmer ist verpflichtet, für die nach diesem Vertrag von ihm zu planenden, zu errichtenden und zu betreibenden Ladeinfrastruktur eine …</t>
  </si>
  <si>
    <t xml:space="preserve">Sachsubstanzversicherung/Elektronikversicherung aa) Der Auftragnehmer ist verpflichtet, für die nach diesem Vertrag von ihm zu planenden, zu errichtenden und zu betreibenden Ladeinfrastruktur eine ausreichende Sachsubstanzversicherung zu üblichen Versicherungsbedingungen abzuschließen und über die Dauer der Vertragslaufzeit aufrechtzuerhalten. Das Interesse der Auftraggeber ist mitzuversichern. bb) In diesem Zusammenhang übliche Versicherungsbedingungen stellen die Allgemeine Bedingungen für die Elektronikversicherung (ABE 2020) dar, die um Schäden aus inneren Unruhen zu erweitern sind. cc) Die Ladeinfrastruktur ist insbesondere gegen die Risiken einer unvorhergesehen eintretenden Beschädigung oder Zerstörung sowie gegen Abhandenkommen durch Diebstahl zu versichern. Der Versicherungsschutz hat dabei auch Schäden durch höhere Gewalt, einschließlich Elementarschäden — auch durch Erdbeben — sowie Schäden durch innere Unruhen einzuschließen. Im Falle einer Sachsubstanzversicherung ist eine Deckungserweiterung um Schäden durch böswillige Beschädigung vorzusehen. Die Höchstersatzleistung des Versicherers für derartige Schäden kann je Kalenderjahr auf einen Maximalbetrag von € 5.000.000,00 begrenzt werden. Dabei darf der Versicherungsschutz einen Ausschluss von Schäden durch Kratzer, Schrammen, Dellen infolge von Vandalismus/böswilliger Beschädigung an der Ladeinfrastruktur vorsehen, soweit durch den Schaden nicht gleichzeitig die Funktionsfähigkeit der Ladeeinrichtung beeinträchtigt ist (optische/kosmetische Schäden). Der Auftragnehmer kann sich auf diesen Ausschluss nur dann berufen, wenn der Schaden sachgerecht dokumentiert wurde und er zusätzlich eine polizeiliche Anzeige des Schadens vorgenommen hat. dd) Nebenleistungen beispielsweise für die Schnittstelle zum Netzanschluss und Fundamente sind in den Versicherungsschutz einzubeziehen.</t>
  </si>
  <si>
    <t xml:space="preserve">Kapitel: Versicherungen
Fundstelle im PDF: Seite 46</t>
  </si>
  <si>
    <t xml:space="preserve">ANF-1057</t>
  </si>
  <si>
    <t xml:space="preserve">§ 55 (1) b</t>
  </si>
  <si>
    <t xml:space="preserve">Montageversicherung aa) Der Auftragnehmer ist verpflichtet, für Schäden an den nach diesem Vertrag zu errichtenden und/oder zu montierenden Montageobjekten eine ausreichende Montageversicherung zu …</t>
  </si>
  <si>
    <t xml:space="preserve">Montageversicherung aa) Der Auftragnehmer ist verpflichtet, für Schäden an den nach diesem Vertrag zu errichtenden und/oder zu montierenden Montageobjekten eine ausreichende Montageversicherung zu üblichen Versicherungsbedingungen abzuschließen und während der Bau- und Montagephase sowie mindestens sechs Monate darüber hinaus für Schäden durch Nacharbeiten sowie Schäden, die während des Versicherungsschutzes am Versicherungsort verursacht wurden (Extended Maintenance), aufrechtzuerhalten. Der Auftragnehmer kann seine Pflicht nach diesem Absatz auch dadurch erfüllen, dass sein Zulieferer eine entsprechende Versicherung abschließt. bb) In diesem Zusammenhang übliche Versicherungsbedingungen stellen die Allgemeinen Bedingungen für die Montageversicherung (AmoB 01/2021) sowie deren Vorgängerversion mit der Bezeichnung (AmoB 2008) sowie vergleichbare, individuell ausgehandelte Bedingungen dar, die um folgende Schäden zu erweitern sind: • Innere Unruhen, • Streik sowie • Aussperrung. cc) Vom Versicherungsschutz müssen insbesondere umfasst sein: • Nebenleistungen beispielsweise für die Anbindung an den Netzanschluss, Fundamente und Kabel sowie der Leitungsführung dienende Vorrichtungen, • Auftraggeberinteresse (sog. „Bestellerinteresse“), • Schäden, die auf den Transportwegen zwischen einer (Zwischen-)Lagerstätte und dem Montageplatz entstehen, sowie • De- und Remontagekosten infolge eines Mangels am zu liefernden Montageobjekt.</t>
  </si>
  <si>
    <t xml:space="preserve">ANF-1058</t>
  </si>
  <si>
    <t xml:space="preserve">§ 55 (1) c</t>
  </si>
  <si>
    <t xml:space="preserve">Nach Abschluss der Versicherungen ist der Auftraggeber 2 über die Höhe und die versicherten Risiken zu unterrichten.</t>
  </si>
  <si>
    <t xml:space="preserve">Nach Abschluss der Versicherungen ist der Auftraggeber 2 über die Höhe und die versicherten Risiken zu unterrichten. Der Fortbestand der Versicherungen muss vom Auftragnehmer jeweils zum ersten Werktag des Kalendermonats Januar gegenüber dem Auftraggeber 2 nachgewiesen werden. Änderungen des Versicherungsumfanges, wesentlicher Versicherungsbedingungen oder ein Verlust des Versicherungsschutzes, gleich aus welchem Grund, sind dem Auftraggeber 2 gegenüber unverzüglich schriftlich anzuzeigen. Der Auftragnehmer verpflichtet den Versicherer unwiderruflich zur Mitteilung direkt gegenüber dem Auftraggeber 2, wenn der Versicherungsschutz nicht oder nicht mehr gegeben ist, insbesondere wenn die geschuldete Prämie nicht geleistet wurde. Der Auftragnehmer muss dem Auftraggeber 2 diese Anweisung des oder der Versicherer spätestens einen Monat nach Vertragsschluss nachweisen.</t>
  </si>
  <si>
    <t xml:space="preserve">ANF-1059</t>
  </si>
  <si>
    <t xml:space="preserve">§ 55 (1) d</t>
  </si>
  <si>
    <t xml:space="preserve">Der Auftragnehmer ist verpflichtet, Ansprüche aus dem Versicherungsvertrag mit der Sorgfalt eines ordentlichen Kaufmanns zu verfolgen.</t>
  </si>
  <si>
    <t xml:space="preserve">Der Auftragnehmer ist verpflichtet, Ansprüche aus dem Versicherungsvertrag mit der Sorgfalt eines ordentlichen Kaufmanns zu verfolgen. Der Auftragnehmer ist allerdings nach Maßgabe von § 28 und § 29 auch dann zur Beseitigung von Schäden oder zur Erneuerung (Wiederherstellung) der Ladeeinrichtungen verpflichtet, wenn ihm keine Ansprüche gegen den Versicherer aus dem Versicherungsvertrag zustehen sollten. Stehen dem Auftragnehmer Leistungen aus dem Versicherungsvertrag für den Ersatz von Schäden bzw. für die Wiederherstellung zu, hat der Auftragnehmer diese sachgerecht zur Beseitigung der Schäden bzw. zur Wiederherstellung der Ladeeinrichtungen sowie der Schäden an den Montageobjekten einzusetzen. Dem Auftragnehmer stehen Leistungen aus dem Versicherungsvertrag so lange zweckgebunden zu, als er seinen Verpflichtungen in Bezug auf Versicherungen nachkommt. Dies gilt auch für den Fall, wenn die Ladeinfrastruktur nach § 19 bereits in das Eigentum des Auftraggebers 1 übergegangen ist. Die Auftraggeber sind im Schadensfall und soweit dem Auftragnehmer Ansprüche aus dem Versicherungsvertrag zustehen berechtigt, die Abtretung der Ansprüche gegen den Versicherer oder die Herausgabe der Versicherungsleistung zu verlangen, falls der Auftragnehmer seinen Verpflichtungen zur Beseitigung von Schäden oder zur Erneuerung (Wiederherstellung) der betroffenen Ladeeinrichtungen gemäß § 28 und § 29 sowie von Schäden an den Montageobjekten trotz Abmahnung durch den Auftraggeber 2 nicht nachkommt. Die Berechtigung des Auftragnehmers, Ansprüche an einen Fremdkapitalgeber oder einen von einem Fremdkapitalgeber bestellten Sicherheitentreuhänder abzutreten, bleibt unberührt und gilt auch für Ansprüche gegen Versicherungen.</t>
  </si>
  <si>
    <t xml:space="preserve">ANF-1060</t>
  </si>
  <si>
    <t xml:space="preserve">§ 55 (2)</t>
  </si>
  <si>
    <t xml:space="preserve">Haftpflichtversicherungen</t>
  </si>
  <si>
    <t xml:space="preserve">ANF-1061</t>
  </si>
  <si>
    <t xml:space="preserve">§ 55 (2) a</t>
  </si>
  <si>
    <t xml:space="preserve">Der Auftragnehmer ist verpflichtet, für die nach diesem Vertrag vom ihm zu errichtenden und zu betreibenden Ladeeinrichtungen sowie für die von ihm zu erbringenden Nebenleistungen ausreichende …</t>
  </si>
  <si>
    <t xml:space="preserve">Der Auftragnehmer ist verpflichtet, für die nach diesem Vertrag vom ihm zu errichtenden und zu betreibenden Ladeeinrichtungen sowie für die von ihm zu erbringenden Nebenleistungen ausreichende Haftpflichtversicherungen für seine gesetzliche Haftpflicht privatrechtlichen Inhalts für alle versicherbaren Haftungsrisiken während der Vertragsdauer (Bauhaftpflicht-, Betriebs- und Produkthaftpflicht-, Umwelthaftpflicht-, Umweltschadensrisiken) abzuschließen oder dem Auftraggeber 2 durch Vorlage eines entsprechenden Versicherungsnachweises das Bestehen eines solchen Versicherungsschutzes zu bestätigen. Für Versicherungsfälle, die während der Vertragslaufzeit eingetreten sind, jedoch erst zu einem späteren Zeitpunkt zu Ansprüchen führen, ist eine Nachhaftung von mindestens fünf Jahren vorzusehen. Die persönliche gesetzliche Haftpflicht beauftragter Nachunternehmer ist mitzuversichern. Die Haftpflichtversicherungen haben eine Mindestversicherungssumme je Versicherungsfall von € 10.000.000,00 pauschal für Personen- und Sachschäden oder sich daraus ergebenden Vermögensschaden aufzuweisen, soweit nicht nachstehend Ausnahmen definiert sind. Falls die Versicherung der Bauhaftpflicht-, Betriebs- und Produkthaftpflicht-, Umwelthaftpflicht-, Umweltschadensrisiken innerhalb eines einheitlichen Versicherungsvertrags erfolgt, kann die Gesamtleistung je Versicherungsfall auf € 10.000.000,00 und je Versicherungsjahr auf € 20.000.000,00 begrenzt werden. Eine Limitierung der Versicherungssumme je geschädigte Person ist nicht zulässig. Sofern der Auftragnehmer keine Projektversicherung abschließt, die vorgenannten Versicherungssummen also nicht ausschließlich für das vertragsgegenständliche Projekt zur Verfügung stehen, müssen die vorgenannten Versicherungssummen je Versicherungsfall im Versicherungsjahr für die gesamte Vertragsdauer mindestens zweifach zur Verfügung stehen (zweifache Maximierung). Alternativ kann der Auftragnehmer eine Anschlusshaftpflichtversicherung (Exzedenten-Versicherung) in entsprechender Höhe nachweisen.</t>
  </si>
  <si>
    <t xml:space="preserve">ANF-1062</t>
  </si>
  <si>
    <t xml:space="preserve">§ 55 (2) b</t>
  </si>
  <si>
    <t xml:space="preserve">Der Auftragnehmer hat ferner sicherzustellen, dass etwaige von ihm zur Erfüllung seiner Leistungspflichten aus diesem Vertrag eingesetzte Erfüllungsgehilfen (z.</t>
  </si>
  <si>
    <t xml:space="preserve">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2 nachzuweisen.</t>
  </si>
  <si>
    <t xml:space="preserve">ANF-1063</t>
  </si>
  <si>
    <t xml:space="preserve">§ 55 (2) c</t>
  </si>
  <si>
    <t xml:space="preserve">Der Versicherungsschutz hat eine Freistellung der Auftraggeber von deren gesetzlicher Haftpflicht privatrechtlichen Inhalts vorzusehen, soweit die Ansprüche auf einen Fehler zurückzuführen sind, der …</t>
  </si>
  <si>
    <t xml:space="preserve">Der Versicherungsschutz hat eine Freistellung der Auftraggeber von deren gesetzlicher Haftpflicht privatrechtlichen Inhalts vorzusehen, soweit die Ansprüche auf einen Fehler zurückzuführen sind, der vom Auftragnehmer zu vertreten ist.</t>
  </si>
  <si>
    <t xml:space="preserve">ANF-1064</t>
  </si>
  <si>
    <t xml:space="preserve">§ 55 (2) e</t>
  </si>
  <si>
    <t xml:space="preserve">Bauhaftpflichtversicherung Vom Versicherungsschutz müssen insbesondere umfasst sein: aa) Vermögensschäden, die weder mittelbar noch unmittelbar mit einem Personen- oder Sachschaden zusammenhängen, …</t>
  </si>
  <si>
    <t xml:space="preserve">Bauhaftpflichtversicherung Vom Versicherungsschutz müssen insbesondere umfasst sein: aa) Vermögensschäden, die weder mittelbar noch unmittelbar mit einem Personen- oder Sachschaden zusammenhängen, mit einem Sublimit von € 1.000.000,00 und bb) Tätigkeitsschäden sowie Erdleitungsschäden mit einem Sublimit von € 2.000.000,00.</t>
  </si>
  <si>
    <t xml:space="preserve">ANF-1065</t>
  </si>
  <si>
    <t xml:space="preserve">§ 55 (2) f</t>
  </si>
  <si>
    <t xml:space="preserve">Umwelthaftpflicht- und Umweltschadenversicherung aa) Die Umwelthaftpflichtversicherung hat eine Mindestversicherungssumme in Höhe von € 10.000.000,00 pauschal für Personen-, Sach- und mitversicherte …</t>
  </si>
  <si>
    <t xml:space="preserve">Umwelthaftpflicht- und Umweltschadenversicherung aa) Die Umwelthaftpflichtversicherung hat eine Mindestversicherungssumme in Höhe von € 10.000.000,00 pauschal für Personen-, Sach- und mitversicherte Vermögensschäden (Verletzung von Aneignungsrechten, des Rechts am eingerichteten und ausgeübten Gewerbebetrieb, von wasserrechtlichen Benutzungsrechten oder -befugnissen) aufzuweisen. Die Versicherungssumme kann auch als Sublimit zur Verfügung stehen. bb) Die Umweltschadensversicherung hat eine Mindestversicherungssumme in Höhe von € 2.000.000,00 aufzuweisen. Die Versicherungssumme kann auch als Sublimit zur Verfügung stehen. cc) Die Versicherungssummen der Umwelthaftpflicht- und Umweltschadensversicherung müssen mindestens einmal je Versicherungsjahr zur Verfügung stehen.</t>
  </si>
  <si>
    <t xml:space="preserve">ANF-1066</t>
  </si>
  <si>
    <t xml:space="preserve">§ 55 (2) g</t>
  </si>
  <si>
    <t xml:space="preserve">Betriebs- und Produkthaftpflichtversicherung aa) Deckungserweiterungen Der Versicherungsschutz ist zusätzlich insbesondere um die nachfolgenden Deckungserweiterungen zu ergänzen: • …</t>
  </si>
  <si>
    <t xml:space="preserve">Betriebs- und Produkthaftpflichtversicherung aa) Deckungserweiterungen Der Versicherungsschutz ist zusätzlich insbesondere um die nachfolgenden Deckungserweiterungen zu ergänzen: • Haftpflichtansprüche Dritter aus der Verletzung von Persönlichkeitsrechten bzw. datenschutzrechtlicher Bestimmungen, insbesondere Ansprüche der Endnutzer sowie Mobilitätsdienstleister; • Soweit Leistungen mit fremden Inhalten bereitgehalten werden: Vermögensschäden Dritter aus dem Bereithalten fremder Inhalte/Providing; • Soweit ein Rechenzentrum betrieben wird: Vermögensschäden Dritter (Endnutzer, Mobilitätsdienstleister, sonstige Dritte) aus dem Betrieb von Rechenzentren, beispielsweise für Kundenkonten, Statistiken, für die Datenauswertung, den Datentransfer und die Abrechnung; • Vermögensschäden Dritter wegen Beschädigung oder Verlust fremder Daten, insbesondere Daten sowie Datenträgern der Endnutzer sowie von Geschäftspartnern – beispielsweise Verändern, Löschen der Kartendaten, Übermittlung fehlerhafter Datensätze an Abrechnungsstellen, unberechtigte Verbreitung von Daten und Programmen (Schadsoftware) etc.; • Ansprüche/Vertragsstrafen von E-Payment-Anbietern wegen Verletzung von PCI-Datensicherheitsstandards; • Vermögensschäden, die weder mittelbar noch unmittelbar mit einem Personenoder Sachschaden zusammenhängen, mit einem Sublimit von mindestens € 1.000.000,00; • Obhuts-/Mietsachschäden (insbesondere für die Netzanschlusspunkte) mit einem Sublimit von mindestens € 1.000.000,00 je Versicherungsfall sowie • Tätigkeitsschäden mit einem Sublimit von mindestens € 1.000.000,00. Soweit der Auftragnehmer Daten speichert, verarbeitet oder Dritten zur Verfügung stellt, ist ein Sublimit von € 5.000.000,00 für Vermögensschäden aus den genannten Risiken je Versicherungsfall und Versicherungsjahr vorzusehen. Werden Daten ausschließlich durch Dritte gespeichert, verarbeitet oder zur Verfügung gestellt, ist ein Sublimit von € 2.000.000,00 für Vermögensschäden aus den genannten Risiken je Versicherungsfall und Versicherungsjahr zu vereinbaren. bb) Erweiterte Produkthaftpflichtversicherung Soweit der Auftragnehmer selbst Hersteller oder Quasihersteller der Ladeinfrastruktur i. S. d. Produkthaftungsgesetzes ist, ist er weiter verpflichtet, eine sog. „erweiterte Produkthaftpflichtversicherung“ abzuschließen und für die Dauer von fünf Jahren aufrechtzuerhalten, wobei sich der Versicherungsschutz insbesondere auch auf Kosten für den Austausch mangelhafter Erzeugnisse, d. h.: • Kosten für das Ausbauen, Abnehmen, Freilegen oder Entfernen mangelhafter Erzeugnisse sowie • das Einbauen, Anbringen, Verlegen oder Auftragen mangelfreier Erzeugnisse oder mangelfreier Produkte Dritter zu erstrecken hat. Dabei sind auf Sachmängeln beruhende Schadensersatzansprüche Dritter im gesetzlichen Umfang mitzuversichern, wenn der Auftragnehmer aufgrund einer Vereinbarung mit dem Auftraggeber über bestimmte Eigenschaften seiner Erzeugnisse, Arbeiten und Leistungen dafür verschuldensunabhängig einzustehen hat, dass diese bei Gefahrübergang vorhanden sind (zugesicherte Eigenschaften/Beschaffenheiten). Der Versicherungsschutz muss hier auch solche Kosten umfassen, die zur Erfüllung einer gesetzlichen Pflicht zur Neulieferung oder zur Beseitigung eines Mangels des Erzeugnisses aufgewendet werden müssen (gewährleistungsbedingter Austausch). Vom Versicherungsschutz ausgenommen sind die Kosten für die Nach- und Neulieferung mangelfreier Erzeugnisse oder mangelfreier Produkte Dritter (originärer Vertragserfüllungsanspruch). Für die Deckungserweiterung der „erweiterten Produkthaftpflichtversicherung“ ist ein Sublimit von mindestens € 5.000.000,00 vorzusehen.</t>
  </si>
  <si>
    <t xml:space="preserve">ANF-1067</t>
  </si>
  <si>
    <t xml:space="preserve">§ 55 (3) a</t>
  </si>
  <si>
    <t xml:space="preserve">Selbstbehalte unter den vorgenannten Versicherungen sind vom Auftragnehmer zu tragen.</t>
  </si>
  <si>
    <t xml:space="preserve">Selbstbehalte unter den vorgenannten Versicherungen sind vom Auftragnehmer zu tragen. Die Vereinbarung folgender Selbstbehalte ist zulässig: • Für die Sachsubstanzversicherung sowie die Umwelthaftpflicht- und Umweltschadenversicherung kann eine Selbstbeteiligung in Höhe von € 20.000,00 vereinbart werden. • Für die „erweiterte Produkthaftpflichtversicherung“ kann eine Selbstbeteiligung in Höhe von 10 % der Entschädigungsleistung, mindestens € 20.000,00, jedoch maximal € 100.000,00, vereinbart werden. • Für die sonstigen Versicherungen kann jeweils eine Selbstbeteiligung in Höhe von € 20.000,00 je Versicherungsfall vereinbart werden. Dies gilt nicht für Personenschäden im Rahmen der Haftpflichtversicherungen.</t>
  </si>
  <si>
    <t xml:space="preserve">ANF-1068</t>
  </si>
  <si>
    <t xml:space="preserve">§ 55 (3) b</t>
  </si>
  <si>
    <t xml:space="preserve">Hat der Auftragnehmer innerhalb eines Kalenderjahres im Rahmen der Sachsubstanz- /Elektronikversicherungen wegen Schäden durch böswillige Beschädigungen/Vandalismus an den Ladeeinrichtungen …</t>
  </si>
  <si>
    <t xml:space="preserve">Hat der Auftragnehmer innerhalb eines Kalenderjahres im Rahmen der Sachsubstanz- /Elektronikversicherungen wegen Schäden durch böswillige Beschädigungen/Vandalismus an den Ladeeinrichtungen Selbstbehalte von mehr als € 200.000,00 zu tragen, werden die darüber hinaus gehenden Kosten durch vereinbarte Selbstbehalte von den Auftraggebern getragen und nach den Regelungen über geänderte oder zusätzliche Leistungen nach § 40 vergütet.</t>
  </si>
  <si>
    <t xml:space="preserve">ANF-1069</t>
  </si>
  <si>
    <t xml:space="preserve">§ 55 (4)</t>
  </si>
  <si>
    <t xml:space="preserve">Weitere Regelungen zu Versicherungen Für alle nach diesem Paragrafen zu schließenden Versicherungen gilt Folgendes:</t>
  </si>
  <si>
    <t xml:space="preserve">ANF-1070</t>
  </si>
  <si>
    <t xml:space="preserve">§ 55 (4) a</t>
  </si>
  <si>
    <t xml:space="preserve">Die Versicherungssumme der Haftpflichtversicherungen mit Ausnahme der Bauhaftpflichtversicherung nach Absatz 2 lit. e ist entsprechend der allgemeinen Preisentwicklung alle drei Kalenderjahre zu …</t>
  </si>
  <si>
    <t xml:space="preserve">Die Versicherungssumme der Haftpflichtversicherungen mit Ausnahme der Bauhaftpflichtversicherung nach Absatz 2 lit. e ist entsprechend der allgemeinen Preisentwicklung alle drei Kalenderjahre zu prüfen und wertsichernd dynamisch anzupassen. Als Basis gilt der Verbraucherpreisindex für Deutschland/Gesamtindex des Statistischen Bundesamts der Bundesrepublik Deutschland. Schwellenwert ist eine Steigerung von 10 % seit Vertragsschluss bzw. dem Zeitpunkt der letzten Anpassung der Versicherungssumme.</t>
  </si>
  <si>
    <t xml:space="preserve">ANF-1071</t>
  </si>
  <si>
    <t xml:space="preserve">§ 55 (4) b</t>
  </si>
  <si>
    <t xml:space="preserve">Der Auftragnehmer verpflichtet sich, die in diesem Paragrafen genannten Versicherungen während des Vertragszeitraums aufrechtzuerhalten und dafür Sorge zu tragen, dass diese in vollem Umfang wirksam …</t>
  </si>
  <si>
    <t xml:space="preserve">Der Auftragnehmer verpflichtet sich, die in diesem Paragrafen genannten Versicherungen während des Vertragszeitraums aufrechtzuerhalten und dafür Sorge zu tragen, dass diese in vollem Umfang wirksam bestehen. Insbesondere hat er alle Auflagen und Obliegenheitspflichten unter den Versicherungsverträgen zu erfüllen, die Prämien bei Fälligkeit zu zahlen und Maßnahmen zu unterlassen, die den Versicherungsschutz beeinträchtigen können.</t>
  </si>
  <si>
    <t xml:space="preserve">ANF-1072</t>
  </si>
  <si>
    <t xml:space="preserve">§ 55 (4) c</t>
  </si>
  <si>
    <t xml:space="preserve">Kommt es, ohne dass dies auf ein Verhalten des Auftragnehmers zurückzuführen ist, nach Abschluss der gemäß diesem Paragrafen abzuschließenden Versicherungen trotz besten Bemühens des Auftragnehmers …</t>
  </si>
  <si>
    <t xml:space="preserve">Kommt es, ohne dass dies auf ein Verhalten des Auftragnehmers zurückzuführen ist, nach Abschluss der gemäß diesem Paragrafen abzuschließenden Versicherungen trotz besten Bemühens des Auftragnehmers bei der Suche nach einer günstigen Versicherung zu einer Prämiensteigerung für eine oder mehrere der Versicherungen, die über eine übliche Steigerung insbesondere wegen Indexierung oder Änderungen der Beitragsbemessungsgrundlagen hinausgeht und auch unter Beachtung der vom Auftragnehmer erzielbaren Erlöse (unter Gegenrechnung des Infrastrukturentgelt) ein Festhalten an der vertraglich vereinbarten Vergütung als nicht angemessen erscheinen lässt, so kann sich der Auftraggeber 2 an diesen Prämiensteigerungen beteiligen oder den Auftragnehmer von der betroffenen Versicherungspflicht befreien. In letzterem Falle geht das fortan nicht mehr versicherte Risiko auf die Auftraggeber über.</t>
  </si>
  <si>
    <t xml:space="preserve">ANF-1073</t>
  </si>
  <si>
    <t xml:space="preserve">§ 55 (4) d</t>
  </si>
  <si>
    <t xml:space="preserve">Wird auf dem europäischen Versicherungsmarkt, bestehend aus dem Gebiet der EU und der Staaten der Vertragsparteien des Abkommens über den Europäischen Wirtschaftsraum, oder im Rahmen eines zwischen …</t>
  </si>
  <si>
    <t xml:space="preserve">Wird auf dem europäischen Versicherungsmarkt, bestehend aus dem Gebiet der EU und der Staaten der Vertragsparteien des Abkommens über den Europäischen Wirtschaftsraum, oder im Rahmen eines zwischen der Europäischen Union mit Großbritannien zum Versicherungssektor geschlossenen Handelsabkommens in Großbritannien eine der nach diesem Vertrag vorgeschriebenen Versicherungen für die im Vertrag genannten Risiken (auch im Rahmen von Exzedenten- und Layerverträgen) nicht mehr angeboten („Unversicherbarkeit“), wird der Auftragnehmer ab Mitteilung der Unversicherbarkeit an den Auftraggeber 2 für den Zeitraum der Unversicherbarkeit von der entsprechenden Versicherungspflicht frei und das Risiko geht auf die Auftraggeber über.</t>
  </si>
  <si>
    <t xml:space="preserve">ANF-1074</t>
  </si>
  <si>
    <t xml:space="preserve">§ 55 (4) e</t>
  </si>
  <si>
    <t xml:space="preserve">Verwirklicht sich ein Risiko, das nach den vorstehenden Bestimmungen auf die Auftraggeber übergegangen ist, so erbringt der Auftraggeber 2, wenn er nicht den Vertrag aus wichtigem Grund mit den …</t>
  </si>
  <si>
    <t xml:space="preserve">Verwirklicht sich ein Risiko, das nach den vorstehenden Bestimmungen auf die Auftraggeber übergegangen ist, so erbringt der Auftraggeber 2, wenn er nicht den Vertrag aus wichtigem Grund mit den Rechtsfolgen nach § 58 Abs. 1 b) kündigt, die Leistungen, die ansonsten von der Versicherung erbracht würden, dabei handelt er gegebenenfalls im Namen des Auftraggebers 1. Der Auftragnehmer muss sich ersparte Prämienzahlungen anrechnen lassen.</t>
  </si>
  <si>
    <t xml:space="preserve">ANF-1075</t>
  </si>
  <si>
    <t xml:space="preserve">§ 55 (4) f</t>
  </si>
  <si>
    <t xml:space="preserve">Dem Abschluss einer Versicherung durch den Auftragnehmer steht es gleich, wenn er den in diesem Vertrag vorgesehenen Versicherungsschutz nachweist.</t>
  </si>
  <si>
    <t xml:space="preserve">Dem Abschluss einer Versicherung durch den Auftragnehmer steht es gleich, wenn er den in diesem Vertrag vorgesehenen Versicherungsschutz nachweist. ABSCHNITT 9 VERTRAGSLAUFZEIT UND ENDSCHAFT</t>
  </si>
  <si>
    <t xml:space="preserve">ANF-1076</t>
  </si>
  <si>
    <t xml:space="preserve">§ 56 (1)</t>
  </si>
  <si>
    <t xml:space="preserve">Laufzeit Der Vertrag beginnt mit Zuschlagserteilung im vorangegangenen Verfahren und endet mit Ablauf eines Zeitraums von acht Jahren nach dem vorgenannten Zeitpunkt.</t>
  </si>
  <si>
    <t xml:space="preserve">Laufzeit Der Vertrag beginnt mit Zuschlagserteilung im vorangegangenen Verfahren und endet mit Ablauf eines Zeitraums von acht Jahren nach dem vorgenannten Zeitpunkt. Der Auftraggeber 2 hat das Recht, durch einseitige Erklärung gegenüber dem Auftragnehmer die Laufzeit einmalig um vier Jahre zu verlängern. Alternativ zu Satz 2 kann der Auftraggeber 2 die Laufzeit zweimal verlängern; in diesem Fall erfolgt eine erstmalige Verlängerung der Laufzeit bis zum Ablauf des zehnten Kalenderjahres ab dem Tag der Bekanntgabe des Beschlusses der beihilfenrechtlichen Genehmigung der Europäischen Kommission, im Fall einer weiteren Verlängerung erfolgt diese für zwei Kalenderjahre. Entsprechende Erklärungen des Auftraggebers 2 haben spätestens zwölf Monate vor Ende der Vertragslaufzeit zu erfolgen, sie binden auch den Auftraggeber 1.</t>
  </si>
  <si>
    <t xml:space="preserve">Kapitel: Laufzeit und Kündigungsrechte
Fundstelle im PDF: Seite 51</t>
  </si>
  <si>
    <t xml:space="preserve">ANF-1077</t>
  </si>
  <si>
    <t xml:space="preserve">§ 56 (2)</t>
  </si>
  <si>
    <t xml:space="preserve">Kündigung aus wichtigem Grund</t>
  </si>
  <si>
    <t xml:space="preserve">ANF-1078</t>
  </si>
  <si>
    <t xml:space="preserve">§ 56 (2) a</t>
  </si>
  <si>
    <t xml:space="preserve">Die ordentliche Kündigung ist ausgeschlossen.</t>
  </si>
  <si>
    <t xml:space="preserve">ANF-1079</t>
  </si>
  <si>
    <t xml:space="preserve">§ 56 (2) b</t>
  </si>
  <si>
    <t xml:space="preserve">Beide Parteien haben das Recht, den Vertrag bei Vorliegen eines wichtigen Grundes, der die weitere Vertragsfortsetzung für die jeweilige Partei unzumutbar macht (§§ 313, 314 BGB), zu kündigen.</t>
  </si>
  <si>
    <t xml:space="preserve">Beide Parteien haben das Recht, den Vertrag bei Vorliegen eines wichtigen Grundes, der die weitere Vertragsfortsetzung für die jeweilige Partei unzumutbar macht (§§ 313, 314 BGB), zu kündigen. Das Kündigungsrecht der Auftraggeber wird einheitlich durch den Auftraggeber 2 ausgeübt.</t>
  </si>
  <si>
    <t xml:space="preserve">ANF-1080</t>
  </si>
  <si>
    <t xml:space="preserve">§ 56 (2) c</t>
  </si>
  <si>
    <t xml:space="preserve">Für die Auftraggeber stellt es insbesondere einen wichtigen Grund dar, der sie zur Kündigung des Vertrags aus wichtigem Grund berechtigt, aa) wenn der Auftragnehmer gegen eine wesentliche Pflicht des …</t>
  </si>
  <si>
    <t xml:space="preserve">Für die Auftraggeber stellt es insbesondere einen wichtigen Grund dar, der sie zur Kündigung des Vertrags aus wichtigem Grund berechtigt, aa) wenn der Auftragnehmer gegen eine wesentliche Pflicht des Vertrags verstößt und diesen Verstoß nicht binnen einer vom Auftraggeber 2 gesetzten angemessenen Frist beseitigt, es sei denn, der Auftragnehmer hat die Pflichtverletzung nicht zu vertreten, bb) wenn der Auftragnehmer oder seine Mitarbeiter, Nachunternehmer oder dessen Mitarbeiter im Rahmen der Vorbereitung zur oder der Leistungserbringung selbst nachweislich eine Abrede getroffen hat/haben, die eine unzulässige Wettbewerbsbeschränkung darstellt, cc) wenn der Auftragnehmer oder seine Mitarbeiter, Nachunternehmer oder dessen Mitarbeiter im Rahmen der Vorbereitung zur oder der Leistungserbringung selbst den Auftraggebern oder deren Mitarbeitern oder von diesen beauftragten Dritten, die mit der Vorbereitung, dem Abschluss oder der Durchführung des Vertrags betraut sind, oder ihnen nahestehenden Personen, Geschenke, andere Zuwendungen oder sonstige Vorteile unmittelbar oder mittelbar in Aussicht stellt, anbietet, verspricht oder gewährt, sofern es sich nicht um sozial adäquates Verhalten handelt, dd) wenn der Auftragnehmer oder seine Mitarbeiter, Nachunternehmer oder dessen Mitarbeiter im Rahmen der Vorbereitung zur oder der Leistungserbringung selbst gegenüber den Auftraggebern, deren Mitarbeitern oder beauftragten Dritten strafbare Handlungen im Sinne der in § 123 Abs. 1 GWB genannten Straftaten begeht, ee) wenn der Auftragnehmer von einer anwendbaren nationalen oder europäischen Sanktions- oder Embargoliste erfasst ist, ff) wenn der Auftragnehmer seinen Versicherungsschutz nach § 55 verliert (ohne dass ein Fall des § 55 Abs. 4 d) vorliegt) und nicht innerhalb einer Frist von acht Wochen nach dem Verlust wiederherstellen kann, gg) wenn wegen einer oder mehrerer Forderungen eine Zwangsvollstreckung in das Vermögen des Auftragnehmers erfolglos geblieben ist oder hh) wenn die Eröffnung des Insolvenzverfahrens über das Vermögen des Auftragnehmers beantragt wurde oder die Eröffnung mangels Masse abgewiesen wird; wobei im Falle einer Antragstellung durch Dritte das Kündigungsrecht nicht besteht, wenn der Antrag als unzulässig abgelehnt wird.</t>
  </si>
  <si>
    <t xml:space="preserve">ANF-1081</t>
  </si>
  <si>
    <t xml:space="preserve">§ 56 (2) d</t>
  </si>
  <si>
    <t xml:space="preserve">Die Auftraggeber können den Vertrag mit Wirkung für den betroffenen Standort kündigen (Teilkündigung), wenn für einen Standort die Betriebsfreigabe aus einem vom Auftragnehmer zu vertretenden Grund …</t>
  </si>
  <si>
    <t xml:space="preserve">Die Auftraggeber können den Vertrag mit Wirkung für den betroffenen Standort kündigen (Teilkündigung), wenn für einen Standort die Betriebsfreigabe aus einem vom Auftragnehmer zu vertretenden Grund nicht bis zu dem Zeitpunkt erteilt wird, der sechs Monate nach dem (gegebenenfalls gemäß § 12 angepassten) verbindlichen Termin für die Betriebsfreigabe liegt. Erfolgt für mehr als fünf Standorte die Betriebsfreigabe nicht bis zu dem jeweiligen Zeitpunkt, der sechs Monate nach dem (gegebenenfalls gemäß § 12 angepassten) für den jeweiligen Standort verbindlichen Termin für die Betriebsfreigabe liegt, so können die Auftraggeber diesen Vertrag insgesamt mit Wirkung für alle Standorte kündigen, es sei denn, der Auftragnehmer hat die zur Kündigung führenden Umstände nicht zu vertreten. Das Recht des Auftraggebers, den Vertrag mit Wirkung für Standorte, für die aus nicht vom Auftragnehmer zu vertretenden Gründen eine Betriebsfreigabe nicht erteilt werden kann, mit den Rechtsfolgen einer vom Auftraggeber zu vertretenden Kündigung zu kündigen, bleibt hiervon unberührt.</t>
  </si>
  <si>
    <t xml:space="preserve">ANF-1082</t>
  </si>
  <si>
    <t xml:space="preserve">§ 56 (2) e</t>
  </si>
  <si>
    <t xml:space="preserve">Die Auftraggeber sind berechtigt, den Vertrag aus wichtigem Grund mit Wirkung für den betroffenen Standort zu kündigen (Teilkündigung), wenn an einem Standort in einem Kalenderjahr die Pönale nach § …</t>
  </si>
  <si>
    <t xml:space="preserve">Die Auftraggeber sind berechtigt, den Vertrag aus wichtigem Grund mit Wirkung für den betroffenen Standort zu kündigen (Teilkündigung), wenn an einem Standort in einem Kalenderjahr die Pönale nach § 27 Abs. 2 für mindestens die Hälfte der Ladepunkte des Standortes den Maximalbetrag der Pönale pro Kalenderjahr erreicht. Der Auftragnehmer kann das Kündigungsrecht abwenden, indem er – spätestens eine Woche nach Zugang der Kündigungserklärung – über den Maximalbetrag hinausgehende Pönalen leistet, dies gilt solange, bis für mindestens die Hälfte der Ladepunkte in einem Kalenderjahr das doppelte des Maximalbetrags der Pönale gezahlt wurde. In jedem Fall sind die Auftraggeber zur Kündigung eines Standortes berechtigt, wenn an einem Standort in einem Kalenderjahr die Pönale nach § 27 Abs. 2 für sämtliche Ladepunkte des Standortes den Maximalbetrag der Pönale pro Kalenderjahr erreicht.</t>
  </si>
  <si>
    <t xml:space="preserve">ANF-1083</t>
  </si>
  <si>
    <t xml:space="preserve">§ 56 (2) f</t>
  </si>
  <si>
    <t xml:space="preserve">Sind die Auftraggeber nach Absatz 2 e) berechtigt, den Vertrag aus wichtigem Grund für mehr als zwei Standorte zu kündigen, so können sie diesen Vertrag insgesamt kündigen.</t>
  </si>
  <si>
    <t xml:space="preserve">ANF-1084</t>
  </si>
  <si>
    <t xml:space="preserve">§ 56 (2) g</t>
  </si>
  <si>
    <t xml:space="preserve">Die Auftraggeber werden von ihrem Kündigungsrecht nach Absatz 2 e) und Absatz 2 f) keinen Gebrauch machen, wenn der Auftragnehmer nachweist, dass der Anfall der Pönalen auf einem mehrfach …</t>
  </si>
  <si>
    <t xml:space="preserve">Die Auftraggeber werden von ihrem Kündigungsrecht nach Absatz 2 e) und Absatz 2 f) keinen Gebrauch machen, wenn der Auftragnehmer nachweist, dass der Anfall der Pönalen auf einem mehrfach auftretenden gleichwertigen Fehler der Ladeeinrichtungen (Auftreten mindestens an 5 % der gesamten Ladepunkte einer Art) beruht und ein Konzept vorlegt, mit dem die geschuldete Verfügbarkeit der Ladeeinrichtungen hergestellt wird und gleichzeitig bis zu diesem Zeitpunkt eine hinreichenden Versorgung der Verkehrsteilnehmer mit funktionsfähigen Ladepunkten sichergestellt ist.</t>
  </si>
  <si>
    <t xml:space="preserve">ANF-1085</t>
  </si>
  <si>
    <t xml:space="preserve">§ 56 (2) h</t>
  </si>
  <si>
    <t xml:space="preserve">Die Kündigung bedarf der Schriftform i. S. d. § 126 BGB.</t>
  </si>
  <si>
    <t xml:space="preserve">ANF-1086</t>
  </si>
  <si>
    <t xml:space="preserve">§ 57</t>
  </si>
  <si>
    <t xml:space="preserve">Für den Fall, dass der Auftragnehmer dem Auftraggeber 2 den Abschluss einer Fremdfinanzierung für die teilweise oder vollständige Finanzierung der Leistungen nach diesem Vertrag nachweist, sind die …</t>
  </si>
  <si>
    <t xml:space="preserve">Für den Fall, dass der Auftragnehmer dem Auftraggeber 2 den Abschluss einer Fremdfinanzierung für die teilweise oder vollständige Finanzierung der Leistungen nach diesem Vertrag nachweist, sind die Auftraggeber bereit, eine vergaberechtskonforme Vereinbarung mit den Fremdkapitalgebern nach dem als Vertragsanlage 16: Muster Direktvertrag beigefügten Muster zu schließen.</t>
  </si>
  <si>
    <t xml:space="preserve">Kapitel: Direktvertrag
Fundstelle im PDF: Seite 53</t>
  </si>
  <si>
    <t xml:space="preserve">ANF-1087</t>
  </si>
  <si>
    <t xml:space="preserve">§ 58 (1)</t>
  </si>
  <si>
    <t xml:space="preserve">Kündigen die Auftraggeber den Vertrag mit Wirkung für einen Standort, für den eine sachlich zutreffende Anzeige nach § 13 Abs.</t>
  </si>
  <si>
    <t xml:space="preserve">Kündigen die Auftraggeber den Vertrag mit Wirkung für einen Standort, für den eine sachlich zutreffende Anzeige nach § 13 Abs. 2 erfolgt ist, aus einem wichtigen Grund, so gilt Folgendes:</t>
  </si>
  <si>
    <t xml:space="preserve">Kapitel: Rechtsfolgen einer vorzeitigen Vertragsbeendigung
Fundstelle im PDF: Seite 53</t>
  </si>
  <si>
    <t xml:space="preserve">ANF-1088</t>
  </si>
  <si>
    <t xml:space="preserve">§ 58 (1) a</t>
  </si>
  <si>
    <t xml:space="preserve">Hat der Auftragnehmer den zur Kündigung berechtigenden Grund zu vertreten, so steht dem Auftragnehmer ein Anspruch auf Zahlung der zum Kündigungszeitpunkt (Wirksamkeitszeitpunkt) noch ausstehenden …</t>
  </si>
  <si>
    <t xml:space="preserve">Hat der Auftragnehmer den zur Kündigung berechtigenden Grund zu vertreten, so steht dem Auftragnehmer ein Anspruch auf Zahlung der zum Kündigungszeitpunkt (Wirksamkeitszeitpunkt) noch ausstehenden Zahlungen des Errichtungsentgelts für den Standort zu, wobei der Vorteil der vorzeitigen Zahlung an den Auftragnehmer durch Diskontierung gemäß Absatz 6 auszugleichen ist. Vom Anspruch des Auftragnehmers werden folgende Positionen in Abzug gebracht werden: aa) Schadensersatzansprüche im Rahmen der Haftungsbegrenzung nach § 54 Abs. 1 sowie Forderungen der Auftraggeber auf Zahlung von Pönalen, Zahlung des Infrastrukturentgelts und sonstige Zahlungsansprüche der Auftraggeber nach diesem Vertrag oder Gesetz, soweit diese mit dem vorliegenden Vertrag in rechtlichem Zusammenhang stehen, bb) der auf Wagnis und Gewinn entfallende Anteil des Errichtungsentgelts, der durch Offenlegung der Kalkulation des Auftragnehmers zu ermitteln ist; es wird klargestellt, dass durch die Diskontierung keine doppelte Berücksichtigung des Gewinnanteils zulasten des Auftragnehmers erfolgen soll. Für den Standort erhält der Auftragnehmer zudem das anteilig auf den Monat des Kündigungszeitpunktes entfallende Betreiberentgelt, verringert um die ersparten Aufwendungen des Auftragnehmers. Eine Erstattung von Kosten der vorzeitigen Beendigung von Finanzierungsverträgen einschließlich einer etwaigen Zinssicherung erfolgt nicht.</t>
  </si>
  <si>
    <t xml:space="preserve">ANF-1089</t>
  </si>
  <si>
    <t xml:space="preserve">§ 58 (1) b</t>
  </si>
  <si>
    <t xml:space="preserve">Hat der Auftragnehmer den zur Kündigung berechtigenden Grund nicht zu vertreten, so steht dem Auftragnehmer ein Anspruch auf Zahlung der zum Kündigungszeitpunkt gemäß § 44 Abs.</t>
  </si>
  <si>
    <t xml:space="preserve">Hat der Auftragnehmer den zur Kündigung berechtigenden Grund nicht zu vertreten, so steht dem Auftragnehmer ein Anspruch auf Zahlung der zum Kündigungszeitpunkt gemäß § 44 Abs. 3 noch ausstehenden Zahlungen des Errichtungsentgelts für den Standort zu. Weiterhin steht dem Auftragnehmer ein Anspruch auf die zum Zeitpunkt der Kündigung noch ausstehenden Zahlungen des Betreiberentgelts für den Standort, verringert um die ersparten Aufwendungen des Auftragnehmers, zu; die Zahlungen erfolgen zu den vertraglich vorgesehenen Zeitpunkten. Der Auftragnehmer kann von den Auftraggebern eine Kostenentschädigung für nachgewiesene erforderliche Kosten der vorzeitigen Beendigung von Finanzierungsverträgen einschließlich einer etwaigen Zinssicherung verlangen.</t>
  </si>
  <si>
    <t xml:space="preserve">ANF-1090</t>
  </si>
  <si>
    <t xml:space="preserve">§ 58 (3)</t>
  </si>
  <si>
    <t xml:space="preserve">Der Auftragnehmer ist im Sinne einer allgemeinen Schadensminderungspflicht verpflichtet, die nach vorstehenden Vorschriften zu leistenden Erstattungen so gering wie möglich zu halten.</t>
  </si>
  <si>
    <t xml:space="preserve">ANF-1091</t>
  </si>
  <si>
    <t xml:space="preserve">§ 58 (4)</t>
  </si>
  <si>
    <t xml:space="preserve">Kündigen die Auftraggeber den Vertrag insgesamt aus wichtigem Grund, so erfolgt ebenso eine Differenzierung danach, ob der Auftragnehmer den zur Kündigung führenden Grund zu vertreten hat oder nicht, …</t>
  </si>
  <si>
    <t xml:space="preserve">Kündigen die Auftraggeber den Vertrag insgesamt aus wichtigem Grund, so erfolgt ebenso eine Differenzierung danach, ob der Auftragnehmer den zur Kündigung führenden Grund zu vertreten hat oder nicht, und die Bestimmungen von Absatz 1 sowie Absatz 2 finden für alle von der Kündigung betroffenen Standorte Anwendung.</t>
  </si>
  <si>
    <t xml:space="preserve">ANF-1092</t>
  </si>
  <si>
    <t xml:space="preserve">§ 58 (5)</t>
  </si>
  <si>
    <t xml:space="preserve">Im Fall einer vorzeitigen Kündigung dieses Vertrags bleiben an den Auftragnehmer für Zeiträume vor dem Kündigungszeitpunkt gezahlte Vergütungen unberührt.</t>
  </si>
  <si>
    <t xml:space="preserve">Im Fall einer vorzeitigen Kündigung dieses Vertrags bleiben an den Auftragnehmer für Zeiträume vor dem Kündigungszeitpunkt gezahlte Vergütungen unberührt. Eine Rückforderung erfolgt nicht.</t>
  </si>
  <si>
    <t xml:space="preserve">ANF-1093</t>
  </si>
  <si>
    <t xml:space="preserve">§ 58 (6)</t>
  </si>
  <si>
    <t xml:space="preserve">Die Diskontierung des noch ausstehenden, nach vorstehenden Absatz 1 und Absatz 4 im Kündigungsfall an den Auftragnehmer zu zahlenden Errichtungsentgelts wird mit dem Maximum von (a) Null und (b) dem …</t>
  </si>
  <si>
    <t xml:space="preserve">Die Diskontierung des noch ausstehenden, nach vorstehenden Absatz 1 und Absatz 4 im Kündigungsfall an den Auftragnehmer zu zahlenden Errichtungsentgelts wird mit dem Maximum von (a) Null und (b) dem Effektivzinssatz der Bundesbank für Neugeschäftseinlagen nichtfinanzieller Kapitalgesellschaften mit einer vereinbarten Laufzeit von über zwei Jahren berechnet. Die Diskontierung erfolgt mit dem Zinssatz, der an dem Tag der Kündigungserklärung gilt. Der jeweils geltende Zinssatz ist auf der Webseite der Bundesbank unter folgender Adresse abrufbar: MFI-Zinsstatistik (Bestände, Neugeschäft) | Deutsche Bundesbank</t>
  </si>
  <si>
    <t xml:space="preserve">ANF-1094</t>
  </si>
  <si>
    <t xml:space="preserve">§ 58 (7)</t>
  </si>
  <si>
    <t xml:space="preserve">Sind die zur Kündigung oder Teilkündigung dieses Vertrags durch die Auftraggeber führenden Gründe auf eine Pflichtverletzung des Auftragnehmers zurückzuführen, so ist er den Auftraggebern im Rahmen …</t>
  </si>
  <si>
    <t xml:space="preserve">Sind die zur Kündigung oder Teilkündigung dieses Vertrags durch die Auftraggeber führenden Gründe auf eine Pflichtverletzung des Auftragnehmers zurückzuführen, so ist er den Auftraggebern im Rahmen der Haftungsbegrenzung nach § 54 Abs. 1 für sämtliche hieraus resultierenden Schäden, insbesondere der Kosten eines durchzuführenden Vergabeverfahrens und von Mehraufwendungen bei der Erbringung der Leistungen durch einen anderen Auftragnehmer zum Schadensersatz verpflichtet, es sei denn, er hat die Pflichtverletzung nicht zu vertreten.</t>
  </si>
  <si>
    <t xml:space="preserve">ANF-1095</t>
  </si>
  <si>
    <t xml:space="preserve">§ 59 (1)</t>
  </si>
  <si>
    <t xml:space="preserve">Beenden die Auftraggeber den Vertrag ganz oder teilweise vorzeitig, so ist der Auftragnehmer auf Aufforderung des Auftraggebers 2 zum Rückbau der Ladeinfrastruktur sowie der sonstigen baulichen …</t>
  </si>
  <si>
    <t xml:space="preserve">Beenden die Auftraggeber den Vertrag ganz oder teilweise vorzeitig, so ist der Auftragnehmer auf Aufforderung des Auftraggebers 2 zum Rückbau der Ladeinfrastruktur sowie der sonstigen baulichen Elemente in dem vom Auftraggeber 2 angeordneten Umfang verpflichtet. Für die Rückbaumaßnahmen kann er eine Vergütung gemäß § 40 nur dann verlangen, wenn die vorzeitige Beendigung nicht auf eine Pflichtverletzung des Auftragnehmers, die dieser zu vertreten hat, zurückzuführen ist. Das Eigentum an den rückgebauten Gegenständen geht mit ihrem Aus- oder Rückbau auf den Auftragnehmer über.</t>
  </si>
  <si>
    <t xml:space="preserve">Kapitel: Weitere Rechtsfolgen einer Vertragsbeendigung
Fundstelle im PDF: Seite 55</t>
  </si>
  <si>
    <t xml:space="preserve">ANF-1096</t>
  </si>
  <si>
    <t xml:space="preserve">§ 59 (2)</t>
  </si>
  <si>
    <t xml:space="preserve">Im Falle einer Vertragsbeendigung durch Ablauf der (gegebenenfalls verlängerten) Vertragslaufzeit kann der Auftraggeber 2 den Auftragnehmer gemäß den Regelungen zur Ausführung geänderter oder …</t>
  </si>
  <si>
    <t xml:space="preserve">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</si>
  <si>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ANF-1097</t>
  </si>
  <si>
    <t xml:space="preserve">§ 59 (3)</t>
  </si>
  <si>
    <t xml:space="preserve">Mit Ende des Vertragszeitraums bzw. zum Zeitpunkt des Wirksamwerdens einer Kündigung hat der Auftragnehmer dem Auftraggeber 2 sämtliche Unterlagen und Dokumentationen zur Verfügung zu stellen sowie …</t>
  </si>
  <si>
    <t xml:space="preserve">Mit Ende des Vertragszeitraums bzw. zum Zeitpunkt des Wirksamwerdens einer Kündigung hat der Auftragnehmer dem Auftraggeber 2 sämtliche Unterlagen und Dokumentationen zur Verfügung zu stellen sowie die Übernahme bestehender Verträge mit Nachunternehmern, die zum Betrieb der Ladeinfrastruktur erforderlich sind, zu ermöglichen und sämtliche hierzu erforderliche Erklärungen abzugeben und Handlungen vorzunehmen.</t>
  </si>
  <si>
    <t xml:space="preserve">ANF-1098</t>
  </si>
  <si>
    <t xml:space="preserve">§ 60</t>
  </si>
  <si>
    <t xml:space="preserve">Wenn der Auftragnehmer einschließlich seiner Nachunternehmer aus Anlass der Vergabe nachweislich eine Abrede getroffen hat, die eine kartellrechtlich unzulässige Wettbewerbsbeschränkung darstellt, …</t>
  </si>
  <si>
    <t xml:space="preserve">Wenn der Auftragnehmer einschließlich seiner Nachunternehmer aus Anlass der Vergabe nachweislich eine Abrede getroffen hat, die eine kartellrechtlich unzulässige Wettbewerbsbeschränkung darstellt, ist er dem Auftraggeber 2 zu einem pauschalen Schadensersatz in Höhe von 5 % der Summe, der für alle Standorte gemäß Preisblatt vereinbarten Errichtungsentgelte verpflichtet, es sei denn er weist nach, dass der Schaden des Auftraggebers 2 geringer ist. Dies gilt auch, wenn der Vertrag gekündigt oder bereits erfüllt ist.</t>
  </si>
  <si>
    <t xml:space="preserve">Kapitel: Schadensersatz bei unzulässiger Wettbewerbsbeschränkung
Fundstelle im PDF: Seite 55</t>
  </si>
  <si>
    <t xml:space="preserve">ANF-1099</t>
  </si>
  <si>
    <t xml:space="preserve">§ 61 (1)</t>
  </si>
  <si>
    <t xml:space="preserve">Gesellschafter des Auftragnehmers und im Falle einer GmbH &amp; Co.</t>
  </si>
  <si>
    <t xml:space="preserve">Gesellschafter des Auftragnehmers und im Falle einer GmbH &amp; Co. KG auch dessen Komplementärin sind zum Zeitpunkt des Abschlusses dieses Vertrags die in Vertragsanlage 17: Gesellschafter bezeichneten natürlichen und juristischen Personen zu den dort genannten Anteilen. Der Auftragnehmer verpflichtet sich, jede beabsichtigte Änderung der Gesellschaftsform und/oder der Gesellschafterstruktur unverzüglich dem Auftraggeber 2 schriftlich anzuzeigen, wobei der Auftragnehmer sämtliche Unterlagen (insbesondere Gesellschaftsverträge und Gesellschafterlisten) beizufügen hat, die zur Beurteilung der beabsichtigten Änderung durch den Auftraggeber 2 erforderlich sind. Jede Änderung der Gesellschaftsform und/oder der Gesellschafterstruktur, die zu einer Änderung der Geschäftsanteile und/oder der Stimmrechte führt, bedarf der ausdrücklichen schriftlichen Zustimmung des Auftraggebers 2. Die Zustimmung darf nur aus wichtigem Grund verweigert werden, insbesondere wegen fehlender Bonität des oder der eintretenden Gesellschafter, der Nichtvorlage von Erklärungen, die denjenigen entsprechen, die nach dem Teilnahmewettbewerb oder den Vergabeunterlagen von den ursprünglichen Gesellschaftern oder Mitgliedern der Bietergemeinschaft vorzulegen waren oder sind, oder der nachträglichen Umgehung von Restriktionen bei der Vergabe (z. B. Anbietervielfalt ist in der betroffenen Region nicht mehr gewährleistet). Vorstehende Regelungen gelten für Veränderungen auf der Ebene einer etwaigen Holdinggesellschaft entsprechend.</t>
  </si>
  <si>
    <t xml:space="preserve">Kapitel: Gesellschafterstruktur, Sitz der Gesellschaft, Steuerliche Konstruktionen
Fundstelle im PDF: Seite 55</t>
  </si>
  <si>
    <t xml:space="preserve">ANF-1100</t>
  </si>
  <si>
    <t xml:space="preserve">§ 61 (2)</t>
  </si>
  <si>
    <t xml:space="preserve">Einer Änderung der Gesellschafterstruktur steht der Erwerb der mittelbaren Kontrolle über den Auftragnehmer i.</t>
  </si>
  <si>
    <t xml:space="preserve">Einer Änderung der Gesellschafterstruktur steht der Erwerb der mittelbaren Kontrolle über den Auftragnehmer i. S. v. § 37 Abs. 1 Nr. 2 des Gesetzes gegen Wettbewerbsbeschränkungen gleich. Insbesondere fallen hierunter:</t>
  </si>
  <si>
    <t xml:space="preserve">ANF-1101</t>
  </si>
  <si>
    <t xml:space="preserve">§ 61 (2) a</t>
  </si>
  <si>
    <t xml:space="preserve">der anderweitige Erwerb der direkten Kontrolle am Auftragnehmer i.</t>
  </si>
  <si>
    <t xml:space="preserve">der anderweitige Erwerb der direkten Kontrolle am Auftragnehmer i. S. v. § 290 HGB durch ein zum Zeitpunkt der Unterzeichnung dieses Vertrags nicht i. S. v. §§ 15 ff. AktG verbundenes Unternehmen;</t>
  </si>
  <si>
    <t xml:space="preserve">ANF-1102</t>
  </si>
  <si>
    <t xml:space="preserve">§ 61 (2) b</t>
  </si>
  <si>
    <t xml:space="preserve">die Begründung von Nutzungsrechten oder Pfandrechten durch ein zum Zeitpunkt der Unterzeichnung dieses Vertrags nicht i.</t>
  </si>
  <si>
    <t xml:space="preserve">die Begründung von Nutzungsrechten oder Pfandrechten durch ein zum Zeitpunkt der Unterzeichnung dieses Vertrags nicht i. S. v. §§ 15 ff. AktG verbundenes Unternehmen, sodass dieses nach der Begründung bezogen auf insgesamt mindestens 50 % der Anteile Nutzungsrechte oder Pfandrechte hat oder direkt über Stimmrechte oder Anteile verfügt;</t>
  </si>
  <si>
    <t xml:space="preserve">ANF-1103</t>
  </si>
  <si>
    <t xml:space="preserve">§ 61 (2) c</t>
  </si>
  <si>
    <t xml:space="preserve">der Abschluss von Verträgen mit Dritten, die diesen einen bestimmenden Einfluss auf die Zusammensetzung der Organe und/oder Geschäftsleistung einräumen.</t>
  </si>
  <si>
    <t xml:space="preserve">ANF-1104</t>
  </si>
  <si>
    <t xml:space="preserve">§ 61 (3)</t>
  </si>
  <si>
    <t xml:space="preserve">Die Zustimmung der Auftraggeber zu einer Verpfändung von Anteilen an die Fremdkapitalgeber richtet sich nach den Bestimmungen des Direktvertrags (Vertragsanlage 16: Muster Direktvertrag).</t>
  </si>
  <si>
    <t xml:space="preserve">Die Zustimmung der Auftraggeber zu einer Verpfändung von Anteilen an die Fremdkapitalgeber richtet sich nach den Bestimmungen des Direktvertrags (Vertragsanlage 16: Muster Direktvertrag). ABSCHNITT 10 SONSTIGE REGELUNGEN</t>
  </si>
  <si>
    <t xml:space="preserve">ANF-1105</t>
  </si>
  <si>
    <t xml:space="preserve">§ 62 (1)</t>
  </si>
  <si>
    <t xml:space="preserve">Der Auftragnehmer ist verpflichtet, dem Auftraggeber vor Leistungsbeginn mitzuteilen, wenn er die Ausführung wesentlicher Teile der Leistungen, die einen Nettoauftragswert von € 100.000,00 …</t>
  </si>
  <si>
    <t xml:space="preserve">Der Auftragnehmer ist verpflichtet, dem Auftraggeber vor Leistungsbeginn mitzuteilen, wenn er die Ausführung wesentlicher Teile der Leistungen, die einen Nettoauftragswert von € 100.000,00 übersteigen, an Nachunternehmer übertragen oder einen bislang beauftragten Nachunternehmer wechseln möchte. Mit der Mitteilung ist eine Eigenerklärung des Nachunternehmers vorzulegen, dass kein Ausschlussgrund nach §§ 123, 124 GWB vorliegt. Die Ausführung wesentlicher Teile der Leistungen, die einen Nettoauftragswert von € 2.500.000,00 übersteigen, darf der Auftragnehmer nur mit vorheriger Zustimmung des Auftraggebers 2 an Nachunternehmer übertragen. Eine Zustimmung ist entbehrlich, soweit der Nachunternehmer bereits im Vergabeverfahren benannt wurde. Der Auftraggeber 2 kann die Zustimmung nur aus wichtigem Grund verweigern, insbesondere bei fehlender Eignung oder Leistungsfähigkeit des Unternehmens oder Vorliegen eines Ausschlussgrundes nach §§ 123, 124 GWB. Die Zustimmung gilt als erteilt, sofern der Auftraggeber 2 dem Auftragnehmer nicht innerhalb von zwei Wochen nach Mitteilung einer Übertragung mindestens in Textform seinen Widerspruch mitgeteilt hat. Sofern die Einbindung von Nachunternehmern während der Vertragslaufzeit erforderlich wird, haben diese vorab eine entsprechende Erklärung über Ausschlussgründe sowie, auf gesondertes Verlangen des Auftraggebers 2, weitere Erklärungen abzugeben. Zu den im Angebot mit ihren jeweiligen Leistungsbereichen benannten Nachunternehmern gilt die Zustimmung des Auftraggebers 2 bereits mit Vertragsschluss als erteilt. Beträgt der Nettoauftragswert mindestens € 25.000,00, so zeigt der Auftragnehmer, wenn nach vorstehenden Vorschriften kein Erfordernis zur vorherigen Anzeige oder zur Einholung der vorherigen Zustimmung besteht, dem Auftraggeber 2 den Einsatz des Nachunternehmers unverzüglich nach Leistungsbeginn an; der Auftraggeber 2 ist in diesem Fall berechtigt, dem weiteren Einsatz des Nachunternehmers aus wichtigem Grund zu widersprechen.</t>
  </si>
  <si>
    <t xml:space="preserve">Kapitel: Einbindung von Nachunternehmern
Fundstelle im PDF: Seite 56</t>
  </si>
  <si>
    <t xml:space="preserve">ANF-1106</t>
  </si>
  <si>
    <t xml:space="preserve">§ 62 (2)</t>
  </si>
  <si>
    <t xml:space="preserve">Nachunternehmer sind alle rechtlich selbstständigen Drittunternehmer oder dritte Personen, die ohne unmittelbares Vertragsverhältnis zum Bund im Auftrag und auf Rechnung des Betreibers bestimmte …</t>
  </si>
  <si>
    <t xml:space="preserve">Nachunternehmer sind alle rechtlich selbstständigen Drittunternehmer oder dritte Personen, die ohne unmittelbares Vertragsverhältnis zum Bund im Auftrag und auf Rechnung des Betreibers bestimmte Teile des Auftrags mit einem für die Auftragserfüllung gewissen Gewicht übernehmen und ausführen. Keine Unterauftragnehmer sind (Vor-)Lieferanten des Betreibers oder Unternehmen, die lediglich Hilfsleistungen wie beispielsweise Bilanzierungs- oder EDM-Dienstleistungen übernehmen. Lieferanten und Zulieferer von einzelnen Komponenten oder Bestandteilen von Ladeeinrichtungen sowie die Finanzierungspartner des Betreibers und seine Energielieferanten gelten nicht als Nachunternehmer. Nachunternehmer im Sinne dieser Vorschrift sind nur direkte Vertragspartner des Auftragnehmers, nicht Unterauftragnehmer von Nachunternehmern.</t>
  </si>
  <si>
    <t xml:space="preserve">ANF-1107</t>
  </si>
  <si>
    <t xml:space="preserve">§ 62 (3)</t>
  </si>
  <si>
    <t xml:space="preserve">Der Auftragnehmer ist verpflichtet, bei der Untervergabe an Nachunternehmer sicherzustellen, dass die in diesem Vertrag und seinen Vertragsanlagen geforderten Qualitätsstandards eingehalten werden.</t>
  </si>
  <si>
    <t xml:space="preserve">ANF-1108</t>
  </si>
  <si>
    <t xml:space="preserve">§ 62 (4)</t>
  </si>
  <si>
    <t xml:space="preserve">Der Auftragnehmer ist im Rahmen der Beauftragung von Nachunternehmern zur Durchführung eines wettbewerblichen Verfahrens verpflichtet.</t>
  </si>
  <si>
    <t xml:space="preserve">Der Auftragnehmer ist im Rahmen der Beauftragung von Nachunternehmern zur Durchführung eines wettbewerblichen Verfahrens verpflichtet. Er hat dabei insbesondere gemäß § 97 Abs. 4 Satz 1 bis 3 GWB mittelständische Interessen zu berücksichtigen. Die Einhaltung dieser Vorgaben liegt in alleiniger Verantwortung des Auftragnehmers.</t>
  </si>
  <si>
    <t xml:space="preserve">ANF-1109</t>
  </si>
  <si>
    <t xml:space="preserve">§ 62 (5)</t>
  </si>
  <si>
    <t xml:space="preserve">Nachunternehmer des Auftragnehmers sind dessen Erfüllungsgehilfen.</t>
  </si>
  <si>
    <t xml:space="preserve">ANF-1110</t>
  </si>
  <si>
    <t xml:space="preserve">§ 62 (6)</t>
  </si>
  <si>
    <t xml:space="preserve">Eintrittsrecht des Auftraggebers</t>
  </si>
  <si>
    <t xml:space="preserve">ANF-1111</t>
  </si>
  <si>
    <t xml:space="preserve">§ 62 (6) a</t>
  </si>
  <si>
    <t xml:space="preserve">Die Auftraggeber sind berechtigt, aber nicht verpflichtet, im Falle einer Kündigung gemäß § 56 Abs.</t>
  </si>
  <si>
    <t xml:space="preserve">Die Auftraggeber sind berechtigt, aber nicht verpflichtet, im Falle einer Kündigung gemäß § 56 Abs. 2 durch sie nach Maßgabe der folgenden Bestimmungen in Nachunternehmerverträge einzutreten. Das Eintrittsrecht der Auftraggeber wird einheitlich durch den Auftraggeber 2 ausgeübt. Der Auftragnehmer vereinbart in Nachunternehmerträgen ein auf die Kündigung dieses Vertrags durch die Auftraggeber (ausgeübt durch Auftraggeber 2) aufschiebend bedingtes Recht der Auftraggeber zum Eintritt der Auftraggeber anstelle des Auftragnehmers in den Nachunternehmervertrag, zu dem der Nachunternehmer im Zeitpunkt des Vertragsschlusses mit dem Auftraggeber unwiderruflich seine Zustimmung erklären muss. Das Eintrittsrecht muss durch Erklärung des Auftraggebers gegenüber dem Nachunternehmer ausgeübt werden können. Das Eintrittsrecht der Auftraggeber besteht nicht, wenn die Fremdkapitalgeber des Auftragnehmers von ihrem Recht unter der nach § 57 abgeschlossenen Vereinbarung Gebrauch machen. Die vorstehende Pflicht zur Vereinbarung eines Eintrittsrechts besteht nicht für Rahmenverträge, die der Auftragnehmer mit Nachunternehmern geschlossen hat und die über den Gegenstand der Ausschreibung „LKW-SCHNELLLADENETZ – UNBEWIRTSCHAFTETE RASTANLAGEN“ hinaus gelten, sowie für Leistungsbeziehungen, bei denen Leistungen des Nachunternehmers auf Grundlage von dessen Allgemeinen Geschäftsbedingungen abgerufen werden. Der Auftragnehmer ist verpflichtet, das Vorliegen der vorgenannten Ausnahmen dem Auftraggeber unter Angabe des jeweiligen Vertragspartners mitzuteilen.</t>
  </si>
  <si>
    <t xml:space="preserve">ANF-1112</t>
  </si>
  <si>
    <t xml:space="preserve">§ 62 (6) b</t>
  </si>
  <si>
    <t xml:space="preserve">Der Auftragnehmer legt dem Auftraggeber 2 auf dessen Verlangen die in abgeschlossenen Nachunternehmerverträgen jeweils vereinbarte Regelung zum Vertragseintritt der Auftraggeber in Fotokopie vor.</t>
  </si>
  <si>
    <t xml:space="preserve">ANF-1113</t>
  </si>
  <si>
    <t xml:space="preserve">§ 63 (1)</t>
  </si>
  <si>
    <t xml:space="preserve">Der Auftragnehmer ist verpflichtet, Maßnahmen des zuständigen Netzbetreibers im Zusammenhang mit der Errichtung oder Erweiterung des Netzanschlusses sowie Reparatur- und Wartungsarbeiten des …</t>
  </si>
  <si>
    <t xml:space="preserve">Der Auftragnehmer ist verpflichtet, Maßnahmen des zuständigen Netzbetreibers im Zusammenhang mit der Errichtung oder Erweiterung des Netzanschlusses sowie Reparatur- und Wartungsarbeiten des Netzbetreibers am Netzanschluss zu dulden. Entschädigungsansprüche des Auftragnehmers gegen die Auftraggeber bestehen auch bei Unterbrechungen des Anschlusses an das öffentliche Netz nicht. Etwaige Ansprüche des Auftragnehmers gegenüber dem Netzbetreiber bleiben unberührt.</t>
  </si>
  <si>
    <t xml:space="preserve">Kapitel: Duldungsverpflichtungen des Auftragnehmers
Fundstelle im PDF: Seite 57</t>
  </si>
  <si>
    <t xml:space="preserve">ANF-1114</t>
  </si>
  <si>
    <t xml:space="preserve">§ 63 (2)</t>
  </si>
  <si>
    <t xml:space="preserve">Der Auftragnehmer ist verpflichtet, Betriebsdienstleistungen, Erhaltungsmaßnahmen und Umbaumaßnahmen der Auftraggeber auf den Verkehrsflächen des jeweiligen Standortes zu dulden.</t>
  </si>
  <si>
    <t xml:space="preserve">Der Auftragnehmer ist verpflichtet, Betriebsdienstleistungen, Erhaltungsmaßnahmen und Umbaumaßnahmen der Auftraggeber auf den Verkehrsflächen des jeweiligen Standortes zu dulden. Im Falle von Baumaßnahmen der Auftraggeber stehen dem Auftragnehmer auch im Falle einer Sperrung eines Standorts über die Regelung in § 45 Abs. 6 hinaus keine Ansprüche gegen die Auftraggeber zu. Der Auftraggeber 2 wird dem Auftragnehmer den Beginn von wesentlichen Baumaßnahmen der Auftraggeber vorab mitteilen. Der Auftraggeber 2 kann vom Auftragnehmer zur Ermöglichung von Baumaßnahmen der Auftraggeber nach Maßgabe der Regelung zur Ausführung geänderter oder zusätzlicher Leistungen gemäß § 40 den vollständigen oder teilweisen Rückbau der Ladeinfrastruktur sowie der sonstigen baulichen Elemente verlangen.</t>
  </si>
  <si>
    <t xml:space="preserve">ANF-1115</t>
  </si>
  <si>
    <t xml:space="preserve">§ 63 (3)</t>
  </si>
  <si>
    <t xml:space="preserve">Die Auftraggeber sind nicht gehindert, an anderen Standorten Schnelladeinfrastruktur für E-Lkw auszuschreiben, zu errichten und zu betreiben bzw. errichten und betreiben zu lassen.</t>
  </si>
  <si>
    <t xml:space="preserve">Kapitel: Duldungsverpflichtungen des Auftragnehmers
Fundstelle im PDF: Seite 57
Zuordnung prüfen (Komponente/Partner nicht eindeutig)</t>
  </si>
  <si>
    <t xml:space="preserve">ANF-1116</t>
  </si>
  <si>
    <t xml:space="preserve">§ 64 (1)</t>
  </si>
  <si>
    <t xml:space="preserve">Der Auftragnehmer ist verpflichtet, die von ihm errichteten Ladeeinrichtungen während der Laufzeit des Vertrags fortlaufend zu dokumentieren und diese Angaben an den Auftraggeber 2 zu übermitteln.</t>
  </si>
  <si>
    <t xml:space="preserve">Der Auftragnehmer ist verpflichtet, die von ihm errichteten Ladeeinrichtungen während der Laufzeit des Vertrags fortlaufend zu dokumentieren und diese Angaben an den Auftraggeber 2 zu übermitteln. Einzelheiten hinsichtlich der Berichts- und Dokumentationspflichten sowie die erforderlichen Datenformate und die Stellen, an die die Informationen zu übermitteln sind, ergeben sich aus Vertragsanlage 10: Leistungsbeschreibung Betrieb. In den übermittelten Daten enthaltene Betriebs- und Geschäftsgeheimnisse sind vom Auftragnehmer zu kennzeichnen, bei der Übermittlung dieser gekennzeichneten Daten hat der Auftragnehmer darauf hinzuweisen, dass eine Weitergabe an Dritte unzulässig ist. Die Auftraggeber werden berechtigterweise entsprechend gekennzeichneten Daten nicht an Dritte weiterleiten. Die Nationale Leitstelle für Ladeinfrastruktur bei der NOW GmbH ist nicht Dritter im Sinne dieses Absatzes.</t>
  </si>
  <si>
    <t xml:space="preserve">Kapitel: Berichtspflichten, Datenübermittlung
Fundstelle im PDF: Seite 58</t>
  </si>
  <si>
    <t xml:space="preserve">ANF-1117</t>
  </si>
  <si>
    <t xml:space="preserve">§ 64 (2)</t>
  </si>
  <si>
    <t xml:space="preserve">Der Auftragnehmer ist verpflichtet, auf Verlangen des Auftraggebers 2 mit bis zu fünf Personentagen pro Jahr an wissenschaftlichen Begleitstudien mitzuwirken.</t>
  </si>
  <si>
    <t xml:space="preserve">Der Auftragnehmer ist verpflichtet, auf Verlangen des Auftraggebers 2 mit bis zu fünf Personentagen pro Jahr an wissenschaftlichen Begleitstudien mitzuwirken. Er hat zudem während der Laufzeit dieses Vertrags Evaluationen, etwa im Rahmen von Programmen des Auftraggebers 2, in angemessenem Umfang zu unterstützen bzw. an deren Treffen teilzunehmen und an Befragungen mitzuwirken.</t>
  </si>
  <si>
    <t xml:space="preserve">ANF-1118</t>
  </si>
  <si>
    <t xml:space="preserve">§ 64 (3)</t>
  </si>
  <si>
    <t xml:space="preserve">Über diesen Vertrag hinausgehende Berichts- oder Mitteilungspflichten, z.</t>
  </si>
  <si>
    <t xml:space="preserve">Über diesen Vertrag hinausgehende Berichts- oder Mitteilungspflichten, z. B. gegenüber der BNetzA, bleiben durch diese Regelungen unberührt.</t>
  </si>
  <si>
    <t xml:space="preserve">ANF-1119</t>
  </si>
  <si>
    <t xml:space="preserve">§ 65 (1)</t>
  </si>
  <si>
    <t xml:space="preserve">Die Parteien benennen jeweils eine oder mehrere Ansprechperson(en) als Empfängerin oder Empfänger im Zusammenhang mit jeglichen Erklärungen, die nach diesem Vertrag abzugeben sind.</t>
  </si>
  <si>
    <t xml:space="preserve">Kapitel: Ansprechpartner, Abstimmungstreffen
Fundstelle im PDF: Seite 58</t>
  </si>
  <si>
    <t xml:space="preserve">ANF-1120</t>
  </si>
  <si>
    <t xml:space="preserve">§ 65 (2)</t>
  </si>
  <si>
    <t xml:space="preserve">Die Parteien sind jederzeit berechtigt, von ihr benannte Ansprechpartner durch andere ausreichend qualifizierte Ansprechpartner zu ersetzen, wenn keine sonstigen in der Person des neuen …</t>
  </si>
  <si>
    <t xml:space="preserve">Die Parteien sind jederzeit berechtigt, von ihr benannte Ansprechpartner durch andere ausreichend qualifizierte Ansprechpartner zu ersetzen, wenn keine sonstigen in der Person des neuen Ansprechpartners begründeten Vorbehalte bestehen.</t>
  </si>
  <si>
    <t xml:space="preserve">Kapitel: Ansprechpartner, Abstimmungstreffen
Fundstelle im PDF: Seite 58
Zuordnung prüfen (Komponente/Partner nicht eindeutig)</t>
  </si>
  <si>
    <t xml:space="preserve">ANF-1121</t>
  </si>
  <si>
    <t xml:space="preserve">§ 65 (3)</t>
  </si>
  <si>
    <t xml:space="preserve">Der Auftragnehmer verpflichtet sich, dem Auftraggeber 2 im ersten Vertragsjahr für monatliche, ab dem zweiten Vertragsjahr für vierteljährliche Abstimmungstreffen der für die Vertragsabwicklung …</t>
  </si>
  <si>
    <t xml:space="preserve">Der Auftragnehmer verpflichtet sich, dem Auftraggeber 2 im ersten Vertragsjahr für monatliche, ab dem zweiten Vertragsjahr für vierteljährliche Abstimmungstreffen der für die Vertragsabwicklung zuständigen Ansprechpartner zur Verfügung zu stehen. An den Treffen nehmen auch Vertreter der Nationalen Leitstelle für Ladeinfrastruktur bei der NOW GmbH teil. Gegenstand dieser Abstimmungstreffen sind insbesondere Bestandsanalysen zum jeweiligen Stand der Umsetzung der Vorgaben dieses Vertrags, eine Priorisierung der weiteren Arbeitsschritte und die Klärung aktueller und offener Fragen, die im Zusammenhang mit dem Vertrag bzw. dem Betrieb der Ladeinfrastruktur stehen.</t>
  </si>
  <si>
    <t xml:space="preserve">ANF-1122</t>
  </si>
  <si>
    <t xml:space="preserve">§ 66 (1) a</t>
  </si>
  <si>
    <t xml:space="preserve">Der Auftragnehmer ist verpflichtet, die nach diesem Vertrag errichteten Ladeeinrichtungen an ein technisches Back-End anzubinden, das hinreichend technisch abgesichert wird, um Datenmanipulation und …</t>
  </si>
  <si>
    <t xml:space="preserve">Der Auftragnehmer ist verpflichtet, die nach diesem Vertrag errichteten Ladeeinrichtungen an ein technisches Back-End anzubinden, das hinreichend technisch abgesichert wird, um Datenmanipulation und -missbrauch zu unterbinden. Dies gilt für personenbezogene Daten</t>
  </si>
  <si>
    <t xml:space="preserve">Kapitel: Datenschutz und Weitergabe von Daten an Dritte
Fundstelle im PDF: Seite 58</t>
  </si>
  <si>
    <t xml:space="preserve">ANF-1123</t>
  </si>
  <si>
    <t xml:space="preserve">§ 66 (1) i</t>
  </si>
  <si>
    <t xml:space="preserve">S. v. Art.</t>
  </si>
  <si>
    <t xml:space="preserve">S. v. Art. 4 Abs. 1 der DS-GVO und für nicht personenbezogene Daten. Die datenschutzrechtlichen Bestimmungen, insbesondere die Vorgaben der DS-GVO und des Bundesdatenschutzgesetzes, sind einzuhalten.</t>
  </si>
  <si>
    <t xml:space="preserve">Kapitel: Datenschutz und Weitergabe von Daten an Dritte
Fundstelle im PDF: Seite 58
Zuordnung prüfen (Komponente/Partner nicht eindeutig)</t>
  </si>
  <si>
    <t xml:space="preserve">ANF-1124</t>
  </si>
  <si>
    <t xml:space="preserve">§ 66 (1) b</t>
  </si>
  <si>
    <t xml:space="preserve">Der Auftragnehmer ist verpflichtet, durch geeignete, dem aktuellen Stand der Technik entsprechende Verfahren sicherzustellen, dass die Vertraulichkeit wirtschaftlich sensibler Informationen (z.</t>
  </si>
  <si>
    <t xml:space="preserve">Der Auftragnehmer ist verpflichtet, durch geeignete, dem aktuellen Stand der Technik entsprechende Verfahren sicherzustellen, dass die Vertraulichkeit wirtschaftlich sensibler Informationen (z. B. Endnutzerdaten, Kundenportfolios, Tarifinformationen etc.), von denen er in Ausübung seiner Tätigkeit als Auftragnehmer Kenntnis erlangt, gegenüber Dritten oder intern gegenüber Bereichen, die im Wettbewerb mit dem Inhaber der vertraulichen Information stehen, gewahrt wird.</t>
  </si>
  <si>
    <t xml:space="preserve">ANF-1125</t>
  </si>
  <si>
    <t xml:space="preserve">§ 66 (2)</t>
  </si>
  <si>
    <t xml:space="preserve">Weitergabe von Daten an Dritte</t>
  </si>
  <si>
    <t xml:space="preserve">ANF-1126</t>
  </si>
  <si>
    <t xml:space="preserve">§ 66 (2) a</t>
  </si>
  <si>
    <t xml:space="preserve">Der Auftragnehmer ist verpflichtet, dem Auftraggeber 2 sowie Dritten, insbesondere Daten-Aggregatoren, Anbietern von Kartendiensten oder Kunden-Apps, die in Art.</t>
  </si>
  <si>
    <t xml:space="preserve">Der Auftragnehmer ist verpflichtet, dem Auftraggeber 2 sowie Dritten, insbesondere Daten-Aggregatoren, Anbietern von Kartendiensten oder Kunden-Apps, die in Art. 20 Abs. 2 der AFIR genannten statischen und dynamischen Daten über die betriebene Ladeinfrastruktur kostenfrei zur Verfügung zu stellen. Die Daten sind über eine Anwendungsprogrammierschnittstelle frei zugänglich zu machen. Die Regelungen zur Datenübermittlung gemäß der Vertragsanlage 10: Leistungsbeschreibung Betrieb bleiben hiervon unberührt.</t>
  </si>
  <si>
    <t xml:space="preserve">ANF-1127</t>
  </si>
  <si>
    <t xml:space="preserve">§ 66 (2) b</t>
  </si>
  <si>
    <t xml:space="preserve">Der Auftraggeber 2 ist berechtigt, zur Analyse und Verarbeitung der nach Vertragsanlage 10: Leistungsbeschreibung Betrieb zu übermittelnden Daten und Informationen Dritte einzubeziehen, die in …</t>
  </si>
  <si>
    <t xml:space="preserve">Der Auftraggeber 2 ist berechtigt, zur Analyse und Verarbeitung der nach Vertragsanlage 10: Leistungsbeschreibung Betrieb zu übermittelnden Daten und Informationen Dritte einzubeziehen, die in angemessenem Umfang zur Wahrung der Vertraulichkeit der Daten und Informationen verpflichtet werden. § 64 Abs. 1 bleibt unberührt.</t>
  </si>
  <si>
    <t xml:space="preserve">ANF-1128</t>
  </si>
  <si>
    <t xml:space="preserve">§ 67 (1)</t>
  </si>
  <si>
    <t xml:space="preserve">Die Parteien sind sich einig, dass eine Übertragung von Pflichten und eine Abtretung von Rechten des Auftragnehmers gegen einen oder beide Auftraggeber aus diesem Vertrag an Dritte nur dann wirksam …</t>
  </si>
  <si>
    <t xml:space="preserve">Die Parteien sind sich einig, dass eine Übertragung von Pflichten und eine Abtretung von Rechten des Auftragnehmers gegen einen oder beide Auftraggeber aus diesem Vertrag an Dritte nur dann wirksam ist, wenn der Auftraggeber 2, auch in Vertretung des Auftraggebers 1, vorab seine schriftliche Zustimmung dazu erteilt hat. Davon unberührt bleibt eine gesetzliche Rechtsnachfolge, insbesondere bei Übertragungen im Sinne des Umwandlungsgesetzes. Bei einer Übertragung im verbundenen Unternehmen wird der Bund seine Zustimmung erteilen, wenn der Auftragnehmer nachweist, dass eine Erfüllung der Verpflichtungen gleichermaßen gewährleistet ist.</t>
  </si>
  <si>
    <t xml:space="preserve">Kapitel: Abtretungsverbot, Übertragung auf eine Projektgesellschaft
Fundstelle im PDF: Seite 59</t>
  </si>
  <si>
    <t xml:space="preserve">ANF-1129</t>
  </si>
  <si>
    <t xml:space="preserve">§ 67 (2)</t>
  </si>
  <si>
    <t xml:space="preserve">Der Auftraggeber 2 wird, mit Wirkung auch für den Auftraggeber 1, einer Sicherungsabtretung von Rechten und Ansprüchen des Auftragnehmers nach diesem Vertrag an einen Fremdkapitalgeber bzw. den …</t>
  </si>
  <si>
    <t xml:space="preserve">Der Auftraggeber 2 wird, mit Wirkung auch für den Auftraggeber 1, einer Sicherungsabtretung von Rechten und Ansprüchen des Auftragnehmers nach diesem Vertrag an einen Fremdkapitalgeber bzw. den Sicherheitentreuhänder eines Fremdkapitalgeberkonsortiums zustimmen, gleiches gilt im Falle eines Forderungsverkaufes (Forfaitierung), wobei die Auftraggeber im Falle einer Forfaitierung keinen Einredeverzicht erklären werden. Eine Sicherungsabtretung von Ansprüchen unter den nach diesem Vertrag abzuschließenden Versicherungen ist nur zulässig, wenn sich der Abtretungsempfänger zur vertragsgemäßen Verwendung der Versicherungsentschädigungen im Sinne einer Reparatur oder Wiederherstellung der Ladeinfrastruktur verpflichtet.</t>
  </si>
  <si>
    <t xml:space="preserve">ANF-1130</t>
  </si>
  <si>
    <t xml:space="preserve">§ 67 (3)</t>
  </si>
  <si>
    <t xml:space="preserve">Die Auftraggeber werden einer Übertragung des Vertrags auf eine Projektgesellschaft zustimmen, wenn durch die Übertragung weder die Eignung noch die Fähigkeit des Auftragnehmers, den Vertrag …</t>
  </si>
  <si>
    <t xml:space="preserve">Die Auftraggeber werden einer Übertragung des Vertrags auf eine Projektgesellschaft zustimmen, wenn durch die Übertragung weder die Eignung noch die Fähigkeit des Auftragnehmers, den Vertrag ordnungsgemäß zu erfüllen, noch die Rechtsposition der Auftraggeber betreffend die Durchsetzung der ordnungsgemäßen Vertragserfüllung verschlechtert. Die Auftraggeber stimmen insbesondere einer Projektgesellschaft in Form einer GmbH zu, in der die Mitglieder der bisherigen Bietergemeinschaft Gesellschafter sind und gleichzeitig ihre Leistungsanteile als Nachunternehmer erbringen.</t>
  </si>
  <si>
    <t xml:space="preserve">ANF-1131</t>
  </si>
  <si>
    <t xml:space="preserve">§ 68 (1)</t>
  </si>
  <si>
    <t xml:space="preserve">Die Parteien behandeln den Inhalt dieses Vertrags vertraulich.</t>
  </si>
  <si>
    <t xml:space="preserve">Die Parteien behandeln den Inhalt dieses Vertrags vertraulich. Sie werden weder den Vertrag vollständig oder teilweise noch Informationen über dessen Inhalt ohne die schriftliche Einwilligung der anderen Partei einem Dritten überlassen oder in sonstiger Weise zugänglich machen.</t>
  </si>
  <si>
    <t xml:space="preserve">Kapitel: Vertraulichkeit
Fundstelle im PDF: Seite 59</t>
  </si>
  <si>
    <t xml:space="preserve">ANF-1132</t>
  </si>
  <si>
    <t xml:space="preserve">§ 68 (2)</t>
  </si>
  <si>
    <t xml:space="preserve">Dies gilt nicht für Informationen, die aufgrund gesetzlicher Verpflichtung oder an Behörden, verbundene Unternehmen sowie an zur Verschwiegenheit verpflichtete Berater, Kreditgeber oder deren …</t>
  </si>
  <si>
    <t xml:space="preserve">Dies gilt nicht für Informationen, die aufgrund gesetzlicher Verpflichtung oder an Behörden, verbundene Unternehmen sowie an zur Verschwiegenheit verpflichtete Berater, Kreditgeber oder deren Vertreter, die die Leistungen im Rahmen dieses Vertrags finanzieren, weitergegeben werden. Ausgenommen sind auch Anlagen, die Schnittstellendefinitionen bzw. Umfang der Berichterstattung betreffen.</t>
  </si>
  <si>
    <t xml:space="preserve">ANF-1133</t>
  </si>
  <si>
    <t xml:space="preserve">§ 68 (3)</t>
  </si>
  <si>
    <t xml:space="preserve">Im Übrigen gelten die gesetzlichen Bestimmungen zur Geheimhaltung von Betriebs- und Geschäftsgeheimnissen (insbesondere §§ 17 ff.</t>
  </si>
  <si>
    <t xml:space="preserve">Im Übrigen gelten die gesetzlichen Bestimmungen zur Geheimhaltung von Betriebs- und Geschäftsgeheimnissen (insbesondere §§ 17 ff. Gesetz gegen den unlauteren Wettbewerb) und sonstiger, gesetzlich geschützter Daten eines Unternehmens.</t>
  </si>
  <si>
    <t xml:space="preserve">ANF-1134</t>
  </si>
  <si>
    <t xml:space="preserve">§ 69 (1)</t>
  </si>
  <si>
    <t xml:space="preserve">Sollte in diesem Vertrag eine Bestimmung aus materiellen oder formellen Gründen unwirksam oder undurchführbar sein oder werden, so sind die Parteien sich darüber einig, dass die Gültigkeit der …</t>
  </si>
  <si>
    <t xml:space="preserve">Sollte in diesem Vertrag eine Bestimmung aus materiellen oder formellen Gründen unwirksam oder undurchführbar sein oder werden, so sind die Parteien sich darüber einig, dass die Gültigkeit der übrigen Bestimmungen hierdurch nicht berührt wird. Die Parteien verpflichten sich, die ungültige Bestimmung durch eine im wirtschaftlichen Erfolg ihr nach Möglichkeit gleichkommende Bestimmung in gültiger Weise zu ersetzen.</t>
  </si>
  <si>
    <t xml:space="preserve">Kapitel: Teilnichtigkeit, Anpassung des Vertrags
Fundstelle im PDF: Seite 59</t>
  </si>
  <si>
    <t xml:space="preserve">ANF-1135</t>
  </si>
  <si>
    <t xml:space="preserve">§ 69 (2)</t>
  </si>
  <si>
    <t xml:space="preserve">Sollte in diesem Vertrag ein regelungsbedürftiger Punkt nicht benannt oder nicht ausreichend geregelt worden sein, so verpflichten sich die Parteien, die so entstandene Lücke im Sinne und Geiste …</t>
  </si>
  <si>
    <t xml:space="preserve">Sollte in diesem Vertrag ein regelungsbedürftiger Punkt nicht benannt oder nicht ausreichend geregelt worden sein, so verpflichten sich die Parteien, die so entstandene Lücke im Sinne und Geiste dieses Vertrags durch eine ergänzende Regelung zu schließen, die dem angestrebten Ziel möglichst nahekommt.</t>
  </si>
  <si>
    <t xml:space="preserve">ANF-1136</t>
  </si>
  <si>
    <t xml:space="preserve">§ 69 (3)</t>
  </si>
  <si>
    <t xml:space="preserve">Dieser Vertrag ist nach den Grundsätzen verständiger und loyaler Kaufleute auszulegen und zu handhaben.</t>
  </si>
  <si>
    <t xml:space="preserve">ANF-1137</t>
  </si>
  <si>
    <t xml:space="preserve">§ 70 (1)</t>
  </si>
  <si>
    <t xml:space="preserve">Die Parteien erklären ihren festen Willen, jeglicher Form von Korruption sowie Menschenrechtsund Umweltschutzverletzungen entgegenzuwirken.</t>
  </si>
  <si>
    <t xml:space="preserve">Die Parteien erklären ihren festen Willen, jeglicher Form von Korruption sowie Menschenrechtsund Umweltschutzverletzungen entgegenzuwirken. Sie erklären, im Rahmen ihrer vertraglichen Beziehung sämtliche anwendbaren Gesetze, Verordnungen und sonstigen Rechtsvorschriften einzuhalten.</t>
  </si>
  <si>
    <t xml:space="preserve">Kapitel: Compliance
Fundstelle im PDF: Seite 60</t>
  </si>
  <si>
    <t xml:space="preserve">ANF-1138</t>
  </si>
  <si>
    <t xml:space="preserve">§ 70 (2)</t>
  </si>
  <si>
    <t xml:space="preserve">Der Auftragnehmer verpflichtet sich insbesondere zur Einhaltung aller anwendbaren Vorschriften gegen Korruption, Geldwäsche und andere schwerwiegende Straftaten, die im Geschäftsverkehr begangen …</t>
  </si>
  <si>
    <t xml:space="preserve">Der Auftragnehmer verpflichtet sich insbesondere zur Einhaltung aller anwendbaren Vorschriften gegen Korruption, Geldwäsche und andere schwerwiegende Straftaten, die im Geschäftsverkehr begangen werden, sowie zum Schutz der Menschenrechte und der Umwelt.</t>
  </si>
  <si>
    <t xml:space="preserve">Kapitel: Compliance
Fundstelle im PDF: Seite 60
Zuordnung prüfen (Komponente/Partner nicht eindeutig)</t>
  </si>
  <si>
    <t xml:space="preserve">ANF-1139</t>
  </si>
  <si>
    <t xml:space="preserve">§ 70 (3)</t>
  </si>
  <si>
    <t xml:space="preserve">Der Auftragnehmer verpflichtet sich, im Rahmen der vertraglichen Beziehung die jeweils geltenden tarifvertraglichen bzw. gesetzlichen Bestimmungen zur Entlohnung der Beschäftigten einzuhalten.</t>
  </si>
  <si>
    <t xml:space="preserve">ANF-1140</t>
  </si>
  <si>
    <t xml:space="preserve">§ 70 (4)</t>
  </si>
  <si>
    <t xml:space="preserve">Der Auftragnehmer wird zumutbare Anstrengungen unternehmen, um die Einhaltung der ihn gemäß Absatz 2 und Absatz 3 treffenden Verpflichtungen durch seine Nachunternehmer sicherzustellen.</t>
  </si>
  <si>
    <t xml:space="preserve">ANF-1141</t>
  </si>
  <si>
    <t xml:space="preserve">§ 70 (5)</t>
  </si>
  <si>
    <t xml:space="preserve">Der Auftragnehmer verpflichtet sich, bei der Abwehr von schweren Gesetzesverstößen im Sinne von Absatz 2 sowie bei der Aufklärung von Verdachtsfällen auf schwere Gesetzesverstöße mitzuwirken und mit …</t>
  </si>
  <si>
    <t xml:space="preserve">Der Auftragnehmer verpflichtet sich, bei der Abwehr von schweren Gesetzesverstößen im Sinne von Absatz 2 sowie bei der Aufklärung von Verdachtsfällen auf schwere Gesetzesverstöße mitzuwirken und mit den Auftraggebern zu kooperieren.</t>
  </si>
  <si>
    <t xml:space="preserve">ANF-1142</t>
  </si>
  <si>
    <t xml:space="preserve">§ 70 (6)</t>
  </si>
  <si>
    <t xml:space="preserve">Alle Schäden, die den Auftraggebern aus einem Verstoß gegen die in Absatz 2 und Absatz 3 genannten Verpflichtungen entstehen und vom Auftragnehmer zu vertreten sind, hat der Auftragnehmer zu ersetzen.</t>
  </si>
  <si>
    <t xml:space="preserve">Alle Schäden, die den Auftraggebern aus einem Verstoß gegen die in Absatz 2 und Absatz 3 genannten Verpflichtungen entstehen und vom Auftragnehmer zu vertreten sind, hat der Auftragnehmer zu ersetzen. Sonstige oder weitergehende Ansprüche bleiben hiervon unberührt.</t>
  </si>
  <si>
    <t xml:space="preserve">ANF-1143</t>
  </si>
  <si>
    <t xml:space="preserve">§ 70 (7)</t>
  </si>
  <si>
    <t xml:space="preserve">Die Parteien geben sich im Rahmen ihrer Geschäftsbeziehung wechselseitig die Zustimmung zur regelmäßigen Prüfung nach den jeweils aktuellen europäischen und nationalen Sanktions- und Embargolisten.</t>
  </si>
  <si>
    <t xml:space="preserve">Die Parteien geben sich im Rahmen ihrer Geschäftsbeziehung wechselseitig die Zustimmung zur regelmäßigen Prüfung nach den jeweils aktuellen europäischen und nationalen Sanktions- und Embargolisten. Dabei werden sie die einschlägigen datenschutzrechtlichen Bestimmungen beachten.</t>
  </si>
  <si>
    <t xml:space="preserve">ANF-1144</t>
  </si>
  <si>
    <t xml:space="preserve">§ 71 (1)</t>
  </si>
  <si>
    <t xml:space="preserve">Alle Streitigkeiten, die sich aus diesem Vertrag ergeben, werden zunächst den für die Beilegung von Streitigkeiten jeweils zu benennenden Vertretern der Parteien zur Beilegung vorgelegt.</t>
  </si>
  <si>
    <t xml:space="preserve">Kapitel: Streitbeilegung
Fundstelle im PDF: Seite 60</t>
  </si>
  <si>
    <t xml:space="preserve">ANF-1145</t>
  </si>
  <si>
    <t xml:space="preserve">§ 71 (2)</t>
  </si>
  <si>
    <t xml:space="preserve">Die Parteien vereinbaren dabei ein zweistufiges Vorgehen: Auf einer ersten Stufe sollen Vertreter der Projektleitung beider Parteien den Versuch einer Lösung der Streitigkeit unternehmen.</t>
  </si>
  <si>
    <t xml:space="preserve">Die Parteien vereinbaren dabei ein zweistufiges Vorgehen: Auf einer ersten Stufe sollen Vertreter der Projektleitung beider Parteien den Versuch einer Lösung der Streitigkeit unternehmen. Gelingt dies nicht, so sind in einer zweiten, nachgelagerten Eskalationsstufe Vertreter der Geschäftsführung beider Parteien zu beteiligen.</t>
  </si>
  <si>
    <t xml:space="preserve">Kapitel: Streitbeilegung
Fundstelle im PDF: Seite 60
Zuordnung prüfen (Komponente/Partner nicht eindeutig)</t>
  </si>
  <si>
    <t xml:space="preserve">ANF-1146</t>
  </si>
  <si>
    <t xml:space="preserve">§ 71 (3)</t>
  </si>
  <si>
    <t xml:space="preserve">Können die benannten Vertreter der Parteien auf diesem Wege nicht innerhalb einer angemessenen Frist von höchstens zwanzig Kalendertagen bzw. bei Zahlungsstreitigkeiten zehn Kalendertagen, jeweils …</t>
  </si>
  <si>
    <t xml:space="preserve">Können die benannten Vertreter der Parteien auf diesem Wege nicht innerhalb einer angemessenen Frist von höchstens zwanzig Kalendertagen bzw. bei Zahlungsstreitigkeiten zehn Kalendertagen, jeweils beginnend mit der schriftlichen Mitteilung einer Partei an die andere Partei, dass sie das Streitbeilegungsverfahren nach diesem § 71 einleiten möchte, zu einer Einigung gelangen, so steht es jeder Partei offen, zur Klärung der Streitigkeit ein ordentliches Gericht anzurufen, wenn nicht die Parteien schriftlich ein anderweitiges Vorgehen vereinbaren.</t>
  </si>
  <si>
    <t xml:space="preserve">ANF-1147</t>
  </si>
  <si>
    <t xml:space="preserve">§ 71 (4)</t>
  </si>
  <si>
    <t xml:space="preserve">Ausschließlicher Gerichtsstand für alle Streitigkeiten aus oder im Zusammenhang mit diesem Vertrag ist Berlin.</t>
  </si>
  <si>
    <t xml:space="preserve">ANF-1148</t>
  </si>
  <si>
    <t xml:space="preserve">§ 72 (1)</t>
  </si>
  <si>
    <t xml:space="preserve">Die in diesem Vertrag aufgeführten Vertragsanlagen sind Vertragsbestandteil.</t>
  </si>
  <si>
    <t xml:space="preserve">Kapitel: Schlussbestimmungen, Schriftformerfordernis
Fundstelle im PDF: Seite 61</t>
  </si>
  <si>
    <t xml:space="preserve">ANF-1149</t>
  </si>
  <si>
    <t xml:space="preserve">§ 72 (2)</t>
  </si>
  <si>
    <t xml:space="preserve">Diese Vertragsbedingungen sind abschließend. Mündliche Nebenabreden bestehen nicht.</t>
  </si>
  <si>
    <t xml:space="preserve">Diese Vertragsbedingungen sind abschließend. Mündliche Nebenabreden bestehen nicht. Änderungen und/oder Ergänzungen dieses Vertrags, einschließlich dieser Klausel, bedürfen zu ihrer Wirksamkeit der Schriftform.</t>
  </si>
  <si>
    <t xml:space="preserve">ANF-1150</t>
  </si>
  <si>
    <t xml:space="preserve">§ 72 (3)</t>
  </si>
  <si>
    <t xml:space="preserve">Der Auftragnehmer sichert zu, dass er für Errichtung, Erhaltung und Betrieb der vertragsgegenständlichen Ladeinfrastruktur keine nationalen oder EU-Fördermittel in Anspruch nimmt.</t>
  </si>
  <si>
    <t xml:space="preserve">ANF-1151</t>
  </si>
  <si>
    <t xml:space="preserve">§ 72 (4)</t>
  </si>
  <si>
    <t xml:space="preserve">Der Auftragnehmer sichert weiterhin zu, dass er kein Unternehmen in Schwierigkeiten im Sinne der Mitteilung der Kommission betreffend die Leitlinien für staatliche Beihilfen zur Rettung und …</t>
  </si>
  <si>
    <t xml:space="preserve">Der Auftragnehmer sichert weiterhin zu, dass er kein Unternehmen in Schwierigkeiten im Sinne der Mitteilung der Kommission betreffend die Leitlinien für staatliche Beihilfen zur Rettung und Umstrukturierung nichtfinanzieller Unternehmen in Schwierigkeiten (ABl. C 249 vom 31.7.2014, S. 1) ist. Des Weiteren sichert der Auftragnehmer zu, dass keine offenen Rückforderungsansprüche aufgrund eines Beschlusses der Europäischen Kommission zur Feststellung der Unzulässigkeit einer Beihilfe und ihrer Unvereinbarkeit mit dem europäischen Binnenmarkt gegen ihn bestehen.</t>
  </si>
  <si>
    <t xml:space="preserve">ANF-1152</t>
  </si>
  <si>
    <t xml:space="preserve">§ 72 (5)</t>
  </si>
  <si>
    <t xml:space="preserve">Verstößt der Auftragnehmer gegen eine der vorgenannten Zusicherungen, so können die Auftraggeber den Vertrag aus wichtigem Grund, den der Auftragnehmer zu vertreten hat, kündigen. ________________, …</t>
  </si>
  <si>
    <t xml:space="preserve">Verstößt der Auftragnehmer gegen eine der vorgenannten Zusicherungen, so können die Auftraggeber den Vertrag aus wichtigem Grund, den der Auftragnehmer zu vertreten hat, kündigen. ________________, den _____________ __________________________________ Unterschrift Auftraggeber 1, vertreten durch Auftraggeber 2 ________________, den ______________ __________________________________ Unterschrift Auftraggeber 2 ________________, den ______________ __________________________________ Unterschrift Auftragnehmer Anlagenverzeichnis Vertragsanlage 1: Angebot des Auftragnehmers vom [...] [wird nach Zuschlagserteilung beigefügt] Vertragsanlage 2: Standorte [losspezifisch] Vertragsanlage 3: Angaben und Informationen zu den einzelnen Standorten [losspezifisch] Vertragsanlage 4: Leistungsbeschreibung Errichtung Vertragsanlage 5: Details zum Netzanschluss Vertragsanlage 6: Anforderungen an die Ladeinfrastruktur Vertragsanlage 7: Logos [wird nach Zuschlagserteilung beigefügt] Vertragsanlage 8: Terminplan [wird nach Zuschlagserteilung beigefügt] Vertragsanlage 9: Anforderungen für die Betriebsfreigabe Vertragsanlage 10: Leistungsbeschreibung Betrieb Vertragsanlage 11: Leistungsheft für den Straßenbetrieb auf Bundesfernstraßen Vertragsanlage 12: Wartungs- und Instandhaltungskonzept [wird nach Zuschlagserteilung für jeden Standort erarbeitet und beigefügt] Vertragsanlage 13: Bilanzierung Durchleitungsmodell Vertragsanlage 14.1: Formblatt 141 - Autobahn Vertragsanlage 14.2: Formblatt 145 – Autobahn Vertragsanlage 14.3: Stoffpreisgleitklausel für Kabellieferungen Vertragsanlage 15: Muster Vertragserfüllungsbürgschaft Vertragsanlage 16: Muster Direktvertrag Vertragsanlage 17: Gesellschafter [wird vom Bieter mit der Angebotsabgabe vorgelegt und nach Zuschlagserteilung beigefügt]</t>
  </si>
  <si>
    <t xml:space="preserve">ANF-1153</t>
  </si>
  <si>
    <t xml:space="preserve">Die Ladeninfrastruktur muss die Vorgaben der anerkannten einschlägigen Regelwerke und Gesetzen einhalten, derzeit – nachfolgend in Gruppen zusammengefasst - insbesondere:</t>
  </si>
  <si>
    <t xml:space="preserve">Kapitel: Allgemeine technische Anforderungen an die Ladeinfrastruktur
Fundstelle im PDF: Seite 3
Zuordnung prüfen (Komponente/Partner nicht eindeutig)</t>
  </si>
  <si>
    <t xml:space="preserve">ANF-1154</t>
  </si>
  <si>
    <t xml:space="preserve">Ladestecker / Buchsen: IEC 62196-1, IEC 62196-3, IEC TS 62196-3-1, IEC TS 63379 (in Bearbeitung),</t>
  </si>
  <si>
    <t xml:space="preserve">Kapitel: Allgemeine technische Anforderungen an die Ladeinfrastruktur
Fundstelle im PDF: Seite 3</t>
  </si>
  <si>
    <t xml:space="preserve">ANF-1155</t>
  </si>
  <si>
    <t xml:space="preserve">§ 1 (3)</t>
  </si>
  <si>
    <t xml:space="preserve">Ladekabel: IEC 62893-1, IEC 62893-2 IEC 62893-4-1, IEC TS 62893-4-2</t>
  </si>
  <si>
    <t xml:space="preserve">ANF-1156</t>
  </si>
  <si>
    <t xml:space="preserve">§ 1 (4)</t>
  </si>
  <si>
    <t xml:space="preserve">Ladeeinrichtung: IEC 61851-1, IEC 61851-21-2, IEC 61851-23 ED2, IEC 61851-23-1 (in Bearbeitung), IEC 61851-23-3 (in Bearbeitung), IEC 61851-24, IEC TS 61851-27, VDE-AR-N 4100, VDE-AR-N 4105, VDE-AR-N …</t>
  </si>
  <si>
    <t xml:space="preserve">Ladeeinrichtung: IEC 61851-1, IEC 61851-21-2, IEC 61851-23 ED2, IEC 61851-23-1 (in Bearbeitung), IEC 61851-23-3 (in Bearbeitung), IEC 61851-24, IEC TS 61851-27, VDE-AR-N 4100, VDE-AR-N 4105, VDE-AR-N 4110, VDE-AR-N 4120, VDE-AR-E 2418-3-100, PTB-A 50.7, IEC 62053-41, IEC 62485-5 VDE 0510-485-5, BImSchG</t>
  </si>
  <si>
    <t xml:space="preserve">ANF-1157</t>
  </si>
  <si>
    <t xml:space="preserve">§ 1 (5)</t>
  </si>
  <si>
    <t xml:space="preserve">Kommunikation Fahrzeug-Ladeeinrichtung: ISO 15118-1 bis 20 (Teile in Bearbeitung), IEC 61851-24, DIN SPEC 70121, DIN SPEC 70122</t>
  </si>
  <si>
    <t xml:space="preserve">ANF-1158</t>
  </si>
  <si>
    <t xml:space="preserve">§ 1 (6)</t>
  </si>
  <si>
    <t xml:space="preserve">Kommunikation Ladeeinrichtung-Backend: OCPP, IEC 63110-1 bis 3 (Teile in Bearbeitung)</t>
  </si>
  <si>
    <t xml:space="preserve">ANF-1159</t>
  </si>
  <si>
    <t xml:space="preserve">§ 1 (7)</t>
  </si>
  <si>
    <t xml:space="preserve">Kommunikation mit Energieversorgungsnetz: IEC 62746-10-1, OSCP, IEC TR 61850-90-8, IEC 63382 (in Bearbeitung), VDE-AR-E 2122-1000</t>
  </si>
  <si>
    <t xml:space="preserve">ANF-1160</t>
  </si>
  <si>
    <t xml:space="preserve">§ 1 (8)</t>
  </si>
  <si>
    <t xml:space="preserve">Kennzeichnung der Fahrzeug- und Infrastrukturkompatibilität: DIN En 17186:2019 Sollten künftig geänderte oder zusätzliche Regelwerke anwendbar sein, sind diese zu beachten.</t>
  </si>
  <si>
    <t xml:space="preserve">Kennzeichnung der Fahrzeug- und Infrastrukturkompatibilität: DIN En 17186:2019 Sollten künftig geänderte oder zusätzliche Regelwerke anwendbar sein, sind diese zu beachten. Andere installierte und verwendete Komponenten als die Ladeinrichtungen, müssen nach anerkannten gültigen Regelwerken gebaut und betrieben werden. Dazu zählen derzeit u.a. CE-Konformität, Mess- und Eichrecht, AFIR oder LSV.</t>
  </si>
  <si>
    <t xml:space="preserve">ANF-1161</t>
  </si>
  <si>
    <t xml:space="preserve">§ 1.1 (1)</t>
  </si>
  <si>
    <t xml:space="preserve">Es ist durch den Auftragnehmer sicherzustellen, dass Abrechnungen von Ladevorgängen und</t>
  </si>
  <si>
    <t xml:space="preserve">Kapitel: Eichrecht
Fundstelle im PDF: Seite 3</t>
  </si>
  <si>
    <t xml:space="preserve">ANF-1162</t>
  </si>
  <si>
    <t xml:space="preserve">§ 1.1 (2)</t>
  </si>
  <si>
    <t xml:space="preserve">Bilanzierungen von Energiemengen im Durchleitungsmodell an jedem betroffenen Ladepunkt eichrechtskonform erfolgen.</t>
  </si>
  <si>
    <t xml:space="preserve">ANF-1163</t>
  </si>
  <si>
    <t xml:space="preserve">§ 1.2 (1)</t>
  </si>
  <si>
    <t xml:space="preserve">Es ist sicherzustellen, dass durch die Ladeeinrichtungen keine übermäßige Lärmbelästigung für</t>
  </si>
  <si>
    <t xml:space="preserve">Kapitel: Geräuschemissionen
Fundstelle im PDF: Seite 3</t>
  </si>
  <si>
    <t xml:space="preserve">ANF-1164</t>
  </si>
  <si>
    <t xml:space="preserve">§ 1.2 (2)</t>
  </si>
  <si>
    <t xml:space="preserve">Anwohner sowie für das Lkw-Fahrpersonal entsteht, insbesondere nachts bzw. während der</t>
  </si>
  <si>
    <t xml:space="preserve">Kapitel: Geräuschemissionen
Fundstelle im PDF: Seite 3
Zuordnung prüfen (Komponente/Partner nicht eindeutig)</t>
  </si>
  <si>
    <t xml:space="preserve">ANF-1165</t>
  </si>
  <si>
    <t xml:space="preserve">§ 1.2 (3)</t>
  </si>
  <si>
    <t xml:space="preserve">Ruhezeiten. Dabei ist die Entfernung der parkenden Lkw zu den Ladeeinrichtungen auf der</t>
  </si>
  <si>
    <t xml:space="preserve">ANF-1166</t>
  </si>
  <si>
    <t xml:space="preserve">§ 1.2 (4)</t>
  </si>
  <si>
    <t xml:space="preserve">Rastanlage zu berücksichtigen. Geltende Vorschriften sind einzuhalten.</t>
  </si>
  <si>
    <t xml:space="preserve">ANF-1167</t>
  </si>
  <si>
    <t xml:space="preserve">§ 2.1 (1)</t>
  </si>
  <si>
    <t xml:space="preserve">Jeder MCS-Ladepunkt muss technisch in der Lage sein, eine Nennladeleistung von mindestens 1.000 kW (DC) dauerhaft abgeben zu können (höhere Leistungen sind zulässig).</t>
  </si>
  <si>
    <t xml:space="preserve">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Im Fall gemeinsam genutzter Leistungseinheiten müssen pro MCS-Ladepunkt Leistungseinheiten mit einer Leistung von mindestens 800 kW installiert werden. Bei zeitgleichen Ladevorgängen an diesen muss die verfügbare Ladeleistung technisch dauerhaft mindestens 800 kW (DC) an jedem MCS-Ladepunkt betragen können. Eine Unterschreitung dieser Leistungsanforderung an MCS-Ladepunkte im Parallelbetrieb um bis zu 7 % ist zulässig, wenn dies auf schaltungstechnische Gründe des Ladesystems zurückzuführen ist (Granularität der Schaltmatrix).</t>
  </si>
  <si>
    <t xml:space="preserve">Kapitel: MCS-Ladeleistung
Fundstelle im PDF: Seite 4</t>
  </si>
  <si>
    <t xml:space="preserve">ANF-1168</t>
  </si>
  <si>
    <t xml:space="preserve">§ 2.1 (2)</t>
  </si>
  <si>
    <t xml:space="preserve">Die Nennladeleistung von MCS-Ladepunkten bemisst sich an einer Spannung von 800 V und einem Ladestrom von 1250 A.</t>
  </si>
  <si>
    <t xml:space="preserve">Kapitel: MCS-Ladeleistung
Fundstelle im PDF: Seite 4
Zuordnung prüfen (Komponente/Partner nicht eindeutig)</t>
  </si>
  <si>
    <t xml:space="preserve">ANF-1169</t>
  </si>
  <si>
    <t xml:space="preserve">§ 2.1 (3)</t>
  </si>
  <si>
    <t xml:space="preserve">Es muss ein Spannungsbereich von mindestens 500 V bis 1000 V für das Laden sichergestellt werden.</t>
  </si>
  <si>
    <t xml:space="preserve">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t>
  </si>
  <si>
    <t xml:space="preserve">ANF-1170</t>
  </si>
  <si>
    <t xml:space="preserve">§ 2.1 (4)</t>
  </si>
  <si>
    <t xml:space="preserve">Die Nennladeleistung muss kontinuierlich mindestens in einem Umgebungs-Temperaturbereich von - 5 °C bis 35 °C zur Verfügung stehen.</t>
  </si>
  <si>
    <t xml:space="preserve">Die Nennladeleistung muss kontinuierlich mindestens in einem Umgebungs-Temperaturbereich von - 5 °C bis 35 °C zur Verfügung stehen. Bei Verlassen des Umgebungs-Temperaturbereichs muss die Ladeeinrichtung in einem angemessenen Bereich funktionsfähig bleiben (Derating). Das Derating-Verhalten ist dem AG mit der Angebotsabgabe anzugeben.</t>
  </si>
  <si>
    <t xml:space="preserve">ANF-1171</t>
  </si>
  <si>
    <t xml:space="preserve">§ 2.1 (5)</t>
  </si>
  <si>
    <t xml:space="preserve">Die Leistungseinheiten der Ladeeinrichtungen weisen eine hohe Energieeffizienz von mindestens 0,95 bei Nennladeleistung auf.</t>
  </si>
  <si>
    <t xml:space="preserve">ANF-1172</t>
  </si>
  <si>
    <t xml:space="preserve">§ 2.2</t>
  </si>
  <si>
    <t xml:space="preserve">Der CCS-Standard findet im Nutzfahrzeugbereich Anwendung für das Zwischenladen und das</t>
  </si>
  <si>
    <t xml:space="preserve">Kapitel: CCS-Ladeleistung
Fundstelle im PDF: Seite 5
Zuordnung prüfen (Komponente/Partner nicht eindeutig)</t>
  </si>
  <si>
    <t xml:space="preserve">ANF-1173</t>
  </si>
  <si>
    <t xml:space="preserve">§ 2.2.1 (1)</t>
  </si>
  <si>
    <t xml:space="preserve">Jeder CCS-Ladepunkt muss eine Nennladeleistung von mindestens 400 kW (DC) dauerhaft abgeben können (höhere Leistungen sind zulässig).</t>
  </si>
  <si>
    <t xml:space="preserve">Kapitel: CCS-Zwischenladen
Fundstelle im PDF: Seite 5
Zuordnung prüfen (Komponente/Partner nicht eindeutig)</t>
  </si>
  <si>
    <t xml:space="preserve">ANF-1174</t>
  </si>
  <si>
    <t xml:space="preserve">§ 2.2.1 (2)</t>
  </si>
  <si>
    <t xml:space="preserve">Im Fall gemeinsam genutzter Leistungseinheiten müssen pro CCS-Ladepunkt zum Zwischenladen Leistungseinheiten mit einer Leistung von mindestens 400 kW installiert werden.</t>
  </si>
  <si>
    <t xml:space="preserve">Im Fall gemeinsam genutzter Leistungseinheiten müssen pro CCS-Ladepunkt zum Zwischenladen Leistungseinheiten mit einer Leistung von mindestens 400 kW installiert werden. Bei zeitgleichen Ladevorgängen an diesen muss die verfügbare Ladeleistung technisch dauerhaft mindestens 400 kW (DC) an jedem CCS-Ladepunkt zum Zwischenladen betragen können. Eine Unterschreitung dieser Leistungsanforderung an CCS-Ladepunkte im Parallelbetrieb um bis zu 10 % ist zulässig, wenn dies auf schaltungstechnische Gründe des Ladesystems zurückzuführen ist (Granularität der Schaltmatrix).</t>
  </si>
  <si>
    <t xml:space="preserve">Kapitel: CCS-Zwischenladen
Fundstelle im PDF: Seite 5</t>
  </si>
  <si>
    <t xml:space="preserve">ANF-1175</t>
  </si>
  <si>
    <t xml:space="preserve">§ 2.2.1 (3)</t>
  </si>
  <si>
    <t xml:space="preserve">Die Nennladeleistung von CCS-Ladepunkten bemisst sich an einer Spannung von 800 V und muss auch bei 920 V zur Verfügung stehen.</t>
  </si>
  <si>
    <t xml:space="preserve">ANF-1176</t>
  </si>
  <si>
    <t xml:space="preserve">§ 2.2.1 (4)</t>
  </si>
  <si>
    <t xml:space="preserve">Es muss ein Spannungsbereich von mindestens 200 V bis 920 V für das Laden sichergestellt werden, sodass Fahrzeuge mit 400-V- und 800-V-Batteriesystemen geladen werden können.</t>
  </si>
  <si>
    <t xml:space="preserve">ANF-1177</t>
  </si>
  <si>
    <t xml:space="preserve">§ 2.2.2 (1)</t>
  </si>
  <si>
    <t xml:space="preserve">Jeder CCS-Ladepunkt zum Übernachtladen muss technisch eine Nennladeleistung von mindestens 150 kW (DC) dauerhaft abgeben können (höhere Leistungen sind zulässig).</t>
  </si>
  <si>
    <t xml:space="preserve">Kapitel: CCS-Übernachtladen
Fundstelle im PDF: Seite 5
Zuordnung prüfen (Komponente/Partner nicht eindeutig)</t>
  </si>
  <si>
    <t xml:space="preserve">ANF-1178</t>
  </si>
  <si>
    <t xml:space="preserve">§ 2.2.2 (3)</t>
  </si>
  <si>
    <t xml:space="preserve">Die Ladeleistung bemisst sich bei CCS an einer Spannung von 800 V und muss auch bei 920 V zur Verfügung stehen.</t>
  </si>
  <si>
    <t xml:space="preserve">ANF-1179</t>
  </si>
  <si>
    <t xml:space="preserve">§ 2.2.2 (6)</t>
  </si>
  <si>
    <t xml:space="preserve">Die Ladeeinrichtungen weisen eine hohe Energieeffizienz von mindestens 0,95 bei Nennleistung auf.</t>
  </si>
  <si>
    <t xml:space="preserve">Kapitel: CCS-Übernachtladen
Fundstelle im PDF: Seite 5</t>
  </si>
  <si>
    <t xml:space="preserve">ANF-1180</t>
  </si>
  <si>
    <t xml:space="preserve">§ 2.2.2 (7)</t>
  </si>
  <si>
    <t xml:space="preserve">Die Ladeeinrichtung kann in Abstimmung mit dem AG bidirektionales Laden mit Gleichstrom ermöglichen.</t>
  </si>
  <si>
    <t xml:space="preserve">ANF-1181</t>
  </si>
  <si>
    <t xml:space="preserve">§ 2.3 (1)</t>
  </si>
  <si>
    <t xml:space="preserve">Der Auftragnehmer ist verpflichtet ein intelligentes Energiemanagementsystem zur effizienten Nutzung vorhandener Netzkapazitäten und eine skalierbare, netzverträgliche Integration von Ladepunkten zu …</t>
  </si>
  <si>
    <t xml:space="preserve">Der Auftragnehmer ist verpflichtet ein intelligentes Energiemanagementsystem zur effizienten Nutzung vorhandener Netzkapazitäten und eine skalierbare, netzverträgliche Integration von Ladepunkten zu implementieren.</t>
  </si>
  <si>
    <t xml:space="preserve">Kapitel: Energiemanagementsystem (EMS)
Fundstelle im PDF: Seite 6
Zuordnung prüfen (Komponente/Partner nicht eindeutig)</t>
  </si>
  <si>
    <t xml:space="preserve">ANF-1182</t>
  </si>
  <si>
    <t xml:space="preserve">§ 2.3 (2)</t>
  </si>
  <si>
    <t xml:space="preserve">Das EMS muss in der Lage sein, eine dynamische Lastverteilung zu ermöglichen, um Ladepunkte bedarfsgerecht mit Leistung zu versorgen und ggf. gemeinsam genutzte Leistungseinheiten optimal zu nutzen …</t>
  </si>
  <si>
    <t xml:space="preserve">Das EMS muss in der Lage sein, eine dynamische Lastverteilung zu ermöglichen, um Ladepunkte bedarfsgerecht mit Leistung zu versorgen und ggf. gemeinsam genutzte Leistungseinheiten optimal zu nutzen und ggf. einen Batteriespeicher zu integrieren</t>
  </si>
  <si>
    <t xml:space="preserve">Kapitel: Energiemanagementsystem (EMS)
Fundstelle im PDF: Seite 6</t>
  </si>
  <si>
    <t xml:space="preserve">ANF-1183</t>
  </si>
  <si>
    <t xml:space="preserve">§ 2.3 (3)</t>
  </si>
  <si>
    <t xml:space="preserve">Das EMS muss über gängige Kommunikationsstandards/Schnittstellen wie Modbus TCP / RTU oder OCPP etc. verfügen.</t>
  </si>
  <si>
    <t xml:space="preserve">ANF-1184</t>
  </si>
  <si>
    <t xml:space="preserve">§ 2.3 (4)</t>
  </si>
  <si>
    <t xml:space="preserve">Durch die intelligente Steuerung der Ladeleistung muss verhindert werden, dass die Gesamtlast die Kapazität des Netzanschlusses überschreitet, um das System vor Abschaltungen oder Störungen zu …</t>
  </si>
  <si>
    <t xml:space="preserve">Durch die intelligente Steuerung der Ladeleistung muss verhindert werden, dass die Gesamtlast die Kapazität des Netzanschlusses überschreitet, um das System vor Abschaltungen oder Störungen zu schützen.</t>
  </si>
  <si>
    <t xml:space="preserve">ANF-1185</t>
  </si>
  <si>
    <t xml:space="preserve">§ 2.3 (5)</t>
  </si>
  <si>
    <t xml:space="preserve">Durch gezielte Verteilung oder zeitliche Verschiebung von Ladevorgängen sollen kritische Lastspitzen vermieden werden können</t>
  </si>
  <si>
    <t xml:space="preserve">ANF-1186</t>
  </si>
  <si>
    <t xml:space="preserve">§ 2.3 (6)</t>
  </si>
  <si>
    <t xml:space="preserve">Bei Ausfall oder Störung des EMS soll die Ladeinfrastruktur in einen sicheren Grundmodus1 wechseln, der eine Versorgung der Ladepunkte aufrechterhält.</t>
  </si>
  <si>
    <t xml:space="preserve">Bei Ausfall oder Störung des EMS soll die Ladeinfrastruktur in einen sicheren Grundmodus1 wechseln, der eine Versorgung der Ladepunkte aufrechterhält. Folgendes ist dabei zu beachten: o Im Falle eines Ausfalls wird die verbleibende Gesamtleistung statisch verteilt. Jeder Ladepunkt kann dabei maximal seine Nennleistung abrufen, während die Gesamtleistung weiterhin auf die verfügbare Netzanschlussleistung begrenzt bleibt. o Die Priorisierung der Ladepunkte kann durch den Auftragnehmer festgelegt werden, sofern dabei alle Anforderungen des Betreibervertrages vollständig erfüllt werden. 1 Die Gesamtleistung wird auf einen festgelegten Wert begrenzt, ohne dass eine intelligente Lastverteilung zwischen den Ladepunkten erfolgt.</t>
  </si>
  <si>
    <t xml:space="preserve">ANF-1187</t>
  </si>
  <si>
    <t xml:space="preserve">Die Länge der Ladekabel muss ausreichend dimensioniert werden, so dass alle gängigen</t>
  </si>
  <si>
    <t xml:space="preserve">Kapitel: Ladekabel und Stecker
Fundstelle im PDF: Seite 8</t>
  </si>
  <si>
    <t xml:space="preserve">ANF-1188</t>
  </si>
  <si>
    <t xml:space="preserve">Fahrzeugtypen der der Klassen N2 und N3 abhängig von Parkposition, Parkplatzgröße und spezifischer Lage der Ladebuchse im Fahrzeug (linke Fahrzeugseite) sicher und handhabbar geladen werden können.</t>
  </si>
  <si>
    <t xml:space="preserve">ANF-1189</t>
  </si>
  <si>
    <t xml:space="preserve">§ 3.1 (1)</t>
  </si>
  <si>
    <t xml:space="preserve">Der Auftragnehmer ist verpflichtet, MCS-Ladepunkte umgehend, gemäß des IEC TS 63379 Standard, spätestens ein Jahr nach Verabschiedung, entsprechend dem Standard auszustatten.</t>
  </si>
  <si>
    <t xml:space="preserve">Kapitel: MCS-Ladekabel und -Stecker
Fundstelle im PDF: Seite 8</t>
  </si>
  <si>
    <t xml:space="preserve">ANF-1190</t>
  </si>
  <si>
    <t xml:space="preserve">§ 3.1 (2)</t>
  </si>
  <si>
    <t xml:space="preserve">Der MCS-Ladepunkt befindet sich links neben dem Fahrzeug.</t>
  </si>
  <si>
    <t xml:space="preserve">ANF-1191</t>
  </si>
  <si>
    <t xml:space="preserve">§ 3.2 (1)</t>
  </si>
  <si>
    <t xml:space="preserve">CCS-Ladepunkte sind gemäß § 3 Abs. 3 LSV mit Kupplungen Combo 2 (CCS) gemäß DIN</t>
  </si>
  <si>
    <t xml:space="preserve">Kapitel: CCS-Ladekabel und -Stecker
Fundstelle im PDF: Seite 8</t>
  </si>
  <si>
    <t xml:space="preserve">ANF-1192</t>
  </si>
  <si>
    <t xml:space="preserve">§ 3.2 (2)</t>
  </si>
  <si>
    <t xml:space="preserve">Der CCS-Ladepunkt befindet sich links neben dem Fahrzeug, so dass Fahrzeuge mit der</t>
  </si>
  <si>
    <t xml:space="preserve">ANF-1193</t>
  </si>
  <si>
    <t xml:space="preserve">§ 3.2 (3)</t>
  </si>
  <si>
    <t xml:space="preserve">Ladebuchse auf der linken Fahrzeugseite grundsätzlich laden können.</t>
  </si>
  <si>
    <t xml:space="preserve">Ladebuchse auf der linken Fahrzeugseite grundsätzlich laden können. Das Laden von rechts ist nicht vorgesehen. Eine missbräuchliche Nutzung eines CCS-Ladepunktes zum</t>
  </si>
  <si>
    <t xml:space="preserve">ANF-1194</t>
  </si>
  <si>
    <t xml:space="preserve">§ 3.2 (4)</t>
  </si>
  <si>
    <t xml:space="preserve">Rechtsladen ist durch geeignete Maßnahmen, zum Beispiel durch Einbindung der</t>
  </si>
  <si>
    <t xml:space="preserve">ANF-1195</t>
  </si>
  <si>
    <t xml:space="preserve">§ 3.2 (5)</t>
  </si>
  <si>
    <t xml:space="preserve">Belegungsdetektion in die Freigabe des CCS-Ladepunkts, zu unterbinden.</t>
  </si>
  <si>
    <t xml:space="preserve">Belegungsdetektion / Ladeeinrichtung</t>
  </si>
  <si>
    <t xml:space="preserve">ANF-1196</t>
  </si>
  <si>
    <t xml:space="preserve">Das Display muss sowohl bei Tageslicht unter Sonneneinstrahlung als auch bei Dunkelheit gut ablesbar sein.</t>
  </si>
  <si>
    <t xml:space="preserve">Kapitel: Bedienelemente
Fundstelle im PDF: Seite 9</t>
  </si>
  <si>
    <t xml:space="preserve">ANF-1197</t>
  </si>
  <si>
    <t xml:space="preserve">Die Menüführung erfolgt mindestens in den Sprachen Deutsch und Englisch.</t>
  </si>
  <si>
    <t xml:space="preserve">Kapitel: Bedienelemente
Fundstelle im PDF: Seite 9
Zuordnung prüfen (Komponente/Partner nicht eindeutig)</t>
  </si>
  <si>
    <t xml:space="preserve">ANF-1198</t>
  </si>
  <si>
    <t xml:space="preserve">RFID-Multireader zum Lesen von allen gängigen und zukünftig erwartbaren Ladekarten von Fahrstromanbietern (z.B. unter Berücksichtigung VDE-AR-E 2532-100) zum Authentifizieren und Starten von …</t>
  </si>
  <si>
    <t xml:space="preserve">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t>
  </si>
  <si>
    <t xml:space="preserve">ANF-1199</t>
  </si>
  <si>
    <t xml:space="preserve">Ein Bezahlterminal kann auch zur Bezahlung von Ladevorgängen mehrerer MCS- bzw.</t>
  </si>
  <si>
    <t xml:space="preserve">Ein Bezahlterminal kann auch zur Bezahlung von Ladevorgängen mehrerer MCS- bzw. CCS-Ladeeinrichtungen bzw. -Ladepunkten dienen.</t>
  </si>
  <si>
    <t xml:space="preserve">ANF-1200</t>
  </si>
  <si>
    <t xml:space="preserve">§ 5 (1)</t>
  </si>
  <si>
    <t xml:space="preserve">Jede Ladeeinrichtung muss hardwareseitig für ISO 15118-20 Kommunikation (ausgenommen der Funktion „bidirektionales Laden“) vorbereitet sein.</t>
  </si>
  <si>
    <t xml:space="preserve">Kapitel: ISO 15118 und Software
Fundstelle im PDF: Seite 10</t>
  </si>
  <si>
    <t xml:space="preserve">ANF-1201</t>
  </si>
  <si>
    <t xml:space="preserve">§ 5 (2)</t>
  </si>
  <si>
    <t xml:space="preserve">Mögliche Hardwarenachrüstungen in vorstehendem Kontext müssen umgehend, spätestens ein Jahr nach Verabschiedung des verbindlichen Standards zur Authentifizierung auf Kosten des Auftragnehmers …</t>
  </si>
  <si>
    <t xml:space="preserve">Mögliche Hardwarenachrüstungen in vorstehendem Kontext müssen umgehend, spätestens ein Jahr nach Verabschiedung des verbindlichen Standards zur Authentifizierung auf Kosten des Auftragnehmers vorgenommen werden.</t>
  </si>
  <si>
    <t xml:space="preserve">ANF-1202</t>
  </si>
  <si>
    <t xml:space="preserve">§ 5 (3)</t>
  </si>
  <si>
    <t xml:space="preserve">Umsetzung von ISO 15118 „Plug and Charge“ muss mittels Softwareupdate möglich sein; die Software-Updatefähigkeit der Ladeeinrichtungen muss insofern sichergestellt sein.</t>
  </si>
  <si>
    <t xml:space="preserve">ANF-1203</t>
  </si>
  <si>
    <t xml:space="preserve">§ 5 (4)</t>
  </si>
  <si>
    <t xml:space="preserve">Verfügbare neue Software-Versionen des Herstellers der Ladeeinrichtung müssen unverzüglich installiert werden.</t>
  </si>
  <si>
    <t xml:space="preserve">Verfügbare neue Software-Versionen des Herstellers der Ladeeinrichtung müssen unverzüglich installiert werden. Sofern das Update nicht sicherheitsrelevant ist, kann der Installation eine angemessene, maximal 6-monatige, erfolgreiche Testphase vorausgehen.</t>
  </si>
  <si>
    <t xml:space="preserve">ANF-1204</t>
  </si>
  <si>
    <t xml:space="preserve">Jede MCS- bzw. CCS-Ladeeinrichtung muss jederzeit mit einem Backend über ein gängiges standardisiertes Protokoll (OCPP 1.6 oder höhere Versionen; DIN EN 63110) verbunden sein, um insbesondere:</t>
  </si>
  <si>
    <t xml:space="preserve">Kapitel: Backend-Anbindung
Fundstelle im PDF: Seite 11</t>
  </si>
  <si>
    <t xml:space="preserve">ANF-1205</t>
  </si>
  <si>
    <t xml:space="preserve">die Steuerung der Ladepunkte (Ladevorgänge starten, pausieren, beenden, abrechnen, entriegeln, gegebenenfalls reservieren etc.) zu ermöglichen,</t>
  </si>
  <si>
    <t xml:space="preserve">ANF-1206</t>
  </si>
  <si>
    <t xml:space="preserve">die Ladeeinrichtung bei Bedarf neu zu starten,</t>
  </si>
  <si>
    <t xml:space="preserve">ANF-1207</t>
  </si>
  <si>
    <t xml:space="preserve">die Ladeeinrichtung bzw. den Ladevorgang unmittelbar nach einem Fehlerfall bzw.</t>
  </si>
  <si>
    <t xml:space="preserve">die Ladeeinrichtung bzw. den Ladevorgang unmittelbar nach einem Fehlerfall bzw. Ladeabbruch falls zulässig automatisch neu zu starten,</t>
  </si>
  <si>
    <t xml:space="preserve">ANF-1208</t>
  </si>
  <si>
    <t xml:space="preserve">die Software der Ladeeinrichtung zu aktualisieren,</t>
  </si>
  <si>
    <t xml:space="preserve">ANF-1209</t>
  </si>
  <si>
    <t xml:space="preserve">§ 6 (6)</t>
  </si>
  <si>
    <t xml:space="preserve">ein System-Monitoring der Hardware-Komponenten zu ermöglichen (Störungsanalyse/ Ferndiagnose),</t>
  </si>
  <si>
    <t xml:space="preserve">ANF-1210</t>
  </si>
  <si>
    <t xml:space="preserve">§ 6 (7)</t>
  </si>
  <si>
    <t xml:space="preserve">die Zustandsdaten der Ladepunkte und gegebenenfalls des zugehörigen Ladeplatzes zu übermitteln,</t>
  </si>
  <si>
    <t xml:space="preserve">Kapitel: Backend-Anbindung
Fundstelle im PDF: Seite 11
Zuordnung prüfen (Komponente/Partner nicht eindeutig)</t>
  </si>
  <si>
    <t xml:space="preserve">ANF-1211</t>
  </si>
  <si>
    <t xml:space="preserve">§ 6 (8)</t>
  </si>
  <si>
    <t xml:space="preserve">die Information der Detektion (vgl. Kapitel 9) angebundenen Mobilitätsdienstleister und Betreibern von Online-Plattformen zur Darstellung von Statusinformationen zur Verfügung zu stellen.</t>
  </si>
  <si>
    <t xml:space="preserve">ANF-1212</t>
  </si>
  <si>
    <t xml:space="preserve">§ 6 (9)</t>
  </si>
  <si>
    <t xml:space="preserve">die Abwicklung des Durchleitungsmodells sicherzustellen.</t>
  </si>
  <si>
    <t xml:space="preserve">die Abwicklung des Durchleitungsmodells sicherzustellen. Bei Unterbrechung der Backend-Anbindung müssen Ladevorgänge trotzdem möglich sein.</t>
  </si>
  <si>
    <t xml:space="preserve">ANF-1213</t>
  </si>
  <si>
    <t xml:space="preserve">Die Menüführung der MCS- bzw. CCS-Ladeeinrichtung und des Bezahlterminals müssen:</t>
  </si>
  <si>
    <t xml:space="preserve">Kapitel: Menüführung/Bedienung
Fundstelle im PDF: Seite 12</t>
  </si>
  <si>
    <t xml:space="preserve">ANF-1214</t>
  </si>
  <si>
    <t xml:space="preserve">mindestens in deutscher und englischer Sprache erfolgen,</t>
  </si>
  <si>
    <t xml:space="preserve">Kapitel: Menüführung/Bedienung
Fundstelle im PDF: Seite 12
Zuordnung prüfen (Komponente/Partner nicht eindeutig)</t>
  </si>
  <si>
    <t xml:space="preserve">ANF-1215</t>
  </si>
  <si>
    <t xml:space="preserve">so einfach/intuitiv wie möglich sein,</t>
  </si>
  <si>
    <t xml:space="preserve">ANF-1216</t>
  </si>
  <si>
    <t xml:space="preserve">die Kosten für das Ad hoc-Laden eindeutig, transparent und unmittelbar nach Auswahl der Ad hoc-Ladeoption vor dem Start und Zahlen des Ladevorgangs anzeigen.</t>
  </si>
  <si>
    <t xml:space="preserve">die Kosten für das Ad hoc-Laden eindeutig, transparent und unmittelbar nach Auswahl der Ad hoc-Ladeoption vor dem Start und Zahlen des Ladevorgangs anzeigen. Dabei ist der Ad hoc-Preis pro kWh und das Blockadeentgelt als Preise pro Minute auszuweisen. Gibt es ein externes, separiertes Bezahlterminal, müssen die Kosten zusätzlich auf einem Display der MCS- / CCS-Ladeeinrichtung angezeigt werden,</t>
  </si>
  <si>
    <t xml:space="preserve">Dynamische Anzeige / Authentifizierungskomponente / Abrechnungskomponente / Ladeeinrichtung</t>
  </si>
  <si>
    <t xml:space="preserve">ANF-1217</t>
  </si>
  <si>
    <t xml:space="preserve">die Anforderungen der Preisangabenverordnung berücksichtigen und</t>
  </si>
  <si>
    <t xml:space="preserve">ANF-1218</t>
  </si>
  <si>
    <t xml:space="preserve">die Bedienung der Ladeeinrichtung/des Ladevorgangs muss auch per App von vertraglich angebundenen Mobilitätsdienstleistern möglichsein</t>
  </si>
  <si>
    <t xml:space="preserve">ANF-1219</t>
  </si>
  <si>
    <t xml:space="preserve">RFID-Token (Ladekarte etc.) von vertraglich angebundenen Mobilitätsdienstleister,</t>
  </si>
  <si>
    <t xml:space="preserve">Kapitel: Authentifizierungsoptionen
Fundstelle im PDF: Seite 13</t>
  </si>
  <si>
    <t xml:space="preserve">ANF-1220</t>
  </si>
  <si>
    <t xml:space="preserve">App von vertraglich angebundenen Mobilitätsdienstleister,</t>
  </si>
  <si>
    <t xml:space="preserve">ANF-1221</t>
  </si>
  <si>
    <t xml:space="preserve">Ad hoc-Laden ohne Registrierung und</t>
  </si>
  <si>
    <t xml:space="preserve">ANF-1222</t>
  </si>
  <si>
    <t xml:space="preserve">§ 8 (5)</t>
  </si>
  <si>
    <t xml:space="preserve">ISO 15118 (nach Verfügbarkeit – s. o. Abschnitt 7.).</t>
  </si>
  <si>
    <t xml:space="preserve">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</si>
  <si>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ANF-1223</t>
  </si>
  <si>
    <t xml:space="preserve">Schranken sind wie folgt zu betreiben: 1) Grundstellung: Beide Schranken sind bei Nichtbelegung des Ladeplatzes geschlossen.</t>
  </si>
  <si>
    <t xml:space="preserve">Schranken sind wie folgt zu betreiben: 1) Grundstellung: Beide Schranken sind bei Nichtbelegung des Ladeplatzes geschlossen. 2) Einfahrt: Die Einfahrtschranke öffnet sich nach erfolgreicher Authentifizierung und gewährt Zugang zum Ladeplatz. Sie bleibt während des gesamten</t>
  </si>
  <si>
    <t xml:space="preserve">Kapitel: Einfahrts- und Ausfahrtsschranken pro Ladeplatz
Fundstelle im PDF: Seite 15
Fundstelle im Bestand bereits belegt, Text weicht ab – bitte gegen die alte Zeile prüfen</t>
  </si>
  <si>
    <t xml:space="preserve">Schrankensteuerung / Authentifizierungskomponente</t>
  </si>
  <si>
    <t xml:space="preserve">ANF-1224</t>
  </si>
  <si>
    <t xml:space="preserve">Ladevorgangs geöffnet. 3) Ausfahrtsschaltung: Sobald der Lkw seine Parkposition auf dem Ladeplatz erreicht hat, öffnet sich die Ausfahrtsschranke.</t>
  </si>
  <si>
    <t xml:space="preserve">Ladevorgangs geöffnet. 3) Ausfahrtsschaltung: Sobald der Lkw seine Parkposition auf dem Ladeplatz erreicht hat, öffnet sich die Ausfahrtsschranke. 4) Verlassen des Ladeplatzes: Nach Abschluss des Ladevorgangs und dem</t>
  </si>
  <si>
    <t xml:space="preserve">ANF-1225</t>
  </si>
  <si>
    <t xml:space="preserve">Verlassen des Ladeplatzes schließt sich die Ausfahrtsschranke wieder.</t>
  </si>
  <si>
    <t xml:space="preserve">ANF-1226</t>
  </si>
  <si>
    <t xml:space="preserve">§ 10 (5)</t>
  </si>
  <si>
    <t xml:space="preserve">Zudem ist dafür zu sorgen, dass die Einfahrts- und Ausfahrtsschranken im Notfall geöffnet werden können.</t>
  </si>
  <si>
    <t xml:space="preserve">Kapitel: Einfahrts- und Ausfahrtsschranken pro Ladeplatz
Fundstelle im PDF: Seite 15</t>
  </si>
  <si>
    <t xml:space="preserve">ANF-1227</t>
  </si>
  <si>
    <t xml:space="preserve">Die Datenübermittlung erfolgt über eine Schnittstelle der Autobahn GmbH des Bundes.</t>
  </si>
  <si>
    <t xml:space="preserve">Die Datenübermittlung erfolgt über eine Schnittstelle der Autobahn GmbH des Bundes. Sämtliche Daten und Berichte sind entsprechend der im Folgenden beschriebenen Vorgaben an die Autobahn GmbH des Bundes, den Auftraggeber 2 (AG 2), zu übermitteln.</t>
  </si>
  <si>
    <t xml:space="preserve">Kapitel: Datenschnittstelle
Fundstelle im PDF: Seite 3
Zuordnung prüfen (Komponente/Partner nicht eindeutig)</t>
  </si>
  <si>
    <t xml:space="preserve">ANF-1228</t>
  </si>
  <si>
    <t xml:space="preserve">Die Datenübermittlung beginnt mit der erstmaligen Meldung der Betriebsfreigabe eines Standortes (siehe auch unter 2), frühestens jedoch drei Monate nach Bekanntgabe der Schnittstellendokumentation …</t>
  </si>
  <si>
    <t xml:space="preserve">Die Datenübermittlung beginnt mit der erstmaligen Meldung der Betriebsfreigabe eines Standortes (siehe auch unter 2), frühestens jedoch drei Monate nach Bekanntgabe der Schnittstellendokumentation durch die Autobahn GmbH des Bundes.</t>
  </si>
  <si>
    <t xml:space="preserve">Kapitel: Datenschnittstelle
Fundstelle im PDF: Seite 3</t>
  </si>
  <si>
    <t xml:space="preserve">ANF-1229</t>
  </si>
  <si>
    <t xml:space="preserve">Die übermittelten Daten können ganz oder teilweise offene Daten i.</t>
  </si>
  <si>
    <t xml:space="preserve">Die übermittelten Daten können ganz oder teilweise offene Daten i. S. v. § 12a EGovG sein. Datenübermittlungen über die Datenschnittstelle gelten im Sinne dieses Vertrags als Eigenerklärung des Auftragnehmers (AN).</t>
  </si>
  <si>
    <t xml:space="preserve">ANF-1230</t>
  </si>
  <si>
    <t xml:space="preserve">Zum Zweck der Datenübermittlung stellt die Autobahn GmbH des Bundes die Schnittstelle, eine RESTful API in Anlehnung an OCPI vollständig dokumentiert zur Verfügung.</t>
  </si>
  <si>
    <t xml:space="preserve">Zum Zweck der Datenübermittlung stellt die Autobahn GmbH des Bundes die Schnittstelle, eine RESTful API in Anlehnung an OCPI vollständig dokumentiert zur Verfügung. Die Schnittstellendokumentation wird als Open-API-Dokument (.yaml) nach Zuschlagserteilung vom AG 2 zur Verfügung gestellt.</t>
  </si>
  <si>
    <t xml:space="preserve">ANF-1231</t>
  </si>
  <si>
    <t xml:space="preserve">Datenfelder, die nicht dem OCPI-Standard entnommen sind, beginnen jeweils mit dem Präfix ab.</t>
  </si>
  <si>
    <t xml:space="preserve">ANF-1232</t>
  </si>
  <si>
    <t xml:space="preserve">Der AN ist verpflichtet, alle zu übermittelnden Daten entsprechend den Vorgaben in der Schnittstellendokumentation zu validieren.</t>
  </si>
  <si>
    <t xml:space="preserve">ANF-1233</t>
  </si>
  <si>
    <t xml:space="preserve">Der AG kann technische und inhaltliche Anpassungen an der Schnittstelle vornehmen und informiert den AN darüber in Textform und wird die neue Version als technische Spezifikation bereitstellen.</t>
  </si>
  <si>
    <t xml:space="preserve">Der AG kann technische und inhaltliche Anpassungen an der Schnittstelle vornehmen und informiert den AN darüber in Textform und wird die neue Version als technische Spezifikation bereitstellen. Der AN hat mit Ablauf des zweiten vollständigen Kalendermonats nach dieser Information die aktuelle Version der Schnittstelle zu verwenden.</t>
  </si>
  <si>
    <t xml:space="preserve">ANF-1234</t>
  </si>
  <si>
    <t xml:space="preserve">Der AN ist verpflichtet, die Sicherheit seiner datenliefernden Schnittstelle nach aktuellem Stand der Technik sicherzustellen.</t>
  </si>
  <si>
    <t xml:space="preserve">Der AN ist verpflichtet, die Sicherheit seiner datenliefernden Schnittstelle nach aktuellem Stand der Technik sicherzustellen. Dies umfasst zudem eine Authentifizierung (z. B. JWT-Token, OAuth 2.0). Der AG kann dies in eigenem Ermessen prüfen.</t>
  </si>
  <si>
    <t xml:space="preserve">ANF-1235</t>
  </si>
  <si>
    <t xml:space="preserve">§ 1 (9)</t>
  </si>
  <si>
    <t xml:space="preserve">Datenfelder, die Preisangaben enthalten, sind grundsätzlich mit dem Nettowert zu übermitteln.</t>
  </si>
  <si>
    <t xml:space="preserve">ANF-1236</t>
  </si>
  <si>
    <t xml:space="preserve">§ 2 (1)</t>
  </si>
  <si>
    <t xml:space="preserve">Die im Folgenden aufgelisteten Maßnahmen/Vorkommnisse sind unter Einhaltung der angegebenen Fristen an den Auftraggeber 2 zu übermitteln.</t>
  </si>
  <si>
    <t xml:space="preserve">Kapitel: Meldungen
Fundstelle im PDF: Seite 4
Zuordnung prüfen (Komponente/Partner nicht eindeutig)</t>
  </si>
  <si>
    <t xml:space="preserve">ANF-1237</t>
  </si>
  <si>
    <t xml:space="preserve">§ 2 (2)</t>
  </si>
  <si>
    <t xml:space="preserve">In der Schnittstellendokumentation sind alle technischen Spezifika für die Übermittlung der entsprechenden Daten definiert.</t>
  </si>
  <si>
    <t xml:space="preserve">In der Schnittstellendokumentation sind alle technischen Spezifika für die Übermittlung der entsprechenden Daten definiert. Lfd. Nr. Meldepflichtige/s Maß- Erläuterung Frist nahme/Vorkommnis Betriebsfreigabe Die Betriebsfreigabe ei- 24 Stunden nach erfolgter 2.1 ner Ladeeinrichtung ist Betriebsfreigabe unter Nennung der StandortID, der EVSEID, sowie des Datums der Betriebsfreigabe zu melden. Revisions-, Wartungs- Es sind ungeplante und - bei ungeplanten Au- 2.2 und Instandhaltungsar- geplante Außerbetriebs- ßerbetriebsetzungen beiten (Außerbetriebset- setzungen (die auch Re- 24 Stunden nach erzungen) visions-, Wartungs- und folgter Außerbetriebs-Instandhaltungsarbeiten setzung umfassen) mitzuteilen. - geplante Außerbetriebsetzungen gemäß dem Betriebs- und Wartungskonzept Stilllegung (dauerhafte Die Stilllegung einer La- 24 Stunden nach Außer-</t>
  </si>
  <si>
    <t xml:space="preserve">Kapitel: Meldungen
Fundstelle im PDF: Seite 4</t>
  </si>
  <si>
    <t xml:space="preserve">ANF-1238</t>
  </si>
  <si>
    <t xml:space="preserve">Angabe der StandortID, der EVSEID, des Datums der Stilllegung und des Grundes für die Stilllegung zu melden.</t>
  </si>
  <si>
    <t xml:space="preserve">Kapitel: Außerbetriebsetzung) deeinrichtung ist unter betriebsetzung
Fundstelle im PDF: Seite 4
Zuordnung prüfen (Komponente/Partner nicht eindeutig)</t>
  </si>
  <si>
    <t xml:space="preserve">ANF-1239</t>
  </si>
  <si>
    <t xml:space="preserve">Erneuerung Der Austausch von Hard- Eine Woche nach Ab- 2.4 ware oder Modernisie- schluss der Erneuerungsrungen sind unter An- maßnahme gabe der StandortID, der</t>
  </si>
  <si>
    <t xml:space="preserve">ANF-1240</t>
  </si>
  <si>
    <t xml:space="preserve">EVSEID, Nennung der erneuerten Komponenten sowie des Grundes für die Erneuerung,</t>
  </si>
  <si>
    <t xml:space="preserve">ANF-1241</t>
  </si>
  <si>
    <t xml:space="preserve">Erneuerungsmaßnahme zu melden.</t>
  </si>
  <si>
    <t xml:space="preserve">ANF-1242</t>
  </si>
  <si>
    <t xml:space="preserve">Der AN ist verpflichtet, dem AG 2 am siebten Werktag eines jeden Kalendermonats für den vorangegangenen Monat insgesamt drei Monatsberichte gemäß nachstehenden Maßgaben zu erstatten: • Monatsbericht …</t>
  </si>
  <si>
    <t xml:space="preserve">Der AN ist verpflichtet, dem AG 2 am siebten Werktag eines jeden Kalendermonats für den vorangegangenen Monat insgesamt drei Monatsberichte gemäß nachstehenden Maßgaben zu erstatten: • Monatsbericht Verfügbarkeit • Monatsbericht Kundenzufriedenheit sowie • Monatsbericht diskriminierungsfreier Zugang.</t>
  </si>
  <si>
    <t xml:space="preserve">Kapitel: Monatsberichte und Jahres-Report
Fundstelle im PDF: Seite 5</t>
  </si>
  <si>
    <t xml:space="preserve">ANF-1243</t>
  </si>
  <si>
    <t xml:space="preserve">§ 3 (3)</t>
  </si>
  <si>
    <t xml:space="preserve">Der AN ist zudem verpflichtet, mit dem Jahres-Report Kundenzufriedenheit die wesentlichen Beschwerden gemäß nachstehenden Maßgaben darzulegen.</t>
  </si>
  <si>
    <t xml:space="preserve">ANF-1244</t>
  </si>
  <si>
    <t xml:space="preserve">Der Monatsbericht Verfügbarkeit enthält folgende Informationen:</t>
  </si>
  <si>
    <t xml:space="preserve">Kapitel: Monatsbericht Verfügbarkeit
Fundstelle im PDF: Seite 5</t>
  </si>
  <si>
    <t xml:space="preserve">ANF-1245</t>
  </si>
  <si>
    <t xml:space="preserve">Ausfallminuten im Monat je Ladepunkt und je Störungskategorie1</t>
  </si>
  <si>
    <t xml:space="preserve">ANF-1246</t>
  </si>
  <si>
    <t xml:space="preserve">§ 3.1 (3)</t>
  </si>
  <si>
    <t xml:space="preserve">Ausfallminuten im Monat je Ladepunkt und je Störungskategorie, die nach Abschnitt 7 durch den AN nicht zu vertreten sind</t>
  </si>
  <si>
    <t xml:space="preserve">ANF-1247</t>
  </si>
  <si>
    <t xml:space="preserve">§ 3.1 (4)</t>
  </si>
  <si>
    <t xml:space="preserve">Begründung je nicht zu vertretendem Ausfall unter Angabe der diesbezüglichen Minuten/Monat</t>
  </si>
  <si>
    <t xml:space="preserve">ANF-1248</t>
  </si>
  <si>
    <t xml:space="preserve">§ 3.1 (5)</t>
  </si>
  <si>
    <t xml:space="preserve">Anzahl an Störungen im Monat je Ladepunkt und je Störungskategorie</t>
  </si>
  <si>
    <t xml:space="preserve">ANF-1249</t>
  </si>
  <si>
    <t xml:space="preserve">§ 3.1 (6)</t>
  </si>
  <si>
    <t xml:space="preserve">Datum und Uhrzeit des Bekanntwerdens jeder Störung je Ladepunkt</t>
  </si>
  <si>
    <t xml:space="preserve">ANF-1250</t>
  </si>
  <si>
    <t xml:space="preserve">§ 3.1 (7)</t>
  </si>
  <si>
    <t xml:space="preserve">Datum und Uhrzeit jeder Störungsbehebung je Ladepunkt</t>
  </si>
  <si>
    <t xml:space="preserve">ANF-1251</t>
  </si>
  <si>
    <t xml:space="preserve">§ 3.1 (8)</t>
  </si>
  <si>
    <t xml:space="preserve">Summe Downtime des Backends in Minuten</t>
  </si>
  <si>
    <t xml:space="preserve">ANF-1252</t>
  </si>
  <si>
    <t xml:space="preserve">§ 3.1 (9)</t>
  </si>
  <si>
    <t xml:space="preserve">Summe abgegebener Energiemenge pro Monat je Ladepunkt, die gemäß § 23 Abs.</t>
  </si>
  <si>
    <t xml:space="preserve">Summe abgegebener Energiemenge pro Monat je Ladepunkt, die gemäß § 23 Abs. 5 des Vertrags aufgrund von Kulanz oder aufgrund fehlender Authentifizierung des Nutzers ohne Verrechnung an den Ladenutzer abgegeben wurde Datenfeld Beschreibung ab_location_id Standort-ID (autobahnspezifische Kennung) ab_period Zeitraum (Monat und Jahr) ab_evse_uid Ladepunkt-ID ab_failure_category Störungskategorie ab_downtime Ausfallminuten je Ladepunkt und Störungskategorie 1 Störungskategorien: Schaden (z. B. Vandalismus); Hardwarefehler Ladeeinrichtung; Softwarefehler Ladeeinrichtung; Ausfälle Dritter (z. B. Authentifizierungs- und Abrechnungssystem); Netzwerk-/Verbindungsfehler; Stromausfall, Fehler Backend, Strecken-/Standortsperrung, Sonstiges. Datenfeld Beschreibung ab_downtime_contractor_not_responsible Ausfallzeiten je Ladepunkt und Störungskategorie (nicht durch den AN zu vertreten) ab_reason_contractor_not_responsible Begründung für Ausfälle, die nicht durch AN zu vertreten sind ab_total_faults Anzahl an Störungen pro Ladepunkt ab_emergence_date Datum und Uhrzeit des Bekanntwerdens jeder Störung oder des Schadens ab_fix_date Datum und Uhrzeit jeder Störungs- oder Schadensbehebung ab_total_electric_power_free Summe kostenlos abgegebener Energiemenge in kWh je Ladepunkt ab_total_reservations Anzahl Reservierungen je Ladepunkt ab_total_reservations_cancelled Anzahl stornierter Reservierungen je Ladepunkt ab_reservations_no-show Anzahl nicht eingehaltener Reservierungen je Ladepunkt</t>
  </si>
  <si>
    <t xml:space="preserve">Authentifizierungskomponente / OCPI Buchungskalender / Monitoring / Ladeeinrichtung</t>
  </si>
  <si>
    <t xml:space="preserve">ANF-1253</t>
  </si>
  <si>
    <t xml:space="preserve">Der Monatsbericht Kundenzufriedenheit enthält folgende Informationen:</t>
  </si>
  <si>
    <t xml:space="preserve">Kapitel: Monatsbericht Kundenzufriedenheit
Fundstelle im PDF: Seite 6</t>
  </si>
  <si>
    <t xml:space="preserve">ANF-1254</t>
  </si>
  <si>
    <t xml:space="preserve">Anzahl Kundenbeschwerden je Standort</t>
  </si>
  <si>
    <t xml:space="preserve">ANF-1255</t>
  </si>
  <si>
    <t xml:space="preserve">Anzahl Anrufe Kundenhotline je Standort</t>
  </si>
  <si>
    <t xml:space="preserve">ANF-1256</t>
  </si>
  <si>
    <t xml:space="preserve">FCR – First Call Resolution Rate</t>
  </si>
  <si>
    <t xml:space="preserve">ANF-1257</t>
  </si>
  <si>
    <t xml:space="preserve">ASA – Average Speed of Answer in Sekunden Datenfeld Beschreibung ab_location_id Standort-ID (autobahnspezifische Kennung) ab_period Zeitraum (Monat und Jahr) ab_total_complaints Anzahl …</t>
  </si>
  <si>
    <t xml:space="preserve">ASA – Average Speed of Answer in Sekunden Datenfeld Beschreibung ab_location_id Standort-ID (autobahnspezifische Kennung) ab_period Zeitraum (Monat und Jahr) ab_total_complaints Anzahl Kundenbeschwerden je Standort ab_total_calls Anzahl Anrufe Kundenhotline je Standort ab_fcr_rate FCR – First Call Resolution Rate ab_asa Average Speed of Answer in Sekunden</t>
  </si>
  <si>
    <t xml:space="preserve">ANF-1258</t>
  </si>
  <si>
    <t xml:space="preserve">§ 3.3 (1)</t>
  </si>
  <si>
    <t xml:space="preserve">Betreiber erfassen Beschwerden und andere Nachrichten zur Kundenzufriedenheit über ein leicht zugängliches System Ihrer Wahl.</t>
  </si>
  <si>
    <t xml:space="preserve">Betreiber erfassen Beschwerden und andere Nachrichten zur Kundenzufriedenheit über ein leicht zugängliches System Ihrer Wahl. Jährlich zum Ende des ersten Quartals stellen Betreiber einen</t>
  </si>
  <si>
    <t xml:space="preserve">Kapitel: Jahres-Report Kundenzufriedenheit
Fundstelle im PDF: Seite 6
Zuordnung prüfen (Komponente/Partner nicht eindeutig)</t>
  </si>
  <si>
    <t xml:space="preserve">ANF-1259</t>
  </si>
  <si>
    <t xml:space="preserve">§ 3.3 (2)</t>
  </si>
  <si>
    <t xml:space="preserve">Jahres-Report Kundenzufriedenheit für das vorangegangene Jahr zur Verfügung, in dem die wesentlichen Beschwerden insbesondere nach folgenden Kategorien sortiert zusammenfassend dargelegt werden</t>
  </si>
  <si>
    <t xml:space="preserve">ANF-1260</t>
  </si>
  <si>
    <t xml:space="preserve">§ 3.3 (3)</t>
  </si>
  <si>
    <t xml:space="preserve">I. Ladevorgang nicht möglich a.</t>
  </si>
  <si>
    <t xml:space="preserve">I. Ladevorgang nicht möglich a. Alle Ladeplätze belegt durch ladende eLKW b. Ladevorgang nicht möglich, obwohl Status „available“ c. Blockierung der Stellfläche durch nicht ladende Fahrzeuge d. Ladehindernisse auf Grund geometrischer Hindernisse e. Wettereinflüsse</t>
  </si>
  <si>
    <t xml:space="preserve">ANF-1261</t>
  </si>
  <si>
    <t xml:space="preserve">§ 3.3 (4)</t>
  </si>
  <si>
    <t xml:space="preserve">II. Sicherheit am Ladeplatz</t>
  </si>
  <si>
    <t xml:space="preserve">ANF-1262</t>
  </si>
  <si>
    <t xml:space="preserve">§ 3.3 (5)</t>
  </si>
  <si>
    <t xml:space="preserve">III. Erreichbarkeit und Problembehebung durch die Kundenhotline</t>
  </si>
  <si>
    <t xml:space="preserve">ANF-1263</t>
  </si>
  <si>
    <t xml:space="preserve">§ 3.3 (6)</t>
  </si>
  <si>
    <t xml:space="preserve">IV. Komfort am Standort a.</t>
  </si>
  <si>
    <t xml:space="preserve">IV. Komfort am Standort a. Sauberkeit &amp; Geruchsbelästigungen b. Versorgung &amp; Ausstattung c. Ruhe</t>
  </si>
  <si>
    <t xml:space="preserve">ANF-1264</t>
  </si>
  <si>
    <t xml:space="preserve">§ 3.3 (7)</t>
  </si>
  <si>
    <t xml:space="preserve">Weitere Kategorien oder Änderungen können rechtzeitig bekannt gemacht werden.</t>
  </si>
  <si>
    <t xml:space="preserve">ANF-1265</t>
  </si>
  <si>
    <t xml:space="preserve">§ 3.3 (8)</t>
  </si>
  <si>
    <t xml:space="preserve">Der Bericht ist als pdf-Dokument an den AG zu übermitteln und sollte 20 Seiten nicht überschreiten.</t>
  </si>
  <si>
    <t xml:space="preserve">ANF-1266</t>
  </si>
  <si>
    <t xml:space="preserve">§ 3.4 (1)</t>
  </si>
  <si>
    <t xml:space="preserve">Der Monatsbericht diskriminierungsfreier Zugang enthält folgende Informationen: a) Vertragsbasiertes EMP-Laden Je Standort und Mobilitätsanbieter (bzw.</t>
  </si>
  <si>
    <t xml:space="preserve">Der Monatsbericht diskriminierungsfreier Zugang enthält folgende Informationen: a) Vertragsbasiertes EMP-Laden Je Standort und Mobilitätsanbieter (bzw. Mobilitätsanbieterverbund):</t>
  </si>
  <si>
    <t xml:space="preserve">Kapitel: Monatsbericht diskriminierungsfreier Zugang
Fundstelle im PDF: Seite 7</t>
  </si>
  <si>
    <t xml:space="preserve">ANF-1267</t>
  </si>
  <si>
    <t xml:space="preserve">§ 3.4 (2)</t>
  </si>
  <si>
    <t xml:space="preserve">Höhe der Zugangsentgelte in ct/kWh</t>
  </si>
  <si>
    <t xml:space="preserve">ANF-1268</t>
  </si>
  <si>
    <t xml:space="preserve">§ 3.4 (3)</t>
  </si>
  <si>
    <t xml:space="preserve">Höhe des Infrastrukturentgelts in ct/kWh (Bestandteil des Zugangsentgelt)</t>
  </si>
  <si>
    <t xml:space="preserve">ANF-1269</t>
  </si>
  <si>
    <t xml:space="preserve">§ 3.4 (4)</t>
  </si>
  <si>
    <t xml:space="preserve">gegebenenfalls Höhe weiterer Entgelte</t>
  </si>
  <si>
    <t xml:space="preserve">ANF-1270</t>
  </si>
  <si>
    <t xml:space="preserve">§ 3.4 (5)</t>
  </si>
  <si>
    <t xml:space="preserve">Art der vertraglichen Grundlage (z. B. bilateraler Vertrag, Roaming-Vertrag)</t>
  </si>
  <si>
    <t xml:space="preserve">ANF-1271</t>
  </si>
  <si>
    <t xml:space="preserve">§ 3.4 (6)</t>
  </si>
  <si>
    <t xml:space="preserve">gegebenenfalls Begründung unterschiedlicher Zugangsentgelte.</t>
  </si>
  <si>
    <t xml:space="preserve">gegebenenfalls Begründung unterschiedlicher Zugangsentgelte. Soweit der AN zugleich Mobilitätsanbieter ist, gibt der AN zusätzlich die gefragten Angaben zu dem Zugangsentgelt an, das er gegenüber sich selbst – in seiner Rolle als Mobilitätsanbieter – berechnet. Datenfeld Beschreibung ab_location_id Standort-ID (autobahnspezifische Kennung) ab_period Zeitraum (Monat und Jahr) ab_provider_group BDEW-Mobilitätsanbieter ab_cost Höhe der Zugangsentgelte in ct/kWh ab_additional_cost Höhe weiterer Entgelte ab_additional_cost_description Erklärung zu zusätzlichen Kosten ab_period_of_validity_from Beginn Zeitraum der Gültigkeit ab_period_of_validity_to Ende Zeitraum der Gültigkeit ab_contractual_basis Art der vertraglichen Grundlage ab_reason_different_costs Begründung unterschiedlicher Zugangsentgelte b) Ad-hoc-Ladetarife Je Standort bzgl. des Ad-hoc-Ladetarifs, den der AN gegenüber Endkunden betreibt:</t>
  </si>
  <si>
    <t xml:space="preserve">Authentifizierungskomponente / Abrechnungskomponente / Monitoring</t>
  </si>
  <si>
    <t xml:space="preserve">ANF-1272</t>
  </si>
  <si>
    <t xml:space="preserve">§ 3.4 (7)</t>
  </si>
  <si>
    <t xml:space="preserve">Höhe des Zugangsentgelt in ct/kWh (Ladepreis)</t>
  </si>
  <si>
    <t xml:space="preserve">ANF-1273</t>
  </si>
  <si>
    <t xml:space="preserve">§ 3.4 (10)</t>
  </si>
  <si>
    <t xml:space="preserve">Zeitraum der Gültigkeit Datenfeld Beschreibung ab_location_id Standort-ID (autobahnspezifische Kennung) ab_period Zeitraum (Monat und Jahr) ab_cost Höhe der Zugangsentgelte in ct/kWh …</t>
  </si>
  <si>
    <t xml:space="preserve">Zeitraum der Gültigkeit Datenfeld Beschreibung ab_location_id Standort-ID (autobahnspezifische Kennung) ab_period Zeitraum (Monat und Jahr) ab_cost Höhe der Zugangsentgelte in ct/kWh ab_additional_cost Höhe weiterer Entgelte ab_additional_cost_description Erklärung zu zusätzlichen Kosten ab_period_of_validity_from Beginn Zeitraum der Gültigkeit ab_period_of_validity_to Ende Zeitraum der Gültigkeit c) Laden mittels Durchleitung Je Standort und Mobilitätsanbieter (Stromanbieter):</t>
  </si>
  <si>
    <t xml:space="preserve">ANF-1274</t>
  </si>
  <si>
    <t xml:space="preserve">§ 3.4 (11)</t>
  </si>
  <si>
    <t xml:space="preserve">Höhe der Zugangsentgelte in ct/kWh bestehend aus Infrastrukturentgelt, Netzentgelt (nur Arbeitspreis), Abgaben und Umlagen (exkl.</t>
  </si>
  <si>
    <t xml:space="preserve">Höhe der Zugangsentgelte in ct/kWh bestehend aus Infrastrukturentgelt, Netzentgelt (nur Arbeitspreis), Abgaben und Umlagen (exkl. Strom)</t>
  </si>
  <si>
    <t xml:space="preserve">ANF-1275</t>
  </si>
  <si>
    <t xml:space="preserve">§ 3.4 (12)</t>
  </si>
  <si>
    <t xml:space="preserve">Höhe des Infrastrukturentgelts in ct/kWh</t>
  </si>
  <si>
    <t xml:space="preserve">ANF-1276</t>
  </si>
  <si>
    <t xml:space="preserve">Der AN ist verpflichtet, der vom AG benannten Stelle der Autobahn GmbH des Bundes gemäß nachstehender Maßgabe die definierten Datensätze zu ermitteln.</t>
  </si>
  <si>
    <t xml:space="preserve">Kapitel: Near-Realtime-Datenanbindung
Fundstelle im PDF: Seite 10
Zuordnung prüfen (Komponente/Partner nicht eindeutig)</t>
  </si>
  <si>
    <t xml:space="preserve">ANF-1277</t>
  </si>
  <si>
    <t xml:space="preserve">In der Schnittstellendokumentation (siehe Kapitel 1) sind alle technischen Spezifika für die Übermittlung der Daten definiert.</t>
  </si>
  <si>
    <t xml:space="preserve">In der Schnittstellendokumentation (siehe Kapitel 1) sind alle technischen Spezifika für die Übermittlung der Daten definiert. Mindestanforderungen an Lfd. Nr. Information Erläuterung die Datensätze Standortinformationen Standortinformationen wer- Datenfelder, die ein Standort- 4.1 den gebündelt als Standort- datensatz mindestens entdaten übermittelt. hält, sind in Kapitel 5 a) auf-Bei Änderung (on change) geführt sind die Daten erneut zu übermitteln. Ladepunkt- und Statusin- Ladepunkt- und Statusinfor- Datenfelder, die ein Lade- 4.2 formationen mationen werden gebündelt punktdatensatz mindestens als Ladepunkt- und Statusda- enthält, sind in Kapitel 5 b) ten übermittelt. aufgeführt Die Übermittlung erfolgt bei Änderung (on Change), bei den Statusdaten mindestens aber jede Stunde. Steckvorrichtungsinforma- Steckvorrichtungsinformatio- Datenfelder, die ein Steck- 4.3 tionen nen werden gebündelt als vorrichtungsdatensatz min-Steckvorrichtungsdaten über- destens enthält, sind in Kapimittelt. tel 5 c) aufgeführt Die Übermittlung erfolgt bei Änderung (on Change), Daten der Ladevorgänge Die Übermittlung der Daten Datenfelder, die ein Ladevor- 4.4 zu abgeschlossenen Lade- gangdatensatz mindestens vorgängen2 erfolgt in Form enthält, sind in Kapitel 5 d) von Ladevorgangsdaten. aufgeführt Die Datenübermittlung erfolgt mindestens einmal täglich gesammelt. 2 Abgeschlossene Ladevorgänge sind solche mit einem Start- und Endzeitpunkt.</t>
  </si>
  <si>
    <t xml:space="preserve">Kapitel: Near-Realtime-Datenanbindung
Fundstelle im PDF: Seite 10</t>
  </si>
  <si>
    <t xml:space="preserve">ANF-1278</t>
  </si>
  <si>
    <t xml:space="preserve">Datenfeld Beschreibung ab_location_id StandortID (Autobahnspezifische Rastanlagenkennung) ab_operator_location_id StandortID des Betreibers party_id ID des Ladesäulenbetreibers name Bezeichnung …</t>
  </si>
  <si>
    <t xml:space="preserve">Datenfeld Beschreibung ab_location_id StandortID (Autobahnspezifische Rastanlagenkennung) ab_operator_location_id StandortID des Betreibers party_id ID des Ladesäulenbetreibers name Bezeichnung address Straße und Hausnummer city Stadt postal_code Postleitzahl country_code Land country ISO-Ländercode, in dem sich der Standort befindet state Staat oder Provinz des Ortes coordinates Breitengrad, Längengrad in Dezimalformat related_locations Geografische Lage der für den Nutzer relevanten Punkte evses s. Ladepunktdaten je Ladepunkt (EVSE IDs) Liste der EVSEs, die zu diesem Standort gehören operator Betreiber owner Besitzer b) Ladepunktdaten</t>
  </si>
  <si>
    <t xml:space="preserve">Kapitel: Spezifikation der zu übermittelnden Daten
Fundstelle im PDF: Seite 11</t>
  </si>
  <si>
    <t xml:space="preserve">ANF-1279</t>
  </si>
  <si>
    <t xml:space="preserve">Datenfeld Beschreibung country_code ISO-Ländercode des Ladesäulenbetreibers party_id ID des Ladesäulenbetreibers id ID des Ladevorgangs start_date_time Start-Zeitstempel end_date_time …</t>
  </si>
  <si>
    <t xml:space="preserve">Datenfeld Beschreibung country_code ISO-Ländercode des Ladesäulenbetreibers party_id ID des Ladesäulenbetreibers id ID des Ladevorgangs start_date_time Start-Zeitstempel end_date_time Ende-Zeitstempel ab_counter_status_start Zählerstand in kWh ab_counter_status_stop Zählerstand in kWh ab_ema_id Country Code und Provider ID (ohne personenbezogene Daten)</t>
  </si>
  <si>
    <t xml:space="preserve">ANF-1280</t>
  </si>
  <si>
    <t xml:space="preserve">§ 5 (5)</t>
  </si>
  <si>
    <t xml:space="preserve">Datenfeld Beschreibung ab_location_id Standort ID, an welcher der Ladevorgang stattfindet evse_id EVSE ID connector_id Connector-ID ab_tariffs Liste der relevanten Tarifelemente inkl. definierter …</t>
  </si>
  <si>
    <t xml:space="preserve">Datenfeld Beschreibung ab_location_id Standort ID, an welcher der Ladevorgang stattfindet evse_id EVSE ID connector_id Connector-ID ab_tariffs Liste der relevanten Tarifelemente inkl. definierter Tarif-Objekte ab_tariffType Unterscheidung, ob ad hoc, vertragsbasiert oder mit Durchleitungsmodell geladen wurde: [ADD_HOC_PAYMENT, PROFILE_CHEAP, PROFILE_FAST, PRO-</t>
  </si>
  <si>
    <t xml:space="preserve">ANF-1281</t>
  </si>
  <si>
    <t xml:space="preserve">§ 5 (6)</t>
  </si>
  <si>
    <t xml:space="preserve">FILE_GREEN, REGULAR, BRING_YOUR_OWN_POWER, NON-</t>
  </si>
  <si>
    <t xml:space="preserve">Kapitel: Spezifikation der zu übermittelnden Daten
Fundstelle im PDF: Seite 11
Zuordnung prüfen (Komponente/Partner nicht eindeutig)</t>
  </si>
  <si>
    <t xml:space="preserve">ANF-1282</t>
  </si>
  <si>
    <t xml:space="preserve">§ 5 (7)</t>
  </si>
  <si>
    <t xml:space="preserve">BILLABLE] currency ISO 4217-Code der für diese Sitzung verwendeten Währung charging_periods Liste der Ladeabschnitte, aus denen dieser Ladevorgang besteht.</t>
  </si>
  <si>
    <t xml:space="preserve">BILLABLE] currency ISO 4217-Code der für diese Sitzung verwendeten Währung charging_periods Liste der Ladeabschnitte, aus denen dieser Ladevorgang besteht. Ein</t>
  </si>
  <si>
    <t xml:space="preserve">ANF-1283</t>
  </si>
  <si>
    <t xml:space="preserve">§ 5 (8)</t>
  </si>
  <si>
    <t xml:space="preserve">Ladevorgang besteht aus ein oder mehreren Abschnitten, wobei jeder</t>
  </si>
  <si>
    <t xml:space="preserve">ANF-1284</t>
  </si>
  <si>
    <t xml:space="preserve">§ 5 (9)</t>
  </si>
  <si>
    <t xml:space="preserve">Abschnitt einen anderen relevanten Tarif hat.</t>
  </si>
  <si>
    <t xml:space="preserve">Abschnitt einen anderen relevanten Tarif hat. Für Ladekurven zusätzlich dimensions, type “Energy” mit übermitteln. total_cost Gesamtkosten des Ladevorgangs (€) total_parking_cost Gesamtsumme aller mit dem Parken dieser Transaktion verbundenen</t>
  </si>
  <si>
    <t xml:space="preserve">ANF-1285</t>
  </si>
  <si>
    <t xml:space="preserve">§ 5 (10)</t>
  </si>
  <si>
    <t xml:space="preserve">Kosten, einschließlich Festpreisbestandteilen (€) total_reservation_cost Gesamtsumme aller Kosten im Zusammenhang mit der Reservierung eines Ladepunkts, einschließlich Festpreisbestandteilen (€) …</t>
  </si>
  <si>
    <t xml:space="preserve">Kosten, einschließlich Festpreisbestandteilen (€) total_reservation_cost Gesamtsumme aller Kosten im Zusammenhang mit der Reservierung eines Ladepunkts, einschließlich Festpreisbestandteilen (€) ab_automatic_restart_ti- Zeitstempel von automatischen Neustartvorgängen bei Ladeabbrümestamp chen ab_automatic_restart_count Gesamtzahl der automatischen Neustartvorgänge ab_total_energy Geladene Energiemenge (kWh) ab_total_time Ladezeit (Sekunden) ab_total_parking_time Einsteckzeit (nicht ladend) ab_reason Grund Beendigung des Ladevorgangs</t>
  </si>
  <si>
    <t xml:space="preserve">ANF-1286</t>
  </si>
  <si>
    <t xml:space="preserve">§ 6.1 (1)</t>
  </si>
  <si>
    <t xml:space="preserve">Der AN ist dafür verantwortlich, dass die E-Lkw-Schnellladeinfrastruktur den jeweils geltenden gesetzlichen und untergesetzlichen Vorgaben sowie den anerkannten Regeln der Technik entspricht.</t>
  </si>
  <si>
    <t xml:space="preserve">Der AN ist dafür verantwortlich, dass die E-Lkw-Schnellladeinfrastruktur den jeweils geltenden gesetzlichen und untergesetzlichen Vorgaben sowie den anerkannten Regeln der Technik entspricht.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t>
  </si>
  <si>
    <t xml:space="preserve">Kapitel: Allgemeine Anforderungen
Fundstelle im PDF: Seite 14
Zuordnung prüfen (Komponente/Partner nicht eindeutig)</t>
  </si>
  <si>
    <t xml:space="preserve">ANF-1287</t>
  </si>
  <si>
    <t xml:space="preserve">§ 6.1 (2)</t>
  </si>
  <si>
    <t xml:space="preserve">Der AN hat die erforderlichen wiederkehrenden Prüfungen zu veranlassen und zu belegen, die notwendige Unterweisung des Personals sowie die Auslegung der jeweiligen Betriebsanweisungen sicherzustellen.</t>
  </si>
  <si>
    <t xml:space="preserve">Der AN hat die erforderlichen wiederkehrenden Prüfungen zu veranlassen und zu belegen, die notwendige Unterweisung des Personals sowie die Auslegung der jeweiligen Betriebsanweisungen sicherzustellen. Die Häufigkeit der Überwachungen ergibt sich aus den Rechts- und Verwaltungsvorschriften.</t>
  </si>
  <si>
    <t xml:space="preserve">ANF-1288</t>
  </si>
  <si>
    <t xml:space="preserve">§ 6.1 (3)</t>
  </si>
  <si>
    <t xml:space="preserve">Grundsätzlich sind alle vom AN durchzuführenden Wartungs- und Instandsetzungsarbeiten mit dem AG abzustimmen.</t>
  </si>
  <si>
    <t xml:space="preserve">Grundsätzlich sind alle vom AN durchzuführenden Wartungs- und Instandsetzungsarbeiten mit dem AG abzustimmen. Es gelten die Bestimmungen des Kapitels 4.9 der Vertragsanlage 4: Leistungsbeschreibung Errichtung.</t>
  </si>
  <si>
    <t xml:space="preserve">ANF-1289</t>
  </si>
  <si>
    <t xml:space="preserve">§ 6.2 (1)</t>
  </si>
  <si>
    <t xml:space="preserve">Weiterhin obliegen dem AN alle Aufgaben zur Erfüllung der Verkehrssicherungspflichten hinsichtlich der E-Lkw-Schnellladeinfrastruktur nebst sonstigen vom Betreiber errichteten baulichen</t>
  </si>
  <si>
    <t xml:space="preserve">Kapitel: Verkehrssicherungspflicht
Fundstelle im PDF: Seite 15
Zuordnung prüfen (Komponente/Partner nicht eindeutig)</t>
  </si>
  <si>
    <t xml:space="preserve">ANF-1290</t>
  </si>
  <si>
    <t xml:space="preserve">§ 6.2 (2)</t>
  </si>
  <si>
    <t xml:space="preserve">Elementen wie z. B.</t>
  </si>
  <si>
    <t xml:space="preserve">Elementen wie z. B. Pfosten, Schutzbügel, Zaunanlagen, Pflasterflächen.</t>
  </si>
  <si>
    <t xml:space="preserve">ANF-1291</t>
  </si>
  <si>
    <t xml:space="preserve">§ 6.2 (3)</t>
  </si>
  <si>
    <t xml:space="preserve">Dem AG obliegen die Pflichten aus dem „Leistungsheft für den Straßenbetrieb auf Bundesfernstraßen“ auf den bundeseigenen Verkehrsflächen (siehe Vertragsanlage 11: Leistungsheft für den Straßenbetrieb …</t>
  </si>
  <si>
    <t xml:space="preserve">Dem AG obliegen die Pflichten aus dem „Leistungsheft für den Straßenbetrieb auf Bundesfernstraßen“ auf den bundeseigenen Verkehrsflächen (siehe Vertragsanlage 11: Leistungsheft für den Straßenbetrieb auf Bundesfernstraßen).</t>
  </si>
  <si>
    <t xml:space="preserve">Kapitel: Verkehrssicherungspflicht
Fundstelle im PDF: Seite 15</t>
  </si>
  <si>
    <t xml:space="preserve">ANF-1292</t>
  </si>
  <si>
    <t xml:space="preserve">§ 6.2 (4)</t>
  </si>
  <si>
    <t xml:space="preserve">Die Verantwortlichkeiten für die Durchführung des Betriebsdienstes, Instandhaltungen sowie der</t>
  </si>
  <si>
    <t xml:space="preserve">ANF-1293</t>
  </si>
  <si>
    <t xml:space="preserve">§ 6.2 (5)</t>
  </si>
  <si>
    <t xml:space="preserve">Wahrnehmung der Verkehrssicherungspflicht sind in der nachfolgenden Tabelle definiert:</t>
  </si>
  <si>
    <t xml:space="preserve">ANF-1294</t>
  </si>
  <si>
    <t xml:space="preserve">§ 6.2 (6)</t>
  </si>
  <si>
    <t xml:space="preserve">Bereich Betriebs- Verkehrssiche- Instandhaldienst rungspflicht tung</t>
  </si>
  <si>
    <t xml:space="preserve">ANF-1295</t>
  </si>
  <si>
    <t xml:space="preserve">§ 6.2 (7)</t>
  </si>
  <si>
    <t xml:space="preserve">E-Parkstände AG AG AG / AN3</t>
  </si>
  <si>
    <t xml:space="preserve">ANF-1296</t>
  </si>
  <si>
    <t xml:space="preserve">§ 6.2 (8)</t>
  </si>
  <si>
    <t xml:space="preserve">Gehwege (wichtige Verbindungen gemäß Leis- AG AG AG / AN3 tungsheft des Bundes)</t>
  </si>
  <si>
    <t xml:space="preserve">ANF-1297</t>
  </si>
  <si>
    <t xml:space="preserve">§ 6.2 (9)</t>
  </si>
  <si>
    <t xml:space="preserve">Trafo- u. Übergabestationen / Leis-</t>
  </si>
  <si>
    <t xml:space="preserve">ANF-1298</t>
  </si>
  <si>
    <t xml:space="preserve">§ 6.2 (10)</t>
  </si>
  <si>
    <t xml:space="preserve">AN AN / AG4 AN tungseinheiten</t>
  </si>
  <si>
    <t xml:space="preserve">ANF-1299</t>
  </si>
  <si>
    <t xml:space="preserve">§ 6.2 (11)</t>
  </si>
  <si>
    <t xml:space="preserve">Ladeinseln inkl. Ladesäulen AN AN / AG4 AN</t>
  </si>
  <si>
    <t xml:space="preserve">ANF-1300</t>
  </si>
  <si>
    <t xml:space="preserve">§ 6.2 (12)</t>
  </si>
  <si>
    <t xml:space="preserve">Parkstände (alt Diesel) AG AG AG</t>
  </si>
  <si>
    <t xml:space="preserve">ANF-1301</t>
  </si>
  <si>
    <t xml:space="preserve">§ 6.2 (13)</t>
  </si>
  <si>
    <t xml:space="preserve">Der AN stellt sicher, dass autorisierte Personen des AG jederzeit Zugang zu allen durch Schranken, automatische Poller oder sonstige physische Zufahrtsbeschränkungen gesicherten Bereichen erhalten.</t>
  </si>
  <si>
    <t xml:space="preserve">Der AN stellt sicher, dass autorisierte Personen des AG jederzeit Zugang zu allen durch Schranken, automatische Poller oder sonstige physische Zufahrtsbeschränkungen gesicherten Bereichen erhalten. Der AN hat die hierfür erforderlichen organisatorischen und technischen Abstimmungen mit den zuständigen Außenstellen des AG rechtzeitig vor Aufnahme des Betriebes durchzuführen und geeignete Zugriffsmittel bereitzustellen.</t>
  </si>
  <si>
    <t xml:space="preserve">ANF-1302</t>
  </si>
  <si>
    <t xml:space="preserve">§ 6.2 (14)</t>
  </si>
  <si>
    <t xml:space="preserve">Der AG führt im Rahmen der allgemeinen Streckenbefahrung Inaugenscheinnahmen der E-Lkw-</t>
  </si>
  <si>
    <t xml:space="preserve">ANF-1303</t>
  </si>
  <si>
    <t xml:space="preserve">§ 6.2 (15)</t>
  </si>
  <si>
    <t xml:space="preserve">Schnellladeinfrastruktur durch und macht den AN gegebenenfalls auf Handlungsbedarfe aufmerksam.</t>
  </si>
  <si>
    <t xml:space="preserve">Schnellladeinfrastruktur durch und macht den AN gegebenenfalls auf Handlungsbedarfe aufmerksam. Veränderungen oder Schäden an der E-Lkw-Schnellladeinfrastruktur, mit Einfluss auf 3 Nach Leistungspflichten gemäß Betreibervertrag 4 Im Zuge regelmäßiger Streckenbefahrungen informiert der AG den AN bei identifizierten Handlungsbedarfen die Verkehrssicherheit hat der AN unverzüglich zu beseitigen bzw. instand zu setzen. Der AN hat diese Veränderungen oder Schäden dem AG unverzüglich zu melden und die Beseitigung der</t>
  </si>
  <si>
    <t xml:space="preserve">ANF-1304</t>
  </si>
  <si>
    <t xml:space="preserve">§ 6.3 (1)</t>
  </si>
  <si>
    <t xml:space="preserve">Der AN ist verantwortlich für die Instandhaltung aller von ihm hergestellten Komponenten am</t>
  </si>
  <si>
    <t xml:space="preserve">Kapitel: Instandhaltung
Fundstelle im PDF: Seite 17
Zuordnung prüfen (Komponente/Partner nicht eindeutig)</t>
  </si>
  <si>
    <t xml:space="preserve">ANF-1305</t>
  </si>
  <si>
    <t xml:space="preserve">§ 6.3 (2)</t>
  </si>
  <si>
    <t xml:space="preserve">Standort. Dies umfasst die Ladeinfrastruktur und darüber hinaus auch alle vom AN neu hergestellten Beschilderungen, welche nach Vertragsanlage 4: Leistungsbeschreibung Errichtung errichtet wurden.</t>
  </si>
  <si>
    <t xml:space="preserve">Standort. Dies umfasst die Ladeinfrastruktur und darüber hinaus auch alle vom AN neu hergestellten Beschilderungen, welche nach Vertragsanlage 4: Leistungsbeschreibung Errichtung errichtet wurden. Der AN hat zu gewährleisten, dass die Ladeeinrichtung während des Vertragszeitraums, gemäß den nähren Vorgaben des Vertrages technisch betriebsbereit und funktionsfähig ist. Dauerhaft nicht mehr betriebsbereite und funktionstüchtige Bestandteile der E-Lkw-</t>
  </si>
  <si>
    <t xml:space="preserve">Kapitel: Instandhaltung
Fundstelle im PDF: Seite 17</t>
  </si>
  <si>
    <t xml:space="preserve">Aplitronic / tbd</t>
  </si>
  <si>
    <t xml:space="preserve">Beschilderung / Ladeeinrichtung</t>
  </si>
  <si>
    <t xml:space="preserve">ANF-1306</t>
  </si>
  <si>
    <t xml:space="preserve">§ 6.3 (3)</t>
  </si>
  <si>
    <t xml:space="preserve">Schnellladeinfrastruktur sind vom AN zu ersetzen.</t>
  </si>
  <si>
    <t xml:space="preserve">ANF-1307</t>
  </si>
  <si>
    <t xml:space="preserve">§ 6.3 (4)</t>
  </si>
  <si>
    <t xml:space="preserve">Der AN hat notwendige Instandsetzungsarbeiten, auch die durch Vandalismus und Vegetation notwendigen, an den von ihm errichteten Ladeinfrastruktur nebst sonstigen vom Betreiber errichteten baulichen …</t>
  </si>
  <si>
    <t xml:space="preserve">Der AN hat notwendige Instandsetzungsarbeiten, auch die durch Vandalismus und Vegetation notwendigen, an den von ihm errichteten Ladeinfrastruktur nebst sonstigen vom Betreiber errichteten baulichen Elementen innerhalb der vertraglich vorgesehenen Zeiträume durchzuführen. Die</t>
  </si>
  <si>
    <t xml:space="preserve">ANF-1308</t>
  </si>
  <si>
    <t xml:space="preserve">§ 6.3 (5)</t>
  </si>
  <si>
    <t xml:space="preserve">Zuständigkeit der Pflege aller Grünflächen liegt beim AG.</t>
  </si>
  <si>
    <t xml:space="preserve">ANF-1309</t>
  </si>
  <si>
    <t xml:space="preserve">§ 6.3 (6)</t>
  </si>
  <si>
    <t xml:space="preserve">Aufgabe des AN sind alle aufgrund gesetzlicher Vorgaben notwendigen Inspektionen und Prüfungen.</t>
  </si>
  <si>
    <t xml:space="preserve">Aufgabe des AN sind alle aufgrund gesetzlicher Vorgaben notwendigen Inspektionen und Prüfungen. Der AN ist verpflichtet, im Rahmen der durch ihn zu gewährleistenden Instandhaltung der elektrotechnischen Anlagen (Ladeinfrastruktur) während der Betriebsphase, die vom Gesetzgeber vorgeschriebenen Prüfungen und Leistungen nach DIN 31051 durch entsprechend legitimiertes Personal durchführen zu lassen. Es steht dem AN frei, auf eigene Rechnung unabhängige</t>
  </si>
  <si>
    <t xml:space="preserve">ANF-1310</t>
  </si>
  <si>
    <t xml:space="preserve">§ 6.3 (7)</t>
  </si>
  <si>
    <t xml:space="preserve">Dritte mit der Bereitstellung von Gutachten und die Durchführung von Prüfungen zu beauftragen, um die Einhaltung der entsprechenden Normen und Richtlinien für die Komponenten und die gesamte Anlage …</t>
  </si>
  <si>
    <t xml:space="preserve">Dritte mit der Bereitstellung von Gutachten und die Durchführung von Prüfungen zu beauftragen, um die Einhaltung der entsprechenden Normen und Richtlinien für die Komponenten und die gesamte Anlage dadurch zu bestätigen.</t>
  </si>
  <si>
    <t xml:space="preserve">ANF-1311</t>
  </si>
  <si>
    <t xml:space="preserve">§ 6.3 (8)</t>
  </si>
  <si>
    <t xml:space="preserve">Wiederkehrende Prüfungen elektrischer Anlagen und Betriebsmittel sind nach der Deutschen Gesetzlichen Unfallversicherung (DGUV) entsprechend den üblichen Anforderungen an die Elektrofachkraft …</t>
  </si>
  <si>
    <t xml:space="preserve">Wiederkehrende Prüfungen elektrischer Anlagen und Betriebsmittel sind nach der Deutschen Gesetzlichen Unfallversicherung (DGUV) entsprechend den üblichen Anforderungen an die Elektrofachkraft hinsichtlich der jeweiligen Prüfaufgabe zu erfüllen. Für die Prüfungen gemäß § 14 BetrSichV muss sie als „zur Prüfung befähigte Person“ (§ 2 BetrSichV) beauftragt werden.</t>
  </si>
  <si>
    <t xml:space="preserve">ANF-1312</t>
  </si>
  <si>
    <t xml:space="preserve">§ 6.3 (9)</t>
  </si>
  <si>
    <t xml:space="preserve">Sowohl die Legitimation des Prüfingenieurs als auch die jeweiligen Prüfprotokolle und Gutachten sind dem AG im vorgegebenen Turnus zu übermitteln.</t>
  </si>
  <si>
    <t xml:space="preserve">Sowohl die Legitimation des Prüfingenieurs als auch die jeweiligen Prüfprotokolle und Gutachten sind dem AG im vorgegebenen Turnus zu übermitteln. Neben den technischen Anlagen sind insbesondere die Dächer regelmäßig zu warten und durch geeignete Maßnahmen instand zu halten.</t>
  </si>
  <si>
    <t xml:space="preserve">ANF-1313</t>
  </si>
  <si>
    <t xml:space="preserve">§ 6.3 (10)</t>
  </si>
  <si>
    <t xml:space="preserve">Hierzu zählt insbesondere auch die bedarfsgerechte Reinigung (mindestens einmal im Jahr) der</t>
  </si>
  <si>
    <t xml:space="preserve">ANF-1314</t>
  </si>
  <si>
    <t xml:space="preserve">§ 6.3 (11)</t>
  </si>
  <si>
    <t xml:space="preserve">Anlage zur Regenentwässerung und die Prüfung nach DIN 1076 „Ingenieurbauwerke im Zuge von Straßen und Wegen – Überwachung und Prüfung“.</t>
  </si>
  <si>
    <t xml:space="preserve">ANF-1315</t>
  </si>
  <si>
    <t xml:space="preserve">§ 6.4 (1)</t>
  </si>
  <si>
    <t xml:space="preserve">Der AN hat ein Wartungs- und Instandhaltungskonzept insbesondere nach gesetzlichen und Herstellervorgaben zu entwickeln, das für jeden Rastanlage die geplanten Wartungs- und Instandhaltungszeiten …</t>
  </si>
  <si>
    <t xml:space="preserve">Der AN hat ein Wartungs- und Instandhaltungskonzept insbesondere nach gesetzlichen und Herstellervorgaben zu entwickeln, das für jeden Rastanlage die geplanten Wartungs- und Instandhaltungszeiten sowie etwaige geplante Erneuerungen von Anlagenteilen umfasst. Die geplanten</t>
  </si>
  <si>
    <t xml:space="preserve">Kapitel: Wartungs- und Instandhaltungskonzept
Fundstelle im PDF: Seite 17</t>
  </si>
  <si>
    <t xml:space="preserve">ANF-1316</t>
  </si>
  <si>
    <t xml:space="preserve">§ 6.4 (2)</t>
  </si>
  <si>
    <t xml:space="preserve">Wartungs- und Instandhaltungszeiten, die für einen Ausfall der Ladeinfrastruktur sorgen, dürfen jährlich sechs Stunden pro Rastanlage nicht überschreiten.</t>
  </si>
  <si>
    <t xml:space="preserve">Wartungs- und Instandhaltungszeiten, die für einen Ausfall der Ladeinfrastruktur sorgen, dürfen jährlich sechs Stunden pro Rastanlage nicht überschreiten. Das Konzept ist vom AN regelmäßig fortzuschreiben und dem AG zu übermitteln. Die Parteien werden hierzu eine Vorgehensweise vereinbaren. Auf Grundlage dieses (fortgeschriebenen) Konzepts erfolgen Mitteilungen des AN an den AG betreffend den Status der Ladeeinrichtungen gemäß den diesbezüglichen Vorgaben der Kapitel 4 und 5. Des Weiteren ist das (fortgeschriebene) Wartungs- und Instandhaltungskonzept im Rahmen der vertraglichen Regelungen zur Verfügbarkeit von Standorten heranzuziehen.</t>
  </si>
  <si>
    <t xml:space="preserve">ANF-1317</t>
  </si>
  <si>
    <t xml:space="preserve">§ 6.4 (3)</t>
  </si>
  <si>
    <t xml:space="preserve">Darüber hinaus sind alle Betriebs- sowie laufenden Kosten, der Verbindung der Kundenanlage mit dem Netzanschluss die für den (bis zur Eigentumsgrenze des Anschlusses an das öffentliche</t>
  </si>
  <si>
    <t xml:space="preserve">ANF-1318</t>
  </si>
  <si>
    <t xml:space="preserve">§ 6.4 (4)</t>
  </si>
  <si>
    <t xml:space="preserve">Versorgungsnetz) innerhalb der Vertragslaufzeit anfallen, vom AN zu tragen.</t>
  </si>
  <si>
    <t xml:space="preserve">Kapitel: Wartungs- und Instandhaltungskonzept
Fundstelle im PDF: Seite 17
Zuordnung prüfen (Komponente/Partner nicht eindeutig)</t>
  </si>
  <si>
    <t xml:space="preserve">ANF-1319</t>
  </si>
  <si>
    <t xml:space="preserve">§ 6.5 (1)</t>
  </si>
  <si>
    <t xml:space="preserve">Der AG überprüft in regelmäßigen Abständen, dass der AN sämtlichen vertraglichen Verpflichtungen nachkommt sowie insbesondere, dass die Vorgaben zur Sicherheit und Ordnung des Standorts (§ 4 FStrG) …</t>
  </si>
  <si>
    <t xml:space="preserve">Der AG überprüft in regelmäßigen Abständen, dass der AN sämtlichen vertraglichen Verpflichtungen nachkommt sowie insbesondere, dass die Vorgaben zur Sicherheit und Ordnung des Standorts (§ 4 FStrG) nach der Betriebsfreigabe eingehalten werden. Der AN hat im Rahmen der Überprüfung eine Mitwirkungspflicht und eventuell im Vorfeld erforderliche Vorbereitungen zu treffen. Bestandteil der in der Regel jährlich von dem AG durchgeführten Prüfungen sind:</t>
  </si>
  <si>
    <t xml:space="preserve">Kapitel: Regelmäßige Prüfung
Fundstelle im PDF: Seite 18</t>
  </si>
  <si>
    <t xml:space="preserve">ANF-1320</t>
  </si>
  <si>
    <t xml:space="preserve">§ 6.5 (2)</t>
  </si>
  <si>
    <t xml:space="preserve">Kontrolle regelmäßige Wartung und Kontrolle der E-Lkw-Schnellladeinfrastruktur (Einhaltung Wartungskonzepts),</t>
  </si>
  <si>
    <t xml:space="preserve">Kapitel: Regelmäßige Prüfung
Fundstelle im PDF: Seite 18
Zuordnung prüfen (Komponente/Partner nicht eindeutig)</t>
  </si>
  <si>
    <t xml:space="preserve">ANF-1321</t>
  </si>
  <si>
    <t xml:space="preserve">§ 6.5 (3)</t>
  </si>
  <si>
    <t xml:space="preserve">Kontrolle Sicherheit und Ordnung, o Arbeits- und Gesundheitsschutz o Brandschutz / Brandschutzeinrichtungen o Gerätesicherheit /Sicherheit der Anlagen o Sicherheit elektrische Anlagen o Sichtprüfung …</t>
  </si>
  <si>
    <t xml:space="preserve">Kontrolle Sicherheit und Ordnung, o Arbeits- und Gesundheitsschutz o Brandschutz / Brandschutzeinrichtungen o Gerätesicherheit /Sicherheit der Anlagen o Sicherheit elektrische Anlagen o Sichtprüfung baulicher Teile inkl. Überdachung o Standsicherheit o Umweltbelange o Verkehrssicherheit, Beschilderung/Markierung, Verkehrsführung o Auswertung Unfallgeschehen</t>
  </si>
  <si>
    <t xml:space="preserve">ANF-1322</t>
  </si>
  <si>
    <t xml:space="preserve">§ 6.5 (4)</t>
  </si>
  <si>
    <t xml:space="preserve">Kontrolle Einhaltung Zweck- und Nutzungsbestimmungen.</t>
  </si>
  <si>
    <t xml:space="preserve">Kontrolle Einhaltung Zweck- und Nutzungsbestimmungen. Die Prüfung erfolgt durch Einsichtnahme in die Belege und durch Begehungen. Die notwendigen Unterlagen werden durch den AN digital zur Verfügung gestellt.</t>
  </si>
  <si>
    <t xml:space="preserve">ANF-1323</t>
  </si>
  <si>
    <t xml:space="preserve">Es werden für die Zwecke der Pönale nach § 27 Abs.</t>
  </si>
  <si>
    <t xml:space="preserve">Es werden für die Zwecke der Pönale nach § 27 Abs. 2 des Vertrags im Falle von bestimmten</t>
  </si>
  <si>
    <t xml:space="preserve">Kapitel: Verfügbarkeit
Fundstelle im PDF: Seite 19</t>
  </si>
  <si>
    <t xml:space="preserve">ANF-1324</t>
  </si>
  <si>
    <t xml:space="preserve">Einschränkungen der technischen Verfügbarkeit von Ladepunkten anhand von Statusmeldungen</t>
  </si>
  <si>
    <t xml:space="preserve">ANF-1325</t>
  </si>
  <si>
    <t xml:space="preserve">Ausfallzeiten der einzelnen Ladepunkte ermittelt, die in Abhängigkeit von ihrer Dauer und dem</t>
  </si>
  <si>
    <t xml:space="preserve">Kapitel: Verfügbarkeit
Fundstelle im PDF: Seite 19
Zuordnung prüfen (Komponente/Partner nicht eindeutig)</t>
  </si>
  <si>
    <t xml:space="preserve">ANF-1326</t>
  </si>
  <si>
    <t xml:space="preserve">Erreichen bestimmter Schwellen zum Ansatz einer Pönale führen.</t>
  </si>
  <si>
    <t xml:space="preserve">Erreichen bestimmter Schwellen zum Ansatz einer Pönale führen. Die Ermittlung der Ausfallzeiten und der damit verbundenen Pönalen erfolgt je Ladepunkt wie folgt: (1) Jede angefangene Minute eines Zeitraums, für den eine Statusmeldung gemäß Zeile „status“ der Tabelle unter Kapitel 4 „Ladepunktdaten“ einen der folgenden Werte annimmt:</t>
  </si>
  <si>
    <t xml:space="preserve">Pönalisierungssystem / Monitoring</t>
  </si>
  <si>
    <t xml:space="preserve">ANF-1327</t>
  </si>
  <si>
    <t xml:space="preserve">INOPERATIVE (mit Ausnahme der in (5) dargelegten Voraussetzungen) wird als Ausfallzeit gewertet, wobei jede angefangene Minute der Ausfallzeit als „Ausfallminute“ definiert wird.</t>
  </si>
  <si>
    <t xml:space="preserve">INOPERATIVE (mit Ausnahme der in (5) dargelegten Voraussetzungen) wird als Ausfallzeit gewertet, wobei jede angefangene Minute der Ausfallzeit als „Ausfallminute“ definiert wird. (2) Dabei besteht der Status im Sinne der vorstehenden Ziff. (1) so lange, bis die Meldung des Status „AVAILABLE“, RESERVED, oder „CHARGING“, erfolgt. (3) Statusmeldungen nach Ziff. (1), die demnach zu einer Ausfallzeit von zusammenhängend fünf oder mehr vollen Zeitminuten führen (längere Störungen), werden, soweit sie an einem Kalendertag einzeln oder kumuliert die Dauer von 15 Minuten überschreiten (Toleranzschwelle), mit einer Pönale von EUR 1 pro Ausfallminute belegt. (4) Statusmeldungen nach Ziff. (1), die demnach zu einer Ausfallzeit von zusammenhängend weniger als fünf vollen Zeitminuten führen (kurzzeitige Störungen), werden wie folgt mit einer Pönale belegt: a. Wenn die Summe der Ausfallzeiten infolge von kurzzeitigen Störungen im Sinne dieser Ziff. (4) an einem Kalendertag eine Dauer von 15 Minuten nicht überschreitet, fällt keine Pönale an. b. Wenn die Summe der Ausfallzeiten infolge von kurzzeitigen Störungen im Sinne dieser Ziff. (4) an einem Kalendertag eine Dauer von 15 Minuten überschreitet, fällt für den überschreitenden Zeitraum eine Pönale von EUR 1 pro Ausfallminute an. (5) Geplante Ausfallminuten bleiben in dem im Wartungs- und Instandhaltungskonzept vorgesehenen Umfang außer Betracht, wobei die Vorgaben an das Wartungs- und Instandhaltungskonzept nach Ziff. (6) einzuhalten sind. Zeiten der Begutachtung durch</t>
  </si>
  <si>
    <t xml:space="preserve">ANF-1328</t>
  </si>
  <si>
    <t xml:space="preserve">Prüforganisationen gemäß Ziff. 6 bleiben ebenfalls außer Betracht.</t>
  </si>
  <si>
    <t xml:space="preserve">Prüforganisationen gemäß Ziff. 6 bleiben ebenfalls außer Betracht. Diese Zeiten sind mit dem Status INOPERATIVE gemäß Zeile „status“ der Tabelle unter Ziff. 4 „Ladepunktdaten“ zu kennzeichnen. Unberührt bleiben zudem die Regelungen betreffend die Berechtigung des AN zur Darlegung eines Nichtvertretenmüssens nach § 27 Abs. 4 des Vertrags mit der Folge, dass insoweit Ausfallminuten bei der Berechnung einer Pönale außer Betracht bleiben. (6) Der AN kann für die Zwecke der Ziff. (5) im Rahmen des Monatsberichts nach Ziff. 3 anhand einer Einordnung der Ausfallzeiten in die Störungskategorien im Monatsbericht</t>
  </si>
  <si>
    <t xml:space="preserve">ANF-1329</t>
  </si>
  <si>
    <t xml:space="preserve">Verfügbarkeit darlegen, inwieweit Ausfallzeiten als geplante Ausfallzeiten gemäß Wartungs- und Instandhaltungskonzept oder als Zeiten der Begutachtung durch Prüforganisationen zu qualifizieren sind …</t>
  </si>
  <si>
    <t xml:space="preserve">Verfügbarkeit darlegen, inwieweit Ausfallzeiten als geplante Ausfallzeiten gemäß Wartungs- und Instandhaltungskonzept oder als Zeiten der Begutachtung durch Prüforganisationen zu qualifizieren sind oder auf nicht vom AN zu vertretende Umstände zurückzuführen sind. Im Rahmen der quartalsmäßigen Abrechnung und Rechnungsstellung nach § 45 Abs. 6 und § 46 Abs. 4 des Vertrags weist der AN die Ausfallzeiten, die nach vorstehenden Bestimmungen nicht zu Pönalen führen, entsprechend aus. AG und AN werden sich auf ein geeignetes Daten- und Berichtsformat für die Darlegungen und Abrechnungen verständigen mit dem Ziel, für beide Parteien einen möglichst hohen Grad an</t>
  </si>
  <si>
    <t xml:space="preserve">ANF-1330</t>
  </si>
  <si>
    <t xml:space="preserve">Automatisierung zu erreichen. (7) Der AG ist berechtigt, die Darlegungen des AN zu überprüfen.</t>
  </si>
  <si>
    <t xml:space="preserve">Automatisierung zu erreichen. (7) Der AG ist berechtigt, die Darlegungen des AN zu überprüfen. Hierbei kann er unter anderem Nutzermeldungen sowie die Ergebnisse eigener Kontrollen heranziehen. Legt der</t>
  </si>
  <si>
    <t xml:space="preserve">ANF-1331</t>
  </si>
  <si>
    <t xml:space="preserve">AG nachvollziehbar dar, dass die technische Verfügbarkeit eines Ladepunktes für einen bestimmten Zeitraum beeinträchtigt war, ohne dass diese bereits von den Statusmeldungen gemäß Ziff.</t>
  </si>
  <si>
    <t xml:space="preserve">AG nachvollziehbar dar, dass die technische Verfügbarkeit eines Ladepunktes für einen bestimmten Zeitraum beeinträchtigt war, ohne dass diese bereits von den Statusmeldungen gemäß Ziff. (1) erfasst wurde, so ist der AG berechtigt, eine Einbeziehung der betreffenden Zeiträume in die Berechnung der Pönale nach Ziff. (3) und (4) zu verlangen.</t>
  </si>
  <si>
    <t xml:space="preserve">ANF-1332</t>
  </si>
  <si>
    <t xml:space="preserve">Dieser Vertrag regelt die Zusammenarbeit und die gegenseitigen Rechte und Pflichten der Vertragsparteien im Zusammenhang mit dem Zugang des Mobilitätsdienstleisters zu den vom Ladepunktbetreiber …</t>
  </si>
  <si>
    <t xml:space="preserve">Dieser Vertrag regelt die Zusammenarbeit und die gegenseitigen Rechte und Pflichten der Vertragsparteien im Zusammenhang mit dem Zugang des Mobilitätsdienstleisters zu den vom Ladepunktbetreiber betriebenen Standorten zur Belieferung von Kunden im Wege des Durchleitungsmodells.</t>
  </si>
  <si>
    <t xml:space="preserve">Kapitel: Vertragsgegenstand
Fundstelle im PDF: Seite 4</t>
  </si>
  <si>
    <t xml:space="preserve">ANF-1333</t>
  </si>
  <si>
    <t xml:space="preserve">Sollten Regelungen dieses Vertrags zwingenden gesetzlichen Vorschriften widersprechen, gelten vorrangig die gesetzlichen Vorschriften.</t>
  </si>
  <si>
    <t xml:space="preserve">ANF-1334</t>
  </si>
  <si>
    <t xml:space="preserve">Der Ladepunktbetreiber gewährt dem Mobilitätsdienstleister Zugang zur Ladeinfrastruktur an den von ihm betriebenen Standorten zum Zwecke der Entnahme von Strommengen für Kunden des …</t>
  </si>
  <si>
    <t xml:space="preserve">Der Ladepunktbetreiber gewährt dem Mobilitätsdienstleister Zugang zur Ladeinfrastruktur an den von ihm betriebenen Standorten zum Zwecke der Entnahme von Strommengen für Kunden des Mobilitätsdienstleisters im Wege des Durchleitungsmodells. Ist aufgrund nicht ausreichender Netzanschlusskapazität an dem Standort die Durchführung eines Lademanagements durch den Ladepunktbetreiber erforderlich, so beinhaltet der Zugang zur Ladeinfrastruktur nach Satz 1 auch die Durchführung eines diskriminierungsfreien Lademanagements in Bezug auf die Ladevorgänge an dem Standort.</t>
  </si>
  <si>
    <t xml:space="preserve">Kapitel: Zugang zur Ladeinfrastruktur
Fundstelle im PDF: Seite 4</t>
  </si>
  <si>
    <t xml:space="preserve">ANF-1335</t>
  </si>
  <si>
    <t xml:space="preserve">Die Gewährung des Zugangs zur Ladeeinrichtung erfolgt auf Grundlage und unter den Voraussetzungen einer bilateralen Vereinbarung zwischen Ladepunktbetreiber und Mobilitätsdienstleister über den …</t>
  </si>
  <si>
    <t xml:space="preserve">Die Gewährung des Zugangs zur Ladeeinrichtung erfolgt auf Grundlage und unter den Voraussetzungen einer bilateralen Vereinbarung zwischen Ladepunktbetreiber und Mobilitätsdienstleister über den Zugang zur Ladeinfrastruktur (mit bilanzieller Bereitstellung der entnommenen Strommengen durch den Ladepunktbetreiber) oder eines durch eine E-Roaming-Plattform, an die Ladepunktbetreiber und der Mobilitätsdienstleister angebunden sind, vermittelten Zugangsrechtes.</t>
  </si>
  <si>
    <t xml:space="preserve">ANF-1336</t>
  </si>
  <si>
    <t xml:space="preserve">§ 2 (3)</t>
  </si>
  <si>
    <t xml:space="preserve">Im Verhältnis zum Netzbetreiber setzt die Gewährung des Zugangs zur Ladeeinrichtung – neben den Anforderungen nach Absatz 4 – einen gültigen Netzanschlussvertrag mit ausreichender Entnahmekapazität …</t>
  </si>
  <si>
    <t xml:space="preserve">Im Verhältnis zum Netzbetreiber setzt die Gewährung des Zugangs zur Ladeeinrichtung – neben den Anforderungen nach Absatz 4 – einen gültigen Netzanschlussvertrag mit ausreichender Entnahmekapazität zwischen dem Netzbetreiber und dem Ladepunktbetreiber sowie einen gültigen Anschlussnutzungsvertrag voraus. Der Ladepunktbetreiber schließt den zur Gewährung des Zugangs zur Ladeeinrichtung erforderlichen Netzanschlussvertrag sowie den Anschlussnutzungsvertrag.</t>
  </si>
  <si>
    <t xml:space="preserve">ANF-1337</t>
  </si>
  <si>
    <t xml:space="preserve">§ 2 (4)</t>
  </si>
  <si>
    <t xml:space="preserve">Der Ladepunktbetreiber ist verpflichtet, alle erforderlichen Maßnahmen insbesondere gegenüber dem Bilanzkreiskoordinator und dem Verteilnetzbetreiber zur Ermöglichung der Nutzung der …</t>
  </si>
  <si>
    <t xml:space="preserve">Der Ladepunktbetreiber ist verpflichtet, alle erforderlichen Maßnahmen insbesondere gegenüber dem Bilanzkreiskoordinator und dem Verteilnetzbetreiber zur Ermöglichung der Nutzung der Ladeinfrastruktur im Wege des Durchleitungsmodells zu unternehmen. Hierzu gehören vorbehaltlich späterer abweichender regulierungsbehördlicher oder gesetzlicher Vorgaben: a) Die Einrichtung eines regelzonenweiten Bilanzierungsgebietes in jeder Regelzone, in der ein Standort betrieben wird beim jeweiligen Bilanzkreiskoordinator unter Verwendung der Marktpartner-ID. Der Ladepunktbetreiber ist für dieses Bilanzierungsgebiet wirtschaftlich verantwortlich. b) Die Mitteilung eines Bilanzkreises gegenüber dem Bilanzkreiskoordinator, in den etwaige Deltamengen gebucht werden können. c) Die Meldung der Marktlokationen, an denen das Laden im Wege des Durchleitungsmodells möglich ist.</t>
  </si>
  <si>
    <t xml:space="preserve">ANF-1338</t>
  </si>
  <si>
    <t xml:space="preserve">§ 2 (5)</t>
  </si>
  <si>
    <t xml:space="preserve">Hat der Ladepunktbetreiber für die Umsetzung des Durchleitungsmodells einen Nachunternehmer beauftragt und stellt dieser seine Tätigkeit ein oder erfolgt eine außerordentliche Kündigung, ist der …</t>
  </si>
  <si>
    <t xml:space="preserve">Hat der Ladepunktbetreiber für die Umsetzung des Durchleitungsmodells einen Nachunternehmer beauftragt und stellt dieser seine Tätigkeit ein oder erfolgt eine außerordentliche Kündigung, ist der Ladepunktbetreiber von der Verpflichtung zur Gewährung des Zugangs zur Ladeeinrichtung befreit, bis sich der Ladepunktbetreiber einen neuen Dienstleister zu angemessenen wirtschaftlichen und rechtlichen Bedingungen nehmen kann oder er die Umsetzung selber gewährleisten kann, längstens jedoch für einen Zeitraum von 6 Monaten. Der Ladepunktbetreiber wird dem Mobilitätsdienstleister die Aussetzung und Wiederaufnahme des Durchleitungsmodells nach diesem Absatz unverzüglich schriftlich anzeigen.</t>
  </si>
  <si>
    <t xml:space="preserve">ANF-1339</t>
  </si>
  <si>
    <t xml:space="preserve">Die vom Kunden des Mobilitätsdienstleisters im Wege des Durchleitungsmodells entnommenen Strommengen werden dem Mobilitätsdienstleister über mindestens eine standortübergreifende virtuelle …</t>
  </si>
  <si>
    <t xml:space="preserve">Die vom Kunden des Mobilitätsdienstleisters im Wege des Durchleitungsmodells entnommenen Strommengen werden dem Mobilitätsdienstleister über mindestens eine standortübergreifende virtuelle Marktlokationsidentifikationsnummer (nachfolgend virtuelle MaLo-ID) zugeordnet. Die virtuelle MaLo-ID wird vom Ladepunktbetreiber erstellt und dem Mobilitätsdienstleister zur eindeutigen Kennzeichnung während der Laufzeit dieses Vertrags dauerhaft zugeordnet.</t>
  </si>
  <si>
    <t xml:space="preserve">Kapitel: Bilanzielle Zuordnung
Fundstelle im PDF: Seite 5</t>
  </si>
  <si>
    <t xml:space="preserve">ANF-1340</t>
  </si>
  <si>
    <t xml:space="preserve">Die virtuelle MaLo-ID muss in ein vertraglich begründetes Bilanzkreissystem einbezogen und jeweils eindeutig und zu jedem Zeitpunkt in jeder Regelzone, in der der Ladepunktbetreiber einen Standort …</t>
  </si>
  <si>
    <t xml:space="preserve">Die virtuelle MaLo-ID muss in ein vertraglich begründetes Bilanzkreissystem einbezogen und jeweils eindeutig und zu jedem Zeitpunkt in jeder Regelzone, in der der Ladepunktbetreiber einen Standort betreibt, vollständig einem Bilanzkreis zugeordnet sein.</t>
  </si>
  <si>
    <t xml:space="preserve">Kapitel: Bilanzielle Zuordnung
Fundstelle im PDF: Seite 5
Zuordnung prüfen (Komponente/Partner nicht eindeutig)</t>
  </si>
  <si>
    <t xml:space="preserve">ANF-1341</t>
  </si>
  <si>
    <t xml:space="preserve">Die bilanzielle Zuordnung von entnommenen Energiemengen zur virtuellen MaLo-ID erfolgt frühestens einen Werktag nach Erstellung der virtuellen MaLo-ID und Zuordnung zu dem vom Mobilitätsdienstleister …</t>
  </si>
  <si>
    <t xml:space="preserve">Die bilanzielle Zuordnung von entnommenen Energiemengen zur virtuellen MaLo-ID erfolgt frühestens einen Werktag nach Erstellung der virtuellen MaLo-ID und Zuordnung zu dem vom Mobilitätsdienstleister nach Absatz 4 mitgeteilten Bilanzkreis.</t>
  </si>
  <si>
    <t xml:space="preserve">ANF-1342</t>
  </si>
  <si>
    <t xml:space="preserve">§ 3 (4)</t>
  </si>
  <si>
    <t xml:space="preserve">Dem Ladepunktbetreiber ist mit Vertragsschluss für jede Regelzone, in der der Ladepunktnetzbetreiber aktiv ist, der Bilanzkreis mitzuteilen, dem die virtuelle MaLo-ID zuzuordnen ist.</t>
  </si>
  <si>
    <t xml:space="preserve">Dem Ladepunktbetreiber ist mit Vertragsschluss für jede Regelzone, in der der Ladepunktnetzbetreiber aktiv ist, der Bilanzkreis mitzuteilen, dem die virtuelle MaLo-ID zuzuordnen ist. Der Mobilitätsdienstleister ist berechtigt, mit einer Vorlauffrist von vierzehn Werktagen jeweils zum Monatsersten neue Bilanzkreise zu benennen.</t>
  </si>
  <si>
    <t xml:space="preserve">ANF-1343</t>
  </si>
  <si>
    <t xml:space="preserve">§ 3 (5)</t>
  </si>
  <si>
    <t xml:space="preserve">Voraussetzung für den Vertragsschluss ist das wirksame Bestehen der betreffenden Bilanzkreise im Zeitpunkt des Vertragsschlusses.</t>
  </si>
  <si>
    <t xml:space="preserve">Voraussetzung für den Vertragsschluss ist das wirksame Bestehen der betreffenden Bilanzkreise im Zeitpunkt des Vertragsschlusses. Ist der Mobilitätsdienstleister nicht selbst Bilanzkreisverantwortlicher der benannten Bilanzkreise, ist zudem der vorherige Abschluss einer Zuordnungsvereinbarung zwischen Ladepunktbetreiber und Bilanzkreisverantwortlichem (Anhang: Zuordnungsvereinbarung) erforderlich. Der Mobilitätsdienstleister stellt den Ladepunktbetreiber von Haftungsansprüchen Dritter frei, die daraus resultieren, dass zugesicherte Vollmachten des Bilanzkreisverantwortlichen tatsächlich nicht oder nicht rechtswirksam vorliegen.</t>
  </si>
  <si>
    <t xml:space="preserve">ANF-1344</t>
  </si>
  <si>
    <t xml:space="preserve">§ 3 (6)</t>
  </si>
  <si>
    <t xml:space="preserve">Der Mobilitätsdienstleister ist verpflichtet, den Ladepunktbetreiber über eine Kündigung des Bilanzkreisvertrags zu dem benannten Bilanzkreis unverzüglich zu informieren.</t>
  </si>
  <si>
    <t xml:space="preserve">ANF-1345</t>
  </si>
  <si>
    <t xml:space="preserve">Die Abwicklung des Zugangs zur Ladeinfrastruktur für die virtuelle Marktlokation des Mobilitätsdienstleisters in der besonderen Ausgestaltung des Durchleitungsmodells erfolgt unter Anwendung a) der …</t>
  </si>
  <si>
    <t xml:space="preserve">Die Abwicklung des Zugangs zur Ladeinfrastruktur für die virtuelle Marktlokation des Mobilitätsdienstleisters in der besonderen Ausgestaltung des Durchleitungsmodells erfolgt unter Anwendung a) der vom BDEW Bundesverband der Energie- und Wasserwirtschaft e. V. veröffentlichten „Anwendungshilfe zum Modell 2 zur ladevorgangsscharfen bilanziellen Energiemengenzuordnungsmöglichkeit“ in der jeweils geltenden Fassung, b) der von der Bundesnetzagentur erlassenen „Festlegung einheitlicher Geschäftsprozesse und Datenformate zur Abwicklung der Belieferung von Kunden mit Elektrizität - GPKE“ (BK6-06-009) in jeweils geltender Fassung sowie c)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t>
  </si>
  <si>
    <t xml:space="preserve">Kapitel: Geschäftsprozesse und Datenaustausch, Ansprechpartner
Fundstelle im PDF: Seite 6</t>
  </si>
  <si>
    <t xml:space="preserve">ANF-1346</t>
  </si>
  <si>
    <t xml:space="preserve">Sofern gesetzlich zwingende oder aufgrund Gesetz erlassene Vorgaben keine andere Form der Kommunikation vorschreiben, erfolgt der Datenaustauch nach diesem Vertrag via E-Mail.</t>
  </si>
  <si>
    <t xml:space="preserve">Sofern gesetzlich zwingende oder aufgrund Gesetz erlassene Vorgaben keine andere Form der Kommunikation vorschreiben, erfolgt der Datenaustauch nach diesem Vertrag via E-Mail. Ladepunktbetreiber und Mobilitätsdienstleister benennen sich hierzu mit Vertragsschluss Ansprechpartner mit Kontaktdaten (Telefonnummer, E-Mail-Adresse etc.). Die Ansprechpartner- und Kontaktdatenliste des Ladepunktbetreibers ist dem Vertrag als Anhang: Ansprechpartner beigefügt. Über Änderungen bei den Ansprechpartnern und/oder Kontaktdaten werden sich die Vertragsparteien gegenseitig unverzüglich in Textform informieren.</t>
  </si>
  <si>
    <t xml:space="preserve">Kapitel: Geschäftsprozesse und Datenaustausch, Ansprechpartner
Fundstelle im PDF: Seite 6
Zuordnung prüfen (Komponente/Partner nicht eindeutig)</t>
  </si>
  <si>
    <t xml:space="preserve">ANF-1347</t>
  </si>
  <si>
    <t xml:space="preserve">Der Mobilitätsdienstleister ist verpflichtet, für die gesamten ihm nach § 3 Abs.</t>
  </si>
  <si>
    <t xml:space="preserve">Der Mobilitätsdienstleister ist verpflichtet, für die gesamten ihm nach § 3 Abs. 1 bilanziell zugeordneten Strommengen Herkunftsnachweise gemäß § 3 Nr. 29 EEG beim Herkunftsnachweisregister des Umweltbundesamtes zu entwerten. Die Entwertung der Herkunftsnachweise ist jährlich, bezogen auf ein Kalenderjahr bis Ende Januar des Folgejahres gegenüber dem Ladepunktbetreiber mittels Vorlage des Registerausdrucks nachzuweisen.</t>
  </si>
  <si>
    <t xml:space="preserve">Kapitel: Entwertung von Herkunftsnachweisen
Fundstelle im PDF: Seite 6
Zuordnung prüfen (Komponente/Partner nicht eindeutig)</t>
  </si>
  <si>
    <t xml:space="preserve">ANF-1348</t>
  </si>
  <si>
    <t xml:space="preserve">Zur Feststellung der dem Mobilitätsanbieter zuzurechnenden Energiemenge wird vom Ladepunktbetreiber eine ladevorgangsscharfe viertelstundengenaue bilanzielle Energiemengenzuordnung vorgenommen.</t>
  </si>
  <si>
    <t xml:space="preserve">Zur Feststellung der dem Mobilitätsanbieter zuzurechnenden Energiemenge wird vom Ladepunktbetreiber eine ladevorgangsscharfe viertelstundengenaue bilanzielle Energiemengenzuordnung vorgenommen. Innerhalb einer Viertelstunde können mehrere Kunden verschiedener Mobilitätsdienstleister laden. Dem Mobilitätsdienstleister werden über seine virtuelle MaLo-ID dann nur die Entnahmen seiner Kunden in der jeweiligen Viertelstunde zugeordnet.</t>
  </si>
  <si>
    <t xml:space="preserve">Kapitel: Ermittlung Zeitreihen
Fundstelle im PDF: Seite 7
Zuordnung prüfen (Komponente/Partner nicht eindeutig)</t>
  </si>
  <si>
    <t xml:space="preserve">ANF-1349</t>
  </si>
  <si>
    <t xml:space="preserve">Die Ermittlung der Energiemengen, die der virtuellen MaLo-ID des Mobilitätsdienstleisters bilanziell zugeordnet werden, erfolgt anhand der in den Charge Detail Records gespeicherten Energiemengen, …</t>
  </si>
  <si>
    <t xml:space="preserve">Die Ermittlung der Energiemengen, die der virtuellen MaLo-ID des Mobilitätsdienstleisters bilanziell zugeordnet werden, erfolgt anhand der in den Charge Detail Records gespeicherten Energiemengen, die dem Mobilitätsdienstleister aufgrund erfolgter Kundenauthentifizierung zuzurechnen sind. Die Charge Detail Records enthalten neben der Start- und Endzeit des Ladevorgangs</t>
  </si>
  <si>
    <t xml:space="preserve">Kapitel: Ermittlung Zeitreihen
Fundstelle im PDF: Seite 7</t>
  </si>
  <si>
    <t xml:space="preserve">ANF-1350</t>
  </si>
  <si>
    <t xml:space="preserve">§ 6 (2) u</t>
  </si>
  <si>
    <t xml:space="preserve">a. den Standort sowie die innerhalb einer Viertelstunde geladenen Energiemengen.</t>
  </si>
  <si>
    <t xml:space="preserve">ANF-1351</t>
  </si>
  <si>
    <t xml:space="preserve">Der Mobilitätsdienstleister zahlt für die Gewährung des Zugangs im Rahmen des Durchleitungsmodells ein Zugangsentgelt, das sich aus den folgenden Preisbestandteilen in der jeweils geltenden Höhe …</t>
  </si>
  <si>
    <t xml:space="preserve">Der Mobilitätsdienstleister zahlt für die Gewährung des Zugangs im Rahmen des Durchleitungsmodells ein Zugangsentgelt, das sich aus den folgenden Preisbestandteilen in der jeweils geltenden Höhe zusammensetzt. a) Infrastrukturentgelt Das Infrastrukturentgelt ist ein Entgelt für die Nutzung eines Ladepunktes je abgegebener kWh Ladestrom. Die Höhe des Infrastrukturentgelts wird von der Autobahn GmbH festgesetzt und kann von dieser zum Beginn eines Quartals angepasst werden. Der Ladepunktbetreiber ist berechtigt bzw. bei Senkungen verpflichtet, eine Anpassung des Infrastrukturentgelts nach Maßgabe von Absatz 4 an den Mobilitätsdienstleister weiterzugeben. b) Ausgleichszahlung für die Kosten für Verlustenergie nach Absatz 2 c) Netzentgelte des jeweiligen Anschlussnetzbetreibers (nur Arbeitspreis) In diesen sind die Kosten für die Inanspruchnahme der vorgelagerten Netzebenen sowie gegebenenfalls für Blindstrom enthalten. Der Leistungspreis der Netzentgelte ist vom Mobilitätsdienstleister nicht zu zahlen; er ist Teil der Kalkulation des Infrastrukturentgelts. d) Konzessionsabgabe e) KWKG-Umlage f) Aufschlag für besondere Netznutzung (bestehend aus der § 19 StromNEV-Umlage inkl. Wasserstoffumlage und dem Aufschlag für besondere einspeiseseitige Netznutzung g) Offshore-Netzumlage h) Umsatzsteuer Die Entrichtung der Stromsteuer für die von den Kunden des Mobilitätsdienstleisters geladenen Mengen obliegt dem Mobilitätsdienstleister. Soweit die Entrichtung der Stromsteuer dem Ladepunktbetreiber obliegt, erhöht sich das Zugangsentgelt um die Stromsteuer in der jeweils geltenden Höhe.</t>
  </si>
  <si>
    <t xml:space="preserve">Kapitel: Entgelte
Fundstelle im PDF: Seite 7</t>
  </si>
  <si>
    <t xml:space="preserve">ANF-1352</t>
  </si>
  <si>
    <t xml:space="preserve">Wird der Betrieb von Ladepunkten oder die Abgabe von Ladestrom nach Vertragsschluss mit zusätzlichen, in Absatz 1 nicht genannten Steuern oder Abgaben belegt, ist der Ladepunktbetreiber berechtigt, …</t>
  </si>
  <si>
    <t xml:space="preserve">Wird der Betrieb von Ladepunkten oder die Abgabe von Ladestrom nach Vertragsschluss mit zusätzlichen, in Absatz 1 nicht genannten Steuern oder Abgaben belegt, ist der Ladepunktbetreiber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t>
  </si>
  <si>
    <t xml:space="preserve">Kapitel: Entgelte
Fundstelle im PDF: Seite 7
Zuordnung prüfen (Komponente/Partner nicht eindeutig)</t>
  </si>
  <si>
    <t xml:space="preserve">ANF-1353</t>
  </si>
  <si>
    <t xml:space="preserve">Der Ladepunktbetreiber kann die Höhe des Infrastrukturentgelts nach Absatz 1 a) während der Laufzeit des Vertrags mit einer Frist von einem Monat auf den Beginn eines Quartals schriftlich mit Wirkung …</t>
  </si>
  <si>
    <t xml:space="preserve">Der Ladepunktbetreiber kann die Höhe des Infrastrukturentgelts nach Absatz 1 a) während der Laufzeit des Vertrags mit einer Frist von einem Monat auf den Beginn eines Quartals schriftlich mit Wirkung gegenüber dem Mobilitätsdienstleister anpassen. Eine Anpassung gegenüber dem Mobilitätsdienstleister erfolgt ausschließlich aufgrund einer Anpassung des Infrastrukturentgelts seitens der Autobahn GmbH gegenüber dem Ladepunktbetreiber.</t>
  </si>
  <si>
    <t xml:space="preserve">ANF-1354</t>
  </si>
  <si>
    <t xml:space="preserve">Alle Entgelte unterliegen dem im Liefer- oder Leistungszeitpunkt jeweils gültigen gesetzlichen Umsatzsteuersatz.</t>
  </si>
  <si>
    <t xml:space="preserve">ANF-1355</t>
  </si>
  <si>
    <t xml:space="preserve">Der Ladepunktbetreiber teilt dem Mobilitätsdienstleister die jeweils geltende Höhe eines zu zahlenden Zugangsentgelts auf Anfrage mit.</t>
  </si>
  <si>
    <t xml:space="preserve">ANF-1356</t>
  </si>
  <si>
    <t xml:space="preserve">Die Abrechnung der Entgelte des Ladepunktbetreibers erfolgt im Rahmen des Vertrags, mit dem dem Mobilitätsdienstleister das Zugangsrecht für seine Kunden eingeräumt wird (§ 2 Abs.</t>
  </si>
  <si>
    <t xml:space="preserve">Die Abrechnung der Entgelte des Ladepunktbetreibers erfolgt im Rahmen des Vertrags, mit dem dem Mobilitätsdienstleister das Zugangsrecht für seine Kunden eingeräumt wird (§ 2 Abs. 2).</t>
  </si>
  <si>
    <t xml:space="preserve">ANF-1357</t>
  </si>
  <si>
    <t xml:space="preserve">Der Ladepunktbetreiber ist berechtigt, nach Ablauf einer maximalen Nutzungszeit vom Mobilitätsdienstleister ein Blockadeentgelt in der in Absatz 6 genannten Höhe zu verlangen.</t>
  </si>
  <si>
    <t xml:space="preserve">Der Ladepunktbetreiber ist berechtigt, nach Ablauf einer maximalen Nutzungszeit vom Mobilitätsdienstleister ein Blockadeentgelt in der in Absatz 6 genannten Höhe zu verlangen. Die maximale Nutzungszeit beginnt mit Beginn des Ladevorgangs und beträgt a) bei MCS-Ladepunkten und CCS-Ladepunkten zum Zwischenladen 1 Stunde b) bei CCS-Ladepunkten zum Übernachtladen und MCS- oder CCS-Ladepunkte zum Zwischenladen, die zum Übernachtladen freigegeben wurden, 12 Stunden.</t>
  </si>
  <si>
    <t xml:space="preserve">Kapitel: Start- und zeitabhängige Entgelte; Nutzungsdauer; Mindestabnahmemenge bei Über-
Fundstelle im PDF: Seite 8
Fundstelle im Bestand bereits belegt, Text weicht ab – bitte gegen die alte Zeile prüfen</t>
  </si>
  <si>
    <t xml:space="preserve">ANF-1358</t>
  </si>
  <si>
    <t xml:space="preserve">Der Ladepunktbetreiber kann die maximalen Nutzungszeiten in Zeiten geringer Auslastung verlängern.</t>
  </si>
  <si>
    <t xml:space="preserve">Der Ladepunktbetreiber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Mobilitätsdienstleister zusätzlich eine Karenzzeit zum Verlassen des Ladeplatzes von 5 Minuten einzuräumen, nach deren Ablauf erst ein Blockadeentgelt erhoben werden darf.</t>
  </si>
  <si>
    <t xml:space="preserve">Kapitel: Start- und zeitabhängige Entgelte; Nutzungsdauer; Mindestabnahmemenge bei Über-
Fundstelle im PDF: Seite 8</t>
  </si>
  <si>
    <t xml:space="preserve">ANF-1359</t>
  </si>
  <si>
    <t xml:space="preserve">Hat der Mobilitätsdienstleister einen Ladepunkt reserviert, so endet die maximale Nutzungszeit mit dem Ablauf des reservierten Zeitraums, auch wenn der Ladeplatz erst später belegt wurde, es sei …</t>
  </si>
  <si>
    <t xml:space="preserve">Hat der Mobilitätsdienstleister einen Ladepunkt reserviert, so endet die maximale Nutzungszeit mit dem Ablauf des reservierten Zeitraums, auch wenn der Ladeplatz erst später belegt wurde, es sei denn, der Ladepunktbetreiber räumt ihm eine längere maximale Nutzungszeit ein.</t>
  </si>
  <si>
    <t xml:space="preserve">ANF-1360</t>
  </si>
  <si>
    <t xml:space="preserve">§ 8 (6)</t>
  </si>
  <si>
    <t xml:space="preserve">Die Höhe des Blockadeentgelts beträgt bei MCS-Ladepunkten und bei CCS-Ladepunkten zum Zwischenladen 0,50 €/Minute und bei CCS-Ladepunkten bzw.</t>
  </si>
  <si>
    <t xml:space="preserve">Die Höhe des Blockadeentgelts beträgt bei MCS-Ladepunkten und bei CCS-Ladepunkten zum Zwischenladen 0,50 €/Minute und bei CCS-Ladepunkten bzw. CCS- und MCS- Ladepunkten zum Zwischenladen, während des Zeitraums, für den sie zum Übernachtladen freigegeben wurden, 0,15 €/Minute.</t>
  </si>
  <si>
    <t xml:space="preserve">ANF-1361</t>
  </si>
  <si>
    <t xml:space="preserve">§ 8 (7)</t>
  </si>
  <si>
    <t xml:space="preserve">Der Ladepunktbetreiber kann die Höhe des Blockadeentgelts nach Absatz 6 und die maximalen Nutzungszeiten bzw.</t>
  </si>
  <si>
    <t xml:space="preserve">Der Ladepunktbetreiber kann die Höhe des Blockadeentgelts nach Absatz 6 und die maximalen Nutzungszeiten bzw. Sperrzeiten für die Erhebung eines Blockadeentgeltes nach den Absätzen 1 bis 3 während der Laufzeit des Vertrags mit einer Frist von zwei Monaten auf den Beginn eines Quartals schriftlich mit Wirkung gegenüber dem Mobilitätsdienstleister anpassen. Eine Anpassung der Höhe der Blockadeentgelte setzt im Verhältnis des Ladepunktbetreibers zur Autobahn GmbH die Zustimmung der Autobahn GmbH voraus.</t>
  </si>
  <si>
    <t xml:space="preserve">ANF-1362</t>
  </si>
  <si>
    <t xml:space="preserve">§ 8 (8)</t>
  </si>
  <si>
    <t xml:space="preserve">Die Mindestmenge für jeden Übernachtladevorgang beträgt 150 kWh, dies gilt auch für MCS- und CCS-Ladepunkte, die vom Ladepunktbetreiber zum Übernachtladen freigegeben werden.</t>
  </si>
  <si>
    <t xml:space="preserve">Die Mindestmenge für jeden Übernachtladevorgang beträgt 150 kWh, dies gilt auch für MCS- und CCS-Ladepunkte, die vom Ladepunktbetreiber zum Übernachtladen freigegeben werden. Wird die Mindestabnahmemenge von einem Endnutzer nicht erreicht, so ist der Mobilitätsdienstleister verpflichtet, an den Ladepunktbetreiber eine Entschädigung zu zahlen. Die Höhe der Entschädigung richtet sich nach der Differenz zwischen der tatsächlich abgenommenen Strommenge und der vorgesehenen Mindestabnahmemenge. Die Entschädigung beträgt 30 ct/kWh.</t>
  </si>
  <si>
    <t xml:space="preserve">ANF-1363</t>
  </si>
  <si>
    <t xml:space="preserve">§ 8 (9)</t>
  </si>
  <si>
    <t xml:space="preserve">Der Ladepunktbetreiber kann die Höhe der Entschädigung nach Absatz 1 mit einer Vorlaufzeit von sechs Wochen schriftlich mit Wirkung gegenüber dem Mobilitätsdienstleister anpassen.</t>
  </si>
  <si>
    <t xml:space="preserve">Der Ladepunktbetreiber kann die Höhe der Entschädigung nach Absatz 1 mit einer Vorlaufzeit von sechs Wochen schriftlich mit Wirkung gegenüber dem Mobilitätsdienstleister anpassen. Eine Anpassung gegenüber dem Mobilitätsdienstleister erfolgt ausschließlich im Fall einer Vereinbarung über die Anpassung zwischen dem Ladepunktbetreiber und der Autobahn GmbH.</t>
  </si>
  <si>
    <t xml:space="preserve">ANF-1364</t>
  </si>
  <si>
    <t xml:space="preserve">Dieser Vertrag tritt am […] [alternativ: mit Unterzeichnung] in Kraft.</t>
  </si>
  <si>
    <t xml:space="preserve">Kapitel: Kündigung
Fundstelle im PDF: Seite 9</t>
  </si>
  <si>
    <t xml:space="preserve">ANF-1365</t>
  </si>
  <si>
    <t xml:space="preserve">Beide Vertragsparteien können den Vertrag mit einer Frist von einem Monat zum Ende eines Kalendermonats kündigen, der Ladepunktbetreiber jedoch nur, soweit eine Pflicht zur Gewährung des Zugangs zur …</t>
  </si>
  <si>
    <t xml:space="preserve">Beide Vertragsparteien können den Vertrag mit einer Frist von einem Monat zum Ende eines Kalendermonats kündigen, der Ladepunktbetreiber jedoch nur, soweit eine Pflicht zur Gewährung des Zugangs zur Ladeinfrastruktur auf der Grundlage des Betreibervertrags nicht oder nicht mehr besteht oder gleichzeitig mit der Kündigung der Abschluss eines neuen Vertrags zur Gewährung des Zugangs zur Ladeinfrastruktur angeboten wird, der den Anforderungen des Betreibervertrags entspricht.</t>
  </si>
  <si>
    <t xml:space="preserve">Kapitel: Kündigung
Fundstelle im PDF: Seite 9
Zuordnung prüfen (Komponente/Partner nicht eindeutig)</t>
  </si>
  <si>
    <t xml:space="preserve">ANF-1366</t>
  </si>
  <si>
    <t xml:space="preserve">Mit Wirksamwerden der Kündigung endet das Recht des Mobilitätsdienstleisters zur Nutzung der Ladeinfrastruktur unmittelbar, sonstige Rechte und Pflichten aus dem Netznutzungsverhältnis enden mit …</t>
  </si>
  <si>
    <t xml:space="preserve">Mit Wirksamwerden der Kündigung endet das Recht des Mobilitätsdienstleisters zur Nutzung der Ladeinfrastruktur unmittelbar, sonstige Rechte und Pflichten aus dem Netznutzungsverhältnis enden mit Begleichung sämtlicher Forderungen.</t>
  </si>
  <si>
    <t xml:space="preserve">ANF-1367</t>
  </si>
  <si>
    <t xml:space="preserve">Beide Vertragsparteien können diesen Vertrag fristlos aus wichtigem Grund kündigen.</t>
  </si>
  <si>
    <t xml:space="preserve">Beide Vertragsparteien können diesen Vertrag fristlos aus wichtigem Grund kündigen. Ein wichtiger Grund liegt insbesondere vor, wenn a) ein vom Mobilitätsdienstleister nach § 3 Abs. 4 benannter Bilanzkreis geschlossen wurde, b) gegen wesentliche Bestimmungen dieses Vertrags wiederholt trotz Abmahnung unter Androhung des Entzugs des Zugangs zur Ladeinfrastruktur schwerwiegend verstoßen wird, c) der Mobilitätsdienstleister seiner gegebenenfalls aufgrund bilateraler Vereinbarung bestehenden Verpflichtung zur Vorauszahlung nicht, nicht vollständig oder nicht fristgerecht nachkommt, d) wenn der Ladepunktbetreiber aufgrund bilateraler Vereinbarung eine Vorauszahlung verlangen kann, aber Umstände vorliegen, die die konkrete Besorgnis begründen, dass die Vorauszahlung nicht geleistet wird, oder e) wenn der Betreibervertrag aus wichtigem Grund gekündigt wird.</t>
  </si>
  <si>
    <t xml:space="preserve">ANF-1368</t>
  </si>
  <si>
    <t xml:space="preserve">Die Kündigung bedarf der Schriftform (keine E-Mail).</t>
  </si>
  <si>
    <t xml:space="preserve">ANF-1369</t>
  </si>
  <si>
    <t xml:space="preserve">Die Vertragsparteien werden die im Zusammenhang mit der Durchführung dieses Vertrags erhobenen, übermittelten oder zugänglich gemachten Daten unter Beachtung der gesetzlichen und …</t>
  </si>
  <si>
    <t xml:space="preserve">Die Vertragsparteien werden die im Zusammenhang mit der Durchführung dieses Vertrags erhobenen, übermittelten oder zugänglich gemachten Daten unter Beachtung der gesetzlichen und datenschutzrechtlichen Bestimmungen vertraulich behandeln. Die Vertragsparteien sind berechtigt, Verbrauchs-, Abrechnungs- und Vertragsdaten, insbesondere für die Erfassung, Bilanzierung und Abrechnung der Energielieferungen sowie der Netznutzung, an Dritte in dem Umfang weiterzugeben, wie dies zur ordnungsgemäßen technischen und kommerziellen Abwicklung der jeweiligen Pflichten erforderlich ist. Diese Regelungen schließen eine Weitergabe an Behörden und Gerichte im Rahmen der gesetzlichen Vorgaben nicht aus.</t>
  </si>
  <si>
    <t xml:space="preserve">Kapitel: Vertraulichkeit und Verarbeitung personenbezogener Daten
Fundstelle im PDF: Seite 10</t>
  </si>
  <si>
    <t xml:space="preserve">ANF-1370</t>
  </si>
  <si>
    <t xml:space="preserve">Informationen zur Verarbeitung personenbezogener Daten können unter www… [bitte ergänzen: Internetadresse oder Formulierung anpassen] eingesehen und beim Ladepunktbetreiber angefordert werden …</t>
  </si>
  <si>
    <t xml:space="preserve">Informationen zur Verarbeitung personenbezogener Daten können unter www… [bitte ergänzen: Internetadresse oder Formulierung anpassen] eingesehen und beim Ladepunktbetreiber angefordert werden [alternativ zur letzten Variante: und sind als Anlage beigefügt].</t>
  </si>
  <si>
    <t xml:space="preserve">Kapitel: Vertraulichkeit und Verarbeitung personenbezogener Daten
Fundstelle im PDF: Seite 10
Zuordnung prüfen (Komponente/Partner nicht eindeutig)</t>
  </si>
  <si>
    <t xml:space="preserve">ANF-1371</t>
  </si>
  <si>
    <t xml:space="preserve">Ladepunktbetreiber und Mobilitätsdienstleister verpflichten sich, die der jeweils anderen Vertragspartei nach Art.</t>
  </si>
  <si>
    <t xml:space="preserve">Ladepunktbetreiber und Mobilitätsdienstleister verpflichten sich, die der jeweils anderen Vertragspartei nach Art. 13 und/oder Art. 14 DS-GVO obliegenden Informationspflichten gegenüber den eigenen Mitarbeitern, Erfüllungsgehilfen und Dienstleistern (betroffene Personen) zu erfüllen, wenn im Rahmen der Vertragserfüllung, zur Durchführung vorvertraglicher Maßnahmen, zur Erfüllung einer rechtlichen Verpflichtung oder zur Wahrung berechtigter Interessen a) personenbezogene Daten betroffener Personen von einer Vertragspartei an die jeweils andere Vertragspartei weitergeben werden und/oder b) betroffene Personen auf Veranlassung der einen Vertragspartei die jeweils andere Vertragspartei kontaktieren. Hierfür verwendet die Vertragspartei, die die personenbezogenen Daten weitergibt bzw. auf deren Veranlassung die Kontaktaufnahme erfolgt, das ihr von der anderen Vertragspartei zur Verfügung gestellte Informationsblatt. Eine Vertragspartei ist nicht verpflichtet, das ihr von der anderen Vertragspartei zur Verfügung gestellte Informationsblatt vor der Aushändigung an die betroffenen Personen zu prüfen. Sie ist weiterhin nicht berechtigt, dieses ohne vorherige Zustimmung zu ändern. Es obliegt ausschließlich der zur Information verpflichteten Vertragspartei, der anderen Vertragspartei ein den jeweils geltenden rechtlichen Anforderungen entsprechendes Informationsblatt zur Verfügung zu stellen und dieses bei Bedarf auch während der Vertragslaufzeit zu aktualisieren.</t>
  </si>
  <si>
    <t xml:space="preserve">ANF-1372</t>
  </si>
  <si>
    <t xml:space="preserve">§ 11</t>
  </si>
  <si>
    <t xml:space="preserve">Die Regelungen des Vertrags und der Anlagen beruhen auf den gesetzlichen und sonstigen Rahmenbedingungen zum Zeitpunkt des Vertragsschlusses (z.</t>
  </si>
  <si>
    <t xml:space="preserve">Die Regelungen des Vertrags und der Anlagen beruhen auf den gesetzlichen und sonstigen Rahmenbedingungen zum Zeitpunkt des Vertragsschlusses (z. B. AFIR, EnWG, MsbG, StromNZV, StromNEV und ARegV sowie höchstrichterlicher Rechtsprechung und Entscheidungen der Regulierungsbehörden). Das vertragliche Äquivalenzverhältnis kann nach Vertragsschluss durch unvorhersehbare Änderungen der gesetzlichen oder sonstigen Rahmenbedingungen (z. B. durch Gesetzesänderungen, sofern deren konkreter Inhalt nicht bereits – etwa in der Phase zwischen dem Abschluss des förmlichen Gesetzgebungsverfahrens und dem Inkrafttreten – absehbar war), die der Ladepunktbetreiber nicht veranlasst und auf die er auch keinen Einfluss hat, in nicht unbedeutendem Maße gestört werden. Ebenso kann nach Vertragsschluss eine im Vertrag entstandene Lücke nicht unerhebliche Schwierigkeiten bei der Durchführung des Vertrags entstehen lassen (etwa, wenn die Rechtsprechung eine Klausel für unwirksam erklärt), die nur durch eine Anpassung oder Ergänzung zu beseitigen sind. In solchen Fällen ist der Ladepunktbetreiber verpflichtet, den Vertrag und die Anlagen unverzüglich insoweit anzupassen und/oder zu ergänzen, als es die Wiederherstellung des Äquivalenzverhältnisses von Leistung und Gegenleistung und/oder der Ausgleich entstandener Vertragslücken zur zumutbaren Fort- und Durchführung des Vertragsverhältnisses erforderlich macht (z. B. mangels gesetzlicher Überleitungsbestimmungen). Anpassungen des Vertrags und/oder der Anlagen sind nur zum Monatsersten möglich. Die Anpassung wird nur wirksam, wenn der Ladepunktbetreiber dem Mobilitätsdienstleister die Anpassung spätestens sechs Wochen vor dem geplanten Wirksamwerden in Schriftform mitteilt. In diesem Fall hat der Mobilitätsdienstleister das Recht, den Vertrag ohne Einhaltung einer Kündigungsfrist zum Zeitpunkt des Wirksamwerdens der Vertragsanpassung zu kündigen. Hierauf wird der Mobilitätsdienstleister vom Ladepunktbetreiber in der Mitteilung gesondert hingewiesen.</t>
  </si>
  <si>
    <t xml:space="preserve">Kapitel: Anpassung des Vertrags
Fundstelle im PDF: Seite 10
Zuordnung prüfen (Komponente/Partner nicht eindeutig)</t>
  </si>
  <si>
    <t xml:space="preserve">ANF-1373</t>
  </si>
  <si>
    <t xml:space="preserve">§ 12</t>
  </si>
  <si>
    <t xml:space="preserve">Die Vertragsparteien sind berechtigt, die Rechte und Pflichten aus dem Vertrag als Gesamtheit auf einen personell, technisch und wirtschaftlich leistungsfähigen Dritten zu übertragen.</t>
  </si>
  <si>
    <t xml:space="preserve">Die Vertragsparteien sind berechtigt, die Rechte und Pflichten aus dem Vertrag als Gesamtheit auf einen personell, technisch und wirtschaftlich leistungsfähigen Dritten zu übertragen. Eine Übertragung nach Satz 1 ist der jeweils anderen Vertragspartei rechtzeitig im Voraus mitzuteilen. In diesem Fall hat die andere Vertragspartei das Recht, den Vertrag ohne Einhaltung einer Kündigungsfrist zum Zeitpunkt des Wirksamwerdens der Übertragung zu kündigen. Hierauf wird die andere Vertragspartei von der übertragenden Vertragspartei in der Mitteilung gesondert hingewiesen. Das Recht zur Abtretung von Forderungen nach § 398 BGB sowie eine gesetzliche Rechtsnachfolge, insbesondere bei Übertragungen i. S. d. UmwG oder in Fällen der rechtlichen Entflechtung des Netzbetriebs nach § 7 EnWG, bleiben von dieser Ziffer unberührt.</t>
  </si>
  <si>
    <t xml:space="preserve">Kapitel: Übertragung des Vertrags
Fundstelle im PDF: Seite 11</t>
  </si>
  <si>
    <t xml:space="preserve">ANF-1374</t>
  </si>
  <si>
    <t xml:space="preserve">§ 13</t>
  </si>
  <si>
    <t xml:space="preserve">Der ausschließliche Gerichtsstand ist der [Sitz des Ladepunktbetreibers].</t>
  </si>
  <si>
    <t xml:space="preserve">Kapitel: Gerichtsstand
Fundstelle im PDF: Seite 11
Zuordnung prüfen (Komponente/Partner nicht eindeutig)</t>
  </si>
  <si>
    <t xml:space="preserve">ANF-1375</t>
  </si>
  <si>
    <t xml:space="preserve">§ 14 (1)</t>
  </si>
  <si>
    <t xml:space="preserve">Die Regelungen dieses Vertrags sind abschließend.</t>
  </si>
  <si>
    <t xml:space="preserve">Die Regelungen dieses Vertrags sind abschließend. Mündliche Nebenabreden bestehen nicht.</t>
  </si>
  <si>
    <t xml:space="preserve">Kapitel: Schlussbestimmungen
Fundstelle im PDF: Seite 11</t>
  </si>
  <si>
    <t xml:space="preserve">ANF-1376</t>
  </si>
  <si>
    <t xml:space="preserve">§ 14 (2)</t>
  </si>
  <si>
    <t xml:space="preserve">Sollten einzelne Bestimmungen des Vertrags unwirksam oder undurchführbar sein oder werden, so bleibt der Vertrag im Übrigen wirksam.</t>
  </si>
  <si>
    <t xml:space="preserve">ANF-1377</t>
  </si>
  <si>
    <t xml:space="preserve">Gegenstand der Vereinbarung 1.1. Diese Vereinbarung regelt die Rechte und Pflichten der Vertragsparteien im Zusammenhang mit der bilanziellen Zuordnung von Energiemengen, die an den von dem …</t>
  </si>
  <si>
    <t xml:space="preserve">Gegenstand der Vereinbarung 1.1. Diese Vereinbarung regelt die Rechte und Pflichten der Vertragsparteien im Zusammenhang mit der bilanziellen Zuordnung von Energiemengen, die an den von dem Ladepunktbetreiber betriebenen Standorten im Wege des Durchleitungsmodells entnommen werden und dem Bilanzkreis des Bilanzkreisverantwortlichen zugeordnet werden. Der Bilanzkreis wurde vom Mobilitätsdienstleister für die Entnahmen seiner Endnutzer in der Regelzone […] benannt.</t>
  </si>
  <si>
    <t xml:space="preserve">Kapitel: Anhänge
Fundstelle im PDF: Seite 12</t>
  </si>
  <si>
    <t xml:space="preserve">ANF-1378</t>
  </si>
  <si>
    <t xml:space="preserve">Zuordnungsermächtigung 2.1. Der Bilanzkreisverantwortliche gestattet dem Ladepunktbetreiber die bilanzielle Zuordnung von entnommenen Energiemengen, die dem Mobilitätsdienstleister [bitte einfügen] …</t>
  </si>
  <si>
    <t xml:space="preserve">Zuordnungsermächtigung 2.1. Der Bilanzkreisverantwortliche gestattet dem Ladepunktbetreiber die bilanzielle Zuordnung von entnommenen Energiemengen, die dem Mobilitätsdienstleister [bitte einfügen] über seine virtuelle(n) Marktlokations-ID (im Folgenden virtuelle MaLo-ID) zugerechnet werden. Die bilanzielle Zuordnung erfolgt unter Anwendung 2.1.1. der vom BDEW Bundesverband der Energie- und Wasserwirtschaft e. V. veröffentlichten „Anwendungshilfe zum Modell 2 zur ladevorgangsscharfen bilanziellen Energiemengenzuordnungsmöglichkeit“ in der jeweils geltenden Fassung, 2.1.2. der von der Bundesnetzagentur erlassenen „Festlegung einheitlicher Geschäftsprozesse und Datenformate zur Abwicklung der Belieferung von Kunden mit Elektrizität - GPKE“ (BK6-06-009) in jeweils geltender Fassung sowie 2.1.3.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 2.2. Soweit ein elektronischer Datenaustausch zwischen den Vertragsparteien nach Maßgabe der vorgenannten Festlegungen durchzuführen ist, so erfolgt dieser in Anwendung von verbändeübergreifend erarbeiteten Spezifikationen der Expertengruppe „EDI@Energy“, soweit diese zuvor Gegenstand einer durch die Bundesnetzagentur begleiteten Konsultation waren und im Anschluss durch die Bundesnetzagentur veröffentlicht worden sind. Bei der Auslegung sind auch die von EDI@Energy veröffentlichten Fehlerkorrekturen zu berücksichtigen.</t>
  </si>
  <si>
    <t xml:space="preserve">Kapitel: Anhänge
Fundstelle im PDF: Seite 12
Zuordnung prüfen (Komponente/Partner nicht eindeutig)</t>
  </si>
  <si>
    <t xml:space="preserve">ANF-1379</t>
  </si>
  <si>
    <t xml:space="preserve">Mitwirkung am Datenclearing gemäß MaBiS 3.1. Die Vertragsparteien verpflichten sich, an der Bilanzkreisabrechnung nach Maßgabe der MaBiS mitzuwirken, unter Beachtung der zur weiteren Ausgestaltung …</t>
  </si>
  <si>
    <t xml:space="preserve">Mitwirkung am Datenclearing gemäß MaBiS 3.1. Die Vertragsparteien verpflichten sich, an der Bilanzkreisabrechnung nach Maßgabe der MaBiS mitzuwirken, unter Beachtung der zur weiteren Ausgestaltung verbändeübergreifend und unter Begleitung durch die Bundesnetzagentur erarbeiteten Spezifikationen in jeweils aktueller Fassung sowie der von der Bundesnetzagentur hierzu veröffentlichten Mitteilungen. 3.2. Hinsichtlich des Clearings der vom Verteilnetzbetreiber bereitzustellenden bilanzierungswirksamen Daten gilt insbesondere: Legt eine der Vertragsparteien konkrete Anhaltspunkte dar, die Anlass zur Prüfung und gegebenenfalls Korrektur von Daten oder zur Übermittlung einer veränderten Prüfungsmitteilung in Bezug auf Daten geben, so hat die jeweils andere Vertragspartei unverzüglich die erforderlichen Schritte im Rahmen des Clearings zu ergreifen.</t>
  </si>
  <si>
    <t xml:space="preserve">ANF-1380</t>
  </si>
  <si>
    <t xml:space="preserve">§ 15 (4)</t>
  </si>
  <si>
    <t xml:space="preserve">Laufzeit und Kündigung 4.1. Diese Vereinbarung tritt am [bitte einfügen] in Kraft und läuft auf unbestimmte Zeit.</t>
  </si>
  <si>
    <t xml:space="preserve">Laufzeit und Kündigung 4.1. Diese Vereinbarung tritt am [bitte einfügen] in Kraft und läuft auf unbestimmte Zeit. Eine separat zuvor geschlossene Zuordnungsvereinbarung tritt zu diesem Zeitpunkt außer Kraft. Die Zuordnungsvereinbarung besteht aber so lange fort, bis der den betreffenden Bilanzkreis innehabende Bilanzkreisverantwortliche für sämtliche den Bilanzkreis nutzenden Mobilitätsdienstleister die ausgegebene Zuordnungsvereinbarung gegenüber dem Ladepunktbetreiber wirksam nach MaBiS widerrufen hat und die Bilanzkreisabrechnung für alle virtuellen Marktlokationen, die diesem Bilanzkreis zugeordnet waren, abgeschlossen ist. 4.2. Diese Vereinbarung kann ungeachtet der vorstehenden Ziffer auch von beiden Vertragsparteien gesondert in Textform gekündigt werden. Die Kündigung ist jeweils zum Ersten eines Monats unter Einhaltung einer Kündigungsfrist von zwei Monaten möglich. Ansprüche zwischen den Vertragsparteien, die während der Laufzeit dieses Vertrags entstanden sind, bleiben von der Beendigung dieses Vertrags unberührt.</t>
  </si>
  <si>
    <t xml:space="preserve">ANF-1381</t>
  </si>
  <si>
    <t xml:space="preserve">§ 15 (5)</t>
  </si>
  <si>
    <t xml:space="preserve">Schlussbestimmungen 5.1. Rechte und Pflichten aus dieser Vereinbarung können mit Zustimmung der jeweils anderen Partei auf einen Dritten übertragen werden.</t>
  </si>
  <si>
    <t xml:space="preserve">Schlussbestimmungen 5.1. Rechte und Pflichten aus dieser Vereinbarung können mit Zustimmung der jeweils anderen Partei auf einen Dritten übertragen werden. Die Zustimmung darf nicht verweigert werden, sofern die technische und wirtschaftliche Leistungsfähigkeit des eintretenden Dritten gewährleistet ist. Eine Zustimmung ist ausnahmsweise nicht erforderlich bei der Übertragung von Rechten und Pflichten auf ein mit der jeweiligen Vertragspartei verbundenes Unternehmen i. S. d. §§ 15 ff. AktG. In den Fällen der Gesamtrechtsnachfolge, insbesondere nach Umwandlungsrecht, gelten anstelle des Vorstehenden die gesetzlichen Bestimmungen. 5.2. Sollten einzelne Bestimmungen der Zuordnungsvereinbarung unwirksam oder undurchführbar sein oder werden, so bleibt die Vereinbarung im Übrigen davon unberührt. Die Vertragsparteien verpflichten sich, bis zum Inkrafttreten einer regulierungsbehördlich festgelegten Nachfolgefassung die unwirksamen oder undurchführbaren Bestimmungen durch andere, ihrem wirtschaftlichen Erfolg möglichst gleichkommende zu ersetzen. 5.3. Die in Ziffer 2 genannten Festlegungen und Anwendungshilfen in ihrer jeweils gültigen Fassung und die dazu veröffentlichten Mitteilungen gehen etwa entgegenstehenden Regelungen dieser Vereinbarung vor. 5.4. Die Vertragsparteien werden die im Zusammenhang mit der Durchführung dieser Vereinbarung erhobenen, übermittelten oder zugänglich gemachten personenbezogenen Daten vertraulich behandeln. Dies gilt namentlich hinsichtlich der Beachtung von § 6a EnWG und der einschlägigen datenschutzrechtlichen Bestimmungen. Die Vertragsparteien sind berechtigt, Verbrauchs-, Abrechnungs- und Vertragsdaten an Dritte in dem Umfang weiterzugeben, wie dies zur ordnungsgemäßen technischen und kommerziellen Abwicklung der jeweiligen Pflichten erforderlich ist. Diese Regelungen schließen eine Weitergabe an Behörden und Gerichte im Rahmen der gesetzlichen Vorgaben nicht aus. 5.5. Mit Wirksamwerden dieser Vereinbarung werden bis zu diesem Zeitpunkt zwischen den Vertragsparteien bestehende Vereinbarungen über die Abwicklung der Bilanzkreisabrechnung unwirksam. 5.6. Für den Vertragsschluss ist die Textform ausreichend. 5.7. Änderungen oder Ergänzungen der Vereinbarung bedürfen zu ihrer Wirksamkeit der Textform. Gleiches gilt für die Änderung dieser Klausel. 5.8. Der Gerichtsstand ist der Sitz des Ladepunktbetreibers. 5.9. Änderungen der Anlage werden sich die Vertragsparteien unverzüglich in Textform mitteilen.</t>
  </si>
  <si>
    <t xml:space="preserve">ANF-1382</t>
  </si>
  <si>
    <t xml:space="preserve">§ 15 (6)</t>
  </si>
  <si>
    <t xml:space="preserve">Ansprechpartner und Marktpartner Identifikationsnummer Als Ansprechpartner sind folgende Personen benannt: Ansprechpartner auf Seiten des Ladepunktbetreibers: ______________ Tel.: ______________ …</t>
  </si>
  <si>
    <t xml:space="preserve">Ansprechpartner und Marktpartner 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Bilanzkreisverantwortlichen: ______________ Tel.: ______________ E-Mail: ______________ Marktpartner-Identifikationsnummer ______________ ........................, den ............................ ..........................., den .............................. ....................................................... …….......................................................... (Ladepunktbetreiber) (Bilanzkreisverantwortlicher) Anhang: Ansprechpartner und Marktpartner-Identifikationsnummer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Mobilitätsdienstleisters: ______________ Tel.: ______________ E-Mail: ______________ Soweit der Mobilitätsdienstleister auch Bilanzkreisverantwortlicher ist: Marktpartner-Identifikationsnummer ______________</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</si>
  <si>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</si>
  <si>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</si>
  <si>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</si>
  <si>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</si>
  <si>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</si>
  <si>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</si>
  <si>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</si>
  <si>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3  Nach Komponente</t>
  </si>
  <si>
    <t xml:space="preserve">4  Nach Dokument</t>
  </si>
  <si>
    <t xml:space="preserve">5  Gesamtstatus</t>
  </si>
  <si>
    <t xml:space="preserve">Anforderungen</t>
  </si>
  <si>
    <t xml:space="preserve">Anteil</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</si>
  <si>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</si>
  <si>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</si>
  <si>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</si>
  <si>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</si>
  <si>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</si>
  <si>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</si>
  <si>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</si>
  <si>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</si>
  <si>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</si>
  <si>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</si>
  <si>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</si>
  <si>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</si>
  <si>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</si>
  <si>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</si>
  <si>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</si>
  <si>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</si>
  <si>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</si>
  <si>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</si>
  <si>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</si>
  <si>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Komponente</t>
  </si>
  <si>
    <t xml:space="preserve">Bemerkung / Schnittstelle</t>
  </si>
  <si>
    <t xml:space="preserve">LIS</t>
  </si>
  <si>
    <t xml:space="preserve">WWL</t>
  </si>
  <si>
    <t xml:space="preserve">SmartInfra</t>
  </si>
  <si>
    <t xml:space="preserve">AUP</t>
  </si>
  <si>
    <t xml:space="preserve">CAME</t>
  </si>
  <si>
    <t xml:space="preserve">Schnittstelle</t>
  </si>
  <si>
    <t xml:space="preserve">Schnittstelle: zählt Anforderungen, die alle genannten Komponenten betreffen.</t>
  </si>
  <si>
    <t xml:space="preserve">Organigramm – Vergabe- und Komponentenstruktur</t>
  </si>
  <si>
    <t xml:space="preserve">Textquellen Organigramm (Formeln – bitte nicht löschen)</t>
  </si>
  <si>
    <t xml:space="preserve">SmartInfra → Vergabeeinheit → Partner → Art → Komponente. Die Beschriftung jeder Box ist mit einer Formelzelle verknüpft (Spalte M) und aktualisiert sich automatisch, sobald sich Name, Anzahl oder Status in der Tabelle oberhalb ändern.</t>
  </si>
  <si>
    <t xml:space="preserve">Statusansicht – dieselbe Struktur mit automatischer Statusfarbe</t>
  </si>
  <si>
    <t xml:space="preserve">Ergänzung zum Organigramm: Diese Ansicht färbt sich über bedingte Formatierung automatisch nach dem Komponentenstatus und passt sich auch einer Umsortierung der Tabelle an.</t>
  </si>
  <si>
    <t xml:space="preserve">Legende Statusfarben</t>
  </si>
  <si>
    <t xml:space="preserve">keine Anforderungen</t>
  </si>
  <si>
    <t xml:space="preserve">Pflegehinweis: Es werden ausschließlich Vergabeeinheit, Partner, Art, Komponente und Bemerkung eingetragen. Anzahl, Statusverteilung, Gesamtstatus, die Beschriftung der Organigramm-Boxen und die Statusansicht aktualisieren sich daraus automatisch. Kommen Komponenten hinzu oder ändert sich die Gruppierung, muss die Boxenanordnung des Organigramms neu erzeugt werden. „Zuordnung prüfen“ bedeutet: aus den vorliegenden Unterlagen nicht eindeutig ableitbar.</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</si>
  <si>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</si>
  <si>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</si>
  <si>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</si>
  <si>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</si>
  <si>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</si>
  <si>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</si>
  <si>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</si>
  <si>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</si>
  <si>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</si>
  <si>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</si>
  <si>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</si>
  <si>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</si>
  <si>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</si>
  <si>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</si>
  <si>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</si>
  <si>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</si>
  <si>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</si>
  <si>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</si>
  <si>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</si>
  <si>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</si>
  <si>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</si>
  <si>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</si>
  <si>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</si>
  <si>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</si>
  <si>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</si>
  <si>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</si>
  <si>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</si>
  <si>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</si>
  <si>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Originaltext</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</si>
  <si>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</si>
  <si>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</si>
  <si>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</si>
  <si>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</si>
  <si>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</si>
  <si>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</si>
  <si>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</si>
  <si>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</si>
  <si>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gezeichnet mit Excel-Zeichenobjekten. Die Beschriftung jeder Box ist über die Bearbeitungsleiste mit einer Formelzelle in Spalte M verknüpft und aktualisiert sich automatisch. Die Boxenanordnung selbst ist fest; kommen Komponenten hinzu oder ändert sich die Gruppierung, muss sie neu erzeugt werden.</t>
  </si>
  <si>
    <t xml:space="preserve">Statusansicht</t>
  </si>
  <si>
    <t xml:space="preserve">Unterhalb des Organigramms, gleiche Hierarchie in Zellen. Sie färbt sich über bedingte Formatierung automatisch nach dem Komponentenstatus und passt sich auch einer Umsortierung der Tabelle ohne Nacharbeit an.</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</si>
</sst>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38">
    <font>
      <sz val="11"/>
      <color theme="1"/>
      <name val="Calibri"/>
      <family val="0"/>
      <charset val="1"/>
    </font>
    <font>
      <sz val="10"/>
      <name val="Arial"/>
      <family val="0"/>
    </font>
    <font>
      <sz val="10"/>
      <name val="Arial"/>
      <family val="0"/>
    </font>
    <font>
      <sz val="10"/>
      <name val="Arial"/>
      <family val="0"/>
    </font>
    <font>
      <b val="true"/>
      <sz val="18"/>
      <color rgb="FFFFFFFF"/>
      <name val="Arial"/>
      <family val="2"/>
      <charset val="1"/>
    </font>
    <font>
      <sz val="10"/>
      <color rgb="FF555555"/>
      <name val="Arial"/>
      <family val="2"/>
      <charset val="1"/>
    </font>
    <font>
      <i val="true"/>
      <sz val="9"/>
      <color rgb="FF555555"/>
      <name val="Arial"/>
      <family val="2"/>
      <charset val="1"/>
    </font>
    <font>
      <b val="true"/>
      <sz val="10"/>
      <color rgb="FFFFFFFF"/>
      <name val="Arial"/>
      <family val="2"/>
      <charset val="1"/>
    </font>
    <font>
      <b val="true"/>
      <sz val="10"/>
      <color rgb="FF000000"/>
      <name val="Arial"/>
      <family val="2"/>
      <charset val="1"/>
    </font>
    <font>
      <sz val="10"/>
      <color rgb="FF000000"/>
      <name val="Arial"/>
      <family val="2"/>
      <charset val="1"/>
    </font>
    <font>
      <sz val="10"/>
      <color theme="1"/>
      <name val="Calibri"/>
      <family val="2"/>
      <charset val="1"/>
    </font>
    <font>
      <b val="true"/>
      <sz val="10"/>
      <color theme="1"/>
      <name val="Calibri"/>
      <family val="2"/>
      <charset val="1"/>
    </font>
    <font>
      <b val="true"/>
      <sz val="18"/>
      <color rgb="FF000000"/>
      <name val="Calibri"/>
      <family val="2"/>
    </font>
    <font>
      <sz val="10"/>
      <color rgb="FF000000"/>
      <name val="Calibri"/>
      <family val="2"/>
    </font>
    <font>
      <b val="true"/>
      <sz val="18"/>
      <color rgb="FFFFFFFF"/>
      <name val="Calibri"/>
      <family val="2"/>
      <charset val="1"/>
    </font>
    <font>
      <sz val="10"/>
      <color rgb="FF555555"/>
      <name val="Calibri"/>
      <family val="2"/>
      <charset val="1"/>
    </font>
    <font>
      <b val="true"/>
      <sz val="11"/>
      <color rgb="FF1F4E78"/>
      <name val="Calibri"/>
      <family val="2"/>
      <charset val="1"/>
    </font>
    <font>
      <b val="true"/>
      <sz val="11"/>
      <color rgb="FFFFFFFF"/>
      <name val="Calibri"/>
      <family val="2"/>
      <charset val="1"/>
    </font>
    <font>
      <b val="true"/>
      <sz val="10"/>
      <color rgb="FFFFFFFF"/>
      <name val="Calibri"/>
      <family val="2"/>
      <charset val="1"/>
    </font>
    <font>
      <sz val="10"/>
      <name val="Calibri"/>
      <family val="2"/>
      <charset val="1"/>
    </font>
    <font>
      <sz val="11"/>
      <color theme="1"/>
      <name val="Calibri"/>
      <family val="2"/>
      <charset val="1"/>
    </font>
    <font>
      <b val="true"/>
      <sz val="11"/>
      <color rgb="FFFFFFFF"/>
      <name val="Arial"/>
      <family val="2"/>
      <charset val="1"/>
    </font>
    <font>
      <b val="true"/>
      <sz val="16"/>
      <color rgb="FF1F3864"/>
      <name val="Arial"/>
      <family val="2"/>
      <charset val="1"/>
    </font>
    <font>
      <sz val="10"/>
      <color rgb="FF595959"/>
      <name val="Arial"/>
      <family val="2"/>
      <charset val="1"/>
    </font>
    <font>
      <sz val="9"/>
      <color rgb="FF808080"/>
      <name val="Arial"/>
      <family val="2"/>
      <charset val="1"/>
    </font>
    <font>
      <sz val="10"/>
      <name val="Arial"/>
      <family val="2"/>
      <charset val="1"/>
    </font>
    <font>
      <b val="true"/>
      <sz val="10"/>
      <name val="Arial"/>
      <family val="2"/>
      <charset val="1"/>
    </font>
    <font>
      <b val="true"/>
      <sz val="14"/>
      <color rgb="FF1F3864"/>
      <name val="Arial"/>
      <family val="2"/>
      <charset val="1"/>
    </font>
    <font>
      <b val="true"/>
      <sz val="9"/>
      <color rgb="FF808080"/>
      <name val="Arial"/>
      <family val="2"/>
      <charset val="1"/>
    </font>
    <font>
      <sz val="8"/>
      <color rgb="FF808080"/>
      <name val="Arial"/>
      <family val="0"/>
      <charset val="1"/>
    </font>
    <font>
      <b val="true"/>
      <sz val="12"/>
      <color rgb="FF1F3864"/>
      <name val="Arial"/>
      <family val="2"/>
      <charset val="1"/>
    </font>
    <font>
      <b val="true"/>
      <sz val="9"/>
      <color rgb="FFFFFFFF"/>
      <name val="Arial"/>
      <family val="2"/>
      <charset val="1"/>
    </font>
    <font>
      <sz val="9"/>
      <color rgb="FF000000"/>
      <name val="Arial"/>
      <family val="2"/>
      <charset val="1"/>
    </font>
    <font>
      <b val="true"/>
      <sz val="10"/>
      <color rgb="FF1F3864"/>
      <name val="Arial"/>
      <family val="2"/>
      <charset val="1"/>
    </font>
    <font>
      <sz val="9"/>
      <name val="Arial"/>
      <family val="2"/>
      <charset val="1"/>
    </font>
    <font>
      <i val="true"/>
      <sz val="10"/>
      <color rgb="FF555555"/>
      <name val="Arial"/>
      <family val="2"/>
      <charset val="1"/>
    </font>
    <font>
      <b val="true"/>
      <sz val="10"/>
      <color rgb="FF1F4E78"/>
      <name val="Arial"/>
      <family val="2"/>
      <charset val="1"/>
    </font>
    <font>
      <b val="true"/>
      <sz val="11"/>
      <color rgb="FF1F3A63"/>
      <name val="Calibri"/>
      <family val="2"/>
      <charset val="1"/>
    </font>
  </fonts>
  <fills count="16">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E7E6E6"/>
        <bgColor rgb="FFE2EFDA"/>
      </patternFill>
    </fill>
    <fill>
      <patternFill patternType="solid">
        <fgColor rgb="FFD9EAF7"/>
        <bgColor rgb="FFD9E2F3"/>
      </patternFill>
    </fill>
    <fill>
      <patternFill patternType="solid">
        <fgColor rgb="FFD9D9D9"/>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6" fontId="10" fillId="6" borderId="0" xfId="0" applyFont="true" applyBorder="false" applyAlignment="true" applyProtection="false">
      <alignment horizontal="general" vertical="center" textRotation="0" wrapText="true" indent="0" shrinkToFit="false"/>
      <protection locked="true" hidden="false"/>
    </xf>
    <xf numFmtId="164" fontId="11" fillId="6" borderId="0" xfId="0" applyFont="true" applyBorder="false" applyAlignment="true" applyProtection="false">
      <alignment horizontal="general" vertical="center" textRotation="0" wrapText="true" indent="0" shrinkToFit="false"/>
      <protection locked="true" hidden="false"/>
    </xf>
    <xf numFmtId="166" fontId="11" fillId="6" borderId="0" xfId="0" applyFont="true" applyBorder="false" applyAlignment="true" applyProtection="false">
      <alignment horizontal="general" vertical="center" textRotation="0" wrapText="true" indent="0" shrinkToFit="false"/>
      <protection locked="true" hidden="false"/>
    </xf>
    <xf numFmtId="165" fontId="11"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16" fillId="7"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9" fillId="9" borderId="0" xfId="0" applyFont="true" applyBorder="false" applyAlignment="true" applyProtection="false">
      <alignment horizontal="general" vertical="top" textRotation="0" wrapText="true" indent="0" shrinkToFit="false"/>
      <protection locked="true" hidden="false"/>
    </xf>
    <xf numFmtId="168" fontId="19"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8" borderId="1"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general" vertical="bottom" textRotation="0" wrapText="true" indent="0" shrinkToFit="false"/>
      <protection locked="true" hidden="false"/>
    </xf>
    <xf numFmtId="169" fontId="8" fillId="10" borderId="1" xfId="0" applyFont="true" applyBorder="true" applyAlignment="true" applyProtection="false">
      <alignment horizontal="center" vertical="bottom" textRotation="0" wrapText="true" indent="0" shrinkToFit="false"/>
      <protection locked="true" hidden="false"/>
    </xf>
    <xf numFmtId="166" fontId="8" fillId="10"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center" vertical="bottom" textRotation="0" wrapText="true" indent="0" shrinkToFit="false"/>
      <protection locked="true" hidden="false"/>
    </xf>
    <xf numFmtId="167" fontId="9" fillId="10" borderId="1" xfId="0" applyFont="true" applyBorder="true" applyAlignment="true" applyProtection="false">
      <alignment horizontal="center"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25" fillId="10" borderId="1" xfId="0" applyFont="true" applyBorder="true" applyAlignment="true" applyProtection="false">
      <alignment horizontal="left" vertical="center" textRotation="0" wrapText="true" indent="0" shrinkToFit="false"/>
      <protection locked="true" hidden="false"/>
    </xf>
    <xf numFmtId="169" fontId="25" fillId="12" borderId="1" xfId="0" applyFont="true" applyBorder="true" applyAlignment="true" applyProtection="false">
      <alignment horizontal="center" vertical="center" textRotation="0" wrapText="true" indent="0" shrinkToFit="false"/>
      <protection locked="true" hidden="false"/>
    </xf>
    <xf numFmtId="164" fontId="26" fillId="12"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13" borderId="1" xfId="0" applyFont="true" applyBorder="true" applyAlignment="true" applyProtection="false">
      <alignment horizontal="center" vertical="center" textRotation="0" wrapText="false" indent="0" shrinkToFit="false"/>
      <protection locked="true" hidden="false"/>
    </xf>
    <xf numFmtId="164" fontId="34" fillId="14" borderId="1" xfId="0" applyFont="true" applyBorder="true" applyAlignment="true" applyProtection="false">
      <alignment horizontal="center" vertical="center" textRotation="0" wrapText="false" indent="0" shrinkToFit="false"/>
      <protection locked="true" hidden="false"/>
    </xf>
    <xf numFmtId="164" fontId="34" fillId="6" borderId="1" xfId="0" applyFont="true" applyBorder="true" applyAlignment="true" applyProtection="false">
      <alignment horizontal="center" vertical="center" textRotation="0" wrapText="false" indent="0" shrinkToFit="false"/>
      <protection locked="true" hidden="false"/>
    </xf>
    <xf numFmtId="164" fontId="34" fillId="15" borderId="1" xfId="0" applyFont="true" applyBorder="true" applyAlignment="true" applyProtection="false">
      <alignment horizontal="center" vertical="center" textRotation="0" wrapText="false" indent="0" shrinkToFit="false"/>
      <protection locked="true" hidden="false"/>
    </xf>
    <xf numFmtId="164" fontId="34" fillId="10"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35" fillId="3" borderId="0" xfId="0" applyFont="true" applyBorder="true" applyAlignment="true" applyProtection="false">
      <alignment horizontal="general" vertical="bottom" textRotation="0" wrapText="false" indent="0" shrinkToFit="false"/>
      <protection locked="true" hidden="false"/>
    </xf>
    <xf numFmtId="164" fontId="36" fillId="7"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D9D9D9"/>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FCE4D6"/>
          <bgColor rgb="FF000000"/>
        </patternFill>
      </fill>
    </dxf>
    <dxf>
      <fill>
        <patternFill patternType="solid">
          <fgColor rgb="FF9C5700"/>
          <bgColor rgb="FF000000"/>
        </patternFill>
      </fill>
    </dxf>
    <dxf>
      <fill>
        <patternFill patternType="solid">
          <fgColor rgb="FFF4CCCC"/>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ill>
        <patternFill patternType="solid">
          <fgColor rgb="FF000000"/>
          <bgColor rgb="FF000000"/>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7E6E6"/>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F8080"/>
      <rgbColor rgb="FF1F4E78"/>
      <rgbColor rgb="FFBDD7EE"/>
      <rgbColor rgb="FF000080"/>
      <rgbColor rgb="FFFF00FF"/>
      <rgbColor rgb="FFF2F2F2"/>
      <rgbColor rgb="FF00FFFF"/>
      <rgbColor rgb="FF800080"/>
      <rgbColor rgb="FF800000"/>
      <rgbColor rgb="FF008080"/>
      <rgbColor rgb="FF0000FF"/>
      <rgbColor rgb="FF00CCFF"/>
      <rgbColor rgb="FFE2EFDA"/>
      <rgbColor rgb="FFE2F0D9"/>
      <rgbColor rgb="FFFCE4D6"/>
      <rgbColor rgb="FFCCCCCC"/>
      <rgbColor rgb="FFD9E2F3"/>
      <rgbColor rgb="FFD9D9D9"/>
      <rgbColor rgb="FFF4CCCC"/>
      <rgbColor rgb="FF2E75B6"/>
      <rgbColor rgb="FF33CCCC"/>
      <rgbColor rgb="FF99CC00"/>
      <rgbColor rgb="FFF5F7FA"/>
      <rgbColor rgb="FFFF9900"/>
      <rgbColor rgb="FFFF6600"/>
      <rgbColor rgb="FF666666"/>
      <rgbColor rgb="FF878787"/>
      <rgbColor rgb="FF1F3864"/>
      <rgbColor rgb="FF4F81BD"/>
      <rgbColor rgb="FF003300"/>
      <rgbColor rgb="FF555555"/>
      <rgbColor rgb="FF9C5700"/>
      <rgbColor rgb="FF993366"/>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107</c:v>
                </c:pt>
                <c:pt idx="2">
                  <c:v>7</c:v>
                </c:pt>
                <c:pt idx="3">
                  <c:v>82</c:v>
                </c:pt>
              </c:numCache>
            </c:numRef>
          </c:val>
        </c:ser>
        <c:gapWidth val="150"/>
        <c:overlap val="0"/>
        <c:axId val="61334156"/>
        <c:axId val="14058985"/>
      </c:barChart>
      <c:catAx>
        <c:axId val="6133415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14058985"/>
        <c:crosses val="autoZero"/>
        <c:auto val="1"/>
        <c:lblAlgn val="ctr"/>
        <c:lblOffset val="100"/>
        <c:noMultiLvlLbl val="0"/>
      </c:catAx>
      <c:valAx>
        <c:axId val="1405898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61334156"/>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14</c:v>
                </c:pt>
                <c:pt idx="1">
                  <c:v>51</c:v>
                </c:pt>
                <c:pt idx="2">
                  <c:v>98</c:v>
                </c:pt>
                <c:pt idx="3">
                  <c:v>4</c:v>
                </c:pt>
                <c:pt idx="4">
                  <c:v>76</c:v>
                </c:pt>
                <c:pt idx="5">
                  <c:v>94</c:v>
                </c:pt>
                <c:pt idx="6">
                  <c:v>34</c:v>
                </c:pt>
                <c:pt idx="7">
                  <c:v>228</c:v>
                </c:pt>
                <c:pt idx="8">
                  <c:v>44</c:v>
                </c:pt>
              </c:numCache>
            </c:numRef>
          </c:val>
        </c:ser>
        <c:gapWidth val="150"/>
        <c:overlap val="0"/>
        <c:axId val="68140306"/>
        <c:axId val="90756371"/>
      </c:barChart>
      <c:catAx>
        <c:axId val="6814030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90756371"/>
        <c:crosses val="autoZero"/>
        <c:auto val="1"/>
        <c:lblAlgn val="ctr"/>
        <c:lblOffset val="100"/>
        <c:noMultiLvlLbl val="0"/>
      </c:catAx>
      <c:valAx>
        <c:axId val="90756371"/>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68140306"/>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10</xdr:col>
      <xdr:colOff>1800</xdr:colOff>
      <xdr:row>17</xdr:row>
      <xdr:rowOff>189360</xdr:rowOff>
    </xdr:to>
    <xdr:graphicFrame>
      <xdr:nvGraphicFramePr>
        <xdr:cNvPr id="0" name="Chart 1"/>
        <xdr:cNvGraphicFramePr/>
      </xdr:nvGraphicFramePr>
      <xdr:xfrm>
        <a:off x="5435640" y="866880"/>
        <a:ext cx="5691240" cy="2665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17</xdr:col>
      <xdr:colOff>2160</xdr:colOff>
      <xdr:row>19</xdr:row>
      <xdr:rowOff>18360</xdr:rowOff>
    </xdr:to>
    <xdr:graphicFrame>
      <xdr:nvGraphicFramePr>
        <xdr:cNvPr id="1" name="Chart 2"/>
        <xdr:cNvGraphicFramePr/>
      </xdr:nvGraphicFramePr>
      <xdr:xfrm>
        <a:off x="11125080" y="866880"/>
        <a:ext cx="5691960" cy="3009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5753100" y="11811000"/>
    <xdr:ext cx="2857500" cy="495300"/>
    <xdr:sp macro="" textlink="Komponenten!$M$34">
      <xdr:nvSpPr>
        <xdr:cNvPr id="2" name="Organigramm 2"/>
        <xdr:cNvSpPr/>
      </xdr:nvSpPr>
      <xdr:spPr>
        <a:xfrm>
          <a:off x="5753100" y="11811000"/>
          <a:ext cx="2857500" cy="495300"/>
        </a:xfrm>
        <a:prstGeom prst="roundRect">
          <a:avLst>
            <a:gd name="adj" fmla="val 8000"/>
          </a:avLst>
        </a:prstGeom>
        <a:solidFill>
          <a:srgbClr val="1F3864"/>
        </a:solidFill>
        <a:ln w="9525">
          <a:solidFill>
            <a:srgbClr val="1F4E78"/>
          </a:solidFill>
        </a:ln>
      </xdr:spPr>
      <xdr:txBody>
        <a:bodyPr vertOverflow="overflow" horzOverflow="overflow" wrap="square" lIns="27432" tIns="9144" rIns="27432" bIns="9144" anchor="ctr"/>
        <a:lstStyle/>
        <a:p>
          <a:pPr algn="ctr"/>
          <a:fld id="{00003DDE-1B1B-4E4E-9A9A-000000033232}" type="TxLink">
            <a:rPr lang="de-DE" sz="900" b="1">
              <a:solidFill>
                <a:srgbClr val="FFFFFF"/>
              </a:solidFill>
              <a:latin typeface="Arial"/>
            </a:rPr>
            <a:pPr algn="ctr"/>
            <a:t>SMARTINFRA
18 Komponenten / Schnittstellen</a:t>
          </a:fld>
        </a:p>
      </xdr:txBody>
    </xdr:sp>
    <xdr:clientData/>
  </xdr:absoluteAnchor>
  <xdr:absoluteAnchor>
    <xdr:pos x="-228600" y="12630150"/>
    <xdr:ext cx="2476500" cy="457200"/>
    <xdr:sp macro="" textlink="Komponenten!$M$35">
      <xdr:nvSpPr>
        <xdr:cNvPr id="3" name="Organigramm 3"/>
        <xdr:cNvSpPr/>
      </xdr:nvSpPr>
      <xdr:spPr>
        <a:xfrm>
          <a:off x="-228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5CCD-1B1B-4E4E-9A9A-00000004CB4B}" type="TxLink">
            <a:rPr lang="de-DE" sz="900" b="1">
              <a:solidFill>
                <a:srgbClr val="FFFFFF"/>
              </a:solidFill>
              <a:latin typeface="Arial"/>
            </a:rPr>
            <a:pPr algn="ctr"/>
            <a:t>LIS
1 Komponente</a:t>
          </a:fld>
        </a:p>
      </xdr:txBody>
    </xdr:sp>
    <xdr:clientData/>
  </xdr:absoluteAnchor>
  <xdr:absoluteAnchor>
    <xdr:pos x="1828800" y="12630150"/>
    <xdr:ext cx="2476500" cy="457200"/>
    <xdr:sp macro="" textlink="Komponenten!$M$36">
      <xdr:nvSpPr>
        <xdr:cNvPr id="4" name="Organigramm 4"/>
        <xdr:cNvSpPr/>
      </xdr:nvSpPr>
      <xdr:spPr>
        <a:xfrm>
          <a:off x="1828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7BBC-1B1B-4E4E-9A9A-000000066464}" type="TxLink">
            <a:rPr lang="de-DE" sz="900" b="1">
              <a:solidFill>
                <a:srgbClr val="FFFFFF"/>
              </a:solidFill>
              <a:latin typeface="Arial"/>
            </a:rPr>
            <a:pPr algn="ctr"/>
            <a:t>WWL
4 Komponenten</a:t>
          </a:fld>
        </a:p>
      </xdr:txBody>
    </xdr:sp>
    <xdr:clientData/>
  </xdr:absoluteAnchor>
  <xdr:absoluteAnchor>
    <xdr:pos x="5943600" y="12630150"/>
    <xdr:ext cx="2476500" cy="457200"/>
    <xdr:sp macro="" textlink="Komponenten!$M$37">
      <xdr:nvSpPr>
        <xdr:cNvPr id="5" name="Organigramm 5"/>
        <xdr:cNvSpPr/>
      </xdr:nvSpPr>
      <xdr:spPr>
        <a:xfrm>
          <a:off x="5943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9AAB-1B1B-4E4E-9A9A-00000007FD7D}" type="TxLink">
            <a:rPr lang="de-DE" sz="900" b="1">
              <a:solidFill>
                <a:srgbClr val="FFFFFF"/>
              </a:solidFill>
              <a:latin typeface="Arial"/>
            </a:rPr>
            <a:pPr algn="ctr"/>
            <a:t>SmartInfra
8 Komponenten</a:t>
          </a:fld>
        </a:p>
      </xdr:txBody>
    </xdr:sp>
    <xdr:clientData/>
  </xdr:absoluteAnchor>
  <xdr:absoluteAnchor>
    <xdr:pos x="10058400" y="12630150"/>
    <xdr:ext cx="2476500" cy="457200"/>
    <xdr:sp macro="" textlink="Komponenten!$M$38">
      <xdr:nvSpPr>
        <xdr:cNvPr id="6" name="Organigramm 6"/>
        <xdr:cNvSpPr/>
      </xdr:nvSpPr>
      <xdr:spPr>
        <a:xfrm>
          <a:off x="100584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B99A-1B1B-4E4E-9A9A-000000099696}" type="TxLink">
            <a:rPr lang="de-DE" sz="900" b="1">
              <a:solidFill>
                <a:srgbClr val="FFFFFF"/>
              </a:solidFill>
              <a:latin typeface="Arial"/>
            </a:rPr>
            <a:pPr algn="ctr"/>
            <a:t>AUP
1 Komponente</a:t>
          </a:fld>
        </a:p>
      </xdr:txBody>
    </xdr:sp>
    <xdr:clientData/>
  </xdr:absoluteAnchor>
  <xdr:absoluteAnchor>
    <xdr:pos x="12115800" y="12630150"/>
    <xdr:ext cx="2476500" cy="457200"/>
    <xdr:sp macro="" textlink="Komponenten!$M$39">
      <xdr:nvSpPr>
        <xdr:cNvPr id="7" name="Organigramm 7"/>
        <xdr:cNvSpPr/>
      </xdr:nvSpPr>
      <xdr:spPr>
        <a:xfrm>
          <a:off x="12115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D889-1B1B-4E4E-9A9A-0000000B2FAF}" type="TxLink">
            <a:rPr lang="de-DE" sz="900" b="1">
              <a:solidFill>
                <a:srgbClr val="FFFFFF"/>
              </a:solidFill>
              <a:latin typeface="Arial"/>
            </a:rPr>
            <a:pPr algn="ctr"/>
            <a:t>Zuordnung prüfen
4 Komponenten</a:t>
          </a:fld>
        </a:p>
      </xdr:txBody>
    </xdr:sp>
    <xdr:clientData/>
  </xdr:absoluteAnchor>
  <xdr:absoluteAnchor>
    <xdr:pos x="57150" y="13392150"/>
    <xdr:ext cx="1905000" cy="457200"/>
    <xdr:sp macro="" textlink="Komponenten!$M$40">
      <xdr:nvSpPr>
        <xdr:cNvPr id="8" name="Organigramm 8"/>
        <xdr:cNvSpPr/>
      </xdr:nvSpPr>
      <xdr:spPr>
        <a:xfrm>
          <a:off x="57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0F778-1B1B-4E4E-9A9A-0000000CC8C8}" type="TxLink">
            <a:rPr lang="de-DE" sz="900" b="1">
              <a:solidFill>
                <a:srgbClr val="FFFFFF"/>
              </a:solidFill>
              <a:latin typeface="Arial"/>
            </a:rPr>
            <a:pPr algn="ctr"/>
            <a:t>Alpitronic
1 Komponente</a:t>
          </a:fld>
        </a:p>
      </xdr:txBody>
    </xdr:sp>
    <xdr:clientData/>
  </xdr:absoluteAnchor>
  <xdr:absoluteAnchor>
    <xdr:pos x="2114550" y="13392150"/>
    <xdr:ext cx="1905000" cy="457200"/>
    <xdr:sp macro="" textlink="Komponenten!$M$41">
      <xdr:nvSpPr>
        <xdr:cNvPr id="9" name="Organigramm 9"/>
        <xdr:cNvSpPr/>
      </xdr:nvSpPr>
      <xdr:spPr>
        <a:xfrm>
          <a:off x="2114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1667-1B1B-4E4E-9A9A-0000000E61E1}" type="TxLink">
            <a:rPr lang="de-DE" sz="900" b="1">
              <a:solidFill>
                <a:srgbClr val="FFFFFF"/>
              </a:solidFill>
              <a:latin typeface="Arial"/>
            </a:rPr>
            <a:pPr algn="ctr"/>
            <a:t>eRound
4 Komponenten</a:t>
          </a:fld>
        </a:p>
      </xdr:txBody>
    </xdr:sp>
    <xdr:clientData/>
  </xdr:absoluteAnchor>
  <xdr:absoluteAnchor>
    <xdr:pos x="4171950" y="13392150"/>
    <xdr:ext cx="1905000" cy="457200"/>
    <xdr:sp macro="" textlink="Komponenten!$M$42">
      <xdr:nvSpPr>
        <xdr:cNvPr id="10" name="Organigramm 10"/>
        <xdr:cNvSpPr/>
      </xdr:nvSpPr>
      <xdr:spPr>
        <a:xfrm>
          <a:off x="41719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3556-1B1B-4E4E-9A9A-0000000FFAFA}" type="TxLink">
            <a:rPr lang="de-DE" sz="900" b="1">
              <a:solidFill>
                <a:srgbClr val="FFFFFF"/>
              </a:solidFill>
              <a:latin typeface="Arial"/>
            </a:rPr>
            <a:pPr algn="ctr"/>
            <a:t>Reservierungsplattform
2 Komponenten</a:t>
          </a:fld>
        </a:p>
      </xdr:txBody>
    </xdr:sp>
    <xdr:clientData/>
  </xdr:absoluteAnchor>
  <xdr:absoluteAnchor>
    <xdr:pos x="6229350" y="13392150"/>
    <xdr:ext cx="1905000" cy="457200"/>
    <xdr:sp macro="" textlink="Komponenten!$M$43">
      <xdr:nvSpPr>
        <xdr:cNvPr id="11" name="Organigramm 11"/>
        <xdr:cNvSpPr/>
      </xdr:nvSpPr>
      <xdr:spPr>
        <a:xfrm>
          <a:off x="62293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5445-1B1B-4E4E-9A9A-000000119413}" type="TxLink">
            <a:rPr lang="de-DE" sz="900" b="1">
              <a:solidFill>
                <a:srgbClr val="FFFFFF"/>
              </a:solidFill>
              <a:latin typeface="Arial"/>
            </a:rPr>
            <a:pPr algn="ctr"/>
            <a:t>SCS
5 Komponenten</a:t>
          </a:fld>
        </a:p>
      </xdr:txBody>
    </xdr:sp>
    <xdr:clientData/>
  </xdr:absoluteAnchor>
  <xdr:absoluteAnchor>
    <xdr:pos x="8286750" y="13392150"/>
    <xdr:ext cx="1905000" cy="457200"/>
    <xdr:sp macro="" textlink="Komponenten!$M$44">
      <xdr:nvSpPr>
        <xdr:cNvPr id="12" name="Organigramm 12"/>
        <xdr:cNvSpPr/>
      </xdr:nvSpPr>
      <xdr:spPr>
        <a:xfrm>
          <a:off x="82867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7334-1B1B-4E4E-9A9A-000000132D2C}" type="TxLink">
            <a:rPr lang="de-DE" sz="900" b="1">
              <a:solidFill>
                <a:srgbClr val="FFFFFF"/>
              </a:solidFill>
              <a:latin typeface="Arial"/>
            </a:rPr>
            <a:pPr algn="ctr"/>
            <a:t>CAME
1 Komponente</a:t>
          </a:fld>
        </a:p>
      </xdr:txBody>
    </xdr:sp>
    <xdr:clientData/>
  </xdr:absoluteAnchor>
  <xdr:absoluteAnchor>
    <xdr:pos x="10344150" y="13392150"/>
    <xdr:ext cx="1905000" cy="457200"/>
    <xdr:sp macro="" textlink="Komponenten!$M$45">
      <xdr:nvSpPr>
        <xdr:cNvPr id="13" name="Organigramm 13"/>
        <xdr:cNvSpPr/>
      </xdr:nvSpPr>
      <xdr:spPr>
        <a:xfrm>
          <a:off x="10344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9223-1B1B-4E4E-9A9A-00000014C645}" type="TxLink">
            <a:rPr lang="de-DE" sz="900" b="1">
              <a:solidFill>
                <a:srgbClr val="FFFFFF"/>
              </a:solidFill>
              <a:latin typeface="Arial"/>
            </a:rPr>
            <a:pPr algn="ctr"/>
            <a:t>tbd
1 Komponente</a:t>
          </a:fld>
        </a:p>
      </xdr:txBody>
    </xdr:sp>
    <xdr:clientData/>
  </xdr:absoluteAnchor>
  <xdr:absoluteAnchor>
    <xdr:pos x="12401550" y="13392150"/>
    <xdr:ext cx="1905000" cy="457200"/>
    <xdr:sp macro="" textlink="Komponenten!$M$46">
      <xdr:nvSpPr>
        <xdr:cNvPr id="14" name="Organigramm 14"/>
        <xdr:cNvSpPr/>
      </xdr:nvSpPr>
      <xdr:spPr>
        <a:xfrm>
          <a:off x="12401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B112-1B1B-4E4E-9A9A-000000165F5E}" type="TxLink">
            <a:rPr lang="de-DE" sz="900" b="1">
              <a:solidFill>
                <a:srgbClr val="FFFFFF"/>
              </a:solidFill>
              <a:latin typeface="Arial"/>
            </a:rPr>
            <a:pPr algn="ctr"/>
            <a:t>eRound / SCS
4 Komponenten</a:t>
          </a:fld>
        </a:p>
      </xdr:txBody>
    </xdr:sp>
    <xdr:clientData/>
  </xdr:absoluteAnchor>
  <xdr:absoluteAnchor>
    <xdr:pos x="247650" y="14154150"/>
    <xdr:ext cx="1524000" cy="304800"/>
    <xdr:sp macro="" textlink="Komponenten!$M$47">
      <xdr:nvSpPr>
        <xdr:cNvPr id="15" name="Organigramm 15"/>
        <xdr:cNvSpPr/>
      </xdr:nvSpPr>
      <xdr:spPr>
        <a:xfrm>
          <a:off x="247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D001-1B1B-4E4E-9A9A-00000017F877}" type="TxLink">
            <a:rPr lang="de-DE" sz="800" b="1">
              <a:solidFill>
                <a:srgbClr val="1F3864"/>
              </a:solidFill>
              <a:latin typeface="Arial"/>
            </a:rPr>
            <a:pPr algn="ctr"/>
            <a:t>Komponente
1 Eintrag</a:t>
          </a:fld>
        </a:p>
      </xdr:txBody>
    </xdr:sp>
    <xdr:clientData/>
  </xdr:absoluteAnchor>
  <xdr:absoluteAnchor>
    <xdr:pos x="2305050" y="14154150"/>
    <xdr:ext cx="1524000" cy="304800"/>
    <xdr:sp macro="" textlink="Komponenten!$M$48">
      <xdr:nvSpPr>
        <xdr:cNvPr id="16" name="Organigramm 16"/>
        <xdr:cNvSpPr/>
      </xdr:nvSpPr>
      <xdr:spPr>
        <a:xfrm>
          <a:off x="2305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EEF0-1B1B-4E4E-9A9A-000000199190}" type="TxLink">
            <a:rPr lang="de-DE" sz="800" b="1">
              <a:solidFill>
                <a:srgbClr val="1F3864"/>
              </a:solidFill>
              <a:latin typeface="Arial"/>
            </a:rPr>
            <a:pPr algn="ctr"/>
            <a:t>Komponente
4 Einträge</a:t>
          </a:fld>
        </a:p>
      </xdr:txBody>
    </xdr:sp>
    <xdr:clientData/>
  </xdr:absoluteAnchor>
  <xdr:absoluteAnchor>
    <xdr:pos x="4362450" y="14154150"/>
    <xdr:ext cx="1524000" cy="304800"/>
    <xdr:sp macro="" textlink="Komponenten!$M$49">
      <xdr:nvSpPr>
        <xdr:cNvPr id="17" name="Organigramm 17"/>
        <xdr:cNvSpPr/>
      </xdr:nvSpPr>
      <xdr:spPr>
        <a:xfrm>
          <a:off x="43624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0DDF-1B1B-4E4E-9A9A-0000001B2AA9}" type="TxLink">
            <a:rPr lang="de-DE" sz="800" b="1">
              <a:solidFill>
                <a:srgbClr val="1F3864"/>
              </a:solidFill>
              <a:latin typeface="Arial"/>
            </a:rPr>
            <a:pPr algn="ctr"/>
            <a:t>Komponente
2 Einträge</a:t>
          </a:fld>
        </a:p>
      </xdr:txBody>
    </xdr:sp>
    <xdr:clientData/>
  </xdr:absoluteAnchor>
  <xdr:absoluteAnchor>
    <xdr:pos x="6419850" y="14154150"/>
    <xdr:ext cx="1524000" cy="304800"/>
    <xdr:sp macro="" textlink="Komponenten!$M$50">
      <xdr:nvSpPr>
        <xdr:cNvPr id="18" name="Organigramm 18"/>
        <xdr:cNvSpPr/>
      </xdr:nvSpPr>
      <xdr:spPr>
        <a:xfrm>
          <a:off x="64198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2CCE-1B1B-4E4E-9A9A-0000001CC3C2}" type="TxLink">
            <a:rPr lang="de-DE" sz="800" b="1">
              <a:solidFill>
                <a:srgbClr val="1F3864"/>
              </a:solidFill>
              <a:latin typeface="Arial"/>
            </a:rPr>
            <a:pPr algn="ctr"/>
            <a:t>Komponente
5 Einträge</a:t>
          </a:fld>
        </a:p>
      </xdr:txBody>
    </xdr:sp>
    <xdr:clientData/>
  </xdr:absoluteAnchor>
  <xdr:absoluteAnchor>
    <xdr:pos x="8477250" y="14154150"/>
    <xdr:ext cx="1524000" cy="304800"/>
    <xdr:sp macro="" textlink="Komponenten!$M$51">
      <xdr:nvSpPr>
        <xdr:cNvPr id="19" name="Organigramm 19"/>
        <xdr:cNvSpPr/>
      </xdr:nvSpPr>
      <xdr:spPr>
        <a:xfrm>
          <a:off x="84772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4BBD-1B1B-4E4E-9A9A-0000001E5CDB}" type="TxLink">
            <a:rPr lang="de-DE" sz="800" b="1">
              <a:solidFill>
                <a:srgbClr val="1F3864"/>
              </a:solidFill>
              <a:latin typeface="Arial"/>
            </a:rPr>
            <a:pPr algn="ctr"/>
            <a:t>Komponente
1 Eintrag</a:t>
          </a:fld>
        </a:p>
      </xdr:txBody>
    </xdr:sp>
    <xdr:clientData/>
  </xdr:absoluteAnchor>
  <xdr:absoluteAnchor>
    <xdr:pos x="10534650" y="14154150"/>
    <xdr:ext cx="1524000" cy="304800"/>
    <xdr:sp macro="" textlink="Komponenten!$M$52">
      <xdr:nvSpPr>
        <xdr:cNvPr id="20" name="Organigramm 20"/>
        <xdr:cNvSpPr/>
      </xdr:nvSpPr>
      <xdr:spPr>
        <a:xfrm>
          <a:off x="10534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6AAC-1B1B-4E4E-9A9A-0000001FF5F4}" type="TxLink">
            <a:rPr lang="de-DE" sz="800" b="1">
              <a:solidFill>
                <a:srgbClr val="1F3864"/>
              </a:solidFill>
              <a:latin typeface="Arial"/>
            </a:rPr>
            <a:pPr algn="ctr"/>
            <a:t>Komponente
1 Eintrag</a:t>
          </a:fld>
        </a:p>
      </xdr:txBody>
    </xdr:sp>
    <xdr:clientData/>
  </xdr:absoluteAnchor>
  <xdr:absoluteAnchor>
    <xdr:pos x="12592050" y="14154150"/>
    <xdr:ext cx="1524000" cy="304800"/>
    <xdr:sp macro="" textlink="Komponenten!$M$53">
      <xdr:nvSpPr>
        <xdr:cNvPr id="21" name="Organigramm 21"/>
        <xdr:cNvSpPr/>
      </xdr:nvSpPr>
      <xdr:spPr>
        <a:xfrm>
          <a:off x="12592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899B-1B1B-4E4E-9A9A-000000218F0D}" type="TxLink">
            <a:rPr lang="de-DE" sz="800" b="1">
              <a:solidFill>
                <a:srgbClr val="1F3864"/>
              </a:solidFill>
              <a:latin typeface="Arial"/>
            </a:rPr>
            <a:pPr algn="ctr"/>
            <a:t>Schnittstelle
4 Einträge</a:t>
          </a:fld>
        </a:p>
      </xdr:txBody>
    </xdr:sp>
    <xdr:clientData/>
  </xdr:absoluteAnchor>
  <xdr:absoluteAnchor>
    <xdr:pos x="285750" y="14687550"/>
    <xdr:ext cx="1676400" cy="666750"/>
    <xdr:sp macro="" textlink="Komponenten!$M$54">
      <xdr:nvSpPr>
        <xdr:cNvPr id="22" name="Organigramm 22"/>
        <xdr:cNvSpPr/>
      </xdr:nvSpPr>
      <xdr:spPr>
        <a:xfrm>
          <a:off x="285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A88A-1B1B-4E4E-9A9A-000000232826}" type="TxLink">
            <a:rPr lang="de-DE" sz="800" b="0">
              <a:solidFill>
                <a:srgbClr val="404040"/>
              </a:solidFill>
              <a:latin typeface="Arial"/>
            </a:rPr>
            <a:pPr algn="ctr"/>
            <a:t>Ladeeinrichtung
171 Anforderungen · 0/171 erfüllt
Status: erfasst</a:t>
          </a:fld>
        </a:p>
      </xdr:txBody>
    </xdr:sp>
    <xdr:clientData/>
  </xdr:absoluteAnchor>
  <xdr:absoluteAnchor>
    <xdr:pos x="2343150" y="14687550"/>
    <xdr:ext cx="1676400" cy="666750"/>
    <xdr:sp macro="" textlink="Komponenten!$M$55">
      <xdr:nvSpPr>
        <xdr:cNvPr id="23" name="Organigramm 23"/>
        <xdr:cNvSpPr/>
      </xdr:nvSpPr>
      <xdr:spPr>
        <a:xfrm>
          <a:off x="2343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C779-1B1B-4E4E-9A9A-00000024C13F}" type="TxLink">
            <a:rPr lang="de-DE" sz="800" b="0">
              <a:solidFill>
                <a:srgbClr val="404040"/>
              </a:solidFill>
              <a:latin typeface="Arial"/>
            </a:rPr>
            <a:pPr algn="ctr"/>
            <a:t>Abrechnungskomponente
50 Anforderungen · 0/50 erfüllt
Status: erfasst</a:t>
          </a:fld>
        </a:p>
      </xdr:txBody>
    </xdr:sp>
    <xdr:clientData/>
  </xdr:absoluteAnchor>
  <xdr:absoluteAnchor>
    <xdr:pos x="2343150" y="15449550"/>
    <xdr:ext cx="1676400" cy="666750"/>
    <xdr:sp macro="" textlink="Komponenten!$M$56">
      <xdr:nvSpPr>
        <xdr:cNvPr id="24" name="Organigramm 24"/>
        <xdr:cNvSpPr/>
      </xdr:nvSpPr>
      <xdr:spPr>
        <a:xfrm>
          <a:off x="2343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E668-1B1B-4E4E-9A9A-000000265A58}" type="TxLink">
            <a:rPr lang="de-DE" sz="800" b="0">
              <a:solidFill>
                <a:srgbClr val="404040"/>
              </a:solidFill>
              <a:latin typeface="Arial"/>
            </a:rPr>
            <a:pPr algn="ctr"/>
            <a:t>Authentifizierungskomponente
66 Anforderungen · 2/66 erfüllt
Status: erfasst</a:t>
          </a:fld>
        </a:p>
      </xdr:txBody>
    </xdr:sp>
    <xdr:clientData/>
  </xdr:absoluteAnchor>
  <xdr:absoluteAnchor>
    <xdr:pos x="2343150" y="16211550"/>
    <xdr:ext cx="1676400" cy="666750"/>
    <xdr:sp macro="" textlink="Komponenten!$M$57">
      <xdr:nvSpPr>
        <xdr:cNvPr id="25" name="Organigramm 25"/>
        <xdr:cNvSpPr/>
      </xdr:nvSpPr>
      <xdr:spPr>
        <a:xfrm>
          <a:off x="2343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0557-1B1B-4E4E-9A9A-00000027F371}" type="TxLink">
            <a:rPr lang="de-DE" sz="800" b="0">
              <a:solidFill>
                <a:srgbClr val="404040"/>
              </a:solidFill>
              <a:latin typeface="Arial"/>
            </a:rPr>
            <a:pPr algn="ctr"/>
            <a:t>Monitoring
44 Anforderungen · 0/44 erfüllt
Status: erfasst</a:t>
          </a:fld>
        </a:p>
      </xdr:txBody>
    </xdr:sp>
    <xdr:clientData/>
  </xdr:absoluteAnchor>
  <xdr:absoluteAnchor>
    <xdr:pos x="2343150" y="16973550"/>
    <xdr:ext cx="1676400" cy="666750"/>
    <xdr:sp macro="" textlink="Komponenten!$M$58">
      <xdr:nvSpPr>
        <xdr:cNvPr id="26" name="Organigramm 26"/>
        <xdr:cNvSpPr/>
      </xdr:nvSpPr>
      <xdr:spPr>
        <a:xfrm>
          <a:off x="2343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2446-1B1B-4E4E-9A9A-000000298C8A}" type="TxLink">
            <a:rPr lang="de-DE" sz="800" b="0">
              <a:solidFill>
                <a:srgbClr val="404040"/>
              </a:solidFill>
              <a:latin typeface="Arial"/>
            </a:rPr>
            <a:pPr algn="ctr"/>
            <a:t>OCPI Buchungskalender
102 Anforderungen · 1/102 erfüllt
Status: erfasst</a:t>
          </a:fld>
        </a:p>
      </xdr:txBody>
    </xdr:sp>
    <xdr:clientData/>
  </xdr:absoluteAnchor>
  <xdr:absoluteAnchor>
    <xdr:pos x="4400550" y="14687550"/>
    <xdr:ext cx="1676400" cy="666750"/>
    <xdr:sp macro="" textlink="Komponenten!$M$59">
      <xdr:nvSpPr>
        <xdr:cNvPr id="27" name="Organigramm 27"/>
        <xdr:cNvSpPr/>
      </xdr:nvSpPr>
      <xdr:spPr>
        <a:xfrm>
          <a:off x="44005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4335-1B1B-4E4E-9A9A-0000002B25A3}" type="TxLink">
            <a:rPr lang="de-DE" sz="800" b="0">
              <a:solidFill>
                <a:srgbClr val="404040"/>
              </a:solidFill>
              <a:latin typeface="Arial"/>
            </a:rPr>
            <a:pPr algn="ctr"/>
            <a:t>Anbindung
3 Anforderungen · 0/3 erfüllt
Status: erfasst</a:t>
          </a:fld>
        </a:p>
      </xdr:txBody>
    </xdr:sp>
    <xdr:clientData/>
  </xdr:absoluteAnchor>
  <xdr:absoluteAnchor>
    <xdr:pos x="4400550" y="15449550"/>
    <xdr:ext cx="1676400" cy="666750"/>
    <xdr:sp macro="" textlink="Komponenten!$M$60">
      <xdr:nvSpPr>
        <xdr:cNvPr id="28" name="Organigramm 28"/>
        <xdr:cNvSpPr/>
      </xdr:nvSpPr>
      <xdr:spPr>
        <a:xfrm>
          <a:off x="44005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6224-1B1B-4E4E-9A9A-0000002CBEBC}" type="TxLink">
            <a:rPr lang="de-DE" sz="800" b="0">
              <a:solidFill>
                <a:srgbClr val="404040"/>
              </a:solidFill>
              <a:latin typeface="Arial"/>
            </a:rPr>
            <a:pPr algn="ctr"/>
            <a:t>Reservierungsplattform
12 Anforderungen · 0/12 erfüllt
Status: erfasst</a:t>
          </a:fld>
        </a:p>
      </xdr:txBody>
    </xdr:sp>
    <xdr:clientData/>
  </xdr:absoluteAnchor>
  <xdr:absoluteAnchor>
    <xdr:pos x="6457950" y="14687550"/>
    <xdr:ext cx="1676400" cy="666750"/>
    <xdr:sp macro="" textlink="Komponenten!$M$61">
      <xdr:nvSpPr>
        <xdr:cNvPr id="29" name="Organigramm 29"/>
        <xdr:cNvSpPr/>
      </xdr:nvSpPr>
      <xdr:spPr>
        <a:xfrm>
          <a:off x="64579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8113-1B1B-4E4E-9A9A-0000002E57D5}" type="TxLink">
            <a:rPr lang="de-DE" sz="800" b="0">
              <a:solidFill>
                <a:srgbClr val="404040"/>
              </a:solidFill>
              <a:latin typeface="Arial"/>
            </a:rPr>
            <a:pPr algn="ctr"/>
            <a:t>Belegungsdetektion
5 Anforderungen · 1/5 erfüllt
Status: erfasst</a:t>
          </a:fld>
        </a:p>
      </xdr:txBody>
    </xdr:sp>
    <xdr:clientData/>
  </xdr:absoluteAnchor>
  <xdr:absoluteAnchor>
    <xdr:pos x="6457950" y="15449550"/>
    <xdr:ext cx="1676400" cy="666750"/>
    <xdr:sp macro="" textlink="Komponenten!$M$62">
      <xdr:nvSpPr>
        <xdr:cNvPr id="30" name="Organigramm 30"/>
        <xdr:cNvSpPr/>
      </xdr:nvSpPr>
      <xdr:spPr>
        <a:xfrm>
          <a:off x="64579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A002-1B1B-4E4E-9A9A-0000002FF0EE}" type="TxLink">
            <a:rPr lang="de-DE" sz="800" b="0">
              <a:solidFill>
                <a:srgbClr val="404040"/>
              </a:solidFill>
              <a:latin typeface="Arial"/>
            </a:rPr>
            <a:pPr algn="ctr"/>
            <a:t>Dynamische Anzeige
12 Anforderungen · 2/12 erfüllt
Status: erfasst</a:t>
          </a:fld>
        </a:p>
      </xdr:txBody>
    </xdr:sp>
    <xdr:clientData/>
  </xdr:absoluteAnchor>
  <xdr:absoluteAnchor>
    <xdr:pos x="6457950" y="16211550"/>
    <xdr:ext cx="1676400" cy="666750"/>
    <xdr:sp macro="" textlink="Komponenten!$M$63">
      <xdr:nvSpPr>
        <xdr:cNvPr id="31" name="Organigramm 31"/>
        <xdr:cNvSpPr/>
      </xdr:nvSpPr>
      <xdr:spPr>
        <a:xfrm>
          <a:off x="64579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BEF1-1B1B-4E4E-9A9A-000000318A07}" type="TxLink">
            <a:rPr lang="de-DE" sz="800" b="0">
              <a:solidFill>
                <a:srgbClr val="404040"/>
              </a:solidFill>
              <a:latin typeface="Arial"/>
            </a:rPr>
            <a:pPr algn="ctr"/>
            <a:t>Kennzeichenerfassung
8 Anforderungen · 0/8 erfüllt
Status: erfasst</a:t>
          </a:fld>
        </a:p>
      </xdr:txBody>
    </xdr:sp>
    <xdr:clientData/>
  </xdr:absoluteAnchor>
  <xdr:absoluteAnchor>
    <xdr:pos x="6457950" y="16973550"/>
    <xdr:ext cx="1676400" cy="666750"/>
    <xdr:sp macro="" textlink="Komponenten!$M$64">
      <xdr:nvSpPr>
        <xdr:cNvPr id="32" name="Organigramm 32"/>
        <xdr:cNvSpPr/>
      </xdr:nvSpPr>
      <xdr:spPr>
        <a:xfrm>
          <a:off x="64579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DDE0-1B1B-4E4E-9A9A-000000332320}" type="TxLink">
            <a:rPr lang="de-DE" sz="800" b="0">
              <a:solidFill>
                <a:srgbClr val="404040"/>
              </a:solidFill>
              <a:latin typeface="Arial"/>
            </a:rPr>
            <a:pPr algn="ctr"/>
            <a:t>Pönalisierungssystem
35 Anforderungen · 0/35 erfüllt
Status: erfasst</a:t>
          </a:fld>
        </a:p>
      </xdr:txBody>
    </xdr:sp>
    <xdr:clientData/>
  </xdr:absoluteAnchor>
  <xdr:absoluteAnchor>
    <xdr:pos x="6457950" y="17735550"/>
    <xdr:ext cx="1676400" cy="666750"/>
    <xdr:sp macro="" textlink="Komponenten!$M$65">
      <xdr:nvSpPr>
        <xdr:cNvPr id="33" name="Organigramm 33"/>
        <xdr:cNvSpPr/>
      </xdr:nvSpPr>
      <xdr:spPr>
        <a:xfrm>
          <a:off x="6457950" y="17735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FCCF-1B1B-4E4E-9A9A-00000034BC39}" type="TxLink">
            <a:rPr lang="de-DE" sz="800" b="0">
              <a:solidFill>
                <a:srgbClr val="404040"/>
              </a:solidFill>
              <a:latin typeface="Arial"/>
            </a:rPr>
            <a:pPr algn="ctr"/>
            <a:t>Schrankensteuerung
25 Anforderungen · 4/25 erfüllt
Status: erfasst</a:t>
          </a:fld>
        </a:p>
      </xdr:txBody>
    </xdr:sp>
    <xdr:clientData/>
  </xdr:absoluteAnchor>
  <xdr:absoluteAnchor>
    <xdr:pos x="8515350" y="14687550"/>
    <xdr:ext cx="1676400" cy="666750"/>
    <xdr:sp macro="" textlink="Komponenten!$M$66">
      <xdr:nvSpPr>
        <xdr:cNvPr id="34" name="Organigramm 34"/>
        <xdr:cNvSpPr/>
      </xdr:nvSpPr>
      <xdr:spPr>
        <a:xfrm>
          <a:off x="85153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1BBE-1B1B-4E4E-9A9A-000000365552}" type="TxLink">
            <a:rPr lang="de-DE" sz="800" b="0">
              <a:solidFill>
                <a:srgbClr val="404040"/>
              </a:solidFill>
              <a:latin typeface="Arial"/>
            </a:rPr>
            <a:pPr algn="ctr"/>
            <a:t>Schrankenanlage
23 Anforderungen · 2/23 erfüllt
Status: erfasst</a:t>
          </a:fld>
        </a:p>
      </xdr:txBody>
    </xdr:sp>
    <xdr:clientData/>
  </xdr:absoluteAnchor>
  <xdr:absoluteAnchor>
    <xdr:pos x="10572750" y="14687550"/>
    <xdr:ext cx="1676400" cy="666750"/>
    <xdr:sp macro="" textlink="Komponenten!$M$67">
      <xdr:nvSpPr>
        <xdr:cNvPr id="35" name="Organigramm 35"/>
        <xdr:cNvSpPr/>
      </xdr:nvSpPr>
      <xdr:spPr>
        <a:xfrm>
          <a:off x="10572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3AAD-1B1B-4E4E-9A9A-00000037EE6B}" type="TxLink">
            <a:rPr lang="de-DE" sz="800" b="0">
              <a:solidFill>
                <a:srgbClr val="404040"/>
              </a:solidFill>
              <a:latin typeface="Arial"/>
            </a:rPr>
            <a:pPr algn="ctr"/>
            <a:t>Beschilderung
11 Anforderungen · 0/11 erfüllt
Status: erfasst</a:t>
          </a:fld>
        </a:p>
      </xdr:txBody>
    </xdr:sp>
    <xdr:clientData/>
  </xdr:absoluteAnchor>
  <xdr:absoluteAnchor>
    <xdr:pos x="12630150" y="14687550"/>
    <xdr:ext cx="1676400" cy="666750"/>
    <xdr:sp macro="" textlink="Komponenten!$M$68">
      <xdr:nvSpPr>
        <xdr:cNvPr id="36" name="Organigramm 36"/>
        <xdr:cNvSpPr/>
      </xdr:nvSpPr>
      <xdr:spPr>
        <a:xfrm>
          <a:off x="12630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599C-1B1B-4E4E-9A9A-000000398784}" type="TxLink">
            <a:rPr lang="de-DE" sz="700" b="0">
              <a:solidFill>
                <a:srgbClr val="404040"/>
              </a:solidFill>
              <a:latin typeface="Arial"/>
            </a:rPr>
            <a:pPr algn="ctr"/>
            <a:t>OCPI Buchungskalender / Abrechnungskomponente / Belegungsdetektion / Pönalisierungssystem
1 Anforderung · 0/1 erfüllt
Status: erfasst</a:t>
          </a:fld>
        </a:p>
      </xdr:txBody>
    </xdr:sp>
    <xdr:clientData/>
  </xdr:absoluteAnchor>
  <xdr:absoluteAnchor>
    <xdr:pos x="12630150" y="15449550"/>
    <xdr:ext cx="1676400" cy="666750"/>
    <xdr:sp macro="" textlink="Komponenten!$M$69">
      <xdr:nvSpPr>
        <xdr:cNvPr id="37" name="Organigramm 37"/>
        <xdr:cNvSpPr/>
      </xdr:nvSpPr>
      <xdr:spPr>
        <a:xfrm>
          <a:off x="12630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788B-1B1B-4E4E-9A9A-0000003B209D}" type="TxLink">
            <a:rPr lang="de-DE" sz="800" b="0">
              <a:solidFill>
                <a:srgbClr val="404040"/>
              </a:solidFill>
              <a:latin typeface="Arial"/>
            </a:rPr>
            <a:pPr algn="ctr"/>
            <a:t>OCPI Buchungskalender / Dynamische Anzeige
5 Anforderungen · 1/5 erfüllt
Status: erfasst</a:t>
          </a:fld>
        </a:p>
      </xdr:txBody>
    </xdr:sp>
    <xdr:clientData/>
  </xdr:absoluteAnchor>
  <xdr:absoluteAnchor>
    <xdr:pos x="12630150" y="16211550"/>
    <xdr:ext cx="1676400" cy="666750"/>
    <xdr:sp macro="" textlink="Komponenten!$M$70">
      <xdr:nvSpPr>
        <xdr:cNvPr id="38" name="Organigramm 38"/>
        <xdr:cNvSpPr/>
      </xdr:nvSpPr>
      <xdr:spPr>
        <a:xfrm>
          <a:off x="12630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977A-1B1B-4E4E-9A9A-0000003CB9B6}" type="TxLink">
            <a:rPr lang="de-DE" sz="700" b="0">
              <a:solidFill>
                <a:srgbClr val="404040"/>
              </a:solidFill>
              <a:latin typeface="Arial"/>
            </a:rPr>
            <a:pPr algn="ctr"/>
            <a:t>OCPI Buchungskalender / Kennzeichenerfassung / Pönalisierungssystem
2 Anforderungen · 0/2 erfüllt
Status: erfasst</a:t>
          </a:fld>
        </a:p>
      </xdr:txBody>
    </xdr:sp>
    <xdr:clientData/>
  </xdr:absoluteAnchor>
  <xdr:absoluteAnchor>
    <xdr:pos x="12630150" y="16973550"/>
    <xdr:ext cx="1676400" cy="666750"/>
    <xdr:sp macro="" textlink="Komponenten!$M$71">
      <xdr:nvSpPr>
        <xdr:cNvPr id="39" name="Organigramm 39"/>
        <xdr:cNvSpPr/>
      </xdr:nvSpPr>
      <xdr:spPr>
        <a:xfrm>
          <a:off x="12630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B669-1B1B-4E4E-9A9A-0000003E52CF}" type="TxLink">
            <a:rPr lang="de-DE" sz="700" b="0">
              <a:solidFill>
                <a:srgbClr val="404040"/>
              </a:solidFill>
              <a:latin typeface="Arial"/>
            </a:rPr>
            <a:pPr algn="ctr"/>
            <a:t>Authentifizierungskomponente / Schrankensteuerung
8 Anforderungen · 1/8 erfüllt
Status: erfasst</a:t>
          </a:fld>
        </a:p>
      </xdr:txBody>
    </xdr:sp>
    <xdr:clientData/>
  </xdr:absoluteAnchor>
  <xdr:absoluteAnchor>
    <xdr:pos x="7172325" y="12306300"/>
    <xdr:ext cx="19050" cy="161925"/>
    <xdr:sp macro="">
      <xdr:nvSpPr>
        <xdr:cNvPr id="40" name="Verbinder 40"/>
        <xdr:cNvSpPr/>
      </xdr:nvSpPr>
      <xdr:spPr>
        <a:xfrm>
          <a:off x="7172325" y="12306300"/>
          <a:ext cx="19050" cy="161925"/>
        </a:xfrm>
        <a:prstGeom prst="rect">
          <a:avLst/>
        </a:prstGeom>
        <a:solidFill>
          <a:srgbClr val="8EA9DB"/>
        </a:solidFill>
        <a:ln>
          <a:noFill/>
        </a:ln>
      </xdr:spPr>
      <xdr:txBody>
        <a:bodyPr/>
        <a:lstStyle/>
        <a:p>
          <a:endParaRPr lang="de-DE"/>
        </a:p>
      </xdr:txBody>
    </xdr:sp>
    <xdr:clientData/>
  </xdr:absoluteAnchor>
  <xdr:absoluteAnchor>
    <xdr:pos x="1009650" y="12458700"/>
    <xdr:ext cx="12344400" cy="19050"/>
    <xdr:sp macro="">
      <xdr:nvSpPr>
        <xdr:cNvPr id="41" name="Verbinder 41"/>
        <xdr:cNvSpPr/>
      </xdr:nvSpPr>
      <xdr:spPr>
        <a:xfrm>
          <a:off x="1009650" y="12458700"/>
          <a:ext cx="12344400" cy="19050"/>
        </a:xfrm>
        <a:prstGeom prst="rect">
          <a:avLst/>
        </a:prstGeom>
        <a:solidFill>
          <a:srgbClr val="8EA9DB"/>
        </a:solidFill>
        <a:ln>
          <a:noFill/>
        </a:ln>
      </xdr:spPr>
      <xdr:txBody>
        <a:bodyPr/>
        <a:lstStyle/>
        <a:p>
          <a:endParaRPr lang="de-DE"/>
        </a:p>
      </xdr:txBody>
    </xdr:sp>
    <xdr:clientData/>
  </xdr:absoluteAnchor>
  <xdr:absoluteAnchor>
    <xdr:pos x="1000125" y="12468225"/>
    <xdr:ext cx="19050" cy="161925"/>
    <xdr:sp macro="">
      <xdr:nvSpPr>
        <xdr:cNvPr id="42" name="Verbinder 42"/>
        <xdr:cNvSpPr/>
      </xdr:nvSpPr>
      <xdr:spPr>
        <a:xfrm>
          <a:off x="1000125" y="12468225"/>
          <a:ext cx="19050" cy="161925"/>
        </a:xfrm>
        <a:prstGeom prst="rect">
          <a:avLst/>
        </a:prstGeom>
        <a:solidFill>
          <a:srgbClr val="8EA9DB"/>
        </a:solidFill>
        <a:ln>
          <a:noFill/>
        </a:ln>
      </xdr:spPr>
      <xdr:txBody>
        <a:bodyPr/>
        <a:lstStyle/>
        <a:p>
          <a:endParaRPr lang="de-DE"/>
        </a:p>
      </xdr:txBody>
    </xdr:sp>
    <xdr:clientData/>
  </xdr:absoluteAnchor>
  <xdr:absoluteAnchor>
    <xdr:pos x="3057525" y="12468225"/>
    <xdr:ext cx="19050" cy="161925"/>
    <xdr:sp macro="">
      <xdr:nvSpPr>
        <xdr:cNvPr id="43" name="Verbinder 43"/>
        <xdr:cNvSpPr/>
      </xdr:nvSpPr>
      <xdr:spPr>
        <a:xfrm>
          <a:off x="3057525" y="12468225"/>
          <a:ext cx="19050" cy="161925"/>
        </a:xfrm>
        <a:prstGeom prst="rect">
          <a:avLst/>
        </a:prstGeom>
        <a:solidFill>
          <a:srgbClr val="8EA9DB"/>
        </a:solidFill>
        <a:ln>
          <a:noFill/>
        </a:ln>
      </xdr:spPr>
      <xdr:txBody>
        <a:bodyPr/>
        <a:lstStyle/>
        <a:p>
          <a:endParaRPr lang="de-DE"/>
        </a:p>
      </xdr:txBody>
    </xdr:sp>
    <xdr:clientData/>
  </xdr:absoluteAnchor>
  <xdr:absoluteAnchor>
    <xdr:pos x="7172325" y="12468225"/>
    <xdr:ext cx="19050" cy="161925"/>
    <xdr:sp macro="">
      <xdr:nvSpPr>
        <xdr:cNvPr id="44" name="Verbinder 44"/>
        <xdr:cNvSpPr/>
      </xdr:nvSpPr>
      <xdr:spPr>
        <a:xfrm>
          <a:off x="7172325" y="12468225"/>
          <a:ext cx="19050" cy="161925"/>
        </a:xfrm>
        <a:prstGeom prst="rect">
          <a:avLst/>
        </a:prstGeom>
        <a:solidFill>
          <a:srgbClr val="8EA9DB"/>
        </a:solidFill>
        <a:ln>
          <a:noFill/>
        </a:ln>
      </xdr:spPr>
      <xdr:txBody>
        <a:bodyPr/>
        <a:lstStyle/>
        <a:p>
          <a:endParaRPr lang="de-DE"/>
        </a:p>
      </xdr:txBody>
    </xdr:sp>
    <xdr:clientData/>
  </xdr:absoluteAnchor>
  <xdr:absoluteAnchor>
    <xdr:pos x="11287125" y="12468225"/>
    <xdr:ext cx="19050" cy="161925"/>
    <xdr:sp macro="">
      <xdr:nvSpPr>
        <xdr:cNvPr id="45" name="Verbinder 45"/>
        <xdr:cNvSpPr/>
      </xdr:nvSpPr>
      <xdr:spPr>
        <a:xfrm>
          <a:off x="11287125" y="12468225"/>
          <a:ext cx="19050" cy="161925"/>
        </a:xfrm>
        <a:prstGeom prst="rect">
          <a:avLst/>
        </a:prstGeom>
        <a:solidFill>
          <a:srgbClr val="8EA9DB"/>
        </a:solidFill>
        <a:ln>
          <a:noFill/>
        </a:ln>
      </xdr:spPr>
      <xdr:txBody>
        <a:bodyPr/>
        <a:lstStyle/>
        <a:p>
          <a:endParaRPr lang="de-DE"/>
        </a:p>
      </xdr:txBody>
    </xdr:sp>
    <xdr:clientData/>
  </xdr:absoluteAnchor>
  <xdr:absoluteAnchor>
    <xdr:pos x="13344525" y="12468225"/>
    <xdr:ext cx="19050" cy="161925"/>
    <xdr:sp macro="">
      <xdr:nvSpPr>
        <xdr:cNvPr id="46" name="Verbinder 46"/>
        <xdr:cNvSpPr/>
      </xdr:nvSpPr>
      <xdr:spPr>
        <a:xfrm>
          <a:off x="13344525" y="12468225"/>
          <a:ext cx="19050" cy="161925"/>
        </a:xfrm>
        <a:prstGeom prst="rect">
          <a:avLst/>
        </a:prstGeom>
        <a:solidFill>
          <a:srgbClr val="8EA9DB"/>
        </a:solidFill>
        <a:ln>
          <a:noFill/>
        </a:ln>
      </xdr:spPr>
      <xdr:txBody>
        <a:bodyPr/>
        <a:lstStyle/>
        <a:p>
          <a:endParaRPr lang="de-DE"/>
        </a:p>
      </xdr:txBody>
    </xdr:sp>
    <xdr:clientData/>
  </xdr:absoluteAnchor>
  <xdr:absoluteAnchor>
    <xdr:pos x="1000125" y="13087350"/>
    <xdr:ext cx="19050" cy="152400"/>
    <xdr:sp macro="">
      <xdr:nvSpPr>
        <xdr:cNvPr id="47" name="Verbinder 47"/>
        <xdr:cNvSpPr/>
      </xdr:nvSpPr>
      <xdr:spPr>
        <a:xfrm>
          <a:off x="1000125" y="13087350"/>
          <a:ext cx="19050" cy="152400"/>
        </a:xfrm>
        <a:prstGeom prst="rect">
          <a:avLst/>
        </a:prstGeom>
        <a:solidFill>
          <a:srgbClr val="8EA9DB"/>
        </a:solidFill>
        <a:ln>
          <a:noFill/>
        </a:ln>
      </xdr:spPr>
      <xdr:txBody>
        <a:bodyPr/>
        <a:lstStyle/>
        <a:p>
          <a:endParaRPr lang="de-DE"/>
        </a:p>
      </xdr:txBody>
    </xdr:sp>
    <xdr:clientData/>
  </xdr:absoluteAnchor>
  <xdr:absoluteAnchor>
    <xdr:pos x="1000125" y="13239750"/>
    <xdr:ext cx="19050" cy="152400"/>
    <xdr:sp macro="">
      <xdr:nvSpPr>
        <xdr:cNvPr id="48" name="Verbinder 48"/>
        <xdr:cNvSpPr/>
      </xdr:nvSpPr>
      <xdr:spPr>
        <a:xfrm>
          <a:off x="1000125" y="13239750"/>
          <a:ext cx="19050" cy="152400"/>
        </a:xfrm>
        <a:prstGeom prst="rect">
          <a:avLst/>
        </a:prstGeom>
        <a:solidFill>
          <a:srgbClr val="8EA9DB"/>
        </a:solidFill>
        <a:ln>
          <a:noFill/>
        </a:ln>
      </xdr:spPr>
      <xdr:txBody>
        <a:bodyPr/>
        <a:lstStyle/>
        <a:p>
          <a:endParaRPr lang="de-DE"/>
        </a:p>
      </xdr:txBody>
    </xdr:sp>
    <xdr:clientData/>
  </xdr:absoluteAnchor>
  <xdr:absoluteAnchor>
    <xdr:pos x="3057525" y="13087350"/>
    <xdr:ext cx="19050" cy="152400"/>
    <xdr:sp macro="">
      <xdr:nvSpPr>
        <xdr:cNvPr id="49" name="Verbinder 49"/>
        <xdr:cNvSpPr/>
      </xdr:nvSpPr>
      <xdr:spPr>
        <a:xfrm>
          <a:off x="3057525" y="13087350"/>
          <a:ext cx="19050" cy="152400"/>
        </a:xfrm>
        <a:prstGeom prst="rect">
          <a:avLst/>
        </a:prstGeom>
        <a:solidFill>
          <a:srgbClr val="8EA9DB"/>
        </a:solidFill>
        <a:ln>
          <a:noFill/>
        </a:ln>
      </xdr:spPr>
      <xdr:txBody>
        <a:bodyPr/>
        <a:lstStyle/>
        <a:p>
          <a:endParaRPr lang="de-DE"/>
        </a:p>
      </xdr:txBody>
    </xdr:sp>
    <xdr:clientData/>
  </xdr:absoluteAnchor>
  <xdr:absoluteAnchor>
    <xdr:pos x="3057525" y="13239750"/>
    <xdr:ext cx="19050" cy="152400"/>
    <xdr:sp macro="">
      <xdr:nvSpPr>
        <xdr:cNvPr id="50" name="Verbinder 50"/>
        <xdr:cNvSpPr/>
      </xdr:nvSpPr>
      <xdr:spPr>
        <a:xfrm>
          <a:off x="30575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087350"/>
    <xdr:ext cx="19050" cy="152400"/>
    <xdr:sp macro="">
      <xdr:nvSpPr>
        <xdr:cNvPr id="51" name="Verbinder 51"/>
        <xdr:cNvSpPr/>
      </xdr:nvSpPr>
      <xdr:spPr>
        <a:xfrm>
          <a:off x="7172325" y="13087350"/>
          <a:ext cx="19050" cy="152400"/>
        </a:xfrm>
        <a:prstGeom prst="rect">
          <a:avLst/>
        </a:prstGeom>
        <a:solidFill>
          <a:srgbClr val="8EA9DB"/>
        </a:solidFill>
        <a:ln>
          <a:noFill/>
        </a:ln>
      </xdr:spPr>
      <xdr:txBody>
        <a:bodyPr/>
        <a:lstStyle/>
        <a:p>
          <a:endParaRPr lang="de-DE"/>
        </a:p>
      </xdr:txBody>
    </xdr:sp>
    <xdr:clientData/>
  </xdr:absoluteAnchor>
  <xdr:absoluteAnchor>
    <xdr:pos x="5124450" y="13230225"/>
    <xdr:ext cx="4114800" cy="19050"/>
    <xdr:sp macro="">
      <xdr:nvSpPr>
        <xdr:cNvPr id="52" name="Verbinder 52"/>
        <xdr:cNvSpPr/>
      </xdr:nvSpPr>
      <xdr:spPr>
        <a:xfrm>
          <a:off x="5124450" y="13230225"/>
          <a:ext cx="4114800" cy="19050"/>
        </a:xfrm>
        <a:prstGeom prst="rect">
          <a:avLst/>
        </a:prstGeom>
        <a:solidFill>
          <a:srgbClr val="8EA9DB"/>
        </a:solidFill>
        <a:ln>
          <a:noFill/>
        </a:ln>
      </xdr:spPr>
      <xdr:txBody>
        <a:bodyPr/>
        <a:lstStyle/>
        <a:p>
          <a:endParaRPr lang="de-DE"/>
        </a:p>
      </xdr:txBody>
    </xdr:sp>
    <xdr:clientData/>
  </xdr:absoluteAnchor>
  <xdr:absoluteAnchor>
    <xdr:pos x="5114925" y="13239750"/>
    <xdr:ext cx="19050" cy="152400"/>
    <xdr:sp macro="">
      <xdr:nvSpPr>
        <xdr:cNvPr id="53" name="Verbinder 53"/>
        <xdr:cNvSpPr/>
      </xdr:nvSpPr>
      <xdr:spPr>
        <a:xfrm>
          <a:off x="51149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239750"/>
    <xdr:ext cx="19050" cy="152400"/>
    <xdr:sp macro="">
      <xdr:nvSpPr>
        <xdr:cNvPr id="54" name="Verbinder 54"/>
        <xdr:cNvSpPr/>
      </xdr:nvSpPr>
      <xdr:spPr>
        <a:xfrm>
          <a:off x="7172325" y="13239750"/>
          <a:ext cx="19050" cy="152400"/>
        </a:xfrm>
        <a:prstGeom prst="rect">
          <a:avLst/>
        </a:prstGeom>
        <a:solidFill>
          <a:srgbClr val="8EA9DB"/>
        </a:solidFill>
        <a:ln>
          <a:noFill/>
        </a:ln>
      </xdr:spPr>
      <xdr:txBody>
        <a:bodyPr/>
        <a:lstStyle/>
        <a:p>
          <a:endParaRPr lang="de-DE"/>
        </a:p>
      </xdr:txBody>
    </xdr:sp>
    <xdr:clientData/>
  </xdr:absoluteAnchor>
  <xdr:absoluteAnchor>
    <xdr:pos x="9229725" y="13239750"/>
    <xdr:ext cx="19050" cy="152400"/>
    <xdr:sp macro="">
      <xdr:nvSpPr>
        <xdr:cNvPr id="55" name="Verbinder 55"/>
        <xdr:cNvSpPr/>
      </xdr:nvSpPr>
      <xdr:spPr>
        <a:xfrm>
          <a:off x="9229725" y="13239750"/>
          <a:ext cx="19050" cy="152400"/>
        </a:xfrm>
        <a:prstGeom prst="rect">
          <a:avLst/>
        </a:prstGeom>
        <a:solidFill>
          <a:srgbClr val="8EA9DB"/>
        </a:solidFill>
        <a:ln>
          <a:noFill/>
        </a:ln>
      </xdr:spPr>
      <xdr:txBody>
        <a:bodyPr/>
        <a:lstStyle/>
        <a:p>
          <a:endParaRPr lang="de-DE"/>
        </a:p>
      </xdr:txBody>
    </xdr:sp>
    <xdr:clientData/>
  </xdr:absoluteAnchor>
  <xdr:absoluteAnchor>
    <xdr:pos x="11287125" y="13087350"/>
    <xdr:ext cx="19050" cy="152400"/>
    <xdr:sp macro="">
      <xdr:nvSpPr>
        <xdr:cNvPr id="56" name="Verbinder 56"/>
        <xdr:cNvSpPr/>
      </xdr:nvSpPr>
      <xdr:spPr>
        <a:xfrm>
          <a:off x="11287125" y="13087350"/>
          <a:ext cx="19050" cy="152400"/>
        </a:xfrm>
        <a:prstGeom prst="rect">
          <a:avLst/>
        </a:prstGeom>
        <a:solidFill>
          <a:srgbClr val="8EA9DB"/>
        </a:solidFill>
        <a:ln>
          <a:noFill/>
        </a:ln>
      </xdr:spPr>
      <xdr:txBody>
        <a:bodyPr/>
        <a:lstStyle/>
        <a:p>
          <a:endParaRPr lang="de-DE"/>
        </a:p>
      </xdr:txBody>
    </xdr:sp>
    <xdr:clientData/>
  </xdr:absoluteAnchor>
  <xdr:absoluteAnchor>
    <xdr:pos x="11287125" y="13239750"/>
    <xdr:ext cx="19050" cy="152400"/>
    <xdr:sp macro="">
      <xdr:nvSpPr>
        <xdr:cNvPr id="57" name="Verbinder 57"/>
        <xdr:cNvSpPr/>
      </xdr:nvSpPr>
      <xdr:spPr>
        <a:xfrm>
          <a:off x="11287125" y="13239750"/>
          <a:ext cx="19050" cy="152400"/>
        </a:xfrm>
        <a:prstGeom prst="rect">
          <a:avLst/>
        </a:prstGeom>
        <a:solidFill>
          <a:srgbClr val="8EA9DB"/>
        </a:solidFill>
        <a:ln>
          <a:noFill/>
        </a:ln>
      </xdr:spPr>
      <xdr:txBody>
        <a:bodyPr/>
        <a:lstStyle/>
        <a:p>
          <a:endParaRPr lang="de-DE"/>
        </a:p>
      </xdr:txBody>
    </xdr:sp>
    <xdr:clientData/>
  </xdr:absoluteAnchor>
  <xdr:absoluteAnchor>
    <xdr:pos x="13344525" y="13087350"/>
    <xdr:ext cx="19050" cy="152400"/>
    <xdr:sp macro="">
      <xdr:nvSpPr>
        <xdr:cNvPr id="58" name="Verbinder 58"/>
        <xdr:cNvSpPr/>
      </xdr:nvSpPr>
      <xdr:spPr>
        <a:xfrm>
          <a:off x="13344525" y="13087350"/>
          <a:ext cx="19050" cy="152400"/>
        </a:xfrm>
        <a:prstGeom prst="rect">
          <a:avLst/>
        </a:prstGeom>
        <a:solidFill>
          <a:srgbClr val="8EA9DB"/>
        </a:solidFill>
        <a:ln>
          <a:noFill/>
        </a:ln>
      </xdr:spPr>
      <xdr:txBody>
        <a:bodyPr/>
        <a:lstStyle/>
        <a:p>
          <a:endParaRPr lang="de-DE"/>
        </a:p>
      </xdr:txBody>
    </xdr:sp>
    <xdr:clientData/>
  </xdr:absoluteAnchor>
  <xdr:absoluteAnchor>
    <xdr:pos x="13344525" y="13239750"/>
    <xdr:ext cx="19050" cy="152400"/>
    <xdr:sp macro="">
      <xdr:nvSpPr>
        <xdr:cNvPr id="59" name="Verbinder 59"/>
        <xdr:cNvSpPr/>
      </xdr:nvSpPr>
      <xdr:spPr>
        <a:xfrm>
          <a:off x="13344525" y="13239750"/>
          <a:ext cx="19050" cy="152400"/>
        </a:xfrm>
        <a:prstGeom prst="rect">
          <a:avLst/>
        </a:prstGeom>
        <a:solidFill>
          <a:srgbClr val="8EA9DB"/>
        </a:solidFill>
        <a:ln>
          <a:noFill/>
        </a:ln>
      </xdr:spPr>
      <xdr:txBody>
        <a:bodyPr/>
        <a:lstStyle/>
        <a:p>
          <a:endParaRPr lang="de-DE"/>
        </a:p>
      </xdr:txBody>
    </xdr:sp>
    <xdr:clientData/>
  </xdr:absoluteAnchor>
  <xdr:absoluteAnchor>
    <xdr:pos x="1000125" y="13849350"/>
    <xdr:ext cx="19050" cy="152400"/>
    <xdr:sp macro="">
      <xdr:nvSpPr>
        <xdr:cNvPr id="60" name="Verbinder 60"/>
        <xdr:cNvSpPr/>
      </xdr:nvSpPr>
      <xdr:spPr>
        <a:xfrm>
          <a:off x="1000125" y="13849350"/>
          <a:ext cx="19050" cy="152400"/>
        </a:xfrm>
        <a:prstGeom prst="rect">
          <a:avLst/>
        </a:prstGeom>
        <a:solidFill>
          <a:srgbClr val="8EA9DB"/>
        </a:solidFill>
        <a:ln>
          <a:noFill/>
        </a:ln>
      </xdr:spPr>
      <xdr:txBody>
        <a:bodyPr/>
        <a:lstStyle/>
        <a:p>
          <a:endParaRPr lang="de-DE"/>
        </a:p>
      </xdr:txBody>
    </xdr:sp>
    <xdr:clientData/>
  </xdr:absoluteAnchor>
  <xdr:absoluteAnchor>
    <xdr:pos x="1000125" y="14001750"/>
    <xdr:ext cx="19050" cy="152400"/>
    <xdr:sp macro="">
      <xdr:nvSpPr>
        <xdr:cNvPr id="61" name="Verbinder 61"/>
        <xdr:cNvSpPr/>
      </xdr:nvSpPr>
      <xdr:spPr>
        <a:xfrm>
          <a:off x="1000125" y="14001750"/>
          <a:ext cx="19050" cy="152400"/>
        </a:xfrm>
        <a:prstGeom prst="rect">
          <a:avLst/>
        </a:prstGeom>
        <a:solidFill>
          <a:srgbClr val="8EA9DB"/>
        </a:solidFill>
        <a:ln>
          <a:noFill/>
        </a:ln>
      </xdr:spPr>
      <xdr:txBody>
        <a:bodyPr/>
        <a:lstStyle/>
        <a:p>
          <a:endParaRPr lang="de-DE"/>
        </a:p>
      </xdr:txBody>
    </xdr:sp>
    <xdr:clientData/>
  </xdr:absoluteAnchor>
  <xdr:absoluteAnchor>
    <xdr:pos x="3057525" y="13849350"/>
    <xdr:ext cx="19050" cy="152400"/>
    <xdr:sp macro="">
      <xdr:nvSpPr>
        <xdr:cNvPr id="62" name="Verbinder 62"/>
        <xdr:cNvSpPr/>
      </xdr:nvSpPr>
      <xdr:spPr>
        <a:xfrm>
          <a:off x="3057525" y="13849350"/>
          <a:ext cx="19050" cy="152400"/>
        </a:xfrm>
        <a:prstGeom prst="rect">
          <a:avLst/>
        </a:prstGeom>
        <a:solidFill>
          <a:srgbClr val="8EA9DB"/>
        </a:solidFill>
        <a:ln>
          <a:noFill/>
        </a:ln>
      </xdr:spPr>
      <xdr:txBody>
        <a:bodyPr/>
        <a:lstStyle/>
        <a:p>
          <a:endParaRPr lang="de-DE"/>
        </a:p>
      </xdr:txBody>
    </xdr:sp>
    <xdr:clientData/>
  </xdr:absoluteAnchor>
  <xdr:absoluteAnchor>
    <xdr:pos x="3057525" y="14001750"/>
    <xdr:ext cx="19050" cy="152400"/>
    <xdr:sp macro="">
      <xdr:nvSpPr>
        <xdr:cNvPr id="63" name="Verbinder 63"/>
        <xdr:cNvSpPr/>
      </xdr:nvSpPr>
      <xdr:spPr>
        <a:xfrm>
          <a:off x="3057525" y="14001750"/>
          <a:ext cx="19050" cy="152400"/>
        </a:xfrm>
        <a:prstGeom prst="rect">
          <a:avLst/>
        </a:prstGeom>
        <a:solidFill>
          <a:srgbClr val="8EA9DB"/>
        </a:solidFill>
        <a:ln>
          <a:noFill/>
        </a:ln>
      </xdr:spPr>
      <xdr:txBody>
        <a:bodyPr/>
        <a:lstStyle/>
        <a:p>
          <a:endParaRPr lang="de-DE"/>
        </a:p>
      </xdr:txBody>
    </xdr:sp>
    <xdr:clientData/>
  </xdr:absoluteAnchor>
  <xdr:absoluteAnchor>
    <xdr:pos x="5114925" y="13849350"/>
    <xdr:ext cx="19050" cy="152400"/>
    <xdr:sp macro="">
      <xdr:nvSpPr>
        <xdr:cNvPr id="64" name="Verbinder 64"/>
        <xdr:cNvSpPr/>
      </xdr:nvSpPr>
      <xdr:spPr>
        <a:xfrm>
          <a:off x="5114925" y="13849350"/>
          <a:ext cx="19050" cy="152400"/>
        </a:xfrm>
        <a:prstGeom prst="rect">
          <a:avLst/>
        </a:prstGeom>
        <a:solidFill>
          <a:srgbClr val="8EA9DB"/>
        </a:solidFill>
        <a:ln>
          <a:noFill/>
        </a:ln>
      </xdr:spPr>
      <xdr:txBody>
        <a:bodyPr/>
        <a:lstStyle/>
        <a:p>
          <a:endParaRPr lang="de-DE"/>
        </a:p>
      </xdr:txBody>
    </xdr:sp>
    <xdr:clientData/>
  </xdr:absoluteAnchor>
  <xdr:absoluteAnchor>
    <xdr:pos x="5114925" y="14001750"/>
    <xdr:ext cx="19050" cy="152400"/>
    <xdr:sp macro="">
      <xdr:nvSpPr>
        <xdr:cNvPr id="65" name="Verbinder 65"/>
        <xdr:cNvSpPr/>
      </xdr:nvSpPr>
      <xdr:spPr>
        <a:xfrm>
          <a:off x="5114925" y="14001750"/>
          <a:ext cx="19050" cy="152400"/>
        </a:xfrm>
        <a:prstGeom prst="rect">
          <a:avLst/>
        </a:prstGeom>
        <a:solidFill>
          <a:srgbClr val="8EA9DB"/>
        </a:solidFill>
        <a:ln>
          <a:noFill/>
        </a:ln>
      </xdr:spPr>
      <xdr:txBody>
        <a:bodyPr/>
        <a:lstStyle/>
        <a:p>
          <a:endParaRPr lang="de-DE"/>
        </a:p>
      </xdr:txBody>
    </xdr:sp>
    <xdr:clientData/>
  </xdr:absoluteAnchor>
  <xdr:absoluteAnchor>
    <xdr:pos x="7172325" y="13849350"/>
    <xdr:ext cx="19050" cy="152400"/>
    <xdr:sp macro="">
      <xdr:nvSpPr>
        <xdr:cNvPr id="66" name="Verbinder 66"/>
        <xdr:cNvSpPr/>
      </xdr:nvSpPr>
      <xdr:spPr>
        <a:xfrm>
          <a:off x="7172325" y="13849350"/>
          <a:ext cx="19050" cy="152400"/>
        </a:xfrm>
        <a:prstGeom prst="rect">
          <a:avLst/>
        </a:prstGeom>
        <a:solidFill>
          <a:srgbClr val="8EA9DB"/>
        </a:solidFill>
        <a:ln>
          <a:noFill/>
        </a:ln>
      </xdr:spPr>
      <xdr:txBody>
        <a:bodyPr/>
        <a:lstStyle/>
        <a:p>
          <a:endParaRPr lang="de-DE"/>
        </a:p>
      </xdr:txBody>
    </xdr:sp>
    <xdr:clientData/>
  </xdr:absoluteAnchor>
  <xdr:absoluteAnchor>
    <xdr:pos x="7172325" y="14001750"/>
    <xdr:ext cx="19050" cy="152400"/>
    <xdr:sp macro="">
      <xdr:nvSpPr>
        <xdr:cNvPr id="67" name="Verbinder 67"/>
        <xdr:cNvSpPr/>
      </xdr:nvSpPr>
      <xdr:spPr>
        <a:xfrm>
          <a:off x="7172325" y="14001750"/>
          <a:ext cx="19050" cy="152400"/>
        </a:xfrm>
        <a:prstGeom prst="rect">
          <a:avLst/>
        </a:prstGeom>
        <a:solidFill>
          <a:srgbClr val="8EA9DB"/>
        </a:solidFill>
        <a:ln>
          <a:noFill/>
        </a:ln>
      </xdr:spPr>
      <xdr:txBody>
        <a:bodyPr/>
        <a:lstStyle/>
        <a:p>
          <a:endParaRPr lang="de-DE"/>
        </a:p>
      </xdr:txBody>
    </xdr:sp>
    <xdr:clientData/>
  </xdr:absoluteAnchor>
  <xdr:absoluteAnchor>
    <xdr:pos x="9229725" y="13849350"/>
    <xdr:ext cx="19050" cy="152400"/>
    <xdr:sp macro="">
      <xdr:nvSpPr>
        <xdr:cNvPr id="68" name="Verbinder 68"/>
        <xdr:cNvSpPr/>
      </xdr:nvSpPr>
      <xdr:spPr>
        <a:xfrm>
          <a:off x="9229725" y="13849350"/>
          <a:ext cx="19050" cy="152400"/>
        </a:xfrm>
        <a:prstGeom prst="rect">
          <a:avLst/>
        </a:prstGeom>
        <a:solidFill>
          <a:srgbClr val="8EA9DB"/>
        </a:solidFill>
        <a:ln>
          <a:noFill/>
        </a:ln>
      </xdr:spPr>
      <xdr:txBody>
        <a:bodyPr/>
        <a:lstStyle/>
        <a:p>
          <a:endParaRPr lang="de-DE"/>
        </a:p>
      </xdr:txBody>
    </xdr:sp>
    <xdr:clientData/>
  </xdr:absoluteAnchor>
  <xdr:absoluteAnchor>
    <xdr:pos x="9229725" y="14001750"/>
    <xdr:ext cx="19050" cy="152400"/>
    <xdr:sp macro="">
      <xdr:nvSpPr>
        <xdr:cNvPr id="69" name="Verbinder 69"/>
        <xdr:cNvSpPr/>
      </xdr:nvSpPr>
      <xdr:spPr>
        <a:xfrm>
          <a:off x="9229725" y="14001750"/>
          <a:ext cx="19050" cy="152400"/>
        </a:xfrm>
        <a:prstGeom prst="rect">
          <a:avLst/>
        </a:prstGeom>
        <a:solidFill>
          <a:srgbClr val="8EA9DB"/>
        </a:solidFill>
        <a:ln>
          <a:noFill/>
        </a:ln>
      </xdr:spPr>
      <xdr:txBody>
        <a:bodyPr/>
        <a:lstStyle/>
        <a:p>
          <a:endParaRPr lang="de-DE"/>
        </a:p>
      </xdr:txBody>
    </xdr:sp>
    <xdr:clientData/>
  </xdr:absoluteAnchor>
  <xdr:absoluteAnchor>
    <xdr:pos x="11287125" y="13849350"/>
    <xdr:ext cx="19050" cy="152400"/>
    <xdr:sp macro="">
      <xdr:nvSpPr>
        <xdr:cNvPr id="70" name="Verbinder 70"/>
        <xdr:cNvSpPr/>
      </xdr:nvSpPr>
      <xdr:spPr>
        <a:xfrm>
          <a:off x="11287125" y="13849350"/>
          <a:ext cx="19050" cy="152400"/>
        </a:xfrm>
        <a:prstGeom prst="rect">
          <a:avLst/>
        </a:prstGeom>
        <a:solidFill>
          <a:srgbClr val="8EA9DB"/>
        </a:solidFill>
        <a:ln>
          <a:noFill/>
        </a:ln>
      </xdr:spPr>
      <xdr:txBody>
        <a:bodyPr/>
        <a:lstStyle/>
        <a:p>
          <a:endParaRPr lang="de-DE"/>
        </a:p>
      </xdr:txBody>
    </xdr:sp>
    <xdr:clientData/>
  </xdr:absoluteAnchor>
  <xdr:absoluteAnchor>
    <xdr:pos x="11287125" y="14001750"/>
    <xdr:ext cx="19050" cy="152400"/>
    <xdr:sp macro="">
      <xdr:nvSpPr>
        <xdr:cNvPr id="71" name="Verbinder 71"/>
        <xdr:cNvSpPr/>
      </xdr:nvSpPr>
      <xdr:spPr>
        <a:xfrm>
          <a:off x="11287125" y="14001750"/>
          <a:ext cx="19050" cy="152400"/>
        </a:xfrm>
        <a:prstGeom prst="rect">
          <a:avLst/>
        </a:prstGeom>
        <a:solidFill>
          <a:srgbClr val="8EA9DB"/>
        </a:solidFill>
        <a:ln>
          <a:noFill/>
        </a:ln>
      </xdr:spPr>
      <xdr:txBody>
        <a:bodyPr/>
        <a:lstStyle/>
        <a:p>
          <a:endParaRPr lang="de-DE"/>
        </a:p>
      </xdr:txBody>
    </xdr:sp>
    <xdr:clientData/>
  </xdr:absoluteAnchor>
  <xdr:absoluteAnchor>
    <xdr:pos x="13344525" y="13849350"/>
    <xdr:ext cx="19050" cy="152400"/>
    <xdr:sp macro="">
      <xdr:nvSpPr>
        <xdr:cNvPr id="72" name="Verbinder 72"/>
        <xdr:cNvSpPr/>
      </xdr:nvSpPr>
      <xdr:spPr>
        <a:xfrm>
          <a:off x="13344525" y="13849350"/>
          <a:ext cx="19050" cy="152400"/>
        </a:xfrm>
        <a:prstGeom prst="rect">
          <a:avLst/>
        </a:prstGeom>
        <a:solidFill>
          <a:srgbClr val="8EA9DB"/>
        </a:solidFill>
        <a:ln>
          <a:noFill/>
        </a:ln>
      </xdr:spPr>
      <xdr:txBody>
        <a:bodyPr/>
        <a:lstStyle/>
        <a:p>
          <a:endParaRPr lang="de-DE"/>
        </a:p>
      </xdr:txBody>
    </xdr:sp>
    <xdr:clientData/>
  </xdr:absoluteAnchor>
  <xdr:absoluteAnchor>
    <xdr:pos x="13344525" y="14001750"/>
    <xdr:ext cx="19050" cy="152400"/>
    <xdr:sp macro="">
      <xdr:nvSpPr>
        <xdr:cNvPr id="73" name="Verbinder 73"/>
        <xdr:cNvSpPr/>
      </xdr:nvSpPr>
      <xdr:spPr>
        <a:xfrm>
          <a:off x="13344525" y="14001750"/>
          <a:ext cx="19050" cy="152400"/>
        </a:xfrm>
        <a:prstGeom prst="rect">
          <a:avLst/>
        </a:prstGeom>
        <a:solidFill>
          <a:srgbClr val="8EA9DB"/>
        </a:solidFill>
        <a:ln>
          <a:noFill/>
        </a:ln>
      </xdr:spPr>
      <xdr:txBody>
        <a:bodyPr/>
        <a:lstStyle/>
        <a:p>
          <a:endParaRPr lang="de-DE"/>
        </a:p>
      </xdr:txBody>
    </xdr:sp>
    <xdr:clientData/>
  </xdr:absoluteAnchor>
  <xdr:absoluteAnchor>
    <xdr:pos x="161925" y="14458950"/>
    <xdr:ext cx="19050" cy="561975"/>
    <xdr:sp macro="">
      <xdr:nvSpPr>
        <xdr:cNvPr id="74" name="Verbinder 74"/>
        <xdr:cNvSpPr/>
      </xdr:nvSpPr>
      <xdr:spPr>
        <a:xfrm>
          <a:off x="161925" y="14458950"/>
          <a:ext cx="19050" cy="561975"/>
        </a:xfrm>
        <a:prstGeom prst="rect">
          <a:avLst/>
        </a:prstGeom>
        <a:solidFill>
          <a:srgbClr val="8EA9DB"/>
        </a:solidFill>
        <a:ln>
          <a:noFill/>
        </a:ln>
      </xdr:spPr>
      <xdr:txBody>
        <a:bodyPr/>
        <a:lstStyle/>
        <a:p>
          <a:endParaRPr lang="de-DE"/>
        </a:p>
      </xdr:txBody>
    </xdr:sp>
    <xdr:clientData/>
  </xdr:absoluteAnchor>
  <xdr:absoluteAnchor>
    <xdr:pos x="171450" y="15011400"/>
    <xdr:ext cx="114300" cy="19050"/>
    <xdr:sp macro="">
      <xdr:nvSpPr>
        <xdr:cNvPr id="75" name="Verbinder 75"/>
        <xdr:cNvSpPr/>
      </xdr:nvSpPr>
      <xdr:spPr>
        <a:xfrm>
          <a:off x="171450" y="15011400"/>
          <a:ext cx="114300" cy="19050"/>
        </a:xfrm>
        <a:prstGeom prst="rect">
          <a:avLst/>
        </a:prstGeom>
        <a:solidFill>
          <a:srgbClr val="8EA9DB"/>
        </a:solidFill>
        <a:ln>
          <a:noFill/>
        </a:ln>
      </xdr:spPr>
      <xdr:txBody>
        <a:bodyPr/>
        <a:lstStyle/>
        <a:p>
          <a:endParaRPr lang="de-DE"/>
        </a:p>
      </xdr:txBody>
    </xdr:sp>
    <xdr:clientData/>
  </xdr:absoluteAnchor>
  <xdr:absoluteAnchor>
    <xdr:pos x="2219325" y="14458950"/>
    <xdr:ext cx="19050" cy="2847975"/>
    <xdr:sp macro="">
      <xdr:nvSpPr>
        <xdr:cNvPr id="76" name="Verbinder 76"/>
        <xdr:cNvSpPr/>
      </xdr:nvSpPr>
      <xdr:spPr>
        <a:xfrm>
          <a:off x="2219325" y="14458950"/>
          <a:ext cx="19050" cy="2847975"/>
        </a:xfrm>
        <a:prstGeom prst="rect">
          <a:avLst/>
        </a:prstGeom>
        <a:solidFill>
          <a:srgbClr val="8EA9DB"/>
        </a:solidFill>
        <a:ln>
          <a:noFill/>
        </a:ln>
      </xdr:spPr>
      <xdr:txBody>
        <a:bodyPr/>
        <a:lstStyle/>
        <a:p>
          <a:endParaRPr lang="de-DE"/>
        </a:p>
      </xdr:txBody>
    </xdr:sp>
    <xdr:clientData/>
  </xdr:absoluteAnchor>
  <xdr:absoluteAnchor>
    <xdr:pos x="2228850" y="15011400"/>
    <xdr:ext cx="114300" cy="19050"/>
    <xdr:sp macro="">
      <xdr:nvSpPr>
        <xdr:cNvPr id="77" name="Verbinder 77"/>
        <xdr:cNvSpPr/>
      </xdr:nvSpPr>
      <xdr:spPr>
        <a:xfrm>
          <a:off x="2228850" y="15011400"/>
          <a:ext cx="114300" cy="19050"/>
        </a:xfrm>
        <a:prstGeom prst="rect">
          <a:avLst/>
        </a:prstGeom>
        <a:solidFill>
          <a:srgbClr val="8EA9DB"/>
        </a:solidFill>
        <a:ln>
          <a:noFill/>
        </a:ln>
      </xdr:spPr>
      <xdr:txBody>
        <a:bodyPr/>
        <a:lstStyle/>
        <a:p>
          <a:endParaRPr lang="de-DE"/>
        </a:p>
      </xdr:txBody>
    </xdr:sp>
    <xdr:clientData/>
  </xdr:absoluteAnchor>
  <xdr:absoluteAnchor>
    <xdr:pos x="2228850" y="15773400"/>
    <xdr:ext cx="114300" cy="19050"/>
    <xdr:sp macro="">
      <xdr:nvSpPr>
        <xdr:cNvPr id="78" name="Verbinder 78"/>
        <xdr:cNvSpPr/>
      </xdr:nvSpPr>
      <xdr:spPr>
        <a:xfrm>
          <a:off x="2228850" y="15773400"/>
          <a:ext cx="114300" cy="19050"/>
        </a:xfrm>
        <a:prstGeom prst="rect">
          <a:avLst/>
        </a:prstGeom>
        <a:solidFill>
          <a:srgbClr val="8EA9DB"/>
        </a:solidFill>
        <a:ln>
          <a:noFill/>
        </a:ln>
      </xdr:spPr>
      <xdr:txBody>
        <a:bodyPr/>
        <a:lstStyle/>
        <a:p>
          <a:endParaRPr lang="de-DE"/>
        </a:p>
      </xdr:txBody>
    </xdr:sp>
    <xdr:clientData/>
  </xdr:absoluteAnchor>
  <xdr:absoluteAnchor>
    <xdr:pos x="2228850" y="16535400"/>
    <xdr:ext cx="114300" cy="19050"/>
    <xdr:sp macro="">
      <xdr:nvSpPr>
        <xdr:cNvPr id="79" name="Verbinder 79"/>
        <xdr:cNvSpPr/>
      </xdr:nvSpPr>
      <xdr:spPr>
        <a:xfrm>
          <a:off x="2228850" y="16535400"/>
          <a:ext cx="114300" cy="19050"/>
        </a:xfrm>
        <a:prstGeom prst="rect">
          <a:avLst/>
        </a:prstGeom>
        <a:solidFill>
          <a:srgbClr val="8EA9DB"/>
        </a:solidFill>
        <a:ln>
          <a:noFill/>
        </a:ln>
      </xdr:spPr>
      <xdr:txBody>
        <a:bodyPr/>
        <a:lstStyle/>
        <a:p>
          <a:endParaRPr lang="de-DE"/>
        </a:p>
      </xdr:txBody>
    </xdr:sp>
    <xdr:clientData/>
  </xdr:absoluteAnchor>
  <xdr:absoluteAnchor>
    <xdr:pos x="2228850" y="17297400"/>
    <xdr:ext cx="114300" cy="19050"/>
    <xdr:sp macro="">
      <xdr:nvSpPr>
        <xdr:cNvPr id="80" name="Verbinder 80"/>
        <xdr:cNvSpPr/>
      </xdr:nvSpPr>
      <xdr:spPr>
        <a:xfrm>
          <a:off x="2228850" y="17297400"/>
          <a:ext cx="114300" cy="19050"/>
        </a:xfrm>
        <a:prstGeom prst="rect">
          <a:avLst/>
        </a:prstGeom>
        <a:solidFill>
          <a:srgbClr val="8EA9DB"/>
        </a:solidFill>
        <a:ln>
          <a:noFill/>
        </a:ln>
      </xdr:spPr>
      <xdr:txBody>
        <a:bodyPr/>
        <a:lstStyle/>
        <a:p>
          <a:endParaRPr lang="de-DE"/>
        </a:p>
      </xdr:txBody>
    </xdr:sp>
    <xdr:clientData/>
  </xdr:absoluteAnchor>
  <xdr:absoluteAnchor>
    <xdr:pos x="4276725" y="14458950"/>
    <xdr:ext cx="19050" cy="1323975"/>
    <xdr:sp macro="">
      <xdr:nvSpPr>
        <xdr:cNvPr id="81" name="Verbinder 81"/>
        <xdr:cNvSpPr/>
      </xdr:nvSpPr>
      <xdr:spPr>
        <a:xfrm>
          <a:off x="4276725" y="14458950"/>
          <a:ext cx="19050" cy="1323975"/>
        </a:xfrm>
        <a:prstGeom prst="rect">
          <a:avLst/>
        </a:prstGeom>
        <a:solidFill>
          <a:srgbClr val="8EA9DB"/>
        </a:solidFill>
        <a:ln>
          <a:noFill/>
        </a:ln>
      </xdr:spPr>
      <xdr:txBody>
        <a:bodyPr/>
        <a:lstStyle/>
        <a:p>
          <a:endParaRPr lang="de-DE"/>
        </a:p>
      </xdr:txBody>
    </xdr:sp>
    <xdr:clientData/>
  </xdr:absoluteAnchor>
  <xdr:absoluteAnchor>
    <xdr:pos x="4286250" y="15011400"/>
    <xdr:ext cx="114300" cy="19050"/>
    <xdr:sp macro="">
      <xdr:nvSpPr>
        <xdr:cNvPr id="82" name="Verbinder 82"/>
        <xdr:cNvSpPr/>
      </xdr:nvSpPr>
      <xdr:spPr>
        <a:xfrm>
          <a:off x="4286250" y="15011400"/>
          <a:ext cx="114300" cy="19050"/>
        </a:xfrm>
        <a:prstGeom prst="rect">
          <a:avLst/>
        </a:prstGeom>
        <a:solidFill>
          <a:srgbClr val="8EA9DB"/>
        </a:solidFill>
        <a:ln>
          <a:noFill/>
        </a:ln>
      </xdr:spPr>
      <xdr:txBody>
        <a:bodyPr/>
        <a:lstStyle/>
        <a:p>
          <a:endParaRPr lang="de-DE"/>
        </a:p>
      </xdr:txBody>
    </xdr:sp>
    <xdr:clientData/>
  </xdr:absoluteAnchor>
  <xdr:absoluteAnchor>
    <xdr:pos x="4286250" y="15773400"/>
    <xdr:ext cx="114300" cy="19050"/>
    <xdr:sp macro="">
      <xdr:nvSpPr>
        <xdr:cNvPr id="83" name="Verbinder 83"/>
        <xdr:cNvSpPr/>
      </xdr:nvSpPr>
      <xdr:spPr>
        <a:xfrm>
          <a:off x="4286250" y="15773400"/>
          <a:ext cx="114300" cy="19050"/>
        </a:xfrm>
        <a:prstGeom prst="rect">
          <a:avLst/>
        </a:prstGeom>
        <a:solidFill>
          <a:srgbClr val="8EA9DB"/>
        </a:solidFill>
        <a:ln>
          <a:noFill/>
        </a:ln>
      </xdr:spPr>
      <xdr:txBody>
        <a:bodyPr/>
        <a:lstStyle/>
        <a:p>
          <a:endParaRPr lang="de-DE"/>
        </a:p>
      </xdr:txBody>
    </xdr:sp>
    <xdr:clientData/>
  </xdr:absoluteAnchor>
  <xdr:absoluteAnchor>
    <xdr:pos x="6334125" y="14458950"/>
    <xdr:ext cx="19050" cy="3609975"/>
    <xdr:sp macro="">
      <xdr:nvSpPr>
        <xdr:cNvPr id="84" name="Verbinder 84"/>
        <xdr:cNvSpPr/>
      </xdr:nvSpPr>
      <xdr:spPr>
        <a:xfrm>
          <a:off x="6334125" y="14458950"/>
          <a:ext cx="19050" cy="3609975"/>
        </a:xfrm>
        <a:prstGeom prst="rect">
          <a:avLst/>
        </a:prstGeom>
        <a:solidFill>
          <a:srgbClr val="8EA9DB"/>
        </a:solidFill>
        <a:ln>
          <a:noFill/>
        </a:ln>
      </xdr:spPr>
      <xdr:txBody>
        <a:bodyPr/>
        <a:lstStyle/>
        <a:p>
          <a:endParaRPr lang="de-DE"/>
        </a:p>
      </xdr:txBody>
    </xdr:sp>
    <xdr:clientData/>
  </xdr:absoluteAnchor>
  <xdr:absoluteAnchor>
    <xdr:pos x="6343650" y="15011400"/>
    <xdr:ext cx="114300" cy="19050"/>
    <xdr:sp macro="">
      <xdr:nvSpPr>
        <xdr:cNvPr id="85" name="Verbinder 85"/>
        <xdr:cNvSpPr/>
      </xdr:nvSpPr>
      <xdr:spPr>
        <a:xfrm>
          <a:off x="6343650" y="15011400"/>
          <a:ext cx="114300" cy="19050"/>
        </a:xfrm>
        <a:prstGeom prst="rect">
          <a:avLst/>
        </a:prstGeom>
        <a:solidFill>
          <a:srgbClr val="8EA9DB"/>
        </a:solidFill>
        <a:ln>
          <a:noFill/>
        </a:ln>
      </xdr:spPr>
      <xdr:txBody>
        <a:bodyPr/>
        <a:lstStyle/>
        <a:p>
          <a:endParaRPr lang="de-DE"/>
        </a:p>
      </xdr:txBody>
    </xdr:sp>
    <xdr:clientData/>
  </xdr:absoluteAnchor>
  <xdr:absoluteAnchor>
    <xdr:pos x="6343650" y="15773400"/>
    <xdr:ext cx="114300" cy="19050"/>
    <xdr:sp macro="">
      <xdr:nvSpPr>
        <xdr:cNvPr id="86" name="Verbinder 86"/>
        <xdr:cNvSpPr/>
      </xdr:nvSpPr>
      <xdr:spPr>
        <a:xfrm>
          <a:off x="6343650" y="15773400"/>
          <a:ext cx="114300" cy="19050"/>
        </a:xfrm>
        <a:prstGeom prst="rect">
          <a:avLst/>
        </a:prstGeom>
        <a:solidFill>
          <a:srgbClr val="8EA9DB"/>
        </a:solidFill>
        <a:ln>
          <a:noFill/>
        </a:ln>
      </xdr:spPr>
      <xdr:txBody>
        <a:bodyPr/>
        <a:lstStyle/>
        <a:p>
          <a:endParaRPr lang="de-DE"/>
        </a:p>
      </xdr:txBody>
    </xdr:sp>
    <xdr:clientData/>
  </xdr:absoluteAnchor>
  <xdr:absoluteAnchor>
    <xdr:pos x="6343650" y="16535400"/>
    <xdr:ext cx="114300" cy="19050"/>
    <xdr:sp macro="">
      <xdr:nvSpPr>
        <xdr:cNvPr id="87" name="Verbinder 87"/>
        <xdr:cNvSpPr/>
      </xdr:nvSpPr>
      <xdr:spPr>
        <a:xfrm>
          <a:off x="6343650" y="16535400"/>
          <a:ext cx="114300" cy="19050"/>
        </a:xfrm>
        <a:prstGeom prst="rect">
          <a:avLst/>
        </a:prstGeom>
        <a:solidFill>
          <a:srgbClr val="8EA9DB"/>
        </a:solidFill>
        <a:ln>
          <a:noFill/>
        </a:ln>
      </xdr:spPr>
      <xdr:txBody>
        <a:bodyPr/>
        <a:lstStyle/>
        <a:p>
          <a:endParaRPr lang="de-DE"/>
        </a:p>
      </xdr:txBody>
    </xdr:sp>
    <xdr:clientData/>
  </xdr:absoluteAnchor>
  <xdr:absoluteAnchor>
    <xdr:pos x="6343650" y="17297400"/>
    <xdr:ext cx="114300" cy="19050"/>
    <xdr:sp macro="">
      <xdr:nvSpPr>
        <xdr:cNvPr id="88" name="Verbinder 88"/>
        <xdr:cNvSpPr/>
      </xdr:nvSpPr>
      <xdr:spPr>
        <a:xfrm>
          <a:off x="6343650" y="17297400"/>
          <a:ext cx="114300" cy="19050"/>
        </a:xfrm>
        <a:prstGeom prst="rect">
          <a:avLst/>
        </a:prstGeom>
        <a:solidFill>
          <a:srgbClr val="8EA9DB"/>
        </a:solidFill>
        <a:ln>
          <a:noFill/>
        </a:ln>
      </xdr:spPr>
      <xdr:txBody>
        <a:bodyPr/>
        <a:lstStyle/>
        <a:p>
          <a:endParaRPr lang="de-DE"/>
        </a:p>
      </xdr:txBody>
    </xdr:sp>
    <xdr:clientData/>
  </xdr:absoluteAnchor>
  <xdr:absoluteAnchor>
    <xdr:pos x="6343650" y="18059400"/>
    <xdr:ext cx="114300" cy="19050"/>
    <xdr:sp macro="">
      <xdr:nvSpPr>
        <xdr:cNvPr id="89" name="Verbinder 89"/>
        <xdr:cNvSpPr/>
      </xdr:nvSpPr>
      <xdr:spPr>
        <a:xfrm>
          <a:off x="6343650" y="18059400"/>
          <a:ext cx="114300" cy="19050"/>
        </a:xfrm>
        <a:prstGeom prst="rect">
          <a:avLst/>
        </a:prstGeom>
        <a:solidFill>
          <a:srgbClr val="8EA9DB"/>
        </a:solidFill>
        <a:ln>
          <a:noFill/>
        </a:ln>
      </xdr:spPr>
      <xdr:txBody>
        <a:bodyPr/>
        <a:lstStyle/>
        <a:p>
          <a:endParaRPr lang="de-DE"/>
        </a:p>
      </xdr:txBody>
    </xdr:sp>
    <xdr:clientData/>
  </xdr:absoluteAnchor>
  <xdr:absoluteAnchor>
    <xdr:pos x="8391525" y="14458950"/>
    <xdr:ext cx="19050" cy="561975"/>
    <xdr:sp macro="">
      <xdr:nvSpPr>
        <xdr:cNvPr id="90" name="Verbinder 90"/>
        <xdr:cNvSpPr/>
      </xdr:nvSpPr>
      <xdr:spPr>
        <a:xfrm>
          <a:off x="8391525" y="14458950"/>
          <a:ext cx="19050" cy="561975"/>
        </a:xfrm>
        <a:prstGeom prst="rect">
          <a:avLst/>
        </a:prstGeom>
        <a:solidFill>
          <a:srgbClr val="8EA9DB"/>
        </a:solidFill>
        <a:ln>
          <a:noFill/>
        </a:ln>
      </xdr:spPr>
      <xdr:txBody>
        <a:bodyPr/>
        <a:lstStyle/>
        <a:p>
          <a:endParaRPr lang="de-DE"/>
        </a:p>
      </xdr:txBody>
    </xdr:sp>
    <xdr:clientData/>
  </xdr:absoluteAnchor>
  <xdr:absoluteAnchor>
    <xdr:pos x="8401050" y="15011400"/>
    <xdr:ext cx="114300" cy="19050"/>
    <xdr:sp macro="">
      <xdr:nvSpPr>
        <xdr:cNvPr id="91" name="Verbinder 91"/>
        <xdr:cNvSpPr/>
      </xdr:nvSpPr>
      <xdr:spPr>
        <a:xfrm>
          <a:off x="8401050" y="15011400"/>
          <a:ext cx="114300" cy="19050"/>
        </a:xfrm>
        <a:prstGeom prst="rect">
          <a:avLst/>
        </a:prstGeom>
        <a:solidFill>
          <a:srgbClr val="8EA9DB"/>
        </a:solidFill>
        <a:ln>
          <a:noFill/>
        </a:ln>
      </xdr:spPr>
      <xdr:txBody>
        <a:bodyPr/>
        <a:lstStyle/>
        <a:p>
          <a:endParaRPr lang="de-DE"/>
        </a:p>
      </xdr:txBody>
    </xdr:sp>
    <xdr:clientData/>
  </xdr:absoluteAnchor>
  <xdr:absoluteAnchor>
    <xdr:pos x="10448925" y="14458950"/>
    <xdr:ext cx="19050" cy="561975"/>
    <xdr:sp macro="">
      <xdr:nvSpPr>
        <xdr:cNvPr id="92" name="Verbinder 92"/>
        <xdr:cNvSpPr/>
      </xdr:nvSpPr>
      <xdr:spPr>
        <a:xfrm>
          <a:off x="10448925" y="14458950"/>
          <a:ext cx="19050" cy="561975"/>
        </a:xfrm>
        <a:prstGeom prst="rect">
          <a:avLst/>
        </a:prstGeom>
        <a:solidFill>
          <a:srgbClr val="8EA9DB"/>
        </a:solidFill>
        <a:ln>
          <a:noFill/>
        </a:ln>
      </xdr:spPr>
      <xdr:txBody>
        <a:bodyPr/>
        <a:lstStyle/>
        <a:p>
          <a:endParaRPr lang="de-DE"/>
        </a:p>
      </xdr:txBody>
    </xdr:sp>
    <xdr:clientData/>
  </xdr:absoluteAnchor>
  <xdr:absoluteAnchor>
    <xdr:pos x="10458450" y="15011400"/>
    <xdr:ext cx="114300" cy="19050"/>
    <xdr:sp macro="">
      <xdr:nvSpPr>
        <xdr:cNvPr id="93" name="Verbinder 93"/>
        <xdr:cNvSpPr/>
      </xdr:nvSpPr>
      <xdr:spPr>
        <a:xfrm>
          <a:off x="10458450" y="15011400"/>
          <a:ext cx="114300" cy="19050"/>
        </a:xfrm>
        <a:prstGeom prst="rect">
          <a:avLst/>
        </a:prstGeom>
        <a:solidFill>
          <a:srgbClr val="8EA9DB"/>
        </a:solidFill>
        <a:ln>
          <a:noFill/>
        </a:ln>
      </xdr:spPr>
      <xdr:txBody>
        <a:bodyPr/>
        <a:lstStyle/>
        <a:p>
          <a:endParaRPr lang="de-DE"/>
        </a:p>
      </xdr:txBody>
    </xdr:sp>
    <xdr:clientData/>
  </xdr:absoluteAnchor>
  <xdr:absoluteAnchor>
    <xdr:pos x="12506325" y="14458950"/>
    <xdr:ext cx="19050" cy="2847975"/>
    <xdr:sp macro="">
      <xdr:nvSpPr>
        <xdr:cNvPr id="94" name="Verbinder 94"/>
        <xdr:cNvSpPr/>
      </xdr:nvSpPr>
      <xdr:spPr>
        <a:xfrm>
          <a:off x="12506325" y="14458950"/>
          <a:ext cx="19050" cy="2847975"/>
        </a:xfrm>
        <a:prstGeom prst="rect">
          <a:avLst/>
        </a:prstGeom>
        <a:solidFill>
          <a:srgbClr val="8EA9DB"/>
        </a:solidFill>
        <a:ln>
          <a:noFill/>
        </a:ln>
      </xdr:spPr>
      <xdr:txBody>
        <a:bodyPr/>
        <a:lstStyle/>
        <a:p>
          <a:endParaRPr lang="de-DE"/>
        </a:p>
      </xdr:txBody>
    </xdr:sp>
    <xdr:clientData/>
  </xdr:absoluteAnchor>
  <xdr:absoluteAnchor>
    <xdr:pos x="12515850" y="15011400"/>
    <xdr:ext cx="114300" cy="19050"/>
    <xdr:sp macro="">
      <xdr:nvSpPr>
        <xdr:cNvPr id="95" name="Verbinder 95"/>
        <xdr:cNvSpPr/>
      </xdr:nvSpPr>
      <xdr:spPr>
        <a:xfrm>
          <a:off x="12515850" y="15011400"/>
          <a:ext cx="114300" cy="19050"/>
        </a:xfrm>
        <a:prstGeom prst="rect">
          <a:avLst/>
        </a:prstGeom>
        <a:solidFill>
          <a:srgbClr val="8EA9DB"/>
        </a:solidFill>
        <a:ln>
          <a:noFill/>
        </a:ln>
      </xdr:spPr>
      <xdr:txBody>
        <a:bodyPr/>
        <a:lstStyle/>
        <a:p>
          <a:endParaRPr lang="de-DE"/>
        </a:p>
      </xdr:txBody>
    </xdr:sp>
    <xdr:clientData/>
  </xdr:absoluteAnchor>
  <xdr:absoluteAnchor>
    <xdr:pos x="12515850" y="15773400"/>
    <xdr:ext cx="114300" cy="19050"/>
    <xdr:sp macro="">
      <xdr:nvSpPr>
        <xdr:cNvPr id="96" name="Verbinder 96"/>
        <xdr:cNvSpPr/>
      </xdr:nvSpPr>
      <xdr:spPr>
        <a:xfrm>
          <a:off x="12515850" y="15773400"/>
          <a:ext cx="114300" cy="19050"/>
        </a:xfrm>
        <a:prstGeom prst="rect">
          <a:avLst/>
        </a:prstGeom>
        <a:solidFill>
          <a:srgbClr val="8EA9DB"/>
        </a:solidFill>
        <a:ln>
          <a:noFill/>
        </a:ln>
      </xdr:spPr>
      <xdr:txBody>
        <a:bodyPr/>
        <a:lstStyle/>
        <a:p>
          <a:endParaRPr lang="de-DE"/>
        </a:p>
      </xdr:txBody>
    </xdr:sp>
    <xdr:clientData/>
  </xdr:absoluteAnchor>
  <xdr:absoluteAnchor>
    <xdr:pos x="12515850" y="16535400"/>
    <xdr:ext cx="114300" cy="19050"/>
    <xdr:sp macro="">
      <xdr:nvSpPr>
        <xdr:cNvPr id="97" name="Verbinder 97"/>
        <xdr:cNvSpPr/>
      </xdr:nvSpPr>
      <xdr:spPr>
        <a:xfrm>
          <a:off x="12515850" y="16535400"/>
          <a:ext cx="114300" cy="19050"/>
        </a:xfrm>
        <a:prstGeom prst="rect">
          <a:avLst/>
        </a:prstGeom>
        <a:solidFill>
          <a:srgbClr val="8EA9DB"/>
        </a:solidFill>
        <a:ln>
          <a:noFill/>
        </a:ln>
      </xdr:spPr>
      <xdr:txBody>
        <a:bodyPr/>
        <a:lstStyle/>
        <a:p>
          <a:endParaRPr lang="de-DE"/>
        </a:p>
      </xdr:txBody>
    </xdr:sp>
    <xdr:clientData/>
  </xdr:absoluteAnchor>
  <xdr:absoluteAnchor>
    <xdr:pos x="12515850" y="17297400"/>
    <xdr:ext cx="114300" cy="19050"/>
    <xdr:sp macro="">
      <xdr:nvSpPr>
        <xdr:cNvPr id="98" name="Verbinder 98"/>
        <xdr:cNvSpPr/>
      </xdr:nvSpPr>
      <xdr:spPr>
        <a:xfrm>
          <a:off x="12515850" y="17297400"/>
          <a:ext cx="114300" cy="19050"/>
        </a:xfrm>
        <a:prstGeom prst="rect">
          <a:avLst/>
        </a:prstGeom>
        <a:solidFill>
          <a:srgbClr val="8EA9DB"/>
        </a:solidFill>
        <a:ln>
          <a:noFill/>
        </a:ln>
      </xdr:spPr>
      <xdr:txBody>
        <a:bodyPr/>
        <a:lstStyle/>
        <a:p>
          <a:endParaRPr lang="de-DE"/>
        </a:p>
      </xdr:txBody>
    </xdr:sp>
    <xdr:clientData/>
  </xdr:absoluteAnchor>
</xdr:wsDr>
</file>

<file path=xl/tables/table1.xml><?xml version="1.0" encoding="utf-8"?>
<table xmlns="http://schemas.openxmlformats.org/spreadsheetml/2006/main" id="1" name="Tabelle2" displayName="Tabelle2" ref="N5:N29" headerRowCount="1" totalsRowCount="0" totalsRowShown="0">
  <autoFilter ref="N5:N29"/>
  <tableColumns count="1">
    <tableColumn id="1" name="Partner"/>
  </tableColumns>
</table>
</file>

<file path=xl/tables/table2.xml><?xml version="1.0" encoding="utf-8"?>
<table xmlns="http://schemas.openxmlformats.org/spreadsheetml/2006/main" id="2" name="tblAnforderungen" displayName="tblAnforderungen" ref="B6:M1388" headerRowCount="1" totalsRowCount="0" totalsRowShown="0">
  <tableColumns count="12">
    <tableColumn id="1" name="ID"/>
    <tableColumn id="2" name="Dokument"/>
    <tableColumn id="3" name="Fundstelle"/>
    <tableColumn id="4" name="Themenfeld"/>
    <tableColumn id="5" name="Kernaussage"/>
    <tableColumn id="6" name="Anforderung / Frage (Originaltext)"/>
    <tableColumn id="7" name="Bemerkung"/>
    <tableColumn id="8" name="Partner"/>
    <tableColumn id="9" name="Komponente(n)"/>
    <tableColumn id="10" name="Status"/>
    <tableColumn id="11" name="Erfüllt am"/>
    <tableColumn id="12" name="Nachweis / Notiz"/>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 Id="rIdOrga"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T28" activeCellId="0" sqref="T28"/>
    </sheetView>
  </sheetViews>
  <sheetFormatPr defaultColWidth="9.14453125" defaultRowHeight="15" zeroHeight="false" outlineLevelRow="0" outlineLevelCol="0"/>
  <cols>
    <col collapsed="false" customWidth="true" hidden="false" outlineLevel="0" max="1" min="1" style="1" width="36"/>
    <col collapsed="false" customWidth="true" hidden="false" outlineLevel="0" max="2" min="2" style="1" width="16"/>
  </cols>
  <sheetData>
    <row r="1" customFormat="false" ht="23.25" hidden="false" customHeight="true" outlineLevel="0" collapsed="false">
      <c r="A1" s="2" t="s">
        <v>0</v>
      </c>
      <c r="B1" s="2"/>
      <c r="C1" s="2"/>
      <c r="D1" s="2"/>
      <c r="E1" s="2"/>
      <c r="F1" s="2"/>
      <c r="G1" s="2"/>
      <c r="H1" s="2"/>
      <c r="I1" s="2"/>
      <c r="J1" s="2"/>
      <c r="K1" s="2"/>
      <c r="L1" s="2"/>
      <c r="M1" s="2"/>
      <c r="N1" s="2"/>
      <c r="O1" s="2"/>
      <c r="P1" s="2"/>
      <c r="Q1" s="2"/>
    </row>
    <row r="2" customFormat="false" ht="15" hidden="false" customHeight="true" outlineLevel="0" collapsed="false">
      <c r="A2" s="3" t="s">
        <v>1</v>
      </c>
      <c r="B2" s="3"/>
      <c r="C2" s="3"/>
      <c r="D2" s="3"/>
      <c r="E2" s="3"/>
      <c r="F2" s="3"/>
      <c r="G2" s="3"/>
      <c r="H2" s="3"/>
      <c r="I2" s="3"/>
      <c r="J2" s="3"/>
      <c r="K2" s="3"/>
      <c r="L2" s="3"/>
      <c r="M2" s="3"/>
      <c r="N2" s="3"/>
      <c r="O2" s="3"/>
      <c r="P2" s="3"/>
      <c r="Q2" s="3"/>
    </row>
    <row r="3" customFormat="false" ht="15" hidden="false" customHeight="true" outlineLevel="0" collapsed="false">
      <c r="A3" s="4" t="s">
        <v>2</v>
      </c>
      <c r="B3" s="4"/>
      <c r="C3" s="4"/>
      <c r="D3" s="4"/>
      <c r="E3" s="4"/>
      <c r="F3" s="4"/>
      <c r="G3" s="4"/>
      <c r="H3" s="4"/>
      <c r="I3" s="4"/>
      <c r="J3" s="4"/>
      <c r="K3" s="4"/>
      <c r="L3" s="4"/>
      <c r="M3" s="4"/>
      <c r="N3" s="4"/>
      <c r="O3" s="4"/>
      <c r="P3" s="4"/>
      <c r="Q3" s="4"/>
    </row>
    <row r="5" customFormat="false" ht="15" hidden="false" customHeight="true" outlineLevel="0" collapsed="false">
      <c r="A5" s="5" t="s">
        <v>3</v>
      </c>
      <c r="B5" s="5" t="s">
        <v>4</v>
      </c>
    </row>
    <row r="6" customFormat="false" ht="15" hidden="false" customHeight="true" outlineLevel="0" collapsed="false">
      <c r="A6" s="6" t="s">
        <v>5</v>
      </c>
      <c r="B6" s="7" t="n">
        <f aca="false">COUNTA(Anforderungen!$B$7:$B$2000)</f>
        <v>1382</v>
      </c>
    </row>
    <row r="7" customFormat="false" ht="15" hidden="false" customHeight="true" outlineLevel="0" collapsed="false">
      <c r="A7" s="8" t="s">
        <v>6</v>
      </c>
      <c r="B7" s="9" t="n">
        <f aca="false">COUNTIF(Anforderungen!$K$7:$K$2000,"erfasst")</f>
        <v>1364</v>
      </c>
    </row>
    <row r="8" customFormat="false" ht="15" hidden="false" customHeight="true" outlineLevel="0" collapsed="false">
      <c r="A8" s="10" t="s">
        <v>7</v>
      </c>
      <c r="B8" s="11" t="n">
        <f aca="false">COUNTIF(Anforderungen!$K$7:$K$2000,"bewertet")</f>
        <v>3</v>
      </c>
    </row>
    <row r="9" customFormat="false" ht="15" hidden="false" customHeight="true" outlineLevel="0" collapsed="false">
      <c r="A9" s="12" t="s">
        <v>8</v>
      </c>
      <c r="B9" s="13" t="n">
        <f aca="false">COUNTIF(Anforderungen!$K$7:$K$2000,"erfüllt")</f>
        <v>10</v>
      </c>
    </row>
    <row r="10" customFormat="false" ht="15" hidden="false" customHeight="true" outlineLevel="0" collapsed="false">
      <c r="A10" s="12" t="s">
        <v>9</v>
      </c>
      <c r="B10" s="13" t="n">
        <f aca="false">COUNTIFS(Anforderungen!$K$7:$K$2000,"erfüllt",Anforderungen!$L$7:$L$2000,"&lt;&gt;",Anforderungen!$M$7:$M$2000,"&lt;&gt;")</f>
        <v>10</v>
      </c>
    </row>
    <row r="11" customFormat="false" ht="15" hidden="false" customHeight="true" outlineLevel="0" collapsed="false">
      <c r="A11" s="10" t="s">
        <v>10</v>
      </c>
      <c r="B11" s="11" t="n">
        <f aca="false">COUNTIF(Anforderungen!$K$7:$K$2000,"trifft nicht zu")</f>
        <v>5</v>
      </c>
    </row>
    <row r="12" customFormat="false" ht="15" hidden="false" customHeight="true" outlineLevel="0" collapsed="false">
      <c r="A12" s="10" t="s">
        <v>11</v>
      </c>
      <c r="B12" s="11" t="n">
        <f aca="false">COUNTIFS(Anforderungen!$K$7:$K$2000,"erfüllt",Anforderungen!$L$7:$L$2000,"")</f>
        <v>0</v>
      </c>
    </row>
    <row r="13" customFormat="false" ht="15" hidden="false" customHeight="true" outlineLevel="0" collapsed="false">
      <c r="A13" s="10" t="s">
        <v>12</v>
      </c>
      <c r="B13" s="14" t="n">
        <f aca="false">COUNTIFS(Anforderungen!$K$7:$K$2000,"erfüllt",Anforderungen!$M$7:$M$2000,"")</f>
        <v>0</v>
      </c>
    </row>
    <row r="14" customFormat="false" ht="15" hidden="false" customHeight="true" outlineLevel="0" collapsed="false">
      <c r="A14" s="8" t="s">
        <v>13</v>
      </c>
      <c r="B14" s="15" t="n">
        <f aca="false">COUNTIFS(Anforderungen!$K$7:$K$2000,"trifft nicht zu",Anforderungen!$M$7:$M$2000,"")</f>
        <v>2</v>
      </c>
    </row>
    <row r="15" customFormat="false" ht="15" hidden="false" customHeight="true" outlineLevel="0" collapsed="false">
      <c r="A15" s="16" t="s">
        <v>14</v>
      </c>
      <c r="B15" s="17" t="n">
        <f aca="false">IFERROR(COUNTIF(Anforderungen!$K$7:$K$2000,"erfüllt")/(COUNTA(Anforderungen!$B$7:$B$2000)-COUNTIF(Anforderungen!$K$7:$K$2000,"trifft nicht zu")),0)</f>
        <v>0.00726216412490922</v>
      </c>
    </row>
    <row r="16" customFormat="false" ht="15" hidden="false" customHeight="true" outlineLevel="0" collapsed="false">
      <c r="A16" s="16" t="s">
        <v>15</v>
      </c>
      <c r="B16" s="17" t="n">
        <f aca="false">IFERROR(COUNTIFS(Anforderungen!$K$7:$K$2000,"erfüllt",Anforderungen!$L$7:$L$2000,"&lt;&gt;",Anforderungen!$M$7:$M$2000,"&lt;&gt;")/COUNTIF(Anforderungen!$K$7:$K$2000,"erfüllt"),0)</f>
        <v>1</v>
      </c>
    </row>
    <row r="17" customFormat="false" ht="15" hidden="false" customHeight="true" outlineLevel="0" collapsed="false">
      <c r="A17" s="18" t="s">
        <v>16</v>
      </c>
      <c r="B17" s="19" t="n">
        <f aca="false">COUNTIF(Komponenten!$J$6:$J$29,"erfüllt")</f>
        <v>0</v>
      </c>
    </row>
    <row r="18" customFormat="false" ht="15" hidden="false" customHeight="true" outlineLevel="0" collapsed="false">
      <c r="A18" s="18" t="s">
        <v>17</v>
      </c>
      <c r="B18" s="20" t="n">
        <f aca="false">COUNTIF(Anforderungen!$C$7:$C$2000,"Bieterfragenkatalog")</f>
        <v>663</v>
      </c>
    </row>
    <row r="19" customFormat="false" ht="25.5" hidden="false" customHeight="true" outlineLevel="0" collapsed="false">
      <c r="A19" s="18" t="s">
        <v>18</v>
      </c>
      <c r="B19" s="20" t="n">
        <f aca="false">COUNTIF(Anforderungen!$J$7:$J$2000,"Zuordnung prüfen")+COUNTIF(Anforderungen!$I$7:$I$2000,"Zuordnung prüfen")</f>
        <v>460</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G56" activePane="bottomLeft" state="frozen"/>
      <selection pane="topLeft" activeCell="A1" activeCellId="0" sqref="A1"/>
      <selection pane="bottomLeft" activeCell="G34" activeCellId="0" sqref="G34"/>
    </sheetView>
  </sheetViews>
  <sheetFormatPr defaultColWidth="9.14453125" defaultRowHeight="15" zeroHeight="false" outlineLevelRow="0" outlineLevelCol="0"/>
  <cols>
    <col collapsed="false" customWidth="true" hidden="false" outlineLevel="0" max="1" min="1" style="1" width="3.28"/>
    <col collapsed="false" customWidth="true" hidden="false" outlineLevel="0" max="2" min="2" style="1" width="9"/>
    <col collapsed="false" customWidth="true" hidden="false" outlineLevel="0" max="3" min="3" style="1" width="16.57"/>
    <col collapsed="false" customWidth="true" hidden="false" outlineLevel="0" max="4" min="4" style="1" width="13"/>
    <col collapsed="false" customWidth="true" hidden="false" outlineLevel="0" max="5" min="5" style="1" width="23.57"/>
    <col collapsed="false" customWidth="true" hidden="false" outlineLevel="0" max="6" min="6" style="1" width="45.71"/>
    <col collapsed="false" customWidth="true" hidden="false" outlineLevel="0" max="7" min="7" style="1" width="90.71"/>
    <col collapsed="false" customWidth="true" hidden="false" outlineLevel="0" max="8" min="8" style="1" width="45.71"/>
    <col collapsed="false" customWidth="true" hidden="false" outlineLevel="0" max="9" min="9" style="21" width="19.86"/>
    <col collapsed="false" customWidth="true" hidden="false" outlineLevel="0" max="10" min="10" style="1" width="34"/>
    <col collapsed="false" customWidth="true" hidden="false" outlineLevel="0" max="11" min="11" style="1" width="11.14"/>
    <col collapsed="false" customWidth="true" hidden="false" outlineLevel="0" max="12" min="12" style="1" width="14.29"/>
    <col collapsed="false" customWidth="true" hidden="false" outlineLevel="0" max="13" min="13" style="1" width="42"/>
    <col collapsed="false" customWidth="true" hidden="false" outlineLevel="0" max="14" min="14" style="1" width="255.71"/>
    <col collapsed="false" customWidth="true" hidden="false" outlineLevel="0" max="15" min="15" style="1" width="6.71"/>
    <col collapsed="false" customWidth="true" hidden="false" outlineLevel="0" max="16" min="16" style="21" width="255.71"/>
  </cols>
  <sheetData>
    <row r="1" customFormat="false" ht="30" hidden="false" customHeight="true" outlineLevel="0" collapsed="false">
      <c r="A1" s="22" t="s">
        <v>19</v>
      </c>
      <c r="B1" s="22"/>
      <c r="C1" s="22"/>
      <c r="D1" s="22"/>
      <c r="E1" s="22"/>
      <c r="F1" s="22"/>
      <c r="G1" s="22"/>
      <c r="H1" s="22"/>
      <c r="I1" s="23"/>
      <c r="J1" s="22"/>
      <c r="K1" s="22"/>
      <c r="L1" s="22"/>
      <c r="M1" s="22"/>
    </row>
    <row r="2" customFormat="false" ht="15" hidden="false" customHeight="true" outlineLevel="0" collapsed="false">
      <c r="A2" s="24" t="s">
        <v>20</v>
      </c>
      <c r="C2" s="25"/>
      <c r="D2" s="25"/>
      <c r="E2" s="25"/>
      <c r="F2" s="25"/>
      <c r="G2" s="25"/>
      <c r="H2" s="25"/>
      <c r="I2" s="25"/>
      <c r="J2" s="25"/>
      <c r="K2" s="25"/>
      <c r="L2" s="25"/>
      <c r="M2" s="25"/>
    </row>
    <row r="3" customFormat="false" ht="15" hidden="false" customHeight="true" outlineLevel="0" collapsed="false">
      <c r="A3" s="24" t="s">
        <v>21</v>
      </c>
      <c r="C3" s="25"/>
      <c r="D3" s="25"/>
      <c r="E3" s="25"/>
      <c r="F3" s="25"/>
      <c r="G3" s="25"/>
      <c r="H3" s="25"/>
      <c r="I3" s="25"/>
      <c r="J3" s="25"/>
      <c r="K3" s="25"/>
      <c r="L3" s="25"/>
      <c r="M3" s="25"/>
    </row>
    <row r="5" customFormat="false" ht="15" hidden="false" customHeight="true" outlineLevel="0" collapsed="false">
      <c r="B5" s="26" t="s">
        <v>22</v>
      </c>
      <c r="C5" s="26"/>
      <c r="D5" s="26"/>
      <c r="E5" s="26"/>
      <c r="F5" s="26"/>
      <c r="G5" s="26"/>
      <c r="H5" s="26"/>
      <c r="I5" s="26"/>
      <c r="J5" s="26"/>
      <c r="K5" s="27" t="s">
        <v>23</v>
      </c>
      <c r="L5" s="27"/>
      <c r="M5" s="27"/>
    </row>
    <row r="6" customFormat="false" ht="31.5" hidden="false" customHeight="true" outlineLevel="0" collapsed="false">
      <c r="B6" s="28" t="s">
        <v>24</v>
      </c>
      <c r="C6" s="28" t="s">
        <v>25</v>
      </c>
      <c r="D6" s="28" t="s">
        <v>26</v>
      </c>
      <c r="E6" s="28" t="s">
        <v>27</v>
      </c>
      <c r="F6" s="28" t="s">
        <v>28</v>
      </c>
      <c r="G6" s="28" t="s">
        <v>29</v>
      </c>
      <c r="H6" s="28" t="s">
        <v>30</v>
      </c>
      <c r="I6" s="28" t="s">
        <v>31</v>
      </c>
      <c r="J6" s="28" t="s">
        <v>32</v>
      </c>
      <c r="K6" s="28" t="s">
        <v>33</v>
      </c>
      <c r="L6" s="28" t="s">
        <v>34</v>
      </c>
      <c r="M6" s="28" t="s">
        <v>35</v>
      </c>
    </row>
    <row r="7" customFormat="false" ht="51" hidden="false" customHeight="true" outlineLevel="0" collapsed="false">
      <c r="B7" s="29" t="s">
        <v>36</v>
      </c>
      <c r="C7" s="29" t="s">
        <v>37</v>
      </c>
      <c r="D7" s="29" t="s">
        <v>38</v>
      </c>
      <c r="E7" s="29" t="s">
        <v>39</v>
      </c>
      <c r="F7" s="29" t="s">
        <v>40</v>
      </c>
      <c r="G7" s="29" t="s">
        <v>41</v>
      </c>
      <c r="H7" s="29"/>
      <c r="I7" s="29" t="s">
        <v>42</v>
      </c>
      <c r="J7" s="29" t="s">
        <v>43</v>
      </c>
      <c r="K7" s="30" t="s">
        <v>44</v>
      </c>
      <c r="L7" s="31"/>
      <c r="M7" s="32"/>
    </row>
    <row r="8" customFormat="false" ht="38.25" hidden="false" customHeight="true" outlineLevel="0" collapsed="false">
      <c r="B8" s="29" t="s">
        <v>45</v>
      </c>
      <c r="C8" s="29" t="s">
        <v>37</v>
      </c>
      <c r="D8" s="29" t="s">
        <v>46</v>
      </c>
      <c r="E8" s="29" t="s">
        <v>39</v>
      </c>
      <c r="F8" s="29" t="s">
        <v>47</v>
      </c>
      <c r="G8" s="29" t="s">
        <v>48</v>
      </c>
      <c r="H8" s="29"/>
      <c r="I8" s="29" t="s">
        <v>42</v>
      </c>
      <c r="J8" s="29" t="s">
        <v>43</v>
      </c>
      <c r="K8" s="30" t="s">
        <v>44</v>
      </c>
      <c r="L8" s="31"/>
      <c r="M8" s="29"/>
    </row>
    <row r="9" customFormat="false" ht="25.5" hidden="false" customHeight="true" outlineLevel="0" collapsed="false">
      <c r="B9" s="29" t="s">
        <v>49</v>
      </c>
      <c r="C9" s="29" t="s">
        <v>37</v>
      </c>
      <c r="D9" s="29" t="s">
        <v>50</v>
      </c>
      <c r="E9" s="29" t="s">
        <v>39</v>
      </c>
      <c r="F9" s="29" t="s">
        <v>47</v>
      </c>
      <c r="G9" s="29" t="s">
        <v>51</v>
      </c>
      <c r="H9" s="29"/>
      <c r="I9" s="29" t="s">
        <v>42</v>
      </c>
      <c r="J9" s="29" t="s">
        <v>52</v>
      </c>
      <c r="K9" s="30" t="s">
        <v>44</v>
      </c>
      <c r="L9" s="31"/>
      <c r="M9" s="29"/>
    </row>
    <row r="10" customFormat="false" ht="63.75" hidden="false" customHeight="true" outlineLevel="0" collapsed="false">
      <c r="B10" s="29" t="s">
        <v>53</v>
      </c>
      <c r="C10" s="29" t="s">
        <v>37</v>
      </c>
      <c r="D10" s="29" t="s">
        <v>54</v>
      </c>
      <c r="E10" s="29" t="s">
        <v>39</v>
      </c>
      <c r="F10" s="29" t="s">
        <v>55</v>
      </c>
      <c r="G10" s="29" t="s">
        <v>56</v>
      </c>
      <c r="H10" s="29"/>
      <c r="I10" s="29" t="s">
        <v>42</v>
      </c>
      <c r="J10" s="29" t="s">
        <v>43</v>
      </c>
      <c r="K10" s="30" t="s">
        <v>44</v>
      </c>
      <c r="L10" s="31"/>
      <c r="M10" s="29"/>
    </row>
    <row r="11" customFormat="false" ht="76.5" hidden="false" customHeight="true" outlineLevel="0" collapsed="false">
      <c r="B11" s="29" t="s">
        <v>57</v>
      </c>
      <c r="C11" s="29" t="s">
        <v>37</v>
      </c>
      <c r="D11" s="29" t="s">
        <v>58</v>
      </c>
      <c r="E11" s="29" t="s">
        <v>39</v>
      </c>
      <c r="F11" s="29" t="s">
        <v>59</v>
      </c>
      <c r="G11" s="29" t="s">
        <v>60</v>
      </c>
      <c r="H11" s="29"/>
      <c r="I11" s="29" t="s">
        <v>42</v>
      </c>
      <c r="J11" s="29" t="s">
        <v>43</v>
      </c>
      <c r="K11" s="30" t="s">
        <v>44</v>
      </c>
      <c r="L11" s="31"/>
      <c r="M11" s="29"/>
    </row>
    <row r="12" customFormat="false" ht="63.75" hidden="false" customHeight="true" outlineLevel="0" collapsed="false">
      <c r="B12" s="29" t="s">
        <v>61</v>
      </c>
      <c r="C12" s="29" t="s">
        <v>37</v>
      </c>
      <c r="D12" s="29" t="s">
        <v>62</v>
      </c>
      <c r="E12" s="29" t="s">
        <v>39</v>
      </c>
      <c r="F12" s="29" t="s">
        <v>63</v>
      </c>
      <c r="G12" s="29" t="s">
        <v>64</v>
      </c>
      <c r="H12" s="29"/>
      <c r="I12" s="29" t="s">
        <v>42</v>
      </c>
      <c r="J12" s="29" t="s">
        <v>65</v>
      </c>
      <c r="K12" s="30" t="s">
        <v>44</v>
      </c>
      <c r="L12" s="31"/>
      <c r="M12" s="29"/>
    </row>
    <row r="13" customFormat="false" ht="25.5" hidden="false" customHeight="true" outlineLevel="0" collapsed="false">
      <c r="B13" s="29" t="s">
        <v>66</v>
      </c>
      <c r="C13" s="29" t="s">
        <v>37</v>
      </c>
      <c r="D13" s="29" t="s">
        <v>67</v>
      </c>
      <c r="E13" s="29" t="s">
        <v>39</v>
      </c>
      <c r="F13" s="29" t="s">
        <v>68</v>
      </c>
      <c r="G13" s="29" t="s">
        <v>69</v>
      </c>
      <c r="H13" s="29"/>
      <c r="I13" s="29" t="s">
        <v>42</v>
      </c>
      <c r="J13" s="29" t="s">
        <v>43</v>
      </c>
      <c r="K13" s="30" t="s">
        <v>44</v>
      </c>
      <c r="L13" s="31"/>
      <c r="M13" s="29"/>
    </row>
    <row r="14" customFormat="false" ht="25.5" hidden="false" customHeight="true" outlineLevel="0" collapsed="false">
      <c r="B14" s="29" t="s">
        <v>70</v>
      </c>
      <c r="C14" s="29" t="s">
        <v>37</v>
      </c>
      <c r="D14" s="29" t="s">
        <v>71</v>
      </c>
      <c r="E14" s="29" t="s">
        <v>39</v>
      </c>
      <c r="F14" s="29" t="s">
        <v>72</v>
      </c>
      <c r="G14" s="29" t="s">
        <v>73</v>
      </c>
      <c r="H14" s="29"/>
      <c r="I14" s="29" t="s">
        <v>42</v>
      </c>
      <c r="J14" s="29" t="s">
        <v>43</v>
      </c>
      <c r="K14" s="30" t="s">
        <v>44</v>
      </c>
      <c r="L14" s="31"/>
      <c r="M14" s="29"/>
    </row>
    <row r="15" customFormat="false" ht="38.25" hidden="false" customHeight="true" outlineLevel="0" collapsed="false">
      <c r="B15" s="29" t="s">
        <v>74</v>
      </c>
      <c r="C15" s="29" t="s">
        <v>37</v>
      </c>
      <c r="D15" s="29" t="s">
        <v>75</v>
      </c>
      <c r="E15" s="29" t="s">
        <v>76</v>
      </c>
      <c r="F15" s="29" t="s">
        <v>77</v>
      </c>
      <c r="G15" s="29" t="s">
        <v>78</v>
      </c>
      <c r="H15" s="29" t="s">
        <v>79</v>
      </c>
      <c r="I15" s="29" t="s">
        <v>80</v>
      </c>
      <c r="J15" s="29" t="s">
        <v>81</v>
      </c>
      <c r="K15" s="30" t="s">
        <v>44</v>
      </c>
      <c r="L15" s="31"/>
      <c r="M15" s="29"/>
    </row>
    <row r="16" customFormat="false" ht="76.5" hidden="false" customHeight="true" outlineLevel="0" collapsed="false">
      <c r="B16" s="29" t="s">
        <v>82</v>
      </c>
      <c r="C16" s="29" t="s">
        <v>37</v>
      </c>
      <c r="D16" s="29" t="s">
        <v>83</v>
      </c>
      <c r="E16" s="29" t="s">
        <v>39</v>
      </c>
      <c r="F16" s="29" t="s">
        <v>84</v>
      </c>
      <c r="G16" s="29" t="s">
        <v>85</v>
      </c>
      <c r="H16" s="29" t="s">
        <v>86</v>
      </c>
      <c r="I16" s="29" t="s">
        <v>42</v>
      </c>
      <c r="J16" s="29" t="s">
        <v>43</v>
      </c>
      <c r="K16" s="30" t="s">
        <v>44</v>
      </c>
      <c r="L16" s="31"/>
      <c r="M16" s="29"/>
    </row>
    <row r="17" customFormat="false" ht="38.25" hidden="false" customHeight="true" outlineLevel="0" collapsed="false">
      <c r="B17" s="29" t="s">
        <v>87</v>
      </c>
      <c r="C17" s="29" t="s">
        <v>37</v>
      </c>
      <c r="D17" s="29" t="s">
        <v>88</v>
      </c>
      <c r="E17" s="29" t="s">
        <v>89</v>
      </c>
      <c r="F17" s="29" t="s">
        <v>90</v>
      </c>
      <c r="G17" s="29" t="s">
        <v>91</v>
      </c>
      <c r="H17" s="29" t="s">
        <v>92</v>
      </c>
      <c r="I17" s="29" t="s">
        <v>93</v>
      </c>
      <c r="J17" s="29" t="s">
        <v>94</v>
      </c>
      <c r="K17" s="30" t="s">
        <v>44</v>
      </c>
      <c r="L17" s="31"/>
      <c r="M17" s="29"/>
    </row>
    <row r="18" customFormat="false" ht="51" hidden="false" customHeight="true" outlineLevel="0" collapsed="false">
      <c r="B18" s="29" t="s">
        <v>95</v>
      </c>
      <c r="C18" s="29" t="s">
        <v>37</v>
      </c>
      <c r="D18" s="29" t="s">
        <v>96</v>
      </c>
      <c r="E18" s="29" t="s">
        <v>97</v>
      </c>
      <c r="F18" s="29" t="s">
        <v>98</v>
      </c>
      <c r="G18" s="29" t="s">
        <v>99</v>
      </c>
      <c r="H18" s="29" t="s">
        <v>100</v>
      </c>
      <c r="I18" s="29" t="s">
        <v>42</v>
      </c>
      <c r="J18" s="29" t="s">
        <v>43</v>
      </c>
      <c r="K18" s="30" t="s">
        <v>44</v>
      </c>
      <c r="L18" s="31"/>
      <c r="M18" s="29"/>
    </row>
    <row r="19" customFormat="false" ht="15" hidden="false" customHeight="true" outlineLevel="0" collapsed="false">
      <c r="B19" s="29" t="s">
        <v>101</v>
      </c>
      <c r="C19" s="29" t="s">
        <v>37</v>
      </c>
      <c r="D19" s="29" t="s">
        <v>102</v>
      </c>
      <c r="E19" s="29" t="s">
        <v>97</v>
      </c>
      <c r="F19" s="29" t="s">
        <v>103</v>
      </c>
      <c r="G19" s="29" t="s">
        <v>104</v>
      </c>
      <c r="H19" s="29" t="s">
        <v>100</v>
      </c>
      <c r="I19" s="29" t="s">
        <v>42</v>
      </c>
      <c r="J19" s="29" t="s">
        <v>43</v>
      </c>
      <c r="K19" s="30" t="s">
        <v>44</v>
      </c>
      <c r="L19" s="31"/>
      <c r="M19" s="29"/>
    </row>
    <row r="20" customFormat="false" ht="25.5" hidden="false" customHeight="true" outlineLevel="0" collapsed="false">
      <c r="B20" s="29" t="s">
        <v>105</v>
      </c>
      <c r="C20" s="29" t="s">
        <v>37</v>
      </c>
      <c r="D20" s="29" t="s">
        <v>106</v>
      </c>
      <c r="E20" s="29" t="s">
        <v>97</v>
      </c>
      <c r="F20" s="29" t="s">
        <v>107</v>
      </c>
      <c r="G20" s="29" t="s">
        <v>108</v>
      </c>
      <c r="H20" s="29" t="s">
        <v>100</v>
      </c>
      <c r="I20" s="29" t="s">
        <v>42</v>
      </c>
      <c r="J20" s="29" t="s">
        <v>43</v>
      </c>
      <c r="K20" s="30" t="s">
        <v>44</v>
      </c>
      <c r="L20" s="31"/>
      <c r="M20" s="29"/>
    </row>
    <row r="21" customFormat="false" ht="76.5" hidden="false" customHeight="true" outlineLevel="0" collapsed="false">
      <c r="B21" s="29" t="s">
        <v>109</v>
      </c>
      <c r="C21" s="29" t="s">
        <v>37</v>
      </c>
      <c r="D21" s="29" t="s">
        <v>110</v>
      </c>
      <c r="E21" s="29" t="s">
        <v>97</v>
      </c>
      <c r="F21" s="29" t="s">
        <v>111</v>
      </c>
      <c r="G21" s="29" t="s">
        <v>112</v>
      </c>
      <c r="H21" s="29" t="s">
        <v>113</v>
      </c>
      <c r="I21" s="29" t="s">
        <v>42</v>
      </c>
      <c r="J21" s="29" t="s">
        <v>43</v>
      </c>
      <c r="K21" s="30" t="s">
        <v>44</v>
      </c>
      <c r="L21" s="31"/>
      <c r="M21" s="29"/>
    </row>
    <row r="22" customFormat="false" ht="38.25" hidden="false" customHeight="true" outlineLevel="0" collapsed="false">
      <c r="B22" s="29" t="s">
        <v>114</v>
      </c>
      <c r="C22" s="29" t="s">
        <v>37</v>
      </c>
      <c r="D22" s="29" t="s">
        <v>115</v>
      </c>
      <c r="E22" s="29" t="s">
        <v>97</v>
      </c>
      <c r="F22" s="29" t="s">
        <v>116</v>
      </c>
      <c r="G22" s="29" t="s">
        <v>117</v>
      </c>
      <c r="H22" s="29"/>
      <c r="I22" s="29" t="s">
        <v>42</v>
      </c>
      <c r="J22" s="29" t="s">
        <v>43</v>
      </c>
      <c r="K22" s="30" t="s">
        <v>44</v>
      </c>
      <c r="L22" s="31"/>
      <c r="M22" s="29"/>
    </row>
    <row r="23" customFormat="false" ht="51" hidden="false" customHeight="true" outlineLevel="0" collapsed="false">
      <c r="B23" s="29" t="s">
        <v>118</v>
      </c>
      <c r="C23" s="29" t="s">
        <v>37</v>
      </c>
      <c r="D23" s="29" t="s">
        <v>119</v>
      </c>
      <c r="E23" s="29" t="s">
        <v>97</v>
      </c>
      <c r="F23" s="29" t="s">
        <v>120</v>
      </c>
      <c r="G23" s="29" t="s">
        <v>121</v>
      </c>
      <c r="H23" s="29"/>
      <c r="I23" s="29" t="s">
        <v>93</v>
      </c>
      <c r="J23" s="29" t="s">
        <v>122</v>
      </c>
      <c r="K23" s="30" t="s">
        <v>44</v>
      </c>
      <c r="L23" s="31"/>
      <c r="M23" s="29"/>
    </row>
    <row r="24" customFormat="false" ht="89.25" hidden="false" customHeight="true" outlineLevel="0" collapsed="false">
      <c r="B24" s="29" t="s">
        <v>123</v>
      </c>
      <c r="C24" s="29" t="s">
        <v>37</v>
      </c>
      <c r="D24" s="29" t="s">
        <v>124</v>
      </c>
      <c r="E24" s="29" t="s">
        <v>97</v>
      </c>
      <c r="F24" s="29" t="s">
        <v>125</v>
      </c>
      <c r="G24" s="29" t="s">
        <v>126</v>
      </c>
      <c r="H24" s="29" t="s">
        <v>127</v>
      </c>
      <c r="I24" s="29" t="s">
        <v>42</v>
      </c>
      <c r="J24" s="29" t="s">
        <v>43</v>
      </c>
      <c r="K24" s="30" t="s">
        <v>44</v>
      </c>
      <c r="L24" s="31"/>
      <c r="M24" s="29"/>
    </row>
    <row r="25" customFormat="false" ht="51" hidden="false" customHeight="true" outlineLevel="0" collapsed="false">
      <c r="B25" s="29" t="s">
        <v>128</v>
      </c>
      <c r="C25" s="29" t="s">
        <v>37</v>
      </c>
      <c r="D25" s="29" t="s">
        <v>129</v>
      </c>
      <c r="E25" s="29" t="s">
        <v>97</v>
      </c>
      <c r="F25" s="29" t="s">
        <v>130</v>
      </c>
      <c r="G25" s="29" t="s">
        <v>131</v>
      </c>
      <c r="H25" s="29"/>
      <c r="I25" s="29" t="s">
        <v>42</v>
      </c>
      <c r="J25" s="29" t="s">
        <v>65</v>
      </c>
      <c r="K25" s="30" t="s">
        <v>44</v>
      </c>
      <c r="L25" s="31"/>
      <c r="M25" s="29"/>
    </row>
    <row r="26" customFormat="false" ht="89.25" hidden="false" customHeight="true" outlineLevel="0" collapsed="false">
      <c r="B26" s="29" t="s">
        <v>132</v>
      </c>
      <c r="C26" s="29" t="s">
        <v>37</v>
      </c>
      <c r="D26" s="29" t="s">
        <v>133</v>
      </c>
      <c r="E26" s="29" t="s">
        <v>97</v>
      </c>
      <c r="F26" s="29" t="s">
        <v>134</v>
      </c>
      <c r="G26" s="29" t="s">
        <v>135</v>
      </c>
      <c r="H26" s="29"/>
      <c r="I26" s="29" t="s">
        <v>42</v>
      </c>
      <c r="J26" s="29" t="s">
        <v>65</v>
      </c>
      <c r="K26" s="30" t="s">
        <v>44</v>
      </c>
      <c r="L26" s="31"/>
      <c r="M26" s="29"/>
    </row>
    <row r="27" customFormat="false" ht="89.25" hidden="false" customHeight="true" outlineLevel="0" collapsed="false">
      <c r="B27" s="29" t="s">
        <v>136</v>
      </c>
      <c r="C27" s="29" t="s">
        <v>37</v>
      </c>
      <c r="D27" s="29" t="s">
        <v>137</v>
      </c>
      <c r="E27" s="29" t="s">
        <v>97</v>
      </c>
      <c r="F27" s="29" t="s">
        <v>138</v>
      </c>
      <c r="G27" s="29" t="s">
        <v>139</v>
      </c>
      <c r="H27" s="29"/>
      <c r="I27" s="29" t="s">
        <v>42</v>
      </c>
      <c r="J27" s="29" t="s">
        <v>65</v>
      </c>
      <c r="K27" s="30" t="s">
        <v>44</v>
      </c>
      <c r="L27" s="31"/>
      <c r="M27" s="29"/>
    </row>
    <row r="28" customFormat="false" ht="63.75" hidden="false" customHeight="true" outlineLevel="0" collapsed="false">
      <c r="B28" s="29" t="s">
        <v>140</v>
      </c>
      <c r="C28" s="29" t="s">
        <v>37</v>
      </c>
      <c r="D28" s="29" t="s">
        <v>141</v>
      </c>
      <c r="E28" s="29" t="s">
        <v>97</v>
      </c>
      <c r="F28" s="29" t="s">
        <v>142</v>
      </c>
      <c r="G28" s="29" t="s">
        <v>143</v>
      </c>
      <c r="H28" s="29" t="s">
        <v>144</v>
      </c>
      <c r="I28" s="29" t="s">
        <v>42</v>
      </c>
      <c r="J28" s="29" t="s">
        <v>145</v>
      </c>
      <c r="K28" s="30" t="s">
        <v>146</v>
      </c>
      <c r="L28" s="31" t="n">
        <v>46259</v>
      </c>
      <c r="M28" s="29" t="s">
        <v>147</v>
      </c>
    </row>
    <row r="29" customFormat="false" ht="63.75" hidden="false" customHeight="true" outlineLevel="0" collapsed="false">
      <c r="B29" s="29" t="s">
        <v>148</v>
      </c>
      <c r="C29" s="29" t="s">
        <v>37</v>
      </c>
      <c r="D29" s="29" t="s">
        <v>149</v>
      </c>
      <c r="E29" s="29" t="s">
        <v>150</v>
      </c>
      <c r="F29" s="29" t="s">
        <v>151</v>
      </c>
      <c r="G29" s="29" t="s">
        <v>152</v>
      </c>
      <c r="H29" s="29"/>
      <c r="I29" s="29" t="s">
        <v>153</v>
      </c>
      <c r="J29" s="29" t="s">
        <v>154</v>
      </c>
      <c r="K29" s="30" t="s">
        <v>146</v>
      </c>
      <c r="L29" s="31" t="n">
        <v>46260</v>
      </c>
      <c r="M29" s="29" t="s">
        <v>155</v>
      </c>
    </row>
    <row r="30" customFormat="false" ht="89.25" hidden="false" customHeight="true" outlineLevel="0" collapsed="false">
      <c r="B30" s="29" t="s">
        <v>156</v>
      </c>
      <c r="C30" s="29" t="s">
        <v>37</v>
      </c>
      <c r="D30" s="29" t="s">
        <v>157</v>
      </c>
      <c r="E30" s="29" t="s">
        <v>150</v>
      </c>
      <c r="F30" s="29" t="s">
        <v>158</v>
      </c>
      <c r="G30" s="29" t="s">
        <v>159</v>
      </c>
      <c r="H30" s="29" t="s">
        <v>160</v>
      </c>
      <c r="I30" s="29" t="s">
        <v>93</v>
      </c>
      <c r="J30" s="29" t="s">
        <v>161</v>
      </c>
      <c r="K30" s="30" t="s">
        <v>162</v>
      </c>
      <c r="L30" s="31" t="n">
        <v>46259</v>
      </c>
      <c r="M30" s="29" t="s">
        <v>163</v>
      </c>
    </row>
    <row r="31" customFormat="false" ht="25.5" hidden="false" customHeight="true" outlineLevel="0" collapsed="false">
      <c r="B31" s="29" t="s">
        <v>164</v>
      </c>
      <c r="C31" s="29" t="s">
        <v>37</v>
      </c>
      <c r="D31" s="29" t="s">
        <v>165</v>
      </c>
      <c r="E31" s="29" t="s">
        <v>39</v>
      </c>
      <c r="F31" s="29" t="s">
        <v>166</v>
      </c>
      <c r="G31" s="29" t="s">
        <v>167</v>
      </c>
      <c r="H31" s="29" t="s">
        <v>168</v>
      </c>
      <c r="I31" s="29" t="s">
        <v>169</v>
      </c>
      <c r="J31" s="29" t="s">
        <v>52</v>
      </c>
      <c r="K31" s="30" t="s">
        <v>170</v>
      </c>
      <c r="L31" s="31"/>
      <c r="M31" s="29"/>
    </row>
    <row r="32" customFormat="false" ht="15" hidden="false" customHeight="true" outlineLevel="0" collapsed="false">
      <c r="B32" s="29" t="s">
        <v>171</v>
      </c>
      <c r="C32" s="29" t="s">
        <v>172</v>
      </c>
      <c r="D32" s="29" t="s">
        <v>173</v>
      </c>
      <c r="E32" s="29" t="s">
        <v>76</v>
      </c>
      <c r="F32" s="29" t="s">
        <v>174</v>
      </c>
      <c r="G32" s="29" t="s">
        <v>175</v>
      </c>
      <c r="H32" s="29"/>
      <c r="I32" s="29" t="s">
        <v>80</v>
      </c>
      <c r="J32" s="29" t="s">
        <v>81</v>
      </c>
      <c r="K32" s="30" t="s">
        <v>44</v>
      </c>
      <c r="L32" s="31" t="n">
        <v>46259</v>
      </c>
      <c r="M32" s="29" t="s">
        <v>176</v>
      </c>
    </row>
    <row r="33" customFormat="false" ht="51" hidden="false" customHeight="true" outlineLevel="0" collapsed="false">
      <c r="B33" s="29" t="s">
        <v>177</v>
      </c>
      <c r="C33" s="29" t="s">
        <v>172</v>
      </c>
      <c r="D33" s="29" t="s">
        <v>178</v>
      </c>
      <c r="E33" s="29" t="s">
        <v>76</v>
      </c>
      <c r="F33" s="29" t="s">
        <v>179</v>
      </c>
      <c r="G33" s="29" t="s">
        <v>180</v>
      </c>
      <c r="H33" s="29" t="s">
        <v>181</v>
      </c>
      <c r="I33" s="29" t="s">
        <v>80</v>
      </c>
      <c r="J33" s="29" t="s">
        <v>81</v>
      </c>
      <c r="K33" s="30" t="s">
        <v>162</v>
      </c>
      <c r="L33" s="31" t="n">
        <v>46259</v>
      </c>
      <c r="M33" s="29" t="s">
        <v>182</v>
      </c>
    </row>
    <row r="34" customFormat="false" ht="216.75" hidden="false" customHeight="true" outlineLevel="0" collapsed="false">
      <c r="B34" s="29" t="s">
        <v>183</v>
      </c>
      <c r="C34" s="29" t="s">
        <v>172</v>
      </c>
      <c r="D34" s="29" t="s">
        <v>184</v>
      </c>
      <c r="E34" s="29" t="s">
        <v>185</v>
      </c>
      <c r="F34" s="29" t="s">
        <v>186</v>
      </c>
      <c r="G34" s="29" t="s">
        <v>187</v>
      </c>
      <c r="H34" s="29" t="s">
        <v>188</v>
      </c>
      <c r="I34" s="29" t="s">
        <v>93</v>
      </c>
      <c r="J34" s="29" t="s">
        <v>189</v>
      </c>
      <c r="K34" s="30" t="s">
        <v>162</v>
      </c>
      <c r="L34" s="31" t="n">
        <v>46259</v>
      </c>
      <c r="M34" s="29" t="s">
        <v>190</v>
      </c>
    </row>
    <row r="35" customFormat="false" ht="204" hidden="false" customHeight="true" outlineLevel="0" collapsed="false">
      <c r="B35" s="29" t="s">
        <v>191</v>
      </c>
      <c r="C35" s="29" t="s">
        <v>172</v>
      </c>
      <c r="D35" s="29" t="s">
        <v>192</v>
      </c>
      <c r="E35" s="29" t="s">
        <v>76</v>
      </c>
      <c r="F35" s="29"/>
      <c r="G35" s="29" t="s">
        <v>193</v>
      </c>
      <c r="H35" s="29" t="s">
        <v>194</v>
      </c>
      <c r="I35" s="29" t="s">
        <v>195</v>
      </c>
      <c r="J35" s="29" t="s">
        <v>81</v>
      </c>
      <c r="K35" s="30" t="s">
        <v>162</v>
      </c>
      <c r="L35" s="31" t="n">
        <v>46260</v>
      </c>
      <c r="M35" s="29" t="s">
        <v>196</v>
      </c>
    </row>
    <row r="36" customFormat="false" ht="331.5" hidden="false" customHeight="true" outlineLevel="0" collapsed="false">
      <c r="B36" s="29" t="s">
        <v>197</v>
      </c>
      <c r="C36" s="29" t="s">
        <v>172</v>
      </c>
      <c r="D36" s="29" t="s">
        <v>198</v>
      </c>
      <c r="E36" s="29" t="s">
        <v>76</v>
      </c>
      <c r="F36" s="29"/>
      <c r="G36" s="29" t="s">
        <v>199</v>
      </c>
      <c r="H36" s="29" t="s">
        <v>200</v>
      </c>
      <c r="I36" s="29" t="s">
        <v>169</v>
      </c>
      <c r="J36" s="29" t="s">
        <v>201</v>
      </c>
      <c r="K36" s="30" t="s">
        <v>146</v>
      </c>
      <c r="L36" s="31" t="n">
        <v>45894</v>
      </c>
      <c r="M36" s="29" t="s">
        <v>202</v>
      </c>
    </row>
    <row r="37" customFormat="false" ht="15" hidden="false" customHeight="true" outlineLevel="0" collapsed="false">
      <c r="B37" s="29" t="s">
        <v>203</v>
      </c>
      <c r="C37" s="29" t="s">
        <v>172</v>
      </c>
      <c r="D37" s="29" t="s">
        <v>204</v>
      </c>
      <c r="E37" s="29" t="s">
        <v>205</v>
      </c>
      <c r="F37" s="29"/>
      <c r="G37" s="29" t="s">
        <v>206</v>
      </c>
      <c r="H37" s="29" t="s">
        <v>207</v>
      </c>
      <c r="I37" s="29" t="s">
        <v>169</v>
      </c>
      <c r="J37" s="29" t="s">
        <v>201</v>
      </c>
      <c r="K37" s="30" t="s">
        <v>170</v>
      </c>
      <c r="L37" s="31"/>
      <c r="M37" s="29"/>
    </row>
    <row r="38" customFormat="false" ht="25.5" hidden="false" customHeight="true" outlineLevel="0" collapsed="false">
      <c r="B38" s="29" t="s">
        <v>208</v>
      </c>
      <c r="C38" s="29" t="s">
        <v>172</v>
      </c>
      <c r="D38" s="29" t="s">
        <v>209</v>
      </c>
      <c r="E38" s="29" t="s">
        <v>205</v>
      </c>
      <c r="F38" s="29"/>
      <c r="G38" s="29" t="s">
        <v>210</v>
      </c>
      <c r="H38" s="29" t="s">
        <v>211</v>
      </c>
      <c r="I38" s="29" t="s">
        <v>169</v>
      </c>
      <c r="J38" s="29" t="s">
        <v>201</v>
      </c>
      <c r="K38" s="30" t="s">
        <v>170</v>
      </c>
      <c r="L38" s="31"/>
      <c r="M38" s="29"/>
    </row>
    <row r="39" customFormat="false" ht="140.25" hidden="false" customHeight="true" outlineLevel="0" collapsed="false">
      <c r="B39" s="29" t="s">
        <v>212</v>
      </c>
      <c r="C39" s="29" t="s">
        <v>213</v>
      </c>
      <c r="D39" s="29" t="s">
        <v>214</v>
      </c>
      <c r="E39" s="29" t="s">
        <v>89</v>
      </c>
      <c r="F39" s="29" t="s">
        <v>215</v>
      </c>
      <c r="G39" s="29" t="s">
        <v>216</v>
      </c>
      <c r="H39" s="29" t="s">
        <v>217</v>
      </c>
      <c r="I39" s="29" t="s">
        <v>93</v>
      </c>
      <c r="J39" s="29" t="s">
        <v>94</v>
      </c>
      <c r="K39" s="30" t="s">
        <v>44</v>
      </c>
      <c r="L39" s="31"/>
      <c r="M39" s="29"/>
    </row>
    <row r="40" customFormat="false" ht="38.25" hidden="false" customHeight="true" outlineLevel="0" collapsed="false">
      <c r="B40" s="29" t="s">
        <v>218</v>
      </c>
      <c r="C40" s="29" t="s">
        <v>213</v>
      </c>
      <c r="D40" s="29" t="s">
        <v>219</v>
      </c>
      <c r="E40" s="29" t="s">
        <v>220</v>
      </c>
      <c r="F40" s="29" t="s">
        <v>221</v>
      </c>
      <c r="G40" s="29" t="s">
        <v>222</v>
      </c>
      <c r="H40" s="29" t="s">
        <v>223</v>
      </c>
      <c r="I40" s="29" t="s">
        <v>224</v>
      </c>
      <c r="J40" s="29" t="s">
        <v>220</v>
      </c>
      <c r="K40" s="30" t="s">
        <v>162</v>
      </c>
      <c r="L40" s="31" t="n">
        <v>46259</v>
      </c>
      <c r="M40" s="29" t="s">
        <v>225</v>
      </c>
    </row>
    <row r="41" customFormat="false" ht="51" hidden="false" customHeight="true" outlineLevel="0" collapsed="false">
      <c r="B41" s="29" t="s">
        <v>226</v>
      </c>
      <c r="C41" s="29" t="s">
        <v>213</v>
      </c>
      <c r="D41" s="29" t="s">
        <v>227</v>
      </c>
      <c r="E41" s="29" t="s">
        <v>220</v>
      </c>
      <c r="F41" s="29" t="s">
        <v>228</v>
      </c>
      <c r="G41" s="29" t="s">
        <v>229</v>
      </c>
      <c r="H41" s="29" t="s">
        <v>230</v>
      </c>
      <c r="I41" s="29" t="s">
        <v>93</v>
      </c>
      <c r="J41" s="29" t="s">
        <v>231</v>
      </c>
      <c r="K41" s="30" t="s">
        <v>44</v>
      </c>
      <c r="L41" s="31"/>
      <c r="M41" s="29"/>
    </row>
    <row r="42" customFormat="false" ht="38.25" hidden="false" customHeight="true" outlineLevel="0" collapsed="false">
      <c r="B42" s="29" t="s">
        <v>232</v>
      </c>
      <c r="C42" s="29" t="s">
        <v>213</v>
      </c>
      <c r="D42" s="29" t="s">
        <v>233</v>
      </c>
      <c r="E42" s="29" t="s">
        <v>76</v>
      </c>
      <c r="F42" s="29" t="s">
        <v>234</v>
      </c>
      <c r="G42" s="29" t="s">
        <v>235</v>
      </c>
      <c r="H42" s="29"/>
      <c r="I42" s="29" t="s">
        <v>80</v>
      </c>
      <c r="J42" s="29" t="s">
        <v>79</v>
      </c>
      <c r="K42" s="30" t="s">
        <v>162</v>
      </c>
      <c r="L42" s="31" t="n">
        <v>46259</v>
      </c>
      <c r="M42" s="29" t="s">
        <v>236</v>
      </c>
    </row>
    <row r="43" customFormat="false" ht="38.25" hidden="false" customHeight="true" outlineLevel="0" collapsed="false">
      <c r="B43" s="29" t="s">
        <v>237</v>
      </c>
      <c r="C43" s="29" t="s">
        <v>213</v>
      </c>
      <c r="D43" s="29" t="s">
        <v>238</v>
      </c>
      <c r="E43" s="29" t="s">
        <v>76</v>
      </c>
      <c r="F43" s="29" t="s">
        <v>239</v>
      </c>
      <c r="G43" s="29" t="s">
        <v>240</v>
      </c>
      <c r="H43" s="29" t="s">
        <v>241</v>
      </c>
      <c r="I43" s="29" t="s">
        <v>93</v>
      </c>
      <c r="J43" s="29" t="s">
        <v>94</v>
      </c>
      <c r="K43" s="30" t="s">
        <v>162</v>
      </c>
      <c r="L43" s="31" t="n">
        <v>46259</v>
      </c>
      <c r="M43" s="29" t="s">
        <v>242</v>
      </c>
    </row>
    <row r="44" customFormat="false" ht="25.5" hidden="false" customHeight="true" outlineLevel="0" collapsed="false">
      <c r="B44" s="29" t="s">
        <v>243</v>
      </c>
      <c r="C44" s="29" t="s">
        <v>213</v>
      </c>
      <c r="D44" s="29" t="s">
        <v>244</v>
      </c>
      <c r="E44" s="29" t="s">
        <v>76</v>
      </c>
      <c r="F44" s="29" t="s">
        <v>245</v>
      </c>
      <c r="G44" s="29" t="s">
        <v>246</v>
      </c>
      <c r="H44" s="29" t="s">
        <v>247</v>
      </c>
      <c r="I44" s="29" t="s">
        <v>224</v>
      </c>
      <c r="J44" s="29" t="s">
        <v>79</v>
      </c>
      <c r="K44" s="30" t="s">
        <v>162</v>
      </c>
      <c r="L44" s="31" t="n">
        <v>46259</v>
      </c>
      <c r="M44" s="29" t="s">
        <v>248</v>
      </c>
    </row>
    <row r="45" customFormat="false" ht="38.25" hidden="false" customHeight="true" outlineLevel="0" collapsed="false">
      <c r="B45" s="29" t="s">
        <v>249</v>
      </c>
      <c r="C45" s="29" t="s">
        <v>213</v>
      </c>
      <c r="D45" s="29" t="s">
        <v>250</v>
      </c>
      <c r="E45" s="29" t="s">
        <v>76</v>
      </c>
      <c r="F45" s="29" t="s">
        <v>251</v>
      </c>
      <c r="G45" s="29" t="s">
        <v>252</v>
      </c>
      <c r="H45" s="29" t="s">
        <v>253</v>
      </c>
      <c r="I45" s="29" t="s">
        <v>80</v>
      </c>
      <c r="J45" s="29" t="s">
        <v>79</v>
      </c>
      <c r="K45" s="30" t="s">
        <v>162</v>
      </c>
      <c r="L45" s="31" t="n">
        <v>46259</v>
      </c>
      <c r="M45" s="29" t="s">
        <v>254</v>
      </c>
    </row>
    <row r="46" customFormat="false" ht="165.75" hidden="false" customHeight="true" outlineLevel="0" collapsed="false">
      <c r="B46" s="29" t="s">
        <v>255</v>
      </c>
      <c r="C46" s="29" t="s">
        <v>213</v>
      </c>
      <c r="D46" s="29" t="s">
        <v>256</v>
      </c>
      <c r="E46" s="29" t="s">
        <v>185</v>
      </c>
      <c r="F46" s="29" t="s">
        <v>257</v>
      </c>
      <c r="G46" s="29" t="s">
        <v>258</v>
      </c>
      <c r="H46" s="29" t="s">
        <v>259</v>
      </c>
      <c r="I46" s="29" t="s">
        <v>42</v>
      </c>
      <c r="J46" s="29" t="s">
        <v>260</v>
      </c>
      <c r="K46" s="30" t="s">
        <v>162</v>
      </c>
      <c r="L46" s="31" t="n">
        <v>46259</v>
      </c>
      <c r="M46" s="29" t="s">
        <v>261</v>
      </c>
    </row>
    <row r="47" customFormat="false" ht="25.5" hidden="false" customHeight="true" outlineLevel="0" collapsed="false">
      <c r="B47" s="29" t="s">
        <v>262</v>
      </c>
      <c r="C47" s="29" t="s">
        <v>263</v>
      </c>
      <c r="D47" s="29" t="s">
        <v>264</v>
      </c>
      <c r="E47" s="29" t="s">
        <v>265</v>
      </c>
      <c r="F47" s="29" t="s">
        <v>266</v>
      </c>
      <c r="G47" s="29" t="s">
        <v>267</v>
      </c>
      <c r="H47" s="29" t="s">
        <v>268</v>
      </c>
      <c r="I47" s="29" t="s">
        <v>42</v>
      </c>
      <c r="J47" s="29" t="s">
        <v>269</v>
      </c>
      <c r="K47" s="30" t="s">
        <v>44</v>
      </c>
      <c r="L47" s="31"/>
      <c r="M47" s="29"/>
    </row>
    <row r="48" customFormat="false" ht="25.5" hidden="false" customHeight="true" outlineLevel="0" collapsed="false">
      <c r="B48" s="29" t="s">
        <v>270</v>
      </c>
      <c r="C48" s="29" t="s">
        <v>263</v>
      </c>
      <c r="D48" s="29" t="s">
        <v>271</v>
      </c>
      <c r="E48" s="29" t="s">
        <v>265</v>
      </c>
      <c r="F48" s="29" t="s">
        <v>266</v>
      </c>
      <c r="G48" s="29" t="s">
        <v>272</v>
      </c>
      <c r="H48" s="29" t="s">
        <v>273</v>
      </c>
      <c r="I48" s="29" t="s">
        <v>42</v>
      </c>
      <c r="J48" s="29" t="s">
        <v>269</v>
      </c>
      <c r="K48" s="30" t="s">
        <v>44</v>
      </c>
      <c r="L48" s="31"/>
      <c r="M48" s="29"/>
    </row>
    <row r="49" customFormat="false" ht="89.25" hidden="false" customHeight="true" outlineLevel="0" collapsed="false">
      <c r="B49" s="29" t="s">
        <v>274</v>
      </c>
      <c r="C49" s="29" t="s">
        <v>275</v>
      </c>
      <c r="D49" s="29" t="s">
        <v>276</v>
      </c>
      <c r="E49" s="29" t="s">
        <v>39</v>
      </c>
      <c r="F49" s="29" t="s">
        <v>277</v>
      </c>
      <c r="G49" s="29" t="s">
        <v>278</v>
      </c>
      <c r="H49" s="29" t="s">
        <v>279</v>
      </c>
      <c r="I49" s="29" t="s">
        <v>42</v>
      </c>
      <c r="J49" s="29" t="s">
        <v>43</v>
      </c>
      <c r="K49" s="30" t="s">
        <v>44</v>
      </c>
      <c r="L49" s="31"/>
      <c r="M49" s="32"/>
    </row>
    <row r="50" customFormat="false" ht="51" hidden="false" customHeight="true" outlineLevel="0" collapsed="false">
      <c r="B50" s="29" t="s">
        <v>280</v>
      </c>
      <c r="C50" s="29" t="s">
        <v>281</v>
      </c>
      <c r="D50" s="29" t="s">
        <v>282</v>
      </c>
      <c r="E50" s="29" t="s">
        <v>220</v>
      </c>
      <c r="F50" s="29" t="s">
        <v>221</v>
      </c>
      <c r="G50" s="29" t="s">
        <v>283</v>
      </c>
      <c r="H50" s="29" t="s">
        <v>284</v>
      </c>
      <c r="I50" s="29" t="s">
        <v>285</v>
      </c>
      <c r="J50" s="29" t="s">
        <v>220</v>
      </c>
      <c r="K50" s="30" t="s">
        <v>44</v>
      </c>
      <c r="L50" s="31"/>
      <c r="M50" s="29"/>
    </row>
    <row r="51" customFormat="false" ht="102" hidden="false" customHeight="true" outlineLevel="0" collapsed="false">
      <c r="B51" s="29" t="s">
        <v>286</v>
      </c>
      <c r="C51" s="29" t="s">
        <v>281</v>
      </c>
      <c r="D51" s="29" t="s">
        <v>287</v>
      </c>
      <c r="E51" s="29" t="s">
        <v>39</v>
      </c>
      <c r="F51" s="29" t="s">
        <v>288</v>
      </c>
      <c r="G51" s="29" t="s">
        <v>289</v>
      </c>
      <c r="H51" s="29" t="s">
        <v>290</v>
      </c>
      <c r="I51" s="29" t="s">
        <v>42</v>
      </c>
      <c r="J51" s="29" t="s">
        <v>43</v>
      </c>
      <c r="K51" s="30" t="s">
        <v>44</v>
      </c>
      <c r="L51" s="31"/>
      <c r="M51" s="29"/>
    </row>
    <row r="52" customFormat="false" ht="89.25" hidden="false" customHeight="true" outlineLevel="0" collapsed="false">
      <c r="B52" s="29" t="s">
        <v>291</v>
      </c>
      <c r="C52" s="29" t="s">
        <v>281</v>
      </c>
      <c r="D52" s="29" t="s">
        <v>292</v>
      </c>
      <c r="E52" s="29" t="s">
        <v>39</v>
      </c>
      <c r="F52" s="29" t="s">
        <v>293</v>
      </c>
      <c r="G52" s="29" t="s">
        <v>294</v>
      </c>
      <c r="H52" s="29" t="s">
        <v>295</v>
      </c>
      <c r="I52" s="29" t="s">
        <v>296</v>
      </c>
      <c r="J52" s="29" t="s">
        <v>52</v>
      </c>
      <c r="K52" s="30" t="s">
        <v>44</v>
      </c>
      <c r="L52" s="31"/>
      <c r="M52" s="29"/>
    </row>
    <row r="53" customFormat="false" ht="140.25" hidden="false" customHeight="true" outlineLevel="0" collapsed="false">
      <c r="B53" s="29" t="s">
        <v>297</v>
      </c>
      <c r="C53" s="29" t="s">
        <v>281</v>
      </c>
      <c r="D53" s="29" t="s">
        <v>298</v>
      </c>
      <c r="E53" s="29" t="s">
        <v>97</v>
      </c>
      <c r="F53" s="29"/>
      <c r="G53" s="29" t="s">
        <v>299</v>
      </c>
      <c r="H53" s="29" t="s">
        <v>300</v>
      </c>
      <c r="I53" s="29" t="s">
        <v>301</v>
      </c>
      <c r="J53" s="29" t="s">
        <v>201</v>
      </c>
      <c r="K53" s="30" t="s">
        <v>44</v>
      </c>
      <c r="L53" s="31"/>
      <c r="M53" s="29"/>
    </row>
    <row r="54" customFormat="false" ht="76.5" hidden="false" customHeight="true" outlineLevel="0" collapsed="false">
      <c r="B54" s="29" t="s">
        <v>302</v>
      </c>
      <c r="C54" s="29" t="s">
        <v>281</v>
      </c>
      <c r="D54" s="29" t="s">
        <v>303</v>
      </c>
      <c r="E54" s="29" t="s">
        <v>97</v>
      </c>
      <c r="F54" s="29"/>
      <c r="G54" s="29" t="s">
        <v>304</v>
      </c>
      <c r="H54" s="29" t="s">
        <v>305</v>
      </c>
      <c r="I54" s="29" t="s">
        <v>301</v>
      </c>
      <c r="J54" s="29" t="s">
        <v>201</v>
      </c>
      <c r="K54" s="30" t="s">
        <v>44</v>
      </c>
      <c r="L54" s="31"/>
      <c r="M54" s="29"/>
    </row>
    <row r="55" customFormat="false" ht="114.75" hidden="false" customHeight="true" outlineLevel="0" collapsed="false">
      <c r="B55" s="29" t="s">
        <v>306</v>
      </c>
      <c r="C55" s="29" t="s">
        <v>281</v>
      </c>
      <c r="D55" s="29" t="s">
        <v>307</v>
      </c>
      <c r="E55" s="29" t="s">
        <v>39</v>
      </c>
      <c r="F55" s="29"/>
      <c r="G55" s="29" t="s">
        <v>308</v>
      </c>
      <c r="H55" s="29" t="s">
        <v>305</v>
      </c>
      <c r="I55" s="29" t="s">
        <v>301</v>
      </c>
      <c r="J55" s="29" t="s">
        <v>201</v>
      </c>
      <c r="K55" s="30" t="s">
        <v>44</v>
      </c>
      <c r="L55" s="31"/>
      <c r="M55" s="29"/>
    </row>
    <row r="56" customFormat="false" ht="178.5" hidden="false" customHeight="true" outlineLevel="0" collapsed="false">
      <c r="B56" s="29" t="s">
        <v>309</v>
      </c>
      <c r="C56" s="29" t="s">
        <v>281</v>
      </c>
      <c r="D56" s="29" t="s">
        <v>310</v>
      </c>
      <c r="E56" s="29" t="s">
        <v>39</v>
      </c>
      <c r="F56" s="29" t="s">
        <v>311</v>
      </c>
      <c r="G56" s="29" t="s">
        <v>312</v>
      </c>
      <c r="H56" s="29" t="s">
        <v>313</v>
      </c>
      <c r="I56" s="29" t="s">
        <v>42</v>
      </c>
      <c r="J56" s="29" t="s">
        <v>43</v>
      </c>
      <c r="K56" s="30" t="s">
        <v>44</v>
      </c>
      <c r="L56" s="31"/>
      <c r="M56" s="29"/>
    </row>
    <row r="57" customFormat="false" ht="178.5" hidden="false" customHeight="true" outlineLevel="0" collapsed="false">
      <c r="B57" s="29" t="s">
        <v>314</v>
      </c>
      <c r="C57" s="29" t="s">
        <v>281</v>
      </c>
      <c r="D57" s="29" t="s">
        <v>315</v>
      </c>
      <c r="E57" s="29" t="s">
        <v>39</v>
      </c>
      <c r="F57" s="29" t="s">
        <v>316</v>
      </c>
      <c r="G57" s="29" t="s">
        <v>317</v>
      </c>
      <c r="H57" s="29" t="s">
        <v>318</v>
      </c>
      <c r="I57" s="29" t="s">
        <v>296</v>
      </c>
      <c r="J57" s="29" t="s">
        <v>296</v>
      </c>
      <c r="K57" s="30" t="s">
        <v>44</v>
      </c>
      <c r="L57" s="31"/>
      <c r="M57" s="29"/>
    </row>
    <row r="58" customFormat="false" ht="76.5" hidden="false" customHeight="true" outlineLevel="0" collapsed="false">
      <c r="B58" s="29" t="s">
        <v>319</v>
      </c>
      <c r="C58" s="29" t="s">
        <v>281</v>
      </c>
      <c r="D58" s="29" t="s">
        <v>320</v>
      </c>
      <c r="E58" s="29" t="s">
        <v>39</v>
      </c>
      <c r="F58" s="29" t="s">
        <v>321</v>
      </c>
      <c r="G58" s="29" t="s">
        <v>322</v>
      </c>
      <c r="H58" s="29" t="s">
        <v>323</v>
      </c>
      <c r="I58" s="29" t="s">
        <v>42</v>
      </c>
      <c r="J58" s="29" t="s">
        <v>43</v>
      </c>
      <c r="K58" s="30" t="s">
        <v>44</v>
      </c>
      <c r="L58" s="31"/>
      <c r="M58" s="29"/>
    </row>
    <row r="59" customFormat="false" ht="114.75" hidden="false" customHeight="true" outlineLevel="0" collapsed="false">
      <c r="B59" s="29" t="s">
        <v>324</v>
      </c>
      <c r="C59" s="29" t="s">
        <v>281</v>
      </c>
      <c r="D59" s="29" t="s">
        <v>325</v>
      </c>
      <c r="E59" s="29" t="s">
        <v>326</v>
      </c>
      <c r="F59" s="29" t="s">
        <v>327</v>
      </c>
      <c r="G59" s="29" t="s">
        <v>328</v>
      </c>
      <c r="H59" s="29" t="s">
        <v>329</v>
      </c>
      <c r="I59" s="29" t="s">
        <v>169</v>
      </c>
      <c r="J59" s="29" t="s">
        <v>201</v>
      </c>
      <c r="K59" s="30" t="s">
        <v>146</v>
      </c>
      <c r="L59" s="31"/>
      <c r="M59" s="29"/>
    </row>
    <row r="60" customFormat="false" ht="76.5" hidden="false" customHeight="true" outlineLevel="0" collapsed="false">
      <c r="B60" s="29" t="s">
        <v>330</v>
      </c>
      <c r="C60" s="29" t="s">
        <v>281</v>
      </c>
      <c r="D60" s="29" t="s">
        <v>331</v>
      </c>
      <c r="E60" s="29" t="s">
        <v>185</v>
      </c>
      <c r="F60" s="29" t="s">
        <v>332</v>
      </c>
      <c r="G60" s="29" t="s">
        <v>333</v>
      </c>
      <c r="H60" s="29" t="s">
        <v>334</v>
      </c>
      <c r="I60" s="29" t="s">
        <v>335</v>
      </c>
      <c r="J60" s="29" t="s">
        <v>336</v>
      </c>
      <c r="K60" s="30" t="s">
        <v>44</v>
      </c>
      <c r="L60" s="31"/>
      <c r="M60" s="29"/>
    </row>
    <row r="61" customFormat="false" ht="76.5" hidden="false" customHeight="true" outlineLevel="0" collapsed="false">
      <c r="B61" s="29" t="s">
        <v>337</v>
      </c>
      <c r="C61" s="29" t="s">
        <v>281</v>
      </c>
      <c r="D61" s="29" t="s">
        <v>338</v>
      </c>
      <c r="E61" s="29" t="s">
        <v>339</v>
      </c>
      <c r="F61" s="29" t="s">
        <v>340</v>
      </c>
      <c r="G61" s="29" t="s">
        <v>341</v>
      </c>
      <c r="H61" s="29" t="s">
        <v>342</v>
      </c>
      <c r="I61" s="29" t="s">
        <v>301</v>
      </c>
      <c r="J61" s="29" t="s">
        <v>201</v>
      </c>
      <c r="K61" s="30" t="s">
        <v>44</v>
      </c>
      <c r="L61" s="31"/>
      <c r="M61" s="29"/>
    </row>
    <row r="62" customFormat="false" ht="102" hidden="false" customHeight="true" outlineLevel="0" collapsed="false">
      <c r="B62" s="29" t="s">
        <v>343</v>
      </c>
      <c r="C62" s="29" t="s">
        <v>281</v>
      </c>
      <c r="D62" s="29" t="s">
        <v>344</v>
      </c>
      <c r="E62" s="29" t="s">
        <v>339</v>
      </c>
      <c r="F62" s="29" t="s">
        <v>345</v>
      </c>
      <c r="G62" s="29" t="s">
        <v>346</v>
      </c>
      <c r="H62" s="29" t="s">
        <v>347</v>
      </c>
      <c r="I62" s="29" t="s">
        <v>301</v>
      </c>
      <c r="J62" s="29" t="s">
        <v>201</v>
      </c>
      <c r="K62" s="30" t="s">
        <v>44</v>
      </c>
      <c r="L62" s="31"/>
      <c r="M62" s="29"/>
    </row>
    <row r="63" customFormat="false" ht="191.25" hidden="false" customHeight="true" outlineLevel="0" collapsed="false">
      <c r="B63" s="29" t="s">
        <v>348</v>
      </c>
      <c r="C63" s="29" t="s">
        <v>281</v>
      </c>
      <c r="D63" s="29" t="s">
        <v>349</v>
      </c>
      <c r="E63" s="29" t="s">
        <v>350</v>
      </c>
      <c r="F63" s="29" t="s">
        <v>351</v>
      </c>
      <c r="G63" s="29" t="s">
        <v>352</v>
      </c>
      <c r="H63" s="29" t="s">
        <v>353</v>
      </c>
      <c r="I63" s="29" t="s">
        <v>301</v>
      </c>
      <c r="J63" s="29" t="s">
        <v>201</v>
      </c>
      <c r="K63" s="30" t="s">
        <v>44</v>
      </c>
      <c r="L63" s="31"/>
      <c r="M63" s="29"/>
    </row>
    <row r="64" customFormat="false" ht="191.25" hidden="false" customHeight="true" outlineLevel="0" collapsed="false">
      <c r="B64" s="29" t="s">
        <v>354</v>
      </c>
      <c r="C64" s="29" t="s">
        <v>281</v>
      </c>
      <c r="D64" s="29" t="s">
        <v>355</v>
      </c>
      <c r="E64" s="29" t="s">
        <v>356</v>
      </c>
      <c r="F64" s="29" t="s">
        <v>357</v>
      </c>
      <c r="G64" s="29" t="s">
        <v>358</v>
      </c>
      <c r="H64" s="29" t="s">
        <v>359</v>
      </c>
      <c r="I64" s="29" t="s">
        <v>301</v>
      </c>
      <c r="J64" s="29" t="s">
        <v>201</v>
      </c>
      <c r="K64" s="30" t="s">
        <v>44</v>
      </c>
      <c r="L64" s="31"/>
      <c r="M64" s="29"/>
    </row>
    <row r="65" customFormat="false" ht="89.25" hidden="false" customHeight="true" outlineLevel="0" collapsed="false">
      <c r="B65" s="29" t="s">
        <v>360</v>
      </c>
      <c r="C65" s="29" t="s">
        <v>281</v>
      </c>
      <c r="D65" s="29" t="s">
        <v>361</v>
      </c>
      <c r="E65" s="29" t="s">
        <v>326</v>
      </c>
      <c r="F65" s="29" t="s">
        <v>362</v>
      </c>
      <c r="G65" s="29" t="s">
        <v>363</v>
      </c>
      <c r="H65" s="29" t="s">
        <v>364</v>
      </c>
      <c r="I65" s="29" t="s">
        <v>301</v>
      </c>
      <c r="J65" s="29" t="s">
        <v>201</v>
      </c>
      <c r="K65" s="30" t="s">
        <v>44</v>
      </c>
      <c r="L65" s="31"/>
      <c r="M65" s="29"/>
    </row>
    <row r="66" customFormat="false" ht="204" hidden="false" customHeight="true" outlineLevel="0" collapsed="false">
      <c r="B66" s="29" t="s">
        <v>365</v>
      </c>
      <c r="C66" s="29" t="s">
        <v>281</v>
      </c>
      <c r="D66" s="29" t="s">
        <v>366</v>
      </c>
      <c r="E66" s="29" t="s">
        <v>326</v>
      </c>
      <c r="F66" s="29" t="s">
        <v>367</v>
      </c>
      <c r="G66" s="29" t="s">
        <v>368</v>
      </c>
      <c r="H66" s="29" t="s">
        <v>369</v>
      </c>
      <c r="I66" s="29" t="s">
        <v>301</v>
      </c>
      <c r="J66" s="29" t="s">
        <v>201</v>
      </c>
      <c r="K66" s="30" t="s">
        <v>44</v>
      </c>
      <c r="L66" s="31"/>
      <c r="M66" s="29"/>
    </row>
    <row r="67" customFormat="false" ht="178.5" hidden="false" customHeight="true" outlineLevel="0" collapsed="false">
      <c r="B67" s="29" t="s">
        <v>370</v>
      </c>
      <c r="C67" s="29" t="s">
        <v>281</v>
      </c>
      <c r="D67" s="29" t="s">
        <v>371</v>
      </c>
      <c r="E67" s="29" t="s">
        <v>356</v>
      </c>
      <c r="F67" s="29" t="s">
        <v>372</v>
      </c>
      <c r="G67" s="29" t="s">
        <v>373</v>
      </c>
      <c r="H67" s="29" t="s">
        <v>374</v>
      </c>
      <c r="I67" s="29" t="s">
        <v>42</v>
      </c>
      <c r="J67" s="29" t="s">
        <v>43</v>
      </c>
      <c r="K67" s="30" t="s">
        <v>44</v>
      </c>
      <c r="L67" s="31"/>
      <c r="M67" s="29"/>
    </row>
    <row r="68" customFormat="false" ht="140.25" hidden="false" customHeight="true" outlineLevel="0" collapsed="false">
      <c r="B68" s="29" t="s">
        <v>375</v>
      </c>
      <c r="C68" s="29" t="s">
        <v>281</v>
      </c>
      <c r="D68" s="29" t="s">
        <v>376</v>
      </c>
      <c r="E68" s="29" t="s">
        <v>326</v>
      </c>
      <c r="F68" s="29" t="s">
        <v>377</v>
      </c>
      <c r="G68" s="29" t="s">
        <v>378</v>
      </c>
      <c r="H68" s="29" t="s">
        <v>379</v>
      </c>
      <c r="I68" s="29" t="s">
        <v>301</v>
      </c>
      <c r="J68" s="29" t="s">
        <v>201</v>
      </c>
      <c r="K68" s="30" t="s">
        <v>44</v>
      </c>
      <c r="L68" s="31"/>
      <c r="M68" s="29"/>
    </row>
    <row r="69" customFormat="false" ht="51" hidden="false" customHeight="true" outlineLevel="0" collapsed="false">
      <c r="B69" s="29" t="s">
        <v>380</v>
      </c>
      <c r="C69" s="29" t="s">
        <v>281</v>
      </c>
      <c r="D69" s="29" t="s">
        <v>381</v>
      </c>
      <c r="E69" s="29" t="s">
        <v>356</v>
      </c>
      <c r="F69" s="29" t="s">
        <v>382</v>
      </c>
      <c r="G69" s="29" t="s">
        <v>383</v>
      </c>
      <c r="H69" s="29" t="s">
        <v>384</v>
      </c>
      <c r="I69" s="29" t="s">
        <v>301</v>
      </c>
      <c r="J69" s="29" t="s">
        <v>201</v>
      </c>
      <c r="K69" s="30" t="s">
        <v>44</v>
      </c>
      <c r="L69" s="31"/>
      <c r="M69" s="29"/>
    </row>
    <row r="70" customFormat="false" ht="76.5" hidden="false" customHeight="true" outlineLevel="0" collapsed="false">
      <c r="B70" s="29" t="s">
        <v>385</v>
      </c>
      <c r="C70" s="29" t="s">
        <v>281</v>
      </c>
      <c r="D70" s="29" t="s">
        <v>386</v>
      </c>
      <c r="E70" s="29" t="s">
        <v>205</v>
      </c>
      <c r="F70" s="29" t="s">
        <v>387</v>
      </c>
      <c r="G70" s="29" t="s">
        <v>388</v>
      </c>
      <c r="H70" s="29" t="s">
        <v>389</v>
      </c>
      <c r="I70" s="29" t="s">
        <v>301</v>
      </c>
      <c r="J70" s="29" t="s">
        <v>201</v>
      </c>
      <c r="K70" s="30" t="s">
        <v>44</v>
      </c>
      <c r="L70" s="31"/>
      <c r="M70" s="29"/>
    </row>
    <row r="71" customFormat="false" ht="38.25" hidden="false" customHeight="true" outlineLevel="0" collapsed="false">
      <c r="B71" s="29" t="s">
        <v>390</v>
      </c>
      <c r="C71" s="29" t="s">
        <v>281</v>
      </c>
      <c r="D71" s="29" t="s">
        <v>391</v>
      </c>
      <c r="E71" s="29" t="s">
        <v>326</v>
      </c>
      <c r="F71" s="29" t="s">
        <v>392</v>
      </c>
      <c r="G71" s="29" t="s">
        <v>393</v>
      </c>
      <c r="H71" s="29" t="s">
        <v>394</v>
      </c>
      <c r="I71" s="29" t="s">
        <v>301</v>
      </c>
      <c r="J71" s="29" t="s">
        <v>201</v>
      </c>
      <c r="K71" s="30" t="s">
        <v>44</v>
      </c>
      <c r="L71" s="31"/>
      <c r="M71" s="29"/>
    </row>
    <row r="72" customFormat="false" ht="89.25" hidden="false" customHeight="true" outlineLevel="0" collapsed="false">
      <c r="B72" s="29" t="s">
        <v>395</v>
      </c>
      <c r="C72" s="29" t="s">
        <v>281</v>
      </c>
      <c r="D72" s="29" t="s">
        <v>396</v>
      </c>
      <c r="E72" s="29" t="s">
        <v>39</v>
      </c>
      <c r="F72" s="29" t="s">
        <v>397</v>
      </c>
      <c r="G72" s="29" t="s">
        <v>398</v>
      </c>
      <c r="H72" s="29" t="s">
        <v>399</v>
      </c>
      <c r="I72" s="29" t="s">
        <v>42</v>
      </c>
      <c r="J72" s="29" t="s">
        <v>43</v>
      </c>
      <c r="K72" s="30" t="s">
        <v>44</v>
      </c>
      <c r="L72" s="31"/>
      <c r="M72" s="29"/>
    </row>
    <row r="73" customFormat="false" ht="76.5" hidden="false" customHeight="true" outlineLevel="0" collapsed="false">
      <c r="B73" s="29" t="s">
        <v>400</v>
      </c>
      <c r="C73" s="29" t="s">
        <v>281</v>
      </c>
      <c r="D73" s="29" t="s">
        <v>401</v>
      </c>
      <c r="E73" s="29" t="s">
        <v>356</v>
      </c>
      <c r="F73" s="29" t="s">
        <v>402</v>
      </c>
      <c r="G73" s="29" t="s">
        <v>403</v>
      </c>
      <c r="H73" s="29" t="s">
        <v>404</v>
      </c>
      <c r="I73" s="29" t="s">
        <v>301</v>
      </c>
      <c r="J73" s="29" t="s">
        <v>201</v>
      </c>
      <c r="K73" s="30" t="s">
        <v>44</v>
      </c>
      <c r="L73" s="31"/>
      <c r="M73" s="29"/>
    </row>
    <row r="74" customFormat="false" ht="204" hidden="false" customHeight="true" outlineLevel="0" collapsed="false">
      <c r="B74" s="29" t="s">
        <v>405</v>
      </c>
      <c r="C74" s="29" t="s">
        <v>281</v>
      </c>
      <c r="D74" s="29" t="s">
        <v>406</v>
      </c>
      <c r="E74" s="29" t="s">
        <v>356</v>
      </c>
      <c r="F74" s="29" t="s">
        <v>407</v>
      </c>
      <c r="G74" s="29" t="s">
        <v>408</v>
      </c>
      <c r="H74" s="29" t="s">
        <v>409</v>
      </c>
      <c r="I74" s="29" t="s">
        <v>301</v>
      </c>
      <c r="J74" s="29" t="s">
        <v>201</v>
      </c>
      <c r="K74" s="30" t="s">
        <v>44</v>
      </c>
      <c r="L74" s="31"/>
      <c r="M74" s="29"/>
    </row>
    <row r="75" customFormat="false" ht="114.75" hidden="false" customHeight="true" outlineLevel="0" collapsed="false">
      <c r="B75" s="29" t="s">
        <v>410</v>
      </c>
      <c r="C75" s="29" t="s">
        <v>281</v>
      </c>
      <c r="D75" s="29" t="s">
        <v>411</v>
      </c>
      <c r="E75" s="29" t="s">
        <v>356</v>
      </c>
      <c r="F75" s="29" t="s">
        <v>412</v>
      </c>
      <c r="G75" s="29" t="s">
        <v>413</v>
      </c>
      <c r="H75" s="29" t="s">
        <v>414</v>
      </c>
      <c r="I75" s="29" t="s">
        <v>301</v>
      </c>
      <c r="J75" s="29" t="s">
        <v>201</v>
      </c>
      <c r="K75" s="30" t="s">
        <v>146</v>
      </c>
      <c r="L75" s="31"/>
      <c r="M75" s="29"/>
    </row>
    <row r="76" customFormat="false" ht="89.25" hidden="false" customHeight="true" outlineLevel="0" collapsed="false">
      <c r="B76" s="29" t="s">
        <v>415</v>
      </c>
      <c r="C76" s="29" t="s">
        <v>281</v>
      </c>
      <c r="D76" s="29" t="s">
        <v>416</v>
      </c>
      <c r="E76" s="29" t="s">
        <v>97</v>
      </c>
      <c r="F76" s="29" t="s">
        <v>417</v>
      </c>
      <c r="G76" s="29" t="s">
        <v>418</v>
      </c>
      <c r="H76" s="29" t="s">
        <v>419</v>
      </c>
      <c r="I76" s="29" t="s">
        <v>42</v>
      </c>
      <c r="J76" s="29" t="s">
        <v>65</v>
      </c>
      <c r="K76" s="30" t="s">
        <v>44</v>
      </c>
      <c r="L76" s="31"/>
      <c r="M76" s="29"/>
    </row>
    <row r="77" customFormat="false" ht="89.25" hidden="false" customHeight="true" outlineLevel="0" collapsed="false">
      <c r="B77" s="29" t="s">
        <v>420</v>
      </c>
      <c r="C77" s="29" t="s">
        <v>281</v>
      </c>
      <c r="D77" s="29" t="s">
        <v>421</v>
      </c>
      <c r="E77" s="29" t="s">
        <v>339</v>
      </c>
      <c r="F77" s="29" t="s">
        <v>422</v>
      </c>
      <c r="G77" s="29" t="s">
        <v>423</v>
      </c>
      <c r="H77" s="29" t="s">
        <v>424</v>
      </c>
      <c r="I77" s="29" t="s">
        <v>301</v>
      </c>
      <c r="J77" s="29" t="s">
        <v>201</v>
      </c>
      <c r="K77" s="30" t="s">
        <v>44</v>
      </c>
      <c r="L77" s="31"/>
      <c r="M77" s="29"/>
    </row>
    <row r="78" customFormat="false" ht="38.25" hidden="false" customHeight="true" outlineLevel="0" collapsed="false">
      <c r="B78" s="29" t="s">
        <v>425</v>
      </c>
      <c r="C78" s="29" t="s">
        <v>281</v>
      </c>
      <c r="D78" s="29" t="s">
        <v>426</v>
      </c>
      <c r="E78" s="29" t="s">
        <v>339</v>
      </c>
      <c r="F78" s="29" t="s">
        <v>427</v>
      </c>
      <c r="G78" s="29" t="s">
        <v>428</v>
      </c>
      <c r="H78" s="29" t="s">
        <v>429</v>
      </c>
      <c r="I78" s="29" t="s">
        <v>301</v>
      </c>
      <c r="J78" s="29" t="s">
        <v>201</v>
      </c>
      <c r="K78" s="30" t="s">
        <v>44</v>
      </c>
      <c r="L78" s="31"/>
      <c r="M78" s="29"/>
    </row>
    <row r="79" customFormat="false" ht="63.75" hidden="false" customHeight="true" outlineLevel="0" collapsed="false">
      <c r="B79" s="29" t="s">
        <v>430</v>
      </c>
      <c r="C79" s="29" t="s">
        <v>281</v>
      </c>
      <c r="D79" s="29" t="s">
        <v>431</v>
      </c>
      <c r="E79" s="29" t="s">
        <v>339</v>
      </c>
      <c r="F79" s="29" t="s">
        <v>432</v>
      </c>
      <c r="G79" s="29" t="s">
        <v>433</v>
      </c>
      <c r="H79" s="29" t="s">
        <v>434</v>
      </c>
      <c r="I79" s="29" t="s">
        <v>301</v>
      </c>
      <c r="J79" s="29" t="s">
        <v>201</v>
      </c>
      <c r="K79" s="30" t="s">
        <v>44</v>
      </c>
      <c r="L79" s="31"/>
      <c r="M79" s="29"/>
    </row>
    <row r="80" customFormat="false" ht="102" hidden="false" customHeight="true" outlineLevel="0" collapsed="false">
      <c r="B80" s="29" t="s">
        <v>435</v>
      </c>
      <c r="C80" s="29" t="s">
        <v>281</v>
      </c>
      <c r="D80" s="29" t="s">
        <v>436</v>
      </c>
      <c r="E80" s="29" t="s">
        <v>205</v>
      </c>
      <c r="F80" s="29" t="s">
        <v>437</v>
      </c>
      <c r="G80" s="29" t="s">
        <v>438</v>
      </c>
      <c r="H80" s="29" t="s">
        <v>439</v>
      </c>
      <c r="I80" s="29" t="s">
        <v>301</v>
      </c>
      <c r="J80" s="29" t="s">
        <v>201</v>
      </c>
      <c r="K80" s="30" t="s">
        <v>44</v>
      </c>
      <c r="L80" s="31"/>
      <c r="M80" s="29"/>
    </row>
    <row r="81" customFormat="false" ht="51" hidden="false" customHeight="true" outlineLevel="0" collapsed="false">
      <c r="B81" s="29" t="s">
        <v>440</v>
      </c>
      <c r="C81" s="29" t="s">
        <v>281</v>
      </c>
      <c r="D81" s="29" t="s">
        <v>441</v>
      </c>
      <c r="E81" s="29" t="s">
        <v>350</v>
      </c>
      <c r="F81" s="29" t="s">
        <v>442</v>
      </c>
      <c r="G81" s="29" t="s">
        <v>443</v>
      </c>
      <c r="H81" s="29" t="s">
        <v>444</v>
      </c>
      <c r="I81" s="29" t="s">
        <v>301</v>
      </c>
      <c r="J81" s="29" t="s">
        <v>201</v>
      </c>
      <c r="K81" s="30" t="s">
        <v>44</v>
      </c>
      <c r="L81" s="31"/>
      <c r="M81" s="29"/>
    </row>
    <row r="82" customFormat="false" ht="140.25" hidden="false" customHeight="true" outlineLevel="0" collapsed="false">
      <c r="B82" s="29" t="s">
        <v>445</v>
      </c>
      <c r="C82" s="29" t="s">
        <v>281</v>
      </c>
      <c r="D82" s="29" t="s">
        <v>446</v>
      </c>
      <c r="E82" s="29" t="s">
        <v>339</v>
      </c>
      <c r="F82" s="29" t="s">
        <v>447</v>
      </c>
      <c r="G82" s="29" t="s">
        <v>448</v>
      </c>
      <c r="H82" s="29" t="s">
        <v>449</v>
      </c>
      <c r="I82" s="29" t="s">
        <v>301</v>
      </c>
      <c r="J82" s="29" t="s">
        <v>201</v>
      </c>
      <c r="K82" s="30" t="s">
        <v>44</v>
      </c>
      <c r="L82" s="31"/>
      <c r="M82" s="29"/>
    </row>
    <row r="83" customFormat="false" ht="63.75" hidden="false" customHeight="true" outlineLevel="0" collapsed="false">
      <c r="B83" s="29" t="s">
        <v>450</v>
      </c>
      <c r="C83" s="29" t="s">
        <v>281</v>
      </c>
      <c r="D83" s="29" t="s">
        <v>451</v>
      </c>
      <c r="E83" s="29" t="s">
        <v>39</v>
      </c>
      <c r="F83" s="29" t="s">
        <v>452</v>
      </c>
      <c r="G83" s="29" t="s">
        <v>453</v>
      </c>
      <c r="H83" s="29" t="s">
        <v>454</v>
      </c>
      <c r="I83" s="29" t="s">
        <v>455</v>
      </c>
      <c r="J83" s="29" t="s">
        <v>456</v>
      </c>
      <c r="K83" s="30" t="s">
        <v>44</v>
      </c>
      <c r="L83" s="31"/>
      <c r="M83" s="29"/>
    </row>
    <row r="84" customFormat="false" ht="63.75" hidden="false" customHeight="true" outlineLevel="0" collapsed="false">
      <c r="B84" s="29" t="s">
        <v>457</v>
      </c>
      <c r="C84" s="29" t="s">
        <v>281</v>
      </c>
      <c r="D84" s="29" t="s">
        <v>458</v>
      </c>
      <c r="E84" s="29" t="s">
        <v>326</v>
      </c>
      <c r="F84" s="29" t="s">
        <v>459</v>
      </c>
      <c r="G84" s="29" t="s">
        <v>460</v>
      </c>
      <c r="H84" s="29" t="s">
        <v>461</v>
      </c>
      <c r="I84" s="29" t="s">
        <v>301</v>
      </c>
      <c r="J84" s="29" t="s">
        <v>201</v>
      </c>
      <c r="K84" s="30" t="s">
        <v>44</v>
      </c>
      <c r="L84" s="31"/>
      <c r="M84" s="29"/>
    </row>
    <row r="85" customFormat="false" ht="76.5" hidden="false" customHeight="true" outlineLevel="0" collapsed="false">
      <c r="B85" s="29" t="s">
        <v>462</v>
      </c>
      <c r="C85" s="29" t="s">
        <v>281</v>
      </c>
      <c r="D85" s="29" t="s">
        <v>463</v>
      </c>
      <c r="E85" s="29" t="s">
        <v>350</v>
      </c>
      <c r="F85" s="29" t="s">
        <v>464</v>
      </c>
      <c r="G85" s="29" t="s">
        <v>465</v>
      </c>
      <c r="H85" s="29" t="s">
        <v>466</v>
      </c>
      <c r="I85" s="29" t="s">
        <v>467</v>
      </c>
      <c r="J85" s="29" t="s">
        <v>467</v>
      </c>
      <c r="K85" s="30" t="s">
        <v>44</v>
      </c>
      <c r="L85" s="31"/>
      <c r="M85" s="29"/>
    </row>
    <row r="86" customFormat="false" ht="63.75" hidden="false" customHeight="true" outlineLevel="0" collapsed="false">
      <c r="B86" s="29" t="s">
        <v>468</v>
      </c>
      <c r="C86" s="29" t="s">
        <v>281</v>
      </c>
      <c r="D86" s="29" t="s">
        <v>469</v>
      </c>
      <c r="E86" s="29" t="s">
        <v>356</v>
      </c>
      <c r="F86" s="29" t="s">
        <v>470</v>
      </c>
      <c r="G86" s="29" t="s">
        <v>471</v>
      </c>
      <c r="H86" s="29" t="s">
        <v>472</v>
      </c>
      <c r="I86" s="29" t="s">
        <v>301</v>
      </c>
      <c r="J86" s="29" t="s">
        <v>201</v>
      </c>
      <c r="K86" s="30" t="s">
        <v>44</v>
      </c>
      <c r="L86" s="31"/>
      <c r="M86" s="29"/>
    </row>
    <row r="87" customFormat="false" ht="51" hidden="false" customHeight="true" outlineLevel="0" collapsed="false">
      <c r="B87" s="29" t="s">
        <v>473</v>
      </c>
      <c r="C87" s="29" t="s">
        <v>281</v>
      </c>
      <c r="D87" s="29" t="s">
        <v>474</v>
      </c>
      <c r="E87" s="29" t="s">
        <v>339</v>
      </c>
      <c r="F87" s="29" t="s">
        <v>475</v>
      </c>
      <c r="G87" s="29" t="s">
        <v>476</v>
      </c>
      <c r="H87" s="29" t="s">
        <v>477</v>
      </c>
      <c r="I87" s="29" t="s">
        <v>301</v>
      </c>
      <c r="J87" s="29" t="s">
        <v>201</v>
      </c>
      <c r="K87" s="30" t="s">
        <v>44</v>
      </c>
      <c r="L87" s="31"/>
      <c r="M87" s="29"/>
    </row>
    <row r="88" customFormat="false" ht="89.25" hidden="false" customHeight="true" outlineLevel="0" collapsed="false">
      <c r="B88" s="29" t="s">
        <v>478</v>
      </c>
      <c r="C88" s="29" t="s">
        <v>281</v>
      </c>
      <c r="D88" s="29" t="s">
        <v>479</v>
      </c>
      <c r="E88" s="29" t="s">
        <v>356</v>
      </c>
      <c r="F88" s="29" t="s">
        <v>480</v>
      </c>
      <c r="G88" s="29" t="s">
        <v>481</v>
      </c>
      <c r="H88" s="29" t="s">
        <v>482</v>
      </c>
      <c r="I88" s="29" t="s">
        <v>301</v>
      </c>
      <c r="J88" s="29" t="s">
        <v>201</v>
      </c>
      <c r="K88" s="30" t="s">
        <v>44</v>
      </c>
      <c r="L88" s="31"/>
      <c r="M88" s="29"/>
    </row>
    <row r="89" customFormat="false" ht="140.25" hidden="false" customHeight="true" outlineLevel="0" collapsed="false">
      <c r="B89" s="29" t="s">
        <v>483</v>
      </c>
      <c r="C89" s="29" t="s">
        <v>281</v>
      </c>
      <c r="D89" s="29" t="s">
        <v>484</v>
      </c>
      <c r="E89" s="29" t="s">
        <v>350</v>
      </c>
      <c r="F89" s="29" t="s">
        <v>485</v>
      </c>
      <c r="G89" s="29" t="s">
        <v>486</v>
      </c>
      <c r="H89" s="29" t="s">
        <v>487</v>
      </c>
      <c r="I89" s="29" t="s">
        <v>467</v>
      </c>
      <c r="J89" s="29" t="s">
        <v>467</v>
      </c>
      <c r="K89" s="30" t="s">
        <v>44</v>
      </c>
      <c r="L89" s="31"/>
      <c r="M89" s="29"/>
    </row>
    <row r="90" customFormat="false" ht="51" hidden="false" customHeight="true" outlineLevel="0" collapsed="false">
      <c r="B90" s="29" t="s">
        <v>488</v>
      </c>
      <c r="C90" s="29" t="s">
        <v>281</v>
      </c>
      <c r="D90" s="29" t="s">
        <v>489</v>
      </c>
      <c r="E90" s="29" t="s">
        <v>356</v>
      </c>
      <c r="F90" s="29" t="s">
        <v>490</v>
      </c>
      <c r="G90" s="29" t="s">
        <v>491</v>
      </c>
      <c r="H90" s="29" t="s">
        <v>492</v>
      </c>
      <c r="I90" s="29" t="s">
        <v>153</v>
      </c>
      <c r="J90" s="29" t="s">
        <v>154</v>
      </c>
      <c r="K90" s="30" t="s">
        <v>44</v>
      </c>
      <c r="L90" s="31"/>
      <c r="M90" s="29"/>
    </row>
    <row r="91" customFormat="false" ht="216.75" hidden="false" customHeight="true" outlineLevel="0" collapsed="false">
      <c r="B91" s="29" t="s">
        <v>493</v>
      </c>
      <c r="C91" s="29" t="s">
        <v>281</v>
      </c>
      <c r="D91" s="29" t="s">
        <v>494</v>
      </c>
      <c r="E91" s="29" t="s">
        <v>39</v>
      </c>
      <c r="F91" s="29" t="s">
        <v>495</v>
      </c>
      <c r="G91" s="29" t="s">
        <v>496</v>
      </c>
      <c r="H91" s="29" t="s">
        <v>497</v>
      </c>
      <c r="I91" s="29" t="s">
        <v>93</v>
      </c>
      <c r="J91" s="29" t="s">
        <v>498</v>
      </c>
      <c r="K91" s="30" t="s">
        <v>44</v>
      </c>
      <c r="L91" s="31"/>
      <c r="M91" s="29"/>
    </row>
    <row r="92" customFormat="false" ht="204" hidden="false" customHeight="true" outlineLevel="0" collapsed="false">
      <c r="B92" s="29" t="s">
        <v>499</v>
      </c>
      <c r="C92" s="29" t="s">
        <v>281</v>
      </c>
      <c r="D92" s="29" t="s">
        <v>500</v>
      </c>
      <c r="E92" s="29" t="s">
        <v>350</v>
      </c>
      <c r="F92" s="29" t="s">
        <v>501</v>
      </c>
      <c r="G92" s="29" t="s">
        <v>502</v>
      </c>
      <c r="H92" s="29" t="s">
        <v>503</v>
      </c>
      <c r="I92" s="29" t="s">
        <v>301</v>
      </c>
      <c r="J92" s="29" t="s">
        <v>201</v>
      </c>
      <c r="K92" s="30" t="s">
        <v>44</v>
      </c>
      <c r="L92" s="31"/>
      <c r="M92" s="29"/>
    </row>
    <row r="93" customFormat="false" ht="102" hidden="false" customHeight="true" outlineLevel="0" collapsed="false">
      <c r="B93" s="29" t="s">
        <v>504</v>
      </c>
      <c r="C93" s="29" t="s">
        <v>281</v>
      </c>
      <c r="D93" s="29" t="s">
        <v>505</v>
      </c>
      <c r="E93" s="29" t="s">
        <v>356</v>
      </c>
      <c r="F93" s="29" t="s">
        <v>506</v>
      </c>
      <c r="G93" s="29" t="s">
        <v>507</v>
      </c>
      <c r="H93" s="29" t="s">
        <v>508</v>
      </c>
      <c r="I93" s="29" t="s">
        <v>301</v>
      </c>
      <c r="J93" s="29" t="s">
        <v>201</v>
      </c>
      <c r="K93" s="30" t="s">
        <v>44</v>
      </c>
      <c r="L93" s="31"/>
      <c r="M93" s="29"/>
    </row>
    <row r="94" customFormat="false" ht="89.25" hidden="false" customHeight="true" outlineLevel="0" collapsed="false">
      <c r="B94" s="29" t="s">
        <v>509</v>
      </c>
      <c r="C94" s="29" t="s">
        <v>281</v>
      </c>
      <c r="D94" s="29" t="s">
        <v>510</v>
      </c>
      <c r="E94" s="29" t="s">
        <v>350</v>
      </c>
      <c r="F94" s="29" t="s">
        <v>511</v>
      </c>
      <c r="G94" s="29" t="s">
        <v>512</v>
      </c>
      <c r="H94" s="29" t="s">
        <v>513</v>
      </c>
      <c r="I94" s="29" t="s">
        <v>301</v>
      </c>
      <c r="J94" s="29" t="s">
        <v>201</v>
      </c>
      <c r="K94" s="30" t="s">
        <v>44</v>
      </c>
      <c r="L94" s="31"/>
      <c r="M94" s="29"/>
    </row>
    <row r="95" customFormat="false" ht="63.75" hidden="false" customHeight="true" outlineLevel="0" collapsed="false">
      <c r="B95" s="29" t="s">
        <v>514</v>
      </c>
      <c r="C95" s="29" t="s">
        <v>281</v>
      </c>
      <c r="D95" s="29" t="s">
        <v>515</v>
      </c>
      <c r="E95" s="29" t="s">
        <v>326</v>
      </c>
      <c r="F95" s="29" t="s">
        <v>516</v>
      </c>
      <c r="G95" s="29" t="s">
        <v>517</v>
      </c>
      <c r="H95" s="29" t="s">
        <v>518</v>
      </c>
      <c r="I95" s="29" t="s">
        <v>301</v>
      </c>
      <c r="J95" s="29" t="s">
        <v>201</v>
      </c>
      <c r="K95" s="30" t="s">
        <v>44</v>
      </c>
      <c r="L95" s="31"/>
      <c r="M95" s="29"/>
    </row>
    <row r="96" customFormat="false" ht="76.5" hidden="false" customHeight="true" outlineLevel="0" collapsed="false">
      <c r="B96" s="29" t="s">
        <v>519</v>
      </c>
      <c r="C96" s="29" t="s">
        <v>281</v>
      </c>
      <c r="D96" s="29" t="s">
        <v>520</v>
      </c>
      <c r="E96" s="29" t="s">
        <v>326</v>
      </c>
      <c r="F96" s="29" t="s">
        <v>521</v>
      </c>
      <c r="G96" s="29" t="s">
        <v>522</v>
      </c>
      <c r="H96" s="29" t="s">
        <v>523</v>
      </c>
      <c r="I96" s="29" t="s">
        <v>301</v>
      </c>
      <c r="J96" s="29" t="s">
        <v>201</v>
      </c>
      <c r="K96" s="30" t="s">
        <v>44</v>
      </c>
      <c r="L96" s="31"/>
      <c r="M96" s="29"/>
    </row>
    <row r="97" customFormat="false" ht="63.75" hidden="false" customHeight="true" outlineLevel="0" collapsed="false">
      <c r="B97" s="29" t="s">
        <v>524</v>
      </c>
      <c r="C97" s="29" t="s">
        <v>281</v>
      </c>
      <c r="D97" s="29" t="s">
        <v>525</v>
      </c>
      <c r="E97" s="29" t="s">
        <v>356</v>
      </c>
      <c r="F97" s="29" t="s">
        <v>526</v>
      </c>
      <c r="G97" s="29" t="s">
        <v>527</v>
      </c>
      <c r="H97" s="29" t="s">
        <v>528</v>
      </c>
      <c r="I97" s="29" t="s">
        <v>301</v>
      </c>
      <c r="J97" s="29" t="s">
        <v>201</v>
      </c>
      <c r="K97" s="30" t="s">
        <v>44</v>
      </c>
      <c r="L97" s="31"/>
      <c r="M97" s="29"/>
    </row>
    <row r="98" customFormat="false" ht="76.5" hidden="false" customHeight="true" outlineLevel="0" collapsed="false">
      <c r="B98" s="29" t="s">
        <v>529</v>
      </c>
      <c r="C98" s="29" t="s">
        <v>281</v>
      </c>
      <c r="D98" s="29" t="s">
        <v>530</v>
      </c>
      <c r="E98" s="29" t="s">
        <v>97</v>
      </c>
      <c r="F98" s="29" t="s">
        <v>531</v>
      </c>
      <c r="G98" s="29" t="s">
        <v>532</v>
      </c>
      <c r="H98" s="29" t="s">
        <v>533</v>
      </c>
      <c r="I98" s="29" t="s">
        <v>534</v>
      </c>
      <c r="J98" s="29" t="s">
        <v>535</v>
      </c>
      <c r="K98" s="30" t="s">
        <v>44</v>
      </c>
      <c r="L98" s="31"/>
      <c r="M98" s="29"/>
    </row>
    <row r="99" customFormat="false" ht="63.75" hidden="false" customHeight="true" outlineLevel="0" collapsed="false">
      <c r="B99" s="29" t="s">
        <v>536</v>
      </c>
      <c r="C99" s="29" t="s">
        <v>281</v>
      </c>
      <c r="D99" s="29" t="s">
        <v>537</v>
      </c>
      <c r="E99" s="29" t="s">
        <v>538</v>
      </c>
      <c r="F99" s="29" t="s">
        <v>539</v>
      </c>
      <c r="G99" s="29" t="s">
        <v>540</v>
      </c>
      <c r="H99" s="29" t="s">
        <v>541</v>
      </c>
      <c r="I99" s="29" t="s">
        <v>467</v>
      </c>
      <c r="J99" s="29" t="s">
        <v>467</v>
      </c>
      <c r="K99" s="30" t="s">
        <v>44</v>
      </c>
      <c r="L99" s="31"/>
      <c r="M99" s="29"/>
    </row>
    <row r="100" customFormat="false" ht="76.5" hidden="false" customHeight="true" outlineLevel="0" collapsed="false">
      <c r="B100" s="29" t="s">
        <v>542</v>
      </c>
      <c r="C100" s="29" t="s">
        <v>281</v>
      </c>
      <c r="D100" s="29" t="s">
        <v>543</v>
      </c>
      <c r="E100" s="29" t="s">
        <v>205</v>
      </c>
      <c r="F100" s="29" t="s">
        <v>544</v>
      </c>
      <c r="G100" s="29" t="s">
        <v>545</v>
      </c>
      <c r="H100" s="29" t="s">
        <v>546</v>
      </c>
      <c r="I100" s="29" t="s">
        <v>301</v>
      </c>
      <c r="J100" s="29" t="s">
        <v>201</v>
      </c>
      <c r="K100" s="30" t="s">
        <v>44</v>
      </c>
      <c r="L100" s="31"/>
      <c r="M100" s="29"/>
    </row>
    <row r="101" customFormat="false" ht="51" hidden="false" customHeight="true" outlineLevel="0" collapsed="false">
      <c r="B101" s="29" t="s">
        <v>547</v>
      </c>
      <c r="C101" s="29" t="s">
        <v>281</v>
      </c>
      <c r="D101" s="29" t="s">
        <v>548</v>
      </c>
      <c r="E101" s="29" t="s">
        <v>350</v>
      </c>
      <c r="F101" s="29" t="s">
        <v>549</v>
      </c>
      <c r="G101" s="29" t="s">
        <v>550</v>
      </c>
      <c r="H101" s="29" t="s">
        <v>551</v>
      </c>
      <c r="I101" s="29" t="s">
        <v>301</v>
      </c>
      <c r="J101" s="29" t="s">
        <v>201</v>
      </c>
      <c r="K101" s="30" t="s">
        <v>44</v>
      </c>
      <c r="L101" s="31"/>
      <c r="M101" s="29"/>
    </row>
    <row r="102" customFormat="false" ht="51" hidden="false" customHeight="true" outlineLevel="0" collapsed="false">
      <c r="B102" s="29" t="s">
        <v>552</v>
      </c>
      <c r="C102" s="29" t="s">
        <v>281</v>
      </c>
      <c r="D102" s="29" t="s">
        <v>553</v>
      </c>
      <c r="E102" s="29" t="s">
        <v>326</v>
      </c>
      <c r="F102" s="29" t="s">
        <v>554</v>
      </c>
      <c r="G102" s="29" t="s">
        <v>555</v>
      </c>
      <c r="H102" s="29" t="s">
        <v>556</v>
      </c>
      <c r="I102" s="29" t="s">
        <v>301</v>
      </c>
      <c r="J102" s="29" t="s">
        <v>201</v>
      </c>
      <c r="K102" s="30" t="s">
        <v>44</v>
      </c>
      <c r="L102" s="31"/>
      <c r="M102" s="29"/>
    </row>
    <row r="103" customFormat="false" ht="140.25" hidden="false" customHeight="true" outlineLevel="0" collapsed="false">
      <c r="B103" s="29" t="s">
        <v>557</v>
      </c>
      <c r="C103" s="29" t="s">
        <v>281</v>
      </c>
      <c r="D103" s="29" t="s">
        <v>558</v>
      </c>
      <c r="E103" s="29" t="s">
        <v>356</v>
      </c>
      <c r="F103" s="29" t="s">
        <v>559</v>
      </c>
      <c r="G103" s="29" t="s">
        <v>560</v>
      </c>
      <c r="H103" s="29" t="s">
        <v>561</v>
      </c>
      <c r="I103" s="29" t="s">
        <v>301</v>
      </c>
      <c r="J103" s="29" t="s">
        <v>201</v>
      </c>
      <c r="K103" s="30" t="s">
        <v>44</v>
      </c>
      <c r="L103" s="31"/>
      <c r="M103" s="29"/>
    </row>
    <row r="104" customFormat="false" ht="89.25" hidden="false" customHeight="true" outlineLevel="0" collapsed="false">
      <c r="B104" s="29" t="s">
        <v>562</v>
      </c>
      <c r="C104" s="29" t="s">
        <v>281</v>
      </c>
      <c r="D104" s="29" t="s">
        <v>563</v>
      </c>
      <c r="E104" s="29" t="s">
        <v>356</v>
      </c>
      <c r="F104" s="29" t="s">
        <v>564</v>
      </c>
      <c r="G104" s="29" t="s">
        <v>565</v>
      </c>
      <c r="H104" s="29" t="s">
        <v>566</v>
      </c>
      <c r="I104" s="29" t="s">
        <v>301</v>
      </c>
      <c r="J104" s="29" t="s">
        <v>201</v>
      </c>
      <c r="K104" s="30" t="s">
        <v>44</v>
      </c>
      <c r="L104" s="31"/>
      <c r="M104" s="29"/>
    </row>
    <row r="105" customFormat="false" ht="76.5" hidden="false" customHeight="true" outlineLevel="0" collapsed="false">
      <c r="B105" s="29" t="s">
        <v>567</v>
      </c>
      <c r="C105" s="29" t="s">
        <v>281</v>
      </c>
      <c r="D105" s="29" t="s">
        <v>568</v>
      </c>
      <c r="E105" s="29" t="s">
        <v>356</v>
      </c>
      <c r="F105" s="29" t="s">
        <v>569</v>
      </c>
      <c r="G105" s="29" t="s">
        <v>570</v>
      </c>
      <c r="H105" s="29" t="s">
        <v>571</v>
      </c>
      <c r="I105" s="29" t="s">
        <v>301</v>
      </c>
      <c r="J105" s="29" t="s">
        <v>201</v>
      </c>
      <c r="K105" s="30" t="s">
        <v>44</v>
      </c>
      <c r="L105" s="31"/>
      <c r="M105" s="29"/>
    </row>
    <row r="106" customFormat="false" ht="153" hidden="false" customHeight="true" outlineLevel="0" collapsed="false">
      <c r="B106" s="29" t="s">
        <v>572</v>
      </c>
      <c r="C106" s="29" t="s">
        <v>281</v>
      </c>
      <c r="D106" s="29" t="s">
        <v>573</v>
      </c>
      <c r="E106" s="29" t="s">
        <v>356</v>
      </c>
      <c r="F106" s="29" t="s">
        <v>574</v>
      </c>
      <c r="G106" s="29" t="s">
        <v>575</v>
      </c>
      <c r="H106" s="29" t="s">
        <v>576</v>
      </c>
      <c r="I106" s="29" t="s">
        <v>301</v>
      </c>
      <c r="J106" s="29" t="s">
        <v>201</v>
      </c>
      <c r="K106" s="30" t="s">
        <v>44</v>
      </c>
      <c r="L106" s="31"/>
      <c r="M106" s="29"/>
    </row>
    <row r="107" customFormat="false" ht="38.25" hidden="false" customHeight="true" outlineLevel="0" collapsed="false">
      <c r="B107" s="29" t="s">
        <v>577</v>
      </c>
      <c r="C107" s="29" t="s">
        <v>281</v>
      </c>
      <c r="D107" s="29" t="s">
        <v>578</v>
      </c>
      <c r="E107" s="29" t="s">
        <v>339</v>
      </c>
      <c r="F107" s="29" t="s">
        <v>579</v>
      </c>
      <c r="G107" s="29" t="s">
        <v>580</v>
      </c>
      <c r="H107" s="29" t="s">
        <v>581</v>
      </c>
      <c r="I107" s="29" t="s">
        <v>301</v>
      </c>
      <c r="J107" s="29" t="s">
        <v>201</v>
      </c>
      <c r="K107" s="30" t="s">
        <v>44</v>
      </c>
      <c r="L107" s="31"/>
      <c r="M107" s="29"/>
    </row>
    <row r="108" customFormat="false" ht="153" hidden="false" customHeight="true" outlineLevel="0" collapsed="false">
      <c r="B108" s="29" t="s">
        <v>582</v>
      </c>
      <c r="C108" s="29" t="s">
        <v>281</v>
      </c>
      <c r="D108" s="29" t="s">
        <v>583</v>
      </c>
      <c r="E108" s="29" t="s">
        <v>339</v>
      </c>
      <c r="F108" s="29" t="s">
        <v>584</v>
      </c>
      <c r="G108" s="29" t="s">
        <v>585</v>
      </c>
      <c r="H108" s="29" t="s">
        <v>586</v>
      </c>
      <c r="I108" s="29" t="s">
        <v>301</v>
      </c>
      <c r="J108" s="29" t="s">
        <v>201</v>
      </c>
      <c r="K108" s="30" t="s">
        <v>44</v>
      </c>
      <c r="L108" s="31"/>
      <c r="M108" s="29"/>
    </row>
    <row r="109" customFormat="false" ht="178.5" hidden="false" customHeight="true" outlineLevel="0" collapsed="false">
      <c r="B109" s="29" t="s">
        <v>587</v>
      </c>
      <c r="C109" s="29" t="s">
        <v>281</v>
      </c>
      <c r="D109" s="29" t="s">
        <v>588</v>
      </c>
      <c r="E109" s="29" t="s">
        <v>89</v>
      </c>
      <c r="F109" s="29" t="s">
        <v>589</v>
      </c>
      <c r="G109" s="29" t="s">
        <v>590</v>
      </c>
      <c r="H109" s="29" t="s">
        <v>591</v>
      </c>
      <c r="I109" s="29" t="s">
        <v>42</v>
      </c>
      <c r="J109" s="29" t="s">
        <v>592</v>
      </c>
      <c r="K109" s="30" t="s">
        <v>44</v>
      </c>
      <c r="L109" s="31"/>
      <c r="M109" s="29"/>
    </row>
    <row r="110" customFormat="false" ht="102" hidden="false" customHeight="true" outlineLevel="0" collapsed="false">
      <c r="B110" s="29" t="s">
        <v>593</v>
      </c>
      <c r="C110" s="29" t="s">
        <v>281</v>
      </c>
      <c r="D110" s="29" t="s">
        <v>594</v>
      </c>
      <c r="E110" s="29" t="s">
        <v>595</v>
      </c>
      <c r="F110" s="29" t="s">
        <v>596</v>
      </c>
      <c r="G110" s="29" t="s">
        <v>597</v>
      </c>
      <c r="H110" s="29" t="s">
        <v>598</v>
      </c>
      <c r="I110" s="29" t="s">
        <v>153</v>
      </c>
      <c r="J110" s="29" t="s">
        <v>154</v>
      </c>
      <c r="K110" s="30" t="s">
        <v>44</v>
      </c>
      <c r="L110" s="31"/>
      <c r="M110" s="29"/>
    </row>
    <row r="111" customFormat="false" ht="165.75" hidden="false" customHeight="true" outlineLevel="0" collapsed="false">
      <c r="B111" s="29" t="s">
        <v>599</v>
      </c>
      <c r="C111" s="29" t="s">
        <v>281</v>
      </c>
      <c r="D111" s="29" t="s">
        <v>600</v>
      </c>
      <c r="E111" s="29" t="s">
        <v>356</v>
      </c>
      <c r="F111" s="29" t="s">
        <v>601</v>
      </c>
      <c r="G111" s="29" t="s">
        <v>602</v>
      </c>
      <c r="H111" s="29" t="s">
        <v>603</v>
      </c>
      <c r="I111" s="29" t="s">
        <v>301</v>
      </c>
      <c r="J111" s="29" t="s">
        <v>201</v>
      </c>
      <c r="K111" s="30" t="s">
        <v>44</v>
      </c>
      <c r="L111" s="31"/>
      <c r="M111" s="29"/>
    </row>
    <row r="112" customFormat="false" ht="102" hidden="false" customHeight="true" outlineLevel="0" collapsed="false">
      <c r="B112" s="29" t="s">
        <v>604</v>
      </c>
      <c r="C112" s="29" t="s">
        <v>281</v>
      </c>
      <c r="D112" s="29" t="s">
        <v>605</v>
      </c>
      <c r="E112" s="29" t="s">
        <v>356</v>
      </c>
      <c r="F112" s="29" t="s">
        <v>606</v>
      </c>
      <c r="G112" s="29" t="s">
        <v>607</v>
      </c>
      <c r="H112" s="29" t="s">
        <v>608</v>
      </c>
      <c r="I112" s="29" t="s">
        <v>301</v>
      </c>
      <c r="J112" s="29" t="s">
        <v>201</v>
      </c>
      <c r="K112" s="30" t="s">
        <v>44</v>
      </c>
      <c r="L112" s="31"/>
      <c r="M112" s="29"/>
    </row>
    <row r="113" customFormat="false" ht="25.5" hidden="false" customHeight="true" outlineLevel="0" collapsed="false">
      <c r="B113" s="29" t="s">
        <v>609</v>
      </c>
      <c r="C113" s="29" t="s">
        <v>281</v>
      </c>
      <c r="D113" s="29" t="s">
        <v>610</v>
      </c>
      <c r="E113" s="29" t="s">
        <v>205</v>
      </c>
      <c r="F113" s="29" t="s">
        <v>611</v>
      </c>
      <c r="G113" s="29" t="s">
        <v>612</v>
      </c>
      <c r="H113" s="29" t="s">
        <v>613</v>
      </c>
      <c r="I113" s="29" t="s">
        <v>301</v>
      </c>
      <c r="J113" s="29" t="s">
        <v>201</v>
      </c>
      <c r="K113" s="30" t="s">
        <v>44</v>
      </c>
      <c r="L113" s="31"/>
      <c r="M113" s="29"/>
    </row>
    <row r="114" customFormat="false" ht="38.25" hidden="false" customHeight="true" outlineLevel="0" collapsed="false">
      <c r="B114" s="29" t="s">
        <v>614</v>
      </c>
      <c r="C114" s="29" t="s">
        <v>281</v>
      </c>
      <c r="D114" s="29" t="s">
        <v>615</v>
      </c>
      <c r="E114" s="29" t="s">
        <v>326</v>
      </c>
      <c r="F114" s="29" t="s">
        <v>616</v>
      </c>
      <c r="G114" s="29" t="s">
        <v>617</v>
      </c>
      <c r="H114" s="29" t="s">
        <v>618</v>
      </c>
      <c r="I114" s="29" t="s">
        <v>301</v>
      </c>
      <c r="J114" s="29" t="s">
        <v>201</v>
      </c>
      <c r="K114" s="30" t="s">
        <v>44</v>
      </c>
      <c r="L114" s="31"/>
      <c r="M114" s="29"/>
    </row>
    <row r="115" customFormat="false" ht="63.75" hidden="false" customHeight="true" outlineLevel="0" collapsed="false">
      <c r="B115" s="29" t="s">
        <v>619</v>
      </c>
      <c r="C115" s="29" t="s">
        <v>281</v>
      </c>
      <c r="D115" s="29" t="s">
        <v>620</v>
      </c>
      <c r="E115" s="29" t="s">
        <v>350</v>
      </c>
      <c r="F115" s="29" t="s">
        <v>621</v>
      </c>
      <c r="G115" s="29" t="s">
        <v>622</v>
      </c>
      <c r="H115" s="29" t="s">
        <v>623</v>
      </c>
      <c r="I115" s="29" t="s">
        <v>301</v>
      </c>
      <c r="J115" s="29" t="s">
        <v>201</v>
      </c>
      <c r="K115" s="30" t="s">
        <v>44</v>
      </c>
      <c r="L115" s="31"/>
      <c r="M115" s="29"/>
    </row>
    <row r="116" customFormat="false" ht="127.5" hidden="false" customHeight="true" outlineLevel="0" collapsed="false">
      <c r="B116" s="29" t="s">
        <v>624</v>
      </c>
      <c r="C116" s="29" t="s">
        <v>281</v>
      </c>
      <c r="D116" s="29" t="s">
        <v>625</v>
      </c>
      <c r="E116" s="29" t="s">
        <v>97</v>
      </c>
      <c r="F116" s="29" t="s">
        <v>626</v>
      </c>
      <c r="G116" s="29" t="s">
        <v>627</v>
      </c>
      <c r="H116" s="29" t="s">
        <v>628</v>
      </c>
      <c r="I116" s="29" t="s">
        <v>42</v>
      </c>
      <c r="J116" s="29" t="s">
        <v>65</v>
      </c>
      <c r="K116" s="30" t="s">
        <v>44</v>
      </c>
      <c r="L116" s="31"/>
      <c r="M116" s="29"/>
    </row>
    <row r="117" customFormat="false" ht="178.5" hidden="false" customHeight="true" outlineLevel="0" collapsed="false">
      <c r="B117" s="29" t="s">
        <v>629</v>
      </c>
      <c r="C117" s="29" t="s">
        <v>281</v>
      </c>
      <c r="D117" s="29" t="s">
        <v>630</v>
      </c>
      <c r="E117" s="29" t="s">
        <v>356</v>
      </c>
      <c r="F117" s="29" t="s">
        <v>631</v>
      </c>
      <c r="G117" s="29" t="s">
        <v>632</v>
      </c>
      <c r="H117" s="29" t="s">
        <v>633</v>
      </c>
      <c r="I117" s="29" t="s">
        <v>301</v>
      </c>
      <c r="J117" s="29" t="s">
        <v>201</v>
      </c>
      <c r="K117" s="30" t="s">
        <v>44</v>
      </c>
      <c r="L117" s="31"/>
      <c r="M117" s="29"/>
    </row>
    <row r="118" customFormat="false" ht="165.75" hidden="false" customHeight="true" outlineLevel="0" collapsed="false">
      <c r="B118" s="29" t="s">
        <v>634</v>
      </c>
      <c r="C118" s="29" t="s">
        <v>281</v>
      </c>
      <c r="D118" s="29" t="s">
        <v>635</v>
      </c>
      <c r="E118" s="29" t="s">
        <v>356</v>
      </c>
      <c r="F118" s="29" t="s">
        <v>636</v>
      </c>
      <c r="G118" s="29" t="s">
        <v>637</v>
      </c>
      <c r="H118" s="29" t="s">
        <v>638</v>
      </c>
      <c r="I118" s="29" t="s">
        <v>301</v>
      </c>
      <c r="J118" s="29" t="s">
        <v>201</v>
      </c>
      <c r="K118" s="30" t="s">
        <v>44</v>
      </c>
      <c r="L118" s="31"/>
      <c r="M118" s="29"/>
    </row>
    <row r="119" customFormat="false" ht="38.25" hidden="false" customHeight="true" outlineLevel="0" collapsed="false">
      <c r="B119" s="29" t="s">
        <v>639</v>
      </c>
      <c r="C119" s="29" t="s">
        <v>281</v>
      </c>
      <c r="D119" s="29" t="s">
        <v>640</v>
      </c>
      <c r="E119" s="29" t="s">
        <v>356</v>
      </c>
      <c r="F119" s="29" t="s">
        <v>641</v>
      </c>
      <c r="G119" s="29" t="s">
        <v>642</v>
      </c>
      <c r="H119" s="29" t="s">
        <v>643</v>
      </c>
      <c r="I119" s="29" t="s">
        <v>153</v>
      </c>
      <c r="J119" s="29" t="s">
        <v>154</v>
      </c>
      <c r="K119" s="30" t="s">
        <v>44</v>
      </c>
      <c r="L119" s="31"/>
      <c r="M119" s="29"/>
    </row>
    <row r="120" customFormat="false" ht="127.5" hidden="false" customHeight="true" outlineLevel="0" collapsed="false">
      <c r="B120" s="29" t="s">
        <v>644</v>
      </c>
      <c r="C120" s="29" t="s">
        <v>281</v>
      </c>
      <c r="D120" s="29" t="s">
        <v>645</v>
      </c>
      <c r="E120" s="29" t="s">
        <v>356</v>
      </c>
      <c r="F120" s="29" t="s">
        <v>646</v>
      </c>
      <c r="G120" s="29" t="s">
        <v>647</v>
      </c>
      <c r="H120" s="29" t="s">
        <v>648</v>
      </c>
      <c r="I120" s="29" t="s">
        <v>301</v>
      </c>
      <c r="J120" s="29" t="s">
        <v>201</v>
      </c>
      <c r="K120" s="30" t="s">
        <v>44</v>
      </c>
      <c r="L120" s="31"/>
      <c r="M120" s="29"/>
    </row>
    <row r="121" customFormat="false" ht="89.25" hidden="false" customHeight="true" outlineLevel="0" collapsed="false">
      <c r="B121" s="29" t="s">
        <v>649</v>
      </c>
      <c r="C121" s="29" t="s">
        <v>281</v>
      </c>
      <c r="D121" s="29" t="s">
        <v>650</v>
      </c>
      <c r="E121" s="29" t="s">
        <v>356</v>
      </c>
      <c r="F121" s="29" t="s">
        <v>651</v>
      </c>
      <c r="G121" s="29" t="s">
        <v>652</v>
      </c>
      <c r="H121" s="29" t="s">
        <v>653</v>
      </c>
      <c r="I121" s="29" t="s">
        <v>301</v>
      </c>
      <c r="J121" s="29" t="s">
        <v>201</v>
      </c>
      <c r="K121" s="30" t="s">
        <v>44</v>
      </c>
      <c r="L121" s="31"/>
      <c r="M121" s="29"/>
    </row>
    <row r="122" customFormat="false" ht="89.25" hidden="false" customHeight="true" outlineLevel="0" collapsed="false">
      <c r="B122" s="29" t="s">
        <v>654</v>
      </c>
      <c r="C122" s="29" t="s">
        <v>281</v>
      </c>
      <c r="D122" s="29" t="s">
        <v>655</v>
      </c>
      <c r="E122" s="29" t="s">
        <v>350</v>
      </c>
      <c r="F122" s="29" t="s">
        <v>656</v>
      </c>
      <c r="G122" s="29" t="s">
        <v>657</v>
      </c>
      <c r="H122" s="29" t="s">
        <v>658</v>
      </c>
      <c r="I122" s="29" t="s">
        <v>301</v>
      </c>
      <c r="J122" s="29" t="s">
        <v>201</v>
      </c>
      <c r="K122" s="30" t="s">
        <v>44</v>
      </c>
      <c r="L122" s="31"/>
      <c r="M122" s="29"/>
    </row>
    <row r="123" customFormat="false" ht="63.75" hidden="false" customHeight="true" outlineLevel="0" collapsed="false">
      <c r="B123" s="29" t="s">
        <v>659</v>
      </c>
      <c r="C123" s="29" t="s">
        <v>281</v>
      </c>
      <c r="D123" s="29" t="s">
        <v>660</v>
      </c>
      <c r="E123" s="29" t="s">
        <v>356</v>
      </c>
      <c r="F123" s="29" t="s">
        <v>661</v>
      </c>
      <c r="G123" s="29" t="s">
        <v>662</v>
      </c>
      <c r="H123" s="29" t="s">
        <v>663</v>
      </c>
      <c r="I123" s="29" t="s">
        <v>301</v>
      </c>
      <c r="J123" s="29" t="s">
        <v>201</v>
      </c>
      <c r="K123" s="30" t="s">
        <v>44</v>
      </c>
      <c r="L123" s="31"/>
      <c r="M123" s="29"/>
    </row>
    <row r="124" customFormat="false" ht="38.25" hidden="false" customHeight="true" outlineLevel="0" collapsed="false">
      <c r="B124" s="29" t="s">
        <v>664</v>
      </c>
      <c r="C124" s="29" t="s">
        <v>281</v>
      </c>
      <c r="D124" s="29" t="s">
        <v>665</v>
      </c>
      <c r="E124" s="29" t="s">
        <v>356</v>
      </c>
      <c r="F124" s="29" t="s">
        <v>666</v>
      </c>
      <c r="G124" s="29" t="s">
        <v>667</v>
      </c>
      <c r="H124" s="29" t="s">
        <v>668</v>
      </c>
      <c r="I124" s="29" t="s">
        <v>301</v>
      </c>
      <c r="J124" s="29" t="s">
        <v>201</v>
      </c>
      <c r="K124" s="30" t="s">
        <v>44</v>
      </c>
      <c r="L124" s="31"/>
      <c r="M124" s="29"/>
    </row>
    <row r="125" customFormat="false" ht="63.75" hidden="false" customHeight="true" outlineLevel="0" collapsed="false">
      <c r="B125" s="29" t="s">
        <v>669</v>
      </c>
      <c r="C125" s="29" t="s">
        <v>281</v>
      </c>
      <c r="D125" s="29" t="s">
        <v>670</v>
      </c>
      <c r="E125" s="29" t="s">
        <v>356</v>
      </c>
      <c r="F125" s="29" t="s">
        <v>671</v>
      </c>
      <c r="G125" s="29" t="s">
        <v>672</v>
      </c>
      <c r="H125" s="29" t="s">
        <v>673</v>
      </c>
      <c r="I125" s="29" t="s">
        <v>301</v>
      </c>
      <c r="J125" s="29" t="s">
        <v>201</v>
      </c>
      <c r="K125" s="30" t="s">
        <v>44</v>
      </c>
      <c r="L125" s="31"/>
      <c r="M125" s="29"/>
    </row>
    <row r="126" customFormat="false" ht="63.75" hidden="false" customHeight="true" outlineLevel="0" collapsed="false">
      <c r="B126" s="29" t="s">
        <v>674</v>
      </c>
      <c r="C126" s="29" t="s">
        <v>281</v>
      </c>
      <c r="D126" s="29" t="s">
        <v>675</v>
      </c>
      <c r="E126" s="29" t="s">
        <v>97</v>
      </c>
      <c r="F126" s="29" t="s">
        <v>676</v>
      </c>
      <c r="G126" s="29" t="s">
        <v>677</v>
      </c>
      <c r="H126" s="29" t="s">
        <v>678</v>
      </c>
      <c r="I126" s="29" t="s">
        <v>42</v>
      </c>
      <c r="J126" s="29" t="s">
        <v>65</v>
      </c>
      <c r="K126" s="30" t="s">
        <v>44</v>
      </c>
      <c r="L126" s="31"/>
      <c r="M126" s="29"/>
    </row>
    <row r="127" customFormat="false" ht="344.25" hidden="false" customHeight="true" outlineLevel="0" collapsed="false">
      <c r="B127" s="29" t="s">
        <v>679</v>
      </c>
      <c r="C127" s="29" t="s">
        <v>281</v>
      </c>
      <c r="D127" s="29" t="s">
        <v>680</v>
      </c>
      <c r="E127" s="29" t="s">
        <v>356</v>
      </c>
      <c r="F127" s="29" t="s">
        <v>681</v>
      </c>
      <c r="G127" s="29" t="s">
        <v>682</v>
      </c>
      <c r="H127" s="29" t="s">
        <v>683</v>
      </c>
      <c r="I127" s="29" t="s">
        <v>153</v>
      </c>
      <c r="J127" s="29" t="s">
        <v>154</v>
      </c>
      <c r="K127" s="30" t="s">
        <v>44</v>
      </c>
      <c r="L127" s="31"/>
      <c r="M127" s="29"/>
    </row>
    <row r="128" customFormat="false" ht="127.5" hidden="false" customHeight="true" outlineLevel="0" collapsed="false">
      <c r="B128" s="29" t="s">
        <v>684</v>
      </c>
      <c r="C128" s="29" t="s">
        <v>281</v>
      </c>
      <c r="D128" s="29" t="s">
        <v>685</v>
      </c>
      <c r="E128" s="29" t="s">
        <v>595</v>
      </c>
      <c r="F128" s="29" t="s">
        <v>686</v>
      </c>
      <c r="G128" s="29" t="s">
        <v>687</v>
      </c>
      <c r="H128" s="29" t="s">
        <v>688</v>
      </c>
      <c r="I128" s="29" t="s">
        <v>467</v>
      </c>
      <c r="J128" s="29" t="s">
        <v>467</v>
      </c>
      <c r="K128" s="30" t="s">
        <v>44</v>
      </c>
      <c r="L128" s="31"/>
      <c r="M128" s="29"/>
    </row>
    <row r="129" customFormat="false" ht="63.75" hidden="false" customHeight="true" outlineLevel="0" collapsed="false">
      <c r="B129" s="29" t="s">
        <v>689</v>
      </c>
      <c r="C129" s="29" t="s">
        <v>281</v>
      </c>
      <c r="D129" s="29" t="s">
        <v>690</v>
      </c>
      <c r="E129" s="29" t="s">
        <v>339</v>
      </c>
      <c r="F129" s="29" t="s">
        <v>691</v>
      </c>
      <c r="G129" s="29" t="s">
        <v>692</v>
      </c>
      <c r="H129" s="29" t="s">
        <v>693</v>
      </c>
      <c r="I129" s="29" t="s">
        <v>301</v>
      </c>
      <c r="J129" s="29" t="s">
        <v>201</v>
      </c>
      <c r="K129" s="30" t="s">
        <v>44</v>
      </c>
      <c r="L129" s="31"/>
      <c r="M129" s="29"/>
    </row>
    <row r="130" customFormat="false" ht="140.25" hidden="false" customHeight="true" outlineLevel="0" collapsed="false">
      <c r="B130" s="29" t="s">
        <v>694</v>
      </c>
      <c r="C130" s="29" t="s">
        <v>281</v>
      </c>
      <c r="D130" s="29" t="s">
        <v>695</v>
      </c>
      <c r="E130" s="29" t="s">
        <v>350</v>
      </c>
      <c r="F130" s="29" t="s">
        <v>696</v>
      </c>
      <c r="G130" s="29" t="s">
        <v>697</v>
      </c>
      <c r="H130" s="29" t="s">
        <v>698</v>
      </c>
      <c r="I130" s="29" t="s">
        <v>153</v>
      </c>
      <c r="J130" s="29" t="s">
        <v>154</v>
      </c>
      <c r="K130" s="30" t="s">
        <v>44</v>
      </c>
      <c r="L130" s="31"/>
      <c r="M130" s="29"/>
    </row>
    <row r="131" customFormat="false" ht="76.5" hidden="false" customHeight="true" outlineLevel="0" collapsed="false">
      <c r="B131" s="29" t="s">
        <v>699</v>
      </c>
      <c r="C131" s="29" t="s">
        <v>281</v>
      </c>
      <c r="D131" s="29" t="s">
        <v>700</v>
      </c>
      <c r="E131" s="29" t="s">
        <v>350</v>
      </c>
      <c r="F131" s="29" t="s">
        <v>701</v>
      </c>
      <c r="G131" s="29" t="s">
        <v>702</v>
      </c>
      <c r="H131" s="29" t="s">
        <v>703</v>
      </c>
      <c r="I131" s="29" t="s">
        <v>301</v>
      </c>
      <c r="J131" s="29" t="s">
        <v>201</v>
      </c>
      <c r="K131" s="30" t="s">
        <v>44</v>
      </c>
      <c r="L131" s="31"/>
      <c r="M131" s="29"/>
    </row>
    <row r="132" customFormat="false" ht="25.5" hidden="false" customHeight="true" outlineLevel="0" collapsed="false">
      <c r="B132" s="29" t="s">
        <v>704</v>
      </c>
      <c r="C132" s="29" t="s">
        <v>281</v>
      </c>
      <c r="D132" s="29" t="s">
        <v>705</v>
      </c>
      <c r="E132" s="29" t="s">
        <v>326</v>
      </c>
      <c r="F132" s="29" t="s">
        <v>706</v>
      </c>
      <c r="G132" s="29" t="s">
        <v>707</v>
      </c>
      <c r="H132" s="29" t="s">
        <v>708</v>
      </c>
      <c r="I132" s="29" t="s">
        <v>301</v>
      </c>
      <c r="J132" s="29" t="s">
        <v>201</v>
      </c>
      <c r="K132" s="30" t="s">
        <v>44</v>
      </c>
      <c r="L132" s="31"/>
      <c r="M132" s="29"/>
    </row>
    <row r="133" customFormat="false" ht="76.5" hidden="false" customHeight="true" outlineLevel="0" collapsed="false">
      <c r="B133" s="29" t="s">
        <v>709</v>
      </c>
      <c r="C133" s="29" t="s">
        <v>281</v>
      </c>
      <c r="D133" s="29" t="s">
        <v>710</v>
      </c>
      <c r="E133" s="29" t="s">
        <v>205</v>
      </c>
      <c r="F133" s="29" t="s">
        <v>711</v>
      </c>
      <c r="G133" s="29" t="s">
        <v>712</v>
      </c>
      <c r="H133" s="29" t="s">
        <v>713</v>
      </c>
      <c r="I133" s="29" t="s">
        <v>301</v>
      </c>
      <c r="J133" s="29" t="s">
        <v>201</v>
      </c>
      <c r="K133" s="30" t="s">
        <v>44</v>
      </c>
      <c r="L133" s="31"/>
      <c r="M133" s="29"/>
    </row>
    <row r="134" customFormat="false" ht="63.75" hidden="false" customHeight="true" outlineLevel="0" collapsed="false">
      <c r="B134" s="29" t="s">
        <v>714</v>
      </c>
      <c r="C134" s="29" t="s">
        <v>281</v>
      </c>
      <c r="D134" s="29" t="s">
        <v>715</v>
      </c>
      <c r="E134" s="29" t="s">
        <v>356</v>
      </c>
      <c r="F134" s="29" t="s">
        <v>716</v>
      </c>
      <c r="G134" s="29" t="s">
        <v>717</v>
      </c>
      <c r="H134" s="29" t="s">
        <v>718</v>
      </c>
      <c r="I134" s="29" t="s">
        <v>301</v>
      </c>
      <c r="J134" s="29" t="s">
        <v>201</v>
      </c>
      <c r="K134" s="30" t="s">
        <v>44</v>
      </c>
      <c r="L134" s="31"/>
      <c r="M134" s="29"/>
    </row>
    <row r="135" customFormat="false" ht="89.25" hidden="false" customHeight="true" outlineLevel="0" collapsed="false">
      <c r="B135" s="29" t="s">
        <v>719</v>
      </c>
      <c r="C135" s="29" t="s">
        <v>281</v>
      </c>
      <c r="D135" s="29" t="s">
        <v>720</v>
      </c>
      <c r="E135" s="29" t="s">
        <v>356</v>
      </c>
      <c r="F135" s="29" t="s">
        <v>721</v>
      </c>
      <c r="G135" s="29" t="s">
        <v>722</v>
      </c>
      <c r="H135" s="29" t="s">
        <v>723</v>
      </c>
      <c r="I135" s="29" t="s">
        <v>301</v>
      </c>
      <c r="J135" s="29" t="s">
        <v>201</v>
      </c>
      <c r="K135" s="30" t="s">
        <v>44</v>
      </c>
      <c r="L135" s="31"/>
      <c r="M135" s="29"/>
    </row>
    <row r="136" customFormat="false" ht="89.25" hidden="false" customHeight="true" outlineLevel="0" collapsed="false">
      <c r="B136" s="29" t="s">
        <v>724</v>
      </c>
      <c r="C136" s="29" t="s">
        <v>281</v>
      </c>
      <c r="D136" s="29" t="s">
        <v>725</v>
      </c>
      <c r="E136" s="29" t="s">
        <v>350</v>
      </c>
      <c r="F136" s="29" t="s">
        <v>726</v>
      </c>
      <c r="G136" s="29" t="s">
        <v>727</v>
      </c>
      <c r="H136" s="29" t="s">
        <v>728</v>
      </c>
      <c r="I136" s="29" t="s">
        <v>301</v>
      </c>
      <c r="J136" s="29" t="s">
        <v>201</v>
      </c>
      <c r="K136" s="30" t="s">
        <v>44</v>
      </c>
      <c r="L136" s="31"/>
      <c r="M136" s="29"/>
    </row>
    <row r="137" customFormat="false" ht="127.5" hidden="false" customHeight="true" outlineLevel="0" collapsed="false">
      <c r="B137" s="29" t="s">
        <v>729</v>
      </c>
      <c r="C137" s="29" t="s">
        <v>281</v>
      </c>
      <c r="D137" s="29" t="s">
        <v>730</v>
      </c>
      <c r="E137" s="29" t="s">
        <v>339</v>
      </c>
      <c r="F137" s="29" t="s">
        <v>731</v>
      </c>
      <c r="G137" s="29" t="s">
        <v>732</v>
      </c>
      <c r="H137" s="29" t="s">
        <v>733</v>
      </c>
      <c r="I137" s="29" t="s">
        <v>301</v>
      </c>
      <c r="J137" s="29" t="s">
        <v>201</v>
      </c>
      <c r="K137" s="30" t="s">
        <v>44</v>
      </c>
      <c r="L137" s="31"/>
      <c r="M137" s="29"/>
    </row>
    <row r="138" customFormat="false" ht="63.75" hidden="false" customHeight="true" outlineLevel="0" collapsed="false">
      <c r="B138" s="29" t="s">
        <v>734</v>
      </c>
      <c r="C138" s="29" t="s">
        <v>281</v>
      </c>
      <c r="D138" s="29" t="s">
        <v>735</v>
      </c>
      <c r="E138" s="29" t="s">
        <v>595</v>
      </c>
      <c r="F138" s="29" t="s">
        <v>736</v>
      </c>
      <c r="G138" s="29" t="s">
        <v>737</v>
      </c>
      <c r="H138" s="29" t="s">
        <v>738</v>
      </c>
      <c r="I138" s="29" t="s">
        <v>467</v>
      </c>
      <c r="J138" s="29" t="s">
        <v>467</v>
      </c>
      <c r="K138" s="30" t="s">
        <v>44</v>
      </c>
      <c r="L138" s="31"/>
      <c r="M138" s="29"/>
    </row>
    <row r="139" customFormat="false" ht="280.5" hidden="false" customHeight="true" outlineLevel="0" collapsed="false">
      <c r="B139" s="29" t="s">
        <v>739</v>
      </c>
      <c r="C139" s="29" t="s">
        <v>281</v>
      </c>
      <c r="D139" s="29" t="s">
        <v>740</v>
      </c>
      <c r="E139" s="29" t="s">
        <v>150</v>
      </c>
      <c r="F139" s="29" t="s">
        <v>741</v>
      </c>
      <c r="G139" s="29" t="s">
        <v>742</v>
      </c>
      <c r="H139" s="29" t="s">
        <v>743</v>
      </c>
      <c r="I139" s="29" t="s">
        <v>467</v>
      </c>
      <c r="J139" s="29" t="s">
        <v>467</v>
      </c>
      <c r="K139" s="30" t="s">
        <v>44</v>
      </c>
      <c r="L139" s="31"/>
      <c r="M139" s="29"/>
    </row>
    <row r="140" customFormat="false" ht="102" hidden="false" customHeight="true" outlineLevel="0" collapsed="false">
      <c r="B140" s="29" t="s">
        <v>744</v>
      </c>
      <c r="C140" s="29" t="s">
        <v>281</v>
      </c>
      <c r="D140" s="29" t="s">
        <v>745</v>
      </c>
      <c r="E140" s="29" t="s">
        <v>595</v>
      </c>
      <c r="F140" s="29" t="s">
        <v>746</v>
      </c>
      <c r="G140" s="29" t="s">
        <v>747</v>
      </c>
      <c r="H140" s="29" t="s">
        <v>748</v>
      </c>
      <c r="I140" s="29" t="s">
        <v>467</v>
      </c>
      <c r="J140" s="29" t="s">
        <v>467</v>
      </c>
      <c r="K140" s="30" t="s">
        <v>44</v>
      </c>
      <c r="L140" s="31"/>
      <c r="M140" s="29"/>
    </row>
    <row r="141" customFormat="false" ht="140.25" hidden="false" customHeight="true" outlineLevel="0" collapsed="false">
      <c r="B141" s="29" t="s">
        <v>749</v>
      </c>
      <c r="C141" s="29" t="s">
        <v>281</v>
      </c>
      <c r="D141" s="29" t="s">
        <v>750</v>
      </c>
      <c r="E141" s="29" t="s">
        <v>39</v>
      </c>
      <c r="F141" s="29" t="s">
        <v>751</v>
      </c>
      <c r="G141" s="29" t="s">
        <v>752</v>
      </c>
      <c r="H141" s="29" t="s">
        <v>753</v>
      </c>
      <c r="I141" s="29" t="s">
        <v>455</v>
      </c>
      <c r="J141" s="29" t="s">
        <v>754</v>
      </c>
      <c r="K141" s="30" t="s">
        <v>44</v>
      </c>
      <c r="L141" s="31"/>
      <c r="M141" s="29"/>
    </row>
    <row r="142" customFormat="false" ht="102" hidden="false" customHeight="true" outlineLevel="0" collapsed="false">
      <c r="B142" s="29" t="s">
        <v>755</v>
      </c>
      <c r="C142" s="29" t="s">
        <v>281</v>
      </c>
      <c r="D142" s="29" t="s">
        <v>756</v>
      </c>
      <c r="E142" s="29" t="s">
        <v>339</v>
      </c>
      <c r="F142" s="29" t="s">
        <v>757</v>
      </c>
      <c r="G142" s="29" t="s">
        <v>758</v>
      </c>
      <c r="H142" s="29" t="s">
        <v>759</v>
      </c>
      <c r="I142" s="29" t="s">
        <v>301</v>
      </c>
      <c r="J142" s="29" t="s">
        <v>201</v>
      </c>
      <c r="K142" s="30" t="s">
        <v>44</v>
      </c>
      <c r="L142" s="31"/>
      <c r="M142" s="29"/>
    </row>
    <row r="143" customFormat="false" ht="38.25" hidden="false" customHeight="true" outlineLevel="0" collapsed="false">
      <c r="B143" s="29" t="s">
        <v>760</v>
      </c>
      <c r="C143" s="29" t="s">
        <v>281</v>
      </c>
      <c r="D143" s="29" t="s">
        <v>761</v>
      </c>
      <c r="E143" s="29" t="s">
        <v>356</v>
      </c>
      <c r="F143" s="29" t="s">
        <v>762</v>
      </c>
      <c r="G143" s="29" t="s">
        <v>763</v>
      </c>
      <c r="H143" s="29" t="s">
        <v>764</v>
      </c>
      <c r="I143" s="29" t="s">
        <v>301</v>
      </c>
      <c r="J143" s="29" t="s">
        <v>201</v>
      </c>
      <c r="K143" s="30" t="s">
        <v>44</v>
      </c>
      <c r="L143" s="31"/>
      <c r="M143" s="29"/>
    </row>
    <row r="144" customFormat="false" ht="38.25" hidden="false" customHeight="true" outlineLevel="0" collapsed="false">
      <c r="B144" s="29" t="s">
        <v>765</v>
      </c>
      <c r="C144" s="29" t="s">
        <v>281</v>
      </c>
      <c r="D144" s="29" t="s">
        <v>766</v>
      </c>
      <c r="E144" s="29" t="s">
        <v>326</v>
      </c>
      <c r="F144" s="29" t="s">
        <v>767</v>
      </c>
      <c r="G144" s="29" t="s">
        <v>768</v>
      </c>
      <c r="H144" s="29" t="s">
        <v>769</v>
      </c>
      <c r="I144" s="29" t="s">
        <v>301</v>
      </c>
      <c r="J144" s="29" t="s">
        <v>201</v>
      </c>
      <c r="K144" s="30" t="s">
        <v>44</v>
      </c>
      <c r="L144" s="31"/>
      <c r="M144" s="29"/>
    </row>
    <row r="145" customFormat="false" ht="369.75" hidden="false" customHeight="true" outlineLevel="0" collapsed="false">
      <c r="B145" s="29" t="s">
        <v>770</v>
      </c>
      <c r="C145" s="29" t="s">
        <v>281</v>
      </c>
      <c r="D145" s="29" t="s">
        <v>771</v>
      </c>
      <c r="E145" s="29" t="s">
        <v>205</v>
      </c>
      <c r="F145" s="29" t="s">
        <v>772</v>
      </c>
      <c r="G145" s="29" t="s">
        <v>773</v>
      </c>
      <c r="H145" s="29" t="s">
        <v>774</v>
      </c>
      <c r="I145" s="29" t="s">
        <v>301</v>
      </c>
      <c r="J145" s="29" t="s">
        <v>201</v>
      </c>
      <c r="K145" s="30" t="s">
        <v>44</v>
      </c>
      <c r="L145" s="31"/>
      <c r="M145" s="29"/>
    </row>
    <row r="146" customFormat="false" ht="51" hidden="false" customHeight="true" outlineLevel="0" collapsed="false">
      <c r="B146" s="29" t="s">
        <v>775</v>
      </c>
      <c r="C146" s="29" t="s">
        <v>281</v>
      </c>
      <c r="D146" s="29" t="s">
        <v>776</v>
      </c>
      <c r="E146" s="29" t="s">
        <v>326</v>
      </c>
      <c r="F146" s="29" t="s">
        <v>777</v>
      </c>
      <c r="G146" s="29" t="s">
        <v>778</v>
      </c>
      <c r="H146" s="29" t="s">
        <v>779</v>
      </c>
      <c r="I146" s="29" t="s">
        <v>301</v>
      </c>
      <c r="J146" s="29" t="s">
        <v>201</v>
      </c>
      <c r="K146" s="30" t="s">
        <v>44</v>
      </c>
      <c r="L146" s="31"/>
      <c r="M146" s="29"/>
    </row>
    <row r="147" customFormat="false" ht="89.25" hidden="false" customHeight="true" outlineLevel="0" collapsed="false">
      <c r="B147" s="29" t="s">
        <v>780</v>
      </c>
      <c r="C147" s="29" t="s">
        <v>281</v>
      </c>
      <c r="D147" s="29" t="s">
        <v>781</v>
      </c>
      <c r="E147" s="29" t="s">
        <v>356</v>
      </c>
      <c r="F147" s="29" t="s">
        <v>782</v>
      </c>
      <c r="G147" s="29" t="s">
        <v>783</v>
      </c>
      <c r="H147" s="29" t="s">
        <v>784</v>
      </c>
      <c r="I147" s="29" t="s">
        <v>301</v>
      </c>
      <c r="J147" s="29" t="s">
        <v>201</v>
      </c>
      <c r="K147" s="30" t="s">
        <v>44</v>
      </c>
      <c r="L147" s="31"/>
      <c r="M147" s="29"/>
    </row>
    <row r="148" customFormat="false" ht="178.5" hidden="false" customHeight="true" outlineLevel="0" collapsed="false">
      <c r="B148" s="29" t="s">
        <v>785</v>
      </c>
      <c r="C148" s="29" t="s">
        <v>281</v>
      </c>
      <c r="D148" s="29" t="s">
        <v>786</v>
      </c>
      <c r="E148" s="29" t="s">
        <v>39</v>
      </c>
      <c r="F148" s="29" t="s">
        <v>787</v>
      </c>
      <c r="G148" s="29" t="s">
        <v>788</v>
      </c>
      <c r="H148" s="29" t="s">
        <v>789</v>
      </c>
      <c r="I148" s="29" t="s">
        <v>42</v>
      </c>
      <c r="J148" s="29" t="s">
        <v>43</v>
      </c>
      <c r="K148" s="30" t="s">
        <v>44</v>
      </c>
      <c r="L148" s="31"/>
      <c r="M148" s="29"/>
    </row>
    <row r="149" customFormat="false" ht="76.5" hidden="false" customHeight="true" outlineLevel="0" collapsed="false">
      <c r="B149" s="29" t="s">
        <v>790</v>
      </c>
      <c r="C149" s="29" t="s">
        <v>281</v>
      </c>
      <c r="D149" s="29" t="s">
        <v>791</v>
      </c>
      <c r="E149" s="29" t="s">
        <v>326</v>
      </c>
      <c r="F149" s="29" t="s">
        <v>792</v>
      </c>
      <c r="G149" s="29" t="s">
        <v>793</v>
      </c>
      <c r="H149" s="29" t="s">
        <v>794</v>
      </c>
      <c r="I149" s="29" t="s">
        <v>285</v>
      </c>
      <c r="J149" s="29" t="s">
        <v>795</v>
      </c>
      <c r="K149" s="30" t="s">
        <v>44</v>
      </c>
      <c r="L149" s="31"/>
      <c r="M149" s="29"/>
    </row>
    <row r="150" customFormat="false" ht="51" hidden="false" customHeight="true" outlineLevel="0" collapsed="false">
      <c r="B150" s="29" t="s">
        <v>796</v>
      </c>
      <c r="C150" s="29" t="s">
        <v>281</v>
      </c>
      <c r="D150" s="29" t="s">
        <v>797</v>
      </c>
      <c r="E150" s="29" t="s">
        <v>538</v>
      </c>
      <c r="F150" s="29" t="s">
        <v>798</v>
      </c>
      <c r="G150" s="29" t="s">
        <v>799</v>
      </c>
      <c r="H150" s="29" t="s">
        <v>800</v>
      </c>
      <c r="I150" s="29" t="s">
        <v>285</v>
      </c>
      <c r="J150" s="29" t="s">
        <v>220</v>
      </c>
      <c r="K150" s="30" t="s">
        <v>44</v>
      </c>
      <c r="L150" s="31"/>
      <c r="M150" s="29"/>
    </row>
    <row r="151" customFormat="false" ht="38.25" hidden="false" customHeight="true" outlineLevel="0" collapsed="false">
      <c r="B151" s="29" t="s">
        <v>801</v>
      </c>
      <c r="C151" s="29" t="s">
        <v>281</v>
      </c>
      <c r="D151" s="29" t="s">
        <v>802</v>
      </c>
      <c r="E151" s="29" t="s">
        <v>326</v>
      </c>
      <c r="F151" s="29" t="s">
        <v>803</v>
      </c>
      <c r="G151" s="29" t="s">
        <v>804</v>
      </c>
      <c r="H151" s="29" t="s">
        <v>805</v>
      </c>
      <c r="I151" s="29" t="s">
        <v>301</v>
      </c>
      <c r="J151" s="29" t="s">
        <v>201</v>
      </c>
      <c r="K151" s="30" t="s">
        <v>44</v>
      </c>
      <c r="L151" s="31"/>
      <c r="M151" s="29"/>
    </row>
    <row r="152" customFormat="false" ht="51" hidden="false" customHeight="true" outlineLevel="0" collapsed="false">
      <c r="B152" s="29" t="s">
        <v>806</v>
      </c>
      <c r="C152" s="29" t="s">
        <v>281</v>
      </c>
      <c r="D152" s="29" t="s">
        <v>807</v>
      </c>
      <c r="E152" s="29" t="s">
        <v>356</v>
      </c>
      <c r="F152" s="29" t="s">
        <v>808</v>
      </c>
      <c r="G152" s="29" t="s">
        <v>809</v>
      </c>
      <c r="H152" s="29" t="s">
        <v>810</v>
      </c>
      <c r="I152" s="29" t="s">
        <v>301</v>
      </c>
      <c r="J152" s="29" t="s">
        <v>201</v>
      </c>
      <c r="K152" s="30" t="s">
        <v>44</v>
      </c>
      <c r="L152" s="31"/>
      <c r="M152" s="29"/>
    </row>
    <row r="153" customFormat="false" ht="63.75" hidden="false" customHeight="true" outlineLevel="0" collapsed="false">
      <c r="B153" s="29" t="s">
        <v>811</v>
      </c>
      <c r="C153" s="29" t="s">
        <v>281</v>
      </c>
      <c r="D153" s="29" t="s">
        <v>812</v>
      </c>
      <c r="E153" s="29" t="s">
        <v>356</v>
      </c>
      <c r="F153" s="29" t="s">
        <v>813</v>
      </c>
      <c r="G153" s="29" t="s">
        <v>814</v>
      </c>
      <c r="H153" s="29" t="s">
        <v>815</v>
      </c>
      <c r="I153" s="29" t="s">
        <v>301</v>
      </c>
      <c r="J153" s="29" t="s">
        <v>201</v>
      </c>
      <c r="K153" s="30" t="s">
        <v>44</v>
      </c>
      <c r="L153" s="31"/>
      <c r="M153" s="29"/>
    </row>
    <row r="154" customFormat="false" ht="191.25" hidden="false" customHeight="true" outlineLevel="0" collapsed="false">
      <c r="B154" s="29" t="s">
        <v>816</v>
      </c>
      <c r="C154" s="29" t="s">
        <v>281</v>
      </c>
      <c r="D154" s="29" t="s">
        <v>817</v>
      </c>
      <c r="E154" s="29" t="s">
        <v>39</v>
      </c>
      <c r="F154" s="29" t="s">
        <v>818</v>
      </c>
      <c r="G154" s="29" t="s">
        <v>819</v>
      </c>
      <c r="H154" s="29" t="s">
        <v>820</v>
      </c>
      <c r="I154" s="29" t="s">
        <v>821</v>
      </c>
      <c r="J154" s="29" t="s">
        <v>822</v>
      </c>
      <c r="K154" s="30" t="s">
        <v>44</v>
      </c>
      <c r="L154" s="31"/>
      <c r="M154" s="29"/>
    </row>
    <row r="155" customFormat="false" ht="76.5" hidden="false" customHeight="true" outlineLevel="0" collapsed="false">
      <c r="B155" s="29" t="s">
        <v>823</v>
      </c>
      <c r="C155" s="29" t="s">
        <v>281</v>
      </c>
      <c r="D155" s="29" t="s">
        <v>824</v>
      </c>
      <c r="E155" s="29" t="s">
        <v>350</v>
      </c>
      <c r="F155" s="29" t="s">
        <v>825</v>
      </c>
      <c r="G155" s="29" t="s">
        <v>826</v>
      </c>
      <c r="H155" s="29" t="s">
        <v>827</v>
      </c>
      <c r="I155" s="29" t="s">
        <v>301</v>
      </c>
      <c r="J155" s="29" t="s">
        <v>201</v>
      </c>
      <c r="K155" s="30" t="s">
        <v>44</v>
      </c>
      <c r="L155" s="31"/>
      <c r="M155" s="29"/>
    </row>
    <row r="156" customFormat="false" ht="63.75" hidden="false" customHeight="true" outlineLevel="0" collapsed="false">
      <c r="B156" s="29" t="s">
        <v>828</v>
      </c>
      <c r="C156" s="29" t="s">
        <v>281</v>
      </c>
      <c r="D156" s="29" t="s">
        <v>829</v>
      </c>
      <c r="E156" s="29" t="s">
        <v>205</v>
      </c>
      <c r="F156" s="29" t="s">
        <v>830</v>
      </c>
      <c r="G156" s="29" t="s">
        <v>831</v>
      </c>
      <c r="H156" s="29" t="s">
        <v>832</v>
      </c>
      <c r="I156" s="29" t="s">
        <v>301</v>
      </c>
      <c r="J156" s="29" t="s">
        <v>201</v>
      </c>
      <c r="K156" s="30" t="s">
        <v>44</v>
      </c>
      <c r="L156" s="31"/>
      <c r="M156" s="29"/>
    </row>
    <row r="157" customFormat="false" ht="409.5" hidden="false" customHeight="true" outlineLevel="0" collapsed="false">
      <c r="B157" s="29" t="s">
        <v>833</v>
      </c>
      <c r="C157" s="29" t="s">
        <v>281</v>
      </c>
      <c r="D157" s="29" t="s">
        <v>834</v>
      </c>
      <c r="E157" s="29" t="s">
        <v>205</v>
      </c>
      <c r="F157" s="29" t="s">
        <v>835</v>
      </c>
      <c r="G157" s="29" t="s">
        <v>836</v>
      </c>
      <c r="H157" s="29" t="s">
        <v>837</v>
      </c>
      <c r="I157" s="29" t="s">
        <v>301</v>
      </c>
      <c r="J157" s="29" t="s">
        <v>201</v>
      </c>
      <c r="K157" s="30" t="s">
        <v>44</v>
      </c>
      <c r="L157" s="31"/>
      <c r="M157" s="29"/>
    </row>
    <row r="158" customFormat="false" ht="114.75" hidden="false" customHeight="true" outlineLevel="0" collapsed="false">
      <c r="B158" s="29" t="s">
        <v>838</v>
      </c>
      <c r="C158" s="29" t="s">
        <v>281</v>
      </c>
      <c r="D158" s="29" t="s">
        <v>839</v>
      </c>
      <c r="E158" s="29" t="s">
        <v>339</v>
      </c>
      <c r="F158" s="29" t="s">
        <v>840</v>
      </c>
      <c r="G158" s="29" t="s">
        <v>841</v>
      </c>
      <c r="H158" s="29" t="s">
        <v>842</v>
      </c>
      <c r="I158" s="29" t="s">
        <v>301</v>
      </c>
      <c r="J158" s="29" t="s">
        <v>201</v>
      </c>
      <c r="K158" s="30" t="s">
        <v>44</v>
      </c>
      <c r="L158" s="31"/>
      <c r="M158" s="29"/>
    </row>
    <row r="159" customFormat="false" ht="89.25" hidden="false" customHeight="true" outlineLevel="0" collapsed="false">
      <c r="B159" s="29" t="s">
        <v>843</v>
      </c>
      <c r="C159" s="29" t="s">
        <v>281</v>
      </c>
      <c r="D159" s="29" t="s">
        <v>844</v>
      </c>
      <c r="E159" s="29" t="s">
        <v>339</v>
      </c>
      <c r="F159" s="29" t="s">
        <v>845</v>
      </c>
      <c r="G159" s="29" t="s">
        <v>846</v>
      </c>
      <c r="H159" s="29" t="s">
        <v>847</v>
      </c>
      <c r="I159" s="29" t="s">
        <v>301</v>
      </c>
      <c r="J159" s="29" t="s">
        <v>201</v>
      </c>
      <c r="K159" s="30" t="s">
        <v>44</v>
      </c>
      <c r="L159" s="31"/>
      <c r="M159" s="29"/>
    </row>
    <row r="160" customFormat="false" ht="51" hidden="false" customHeight="true" outlineLevel="0" collapsed="false">
      <c r="B160" s="29" t="s">
        <v>848</v>
      </c>
      <c r="C160" s="29" t="s">
        <v>281</v>
      </c>
      <c r="D160" s="29" t="s">
        <v>849</v>
      </c>
      <c r="E160" s="29" t="s">
        <v>39</v>
      </c>
      <c r="F160" s="29" t="s">
        <v>850</v>
      </c>
      <c r="G160" s="29" t="s">
        <v>851</v>
      </c>
      <c r="H160" s="29" t="s">
        <v>852</v>
      </c>
      <c r="I160" s="29" t="s">
        <v>42</v>
      </c>
      <c r="J160" s="29" t="s">
        <v>43</v>
      </c>
      <c r="K160" s="30" t="s">
        <v>44</v>
      </c>
      <c r="L160" s="31"/>
      <c r="M160" s="29"/>
    </row>
    <row r="161" customFormat="false" ht="76.5" hidden="false" customHeight="true" outlineLevel="0" collapsed="false">
      <c r="B161" s="29" t="s">
        <v>853</v>
      </c>
      <c r="C161" s="29" t="s">
        <v>281</v>
      </c>
      <c r="D161" s="29" t="s">
        <v>854</v>
      </c>
      <c r="E161" s="29" t="s">
        <v>39</v>
      </c>
      <c r="F161" s="29" t="s">
        <v>855</v>
      </c>
      <c r="G161" s="29" t="s">
        <v>856</v>
      </c>
      <c r="H161" s="29" t="s">
        <v>857</v>
      </c>
      <c r="I161" s="29" t="s">
        <v>42</v>
      </c>
      <c r="J161" s="29" t="s">
        <v>43</v>
      </c>
      <c r="K161" s="30" t="s">
        <v>44</v>
      </c>
      <c r="L161" s="31"/>
      <c r="M161" s="29"/>
    </row>
    <row r="162" customFormat="false" ht="63.75" hidden="false" customHeight="true" outlineLevel="0" collapsed="false">
      <c r="B162" s="29" t="s">
        <v>858</v>
      </c>
      <c r="C162" s="29" t="s">
        <v>281</v>
      </c>
      <c r="D162" s="29" t="s">
        <v>859</v>
      </c>
      <c r="E162" s="29" t="s">
        <v>356</v>
      </c>
      <c r="F162" s="29" t="s">
        <v>860</v>
      </c>
      <c r="G162" s="29" t="s">
        <v>861</v>
      </c>
      <c r="H162" s="29" t="s">
        <v>862</v>
      </c>
      <c r="I162" s="29" t="s">
        <v>301</v>
      </c>
      <c r="J162" s="29" t="s">
        <v>201</v>
      </c>
      <c r="K162" s="30" t="s">
        <v>44</v>
      </c>
      <c r="L162" s="31"/>
      <c r="M162" s="29"/>
    </row>
    <row r="163" customFormat="false" ht="102" hidden="false" customHeight="true" outlineLevel="0" collapsed="false">
      <c r="B163" s="29" t="s">
        <v>863</v>
      </c>
      <c r="C163" s="29" t="s">
        <v>281</v>
      </c>
      <c r="D163" s="29" t="s">
        <v>864</v>
      </c>
      <c r="E163" s="29" t="s">
        <v>350</v>
      </c>
      <c r="F163" s="29" t="s">
        <v>865</v>
      </c>
      <c r="G163" s="29" t="s">
        <v>866</v>
      </c>
      <c r="H163" s="29" t="s">
        <v>867</v>
      </c>
      <c r="I163" s="29" t="s">
        <v>301</v>
      </c>
      <c r="J163" s="29" t="s">
        <v>201</v>
      </c>
      <c r="K163" s="30" t="s">
        <v>44</v>
      </c>
      <c r="L163" s="31"/>
      <c r="M163" s="29"/>
    </row>
    <row r="164" customFormat="false" ht="114.75" hidden="false" customHeight="true" outlineLevel="0" collapsed="false">
      <c r="B164" s="29" t="s">
        <v>868</v>
      </c>
      <c r="C164" s="29" t="s">
        <v>281</v>
      </c>
      <c r="D164" s="29" t="s">
        <v>869</v>
      </c>
      <c r="E164" s="29" t="s">
        <v>350</v>
      </c>
      <c r="F164" s="29" t="s">
        <v>870</v>
      </c>
      <c r="G164" s="29" t="s">
        <v>871</v>
      </c>
      <c r="H164" s="29" t="s">
        <v>872</v>
      </c>
      <c r="I164" s="29" t="s">
        <v>301</v>
      </c>
      <c r="J164" s="29" t="s">
        <v>201</v>
      </c>
      <c r="K164" s="30" t="s">
        <v>44</v>
      </c>
      <c r="L164" s="31"/>
      <c r="M164" s="29"/>
    </row>
    <row r="165" customFormat="false" ht="242.25" hidden="false" customHeight="true" outlineLevel="0" collapsed="false">
      <c r="B165" s="29" t="s">
        <v>873</v>
      </c>
      <c r="C165" s="29" t="s">
        <v>281</v>
      </c>
      <c r="D165" s="29" t="s">
        <v>874</v>
      </c>
      <c r="E165" s="29" t="s">
        <v>350</v>
      </c>
      <c r="F165" s="29" t="s">
        <v>875</v>
      </c>
      <c r="G165" s="29" t="s">
        <v>876</v>
      </c>
      <c r="H165" s="29" t="s">
        <v>877</v>
      </c>
      <c r="I165" s="29" t="s">
        <v>301</v>
      </c>
      <c r="J165" s="29" t="s">
        <v>201</v>
      </c>
      <c r="K165" s="30" t="s">
        <v>44</v>
      </c>
      <c r="L165" s="31"/>
      <c r="M165" s="29"/>
    </row>
    <row r="166" customFormat="false" ht="38.25" hidden="false" customHeight="true" outlineLevel="0" collapsed="false">
      <c r="B166" s="29" t="s">
        <v>878</v>
      </c>
      <c r="C166" s="29" t="s">
        <v>281</v>
      </c>
      <c r="D166" s="29" t="s">
        <v>879</v>
      </c>
      <c r="E166" s="29" t="s">
        <v>339</v>
      </c>
      <c r="F166" s="29" t="s">
        <v>880</v>
      </c>
      <c r="G166" s="29" t="s">
        <v>881</v>
      </c>
      <c r="H166" s="29" t="s">
        <v>882</v>
      </c>
      <c r="I166" s="29" t="s">
        <v>301</v>
      </c>
      <c r="J166" s="29" t="s">
        <v>201</v>
      </c>
      <c r="K166" s="30" t="s">
        <v>44</v>
      </c>
      <c r="L166" s="31"/>
      <c r="M166" s="29"/>
    </row>
    <row r="167" customFormat="false" ht="76.5" hidden="false" customHeight="true" outlineLevel="0" collapsed="false">
      <c r="B167" s="29" t="s">
        <v>883</v>
      </c>
      <c r="C167" s="29" t="s">
        <v>281</v>
      </c>
      <c r="D167" s="29" t="s">
        <v>884</v>
      </c>
      <c r="E167" s="29" t="s">
        <v>89</v>
      </c>
      <c r="F167" s="29" t="s">
        <v>885</v>
      </c>
      <c r="G167" s="29" t="s">
        <v>886</v>
      </c>
      <c r="H167" s="29" t="s">
        <v>887</v>
      </c>
      <c r="I167" s="29" t="s">
        <v>42</v>
      </c>
      <c r="J167" s="29" t="s">
        <v>260</v>
      </c>
      <c r="K167" s="30" t="s">
        <v>44</v>
      </c>
      <c r="L167" s="31"/>
      <c r="M167" s="29"/>
    </row>
    <row r="168" customFormat="false" ht="102" hidden="false" customHeight="true" outlineLevel="0" collapsed="false">
      <c r="B168" s="29" t="s">
        <v>888</v>
      </c>
      <c r="C168" s="29" t="s">
        <v>281</v>
      </c>
      <c r="D168" s="29" t="s">
        <v>889</v>
      </c>
      <c r="E168" s="29" t="s">
        <v>150</v>
      </c>
      <c r="F168" s="29" t="s">
        <v>890</v>
      </c>
      <c r="G168" s="29" t="s">
        <v>891</v>
      </c>
      <c r="H168" s="29" t="s">
        <v>892</v>
      </c>
      <c r="I168" s="29" t="s">
        <v>467</v>
      </c>
      <c r="J168" s="29" t="s">
        <v>467</v>
      </c>
      <c r="K168" s="30" t="s">
        <v>44</v>
      </c>
      <c r="L168" s="31"/>
      <c r="M168" s="29"/>
    </row>
    <row r="169" customFormat="false" ht="63.75" hidden="false" customHeight="true" outlineLevel="0" collapsed="false">
      <c r="B169" s="29" t="s">
        <v>893</v>
      </c>
      <c r="C169" s="29" t="s">
        <v>281</v>
      </c>
      <c r="D169" s="29" t="s">
        <v>894</v>
      </c>
      <c r="E169" s="29" t="s">
        <v>356</v>
      </c>
      <c r="F169" s="29" t="s">
        <v>895</v>
      </c>
      <c r="G169" s="29" t="s">
        <v>896</v>
      </c>
      <c r="H169" s="29" t="s">
        <v>897</v>
      </c>
      <c r="I169" s="29" t="s">
        <v>301</v>
      </c>
      <c r="J169" s="29" t="s">
        <v>201</v>
      </c>
      <c r="K169" s="30" t="s">
        <v>44</v>
      </c>
      <c r="L169" s="31"/>
      <c r="M169" s="29"/>
    </row>
    <row r="170" customFormat="false" ht="51" hidden="false" customHeight="true" outlineLevel="0" collapsed="false">
      <c r="B170" s="29" t="s">
        <v>898</v>
      </c>
      <c r="C170" s="29" t="s">
        <v>281</v>
      </c>
      <c r="D170" s="29" t="s">
        <v>899</v>
      </c>
      <c r="E170" s="29" t="s">
        <v>350</v>
      </c>
      <c r="F170" s="29" t="s">
        <v>900</v>
      </c>
      <c r="G170" s="29" t="s">
        <v>901</v>
      </c>
      <c r="H170" s="29" t="s">
        <v>902</v>
      </c>
      <c r="I170" s="29" t="s">
        <v>301</v>
      </c>
      <c r="J170" s="29" t="s">
        <v>201</v>
      </c>
      <c r="K170" s="30" t="s">
        <v>44</v>
      </c>
      <c r="L170" s="31"/>
      <c r="M170" s="29"/>
    </row>
    <row r="171" customFormat="false" ht="89.25" hidden="false" customHeight="true" outlineLevel="0" collapsed="false">
      <c r="B171" s="29" t="s">
        <v>903</v>
      </c>
      <c r="C171" s="29" t="s">
        <v>281</v>
      </c>
      <c r="D171" s="29" t="s">
        <v>904</v>
      </c>
      <c r="E171" s="29" t="s">
        <v>350</v>
      </c>
      <c r="F171" s="29" t="s">
        <v>905</v>
      </c>
      <c r="G171" s="29" t="s">
        <v>906</v>
      </c>
      <c r="H171" s="29" t="s">
        <v>907</v>
      </c>
      <c r="I171" s="29" t="s">
        <v>301</v>
      </c>
      <c r="J171" s="29" t="s">
        <v>201</v>
      </c>
      <c r="K171" s="30" t="s">
        <v>44</v>
      </c>
      <c r="L171" s="31"/>
      <c r="M171" s="29"/>
    </row>
    <row r="172" customFormat="false" ht="102" hidden="false" customHeight="true" outlineLevel="0" collapsed="false">
      <c r="B172" s="29" t="s">
        <v>908</v>
      </c>
      <c r="C172" s="29" t="s">
        <v>281</v>
      </c>
      <c r="D172" s="29" t="s">
        <v>909</v>
      </c>
      <c r="E172" s="29" t="s">
        <v>595</v>
      </c>
      <c r="F172" s="29" t="s">
        <v>910</v>
      </c>
      <c r="G172" s="29" t="s">
        <v>911</v>
      </c>
      <c r="H172" s="29" t="s">
        <v>912</v>
      </c>
      <c r="I172" s="29" t="s">
        <v>467</v>
      </c>
      <c r="J172" s="29" t="s">
        <v>467</v>
      </c>
      <c r="K172" s="30" t="s">
        <v>44</v>
      </c>
      <c r="L172" s="31"/>
      <c r="M172" s="29"/>
    </row>
    <row r="173" customFormat="false" ht="76.5" hidden="false" customHeight="true" outlineLevel="0" collapsed="false">
      <c r="B173" s="29" t="s">
        <v>913</v>
      </c>
      <c r="C173" s="29" t="s">
        <v>281</v>
      </c>
      <c r="D173" s="29" t="s">
        <v>914</v>
      </c>
      <c r="E173" s="29" t="s">
        <v>339</v>
      </c>
      <c r="F173" s="29" t="s">
        <v>915</v>
      </c>
      <c r="G173" s="29" t="s">
        <v>916</v>
      </c>
      <c r="H173" s="29" t="s">
        <v>917</v>
      </c>
      <c r="I173" s="29" t="s">
        <v>301</v>
      </c>
      <c r="J173" s="29" t="s">
        <v>201</v>
      </c>
      <c r="K173" s="30" t="s">
        <v>44</v>
      </c>
      <c r="L173" s="31"/>
      <c r="M173" s="29"/>
    </row>
    <row r="174" customFormat="false" ht="242.25" hidden="false" customHeight="true" outlineLevel="0" collapsed="false">
      <c r="B174" s="29" t="s">
        <v>918</v>
      </c>
      <c r="C174" s="29" t="s">
        <v>281</v>
      </c>
      <c r="D174" s="29" t="s">
        <v>919</v>
      </c>
      <c r="E174" s="29" t="s">
        <v>205</v>
      </c>
      <c r="F174" s="29" t="s">
        <v>920</v>
      </c>
      <c r="G174" s="29" t="s">
        <v>921</v>
      </c>
      <c r="H174" s="29" t="s">
        <v>922</v>
      </c>
      <c r="I174" s="29" t="s">
        <v>301</v>
      </c>
      <c r="J174" s="29" t="s">
        <v>201</v>
      </c>
      <c r="K174" s="30" t="s">
        <v>44</v>
      </c>
      <c r="L174" s="31"/>
      <c r="M174" s="29"/>
    </row>
    <row r="175" customFormat="false" ht="63.75" hidden="false" customHeight="true" outlineLevel="0" collapsed="false">
      <c r="B175" s="29" t="s">
        <v>923</v>
      </c>
      <c r="C175" s="29" t="s">
        <v>281</v>
      </c>
      <c r="D175" s="29" t="s">
        <v>924</v>
      </c>
      <c r="E175" s="29" t="s">
        <v>356</v>
      </c>
      <c r="F175" s="29" t="s">
        <v>925</v>
      </c>
      <c r="G175" s="29" t="s">
        <v>926</v>
      </c>
      <c r="H175" s="29" t="s">
        <v>927</v>
      </c>
      <c r="I175" s="29" t="s">
        <v>301</v>
      </c>
      <c r="J175" s="29" t="s">
        <v>201</v>
      </c>
      <c r="K175" s="30" t="s">
        <v>44</v>
      </c>
      <c r="L175" s="31"/>
      <c r="M175" s="29"/>
    </row>
    <row r="176" customFormat="false" ht="102" hidden="false" customHeight="true" outlineLevel="0" collapsed="false">
      <c r="B176" s="29" t="s">
        <v>928</v>
      </c>
      <c r="C176" s="29" t="s">
        <v>281</v>
      </c>
      <c r="D176" s="29" t="s">
        <v>929</v>
      </c>
      <c r="E176" s="29" t="s">
        <v>356</v>
      </c>
      <c r="F176" s="29" t="s">
        <v>930</v>
      </c>
      <c r="G176" s="29" t="s">
        <v>931</v>
      </c>
      <c r="H176" s="29" t="s">
        <v>932</v>
      </c>
      <c r="I176" s="29" t="s">
        <v>301</v>
      </c>
      <c r="J176" s="29" t="s">
        <v>201</v>
      </c>
      <c r="K176" s="30" t="s">
        <v>44</v>
      </c>
      <c r="L176" s="31"/>
      <c r="M176" s="29"/>
    </row>
    <row r="177" customFormat="false" ht="114.75" hidden="false" customHeight="true" outlineLevel="0" collapsed="false">
      <c r="B177" s="29" t="s">
        <v>933</v>
      </c>
      <c r="C177" s="29" t="s">
        <v>281</v>
      </c>
      <c r="D177" s="29" t="s">
        <v>934</v>
      </c>
      <c r="E177" s="29" t="s">
        <v>595</v>
      </c>
      <c r="F177" s="29" t="s">
        <v>935</v>
      </c>
      <c r="G177" s="29" t="s">
        <v>936</v>
      </c>
      <c r="H177" s="29" t="s">
        <v>937</v>
      </c>
      <c r="I177" s="29" t="s">
        <v>467</v>
      </c>
      <c r="J177" s="29" t="s">
        <v>467</v>
      </c>
      <c r="K177" s="30" t="s">
        <v>44</v>
      </c>
      <c r="L177" s="31"/>
      <c r="M177" s="29"/>
    </row>
    <row r="178" customFormat="false" ht="51" hidden="false" customHeight="true" outlineLevel="0" collapsed="false">
      <c r="B178" s="29" t="s">
        <v>938</v>
      </c>
      <c r="C178" s="29" t="s">
        <v>281</v>
      </c>
      <c r="D178" s="29" t="s">
        <v>939</v>
      </c>
      <c r="E178" s="29" t="s">
        <v>356</v>
      </c>
      <c r="F178" s="29" t="s">
        <v>940</v>
      </c>
      <c r="G178" s="29" t="s">
        <v>941</v>
      </c>
      <c r="H178" s="29" t="s">
        <v>942</v>
      </c>
      <c r="I178" s="29" t="s">
        <v>301</v>
      </c>
      <c r="J178" s="29" t="s">
        <v>201</v>
      </c>
      <c r="K178" s="30" t="s">
        <v>44</v>
      </c>
      <c r="L178" s="31"/>
      <c r="M178" s="29"/>
    </row>
    <row r="179" customFormat="false" ht="114.75" hidden="false" customHeight="true" outlineLevel="0" collapsed="false">
      <c r="B179" s="29" t="s">
        <v>943</v>
      </c>
      <c r="C179" s="29" t="s">
        <v>281</v>
      </c>
      <c r="D179" s="29" t="s">
        <v>944</v>
      </c>
      <c r="E179" s="29" t="s">
        <v>339</v>
      </c>
      <c r="F179" s="29" t="s">
        <v>945</v>
      </c>
      <c r="G179" s="29" t="s">
        <v>946</v>
      </c>
      <c r="H179" s="29" t="s">
        <v>947</v>
      </c>
      <c r="I179" s="29" t="s">
        <v>301</v>
      </c>
      <c r="J179" s="29" t="s">
        <v>201</v>
      </c>
      <c r="K179" s="30" t="s">
        <v>44</v>
      </c>
      <c r="L179" s="31"/>
      <c r="M179" s="29"/>
    </row>
    <row r="180" customFormat="false" ht="153" hidden="false" customHeight="true" outlineLevel="0" collapsed="false">
      <c r="B180" s="29" t="s">
        <v>948</v>
      </c>
      <c r="C180" s="29" t="s">
        <v>281</v>
      </c>
      <c r="D180" s="29" t="s">
        <v>949</v>
      </c>
      <c r="E180" s="29" t="s">
        <v>150</v>
      </c>
      <c r="F180" s="29" t="s">
        <v>950</v>
      </c>
      <c r="G180" s="29" t="s">
        <v>951</v>
      </c>
      <c r="H180" s="29" t="s">
        <v>952</v>
      </c>
      <c r="I180" s="29" t="s">
        <v>467</v>
      </c>
      <c r="J180" s="29" t="s">
        <v>467</v>
      </c>
      <c r="K180" s="30" t="s">
        <v>44</v>
      </c>
      <c r="L180" s="31"/>
      <c r="M180" s="29"/>
    </row>
    <row r="181" customFormat="false" ht="140.25" hidden="false" customHeight="true" outlineLevel="0" collapsed="false">
      <c r="B181" s="29" t="s">
        <v>953</v>
      </c>
      <c r="C181" s="29" t="s">
        <v>281</v>
      </c>
      <c r="D181" s="29" t="s">
        <v>954</v>
      </c>
      <c r="E181" s="29" t="s">
        <v>595</v>
      </c>
      <c r="F181" s="29" t="s">
        <v>955</v>
      </c>
      <c r="G181" s="29" t="s">
        <v>956</v>
      </c>
      <c r="H181" s="29" t="s">
        <v>957</v>
      </c>
      <c r="I181" s="29" t="s">
        <v>467</v>
      </c>
      <c r="J181" s="29" t="s">
        <v>467</v>
      </c>
      <c r="K181" s="30" t="s">
        <v>44</v>
      </c>
      <c r="L181" s="31"/>
      <c r="M181" s="29"/>
    </row>
    <row r="182" customFormat="false" ht="102" hidden="false" customHeight="true" outlineLevel="0" collapsed="false">
      <c r="B182" s="29" t="s">
        <v>958</v>
      </c>
      <c r="C182" s="29" t="s">
        <v>281</v>
      </c>
      <c r="D182" s="29" t="s">
        <v>959</v>
      </c>
      <c r="E182" s="29" t="s">
        <v>339</v>
      </c>
      <c r="F182" s="29" t="s">
        <v>960</v>
      </c>
      <c r="G182" s="29" t="s">
        <v>961</v>
      </c>
      <c r="H182" s="29" t="s">
        <v>962</v>
      </c>
      <c r="I182" s="29" t="s">
        <v>301</v>
      </c>
      <c r="J182" s="29" t="s">
        <v>201</v>
      </c>
      <c r="K182" s="30" t="s">
        <v>44</v>
      </c>
      <c r="L182" s="31"/>
      <c r="M182" s="29"/>
    </row>
    <row r="183" customFormat="false" ht="63.75" hidden="false" customHeight="true" outlineLevel="0" collapsed="false">
      <c r="B183" s="29" t="s">
        <v>963</v>
      </c>
      <c r="C183" s="29" t="s">
        <v>281</v>
      </c>
      <c r="D183" s="29" t="s">
        <v>964</v>
      </c>
      <c r="E183" s="29" t="s">
        <v>39</v>
      </c>
      <c r="F183" s="29" t="s">
        <v>965</v>
      </c>
      <c r="G183" s="29" t="s">
        <v>966</v>
      </c>
      <c r="H183" s="29" t="s">
        <v>967</v>
      </c>
      <c r="I183" s="29" t="s">
        <v>455</v>
      </c>
      <c r="J183" s="29" t="s">
        <v>754</v>
      </c>
      <c r="K183" s="30" t="s">
        <v>44</v>
      </c>
      <c r="L183" s="31"/>
      <c r="M183" s="29"/>
    </row>
    <row r="184" customFormat="false" ht="89.25" hidden="false" customHeight="true" outlineLevel="0" collapsed="false">
      <c r="B184" s="29" t="s">
        <v>968</v>
      </c>
      <c r="C184" s="29" t="s">
        <v>281</v>
      </c>
      <c r="D184" s="29" t="s">
        <v>969</v>
      </c>
      <c r="E184" s="29" t="s">
        <v>89</v>
      </c>
      <c r="F184" s="29" t="s">
        <v>970</v>
      </c>
      <c r="G184" s="29" t="s">
        <v>971</v>
      </c>
      <c r="H184" s="29" t="s">
        <v>972</v>
      </c>
      <c r="I184" s="29" t="s">
        <v>42</v>
      </c>
      <c r="J184" s="29" t="s">
        <v>973</v>
      </c>
      <c r="K184" s="30" t="s">
        <v>44</v>
      </c>
      <c r="L184" s="31"/>
      <c r="M184" s="29"/>
    </row>
    <row r="185" customFormat="false" ht="165.75" hidden="false" customHeight="true" outlineLevel="0" collapsed="false">
      <c r="B185" s="29" t="s">
        <v>974</v>
      </c>
      <c r="C185" s="29" t="s">
        <v>281</v>
      </c>
      <c r="D185" s="29" t="s">
        <v>975</v>
      </c>
      <c r="E185" s="29" t="s">
        <v>326</v>
      </c>
      <c r="F185" s="29" t="s">
        <v>976</v>
      </c>
      <c r="G185" s="29" t="s">
        <v>977</v>
      </c>
      <c r="H185" s="29" t="s">
        <v>978</v>
      </c>
      <c r="I185" s="29" t="s">
        <v>301</v>
      </c>
      <c r="J185" s="29" t="s">
        <v>201</v>
      </c>
      <c r="K185" s="30" t="s">
        <v>44</v>
      </c>
      <c r="L185" s="31"/>
      <c r="M185" s="29"/>
    </row>
    <row r="186" customFormat="false" ht="51" hidden="false" customHeight="true" outlineLevel="0" collapsed="false">
      <c r="B186" s="29" t="s">
        <v>979</v>
      </c>
      <c r="C186" s="29" t="s">
        <v>281</v>
      </c>
      <c r="D186" s="29" t="s">
        <v>980</v>
      </c>
      <c r="E186" s="29" t="s">
        <v>326</v>
      </c>
      <c r="F186" s="29" t="s">
        <v>981</v>
      </c>
      <c r="G186" s="29" t="s">
        <v>982</v>
      </c>
      <c r="H186" s="29" t="s">
        <v>983</v>
      </c>
      <c r="I186" s="29" t="s">
        <v>301</v>
      </c>
      <c r="J186" s="29" t="s">
        <v>201</v>
      </c>
      <c r="K186" s="30" t="s">
        <v>44</v>
      </c>
      <c r="L186" s="31"/>
      <c r="M186" s="29"/>
    </row>
    <row r="187" customFormat="false" ht="63.75" hidden="false" customHeight="true" outlineLevel="0" collapsed="false">
      <c r="B187" s="29" t="s">
        <v>984</v>
      </c>
      <c r="C187" s="29" t="s">
        <v>281</v>
      </c>
      <c r="D187" s="29" t="s">
        <v>985</v>
      </c>
      <c r="E187" s="29" t="s">
        <v>356</v>
      </c>
      <c r="F187" s="29" t="s">
        <v>986</v>
      </c>
      <c r="G187" s="29" t="s">
        <v>987</v>
      </c>
      <c r="H187" s="29" t="s">
        <v>988</v>
      </c>
      <c r="I187" s="29" t="s">
        <v>301</v>
      </c>
      <c r="J187" s="29" t="s">
        <v>201</v>
      </c>
      <c r="K187" s="30" t="s">
        <v>44</v>
      </c>
      <c r="L187" s="31"/>
      <c r="M187" s="29"/>
    </row>
    <row r="188" customFormat="false" ht="63.75" hidden="false" customHeight="true" outlineLevel="0" collapsed="false">
      <c r="B188" s="29" t="s">
        <v>989</v>
      </c>
      <c r="C188" s="29" t="s">
        <v>281</v>
      </c>
      <c r="D188" s="29" t="s">
        <v>990</v>
      </c>
      <c r="E188" s="29" t="s">
        <v>339</v>
      </c>
      <c r="F188" s="29" t="s">
        <v>991</v>
      </c>
      <c r="G188" s="29" t="s">
        <v>992</v>
      </c>
      <c r="H188" s="29" t="s">
        <v>993</v>
      </c>
      <c r="I188" s="29" t="s">
        <v>301</v>
      </c>
      <c r="J188" s="29" t="s">
        <v>201</v>
      </c>
      <c r="K188" s="30" t="s">
        <v>44</v>
      </c>
      <c r="L188" s="31"/>
      <c r="M188" s="29"/>
    </row>
    <row r="189" customFormat="false" ht="63.75" hidden="false" customHeight="true" outlineLevel="0" collapsed="false">
      <c r="B189" s="29" t="s">
        <v>994</v>
      </c>
      <c r="C189" s="29" t="s">
        <v>281</v>
      </c>
      <c r="D189" s="29" t="s">
        <v>995</v>
      </c>
      <c r="E189" s="29" t="s">
        <v>339</v>
      </c>
      <c r="F189" s="29" t="s">
        <v>996</v>
      </c>
      <c r="G189" s="29" t="s">
        <v>997</v>
      </c>
      <c r="H189" s="29" t="s">
        <v>998</v>
      </c>
      <c r="I189" s="29" t="s">
        <v>301</v>
      </c>
      <c r="J189" s="29" t="s">
        <v>201</v>
      </c>
      <c r="K189" s="30" t="s">
        <v>44</v>
      </c>
      <c r="L189" s="31"/>
      <c r="M189" s="29"/>
    </row>
    <row r="190" customFormat="false" ht="76.5" hidden="false" customHeight="true" outlineLevel="0" collapsed="false">
      <c r="B190" s="29" t="s">
        <v>999</v>
      </c>
      <c r="C190" s="29" t="s">
        <v>281</v>
      </c>
      <c r="D190" s="29" t="s">
        <v>1000</v>
      </c>
      <c r="E190" s="29" t="s">
        <v>339</v>
      </c>
      <c r="F190" s="29" t="s">
        <v>1001</v>
      </c>
      <c r="G190" s="29" t="s">
        <v>1002</v>
      </c>
      <c r="H190" s="29" t="s">
        <v>1003</v>
      </c>
      <c r="I190" s="29" t="s">
        <v>301</v>
      </c>
      <c r="J190" s="29" t="s">
        <v>201</v>
      </c>
      <c r="K190" s="30" t="s">
        <v>44</v>
      </c>
      <c r="L190" s="31"/>
      <c r="M190" s="29"/>
    </row>
    <row r="191" customFormat="false" ht="114.75" hidden="false" customHeight="true" outlineLevel="0" collapsed="false">
      <c r="B191" s="29" t="s">
        <v>1004</v>
      </c>
      <c r="C191" s="29" t="s">
        <v>281</v>
      </c>
      <c r="D191" s="29" t="s">
        <v>1005</v>
      </c>
      <c r="E191" s="29" t="s">
        <v>356</v>
      </c>
      <c r="F191" s="29" t="s">
        <v>1006</v>
      </c>
      <c r="G191" s="29" t="s">
        <v>1007</v>
      </c>
      <c r="H191" s="29" t="s">
        <v>1008</v>
      </c>
      <c r="I191" s="29" t="s">
        <v>301</v>
      </c>
      <c r="J191" s="29" t="s">
        <v>201</v>
      </c>
      <c r="K191" s="30" t="s">
        <v>44</v>
      </c>
      <c r="L191" s="31"/>
      <c r="M191" s="29"/>
    </row>
    <row r="192" customFormat="false" ht="51" hidden="false" customHeight="true" outlineLevel="0" collapsed="false">
      <c r="B192" s="29" t="s">
        <v>1009</v>
      </c>
      <c r="C192" s="29" t="s">
        <v>281</v>
      </c>
      <c r="D192" s="29" t="s">
        <v>1010</v>
      </c>
      <c r="E192" s="29" t="s">
        <v>326</v>
      </c>
      <c r="F192" s="29" t="s">
        <v>1011</v>
      </c>
      <c r="G192" s="29" t="s">
        <v>1012</v>
      </c>
      <c r="H192" s="29" t="s">
        <v>1013</v>
      </c>
      <c r="I192" s="29" t="s">
        <v>301</v>
      </c>
      <c r="J192" s="29" t="s">
        <v>201</v>
      </c>
      <c r="K192" s="30" t="s">
        <v>44</v>
      </c>
      <c r="L192" s="31"/>
      <c r="M192" s="29"/>
    </row>
    <row r="193" customFormat="false" ht="63.75" hidden="false" customHeight="true" outlineLevel="0" collapsed="false">
      <c r="B193" s="29" t="s">
        <v>1014</v>
      </c>
      <c r="C193" s="29" t="s">
        <v>281</v>
      </c>
      <c r="D193" s="29" t="s">
        <v>1015</v>
      </c>
      <c r="E193" s="29" t="s">
        <v>339</v>
      </c>
      <c r="F193" s="29" t="s">
        <v>1016</v>
      </c>
      <c r="G193" s="29" t="s">
        <v>1017</v>
      </c>
      <c r="H193" s="29" t="s">
        <v>1018</v>
      </c>
      <c r="I193" s="29" t="s">
        <v>301</v>
      </c>
      <c r="J193" s="29" t="s">
        <v>201</v>
      </c>
      <c r="K193" s="30" t="s">
        <v>44</v>
      </c>
      <c r="L193" s="31"/>
      <c r="M193" s="29"/>
    </row>
    <row r="194" customFormat="false" ht="127.5" hidden="false" customHeight="true" outlineLevel="0" collapsed="false">
      <c r="B194" s="29" t="s">
        <v>1019</v>
      </c>
      <c r="C194" s="29" t="s">
        <v>281</v>
      </c>
      <c r="D194" s="29" t="s">
        <v>1020</v>
      </c>
      <c r="E194" s="29" t="s">
        <v>339</v>
      </c>
      <c r="F194" s="29" t="s">
        <v>1021</v>
      </c>
      <c r="G194" s="29" t="s">
        <v>1022</v>
      </c>
      <c r="H194" s="29" t="s">
        <v>1023</v>
      </c>
      <c r="I194" s="29" t="s">
        <v>301</v>
      </c>
      <c r="J194" s="29" t="s">
        <v>201</v>
      </c>
      <c r="K194" s="30" t="s">
        <v>44</v>
      </c>
      <c r="L194" s="31"/>
      <c r="M194" s="29"/>
    </row>
    <row r="195" customFormat="false" ht="76.5" hidden="false" customHeight="true" outlineLevel="0" collapsed="false">
      <c r="B195" s="29" t="s">
        <v>1024</v>
      </c>
      <c r="C195" s="29" t="s">
        <v>281</v>
      </c>
      <c r="D195" s="29" t="s">
        <v>1025</v>
      </c>
      <c r="E195" s="29" t="s">
        <v>339</v>
      </c>
      <c r="F195" s="29" t="s">
        <v>1026</v>
      </c>
      <c r="G195" s="29" t="s">
        <v>1027</v>
      </c>
      <c r="H195" s="29" t="s">
        <v>1028</v>
      </c>
      <c r="I195" s="29" t="s">
        <v>301</v>
      </c>
      <c r="J195" s="29" t="s">
        <v>201</v>
      </c>
      <c r="K195" s="30" t="s">
        <v>44</v>
      </c>
      <c r="L195" s="31"/>
      <c r="M195" s="29"/>
    </row>
    <row r="196" customFormat="false" ht="102" hidden="false" customHeight="true" outlineLevel="0" collapsed="false">
      <c r="B196" s="29" t="s">
        <v>1029</v>
      </c>
      <c r="C196" s="29" t="s">
        <v>281</v>
      </c>
      <c r="D196" s="29" t="s">
        <v>1030</v>
      </c>
      <c r="E196" s="29" t="s">
        <v>356</v>
      </c>
      <c r="F196" s="29" t="s">
        <v>1031</v>
      </c>
      <c r="G196" s="29" t="s">
        <v>1032</v>
      </c>
      <c r="H196" s="29" t="s">
        <v>1033</v>
      </c>
      <c r="I196" s="29" t="s">
        <v>301</v>
      </c>
      <c r="J196" s="29" t="s">
        <v>201</v>
      </c>
      <c r="K196" s="30" t="s">
        <v>44</v>
      </c>
      <c r="L196" s="31"/>
      <c r="M196" s="29"/>
    </row>
    <row r="197" customFormat="false" ht="89.25" hidden="false" customHeight="true" outlineLevel="0" collapsed="false">
      <c r="B197" s="29" t="s">
        <v>1034</v>
      </c>
      <c r="C197" s="29" t="s">
        <v>281</v>
      </c>
      <c r="D197" s="29" t="s">
        <v>1035</v>
      </c>
      <c r="E197" s="29" t="s">
        <v>595</v>
      </c>
      <c r="F197" s="29" t="s">
        <v>1036</v>
      </c>
      <c r="G197" s="29" t="s">
        <v>1037</v>
      </c>
      <c r="H197" s="29" t="s">
        <v>1038</v>
      </c>
      <c r="I197" s="29" t="s">
        <v>467</v>
      </c>
      <c r="J197" s="29" t="s">
        <v>467</v>
      </c>
      <c r="K197" s="30" t="s">
        <v>44</v>
      </c>
      <c r="L197" s="31"/>
      <c r="M197" s="29"/>
    </row>
    <row r="198" customFormat="false" ht="191.25" hidden="false" customHeight="true" outlineLevel="0" collapsed="false">
      <c r="B198" s="29" t="s">
        <v>1039</v>
      </c>
      <c r="C198" s="29" t="s">
        <v>281</v>
      </c>
      <c r="D198" s="29" t="s">
        <v>1040</v>
      </c>
      <c r="E198" s="29" t="s">
        <v>595</v>
      </c>
      <c r="F198" s="29" t="s">
        <v>1041</v>
      </c>
      <c r="G198" s="29" t="s">
        <v>1042</v>
      </c>
      <c r="H198" s="29" t="s">
        <v>1043</v>
      </c>
      <c r="I198" s="29" t="s">
        <v>467</v>
      </c>
      <c r="J198" s="29" t="s">
        <v>467</v>
      </c>
      <c r="K198" s="30" t="s">
        <v>44</v>
      </c>
      <c r="L198" s="31"/>
      <c r="M198" s="29"/>
    </row>
    <row r="199" customFormat="false" ht="178.5" hidden="false" customHeight="true" outlineLevel="0" collapsed="false">
      <c r="B199" s="29" t="s">
        <v>1044</v>
      </c>
      <c r="C199" s="29" t="s">
        <v>281</v>
      </c>
      <c r="D199" s="29" t="s">
        <v>1045</v>
      </c>
      <c r="E199" s="29" t="s">
        <v>356</v>
      </c>
      <c r="F199" s="29" t="s">
        <v>1046</v>
      </c>
      <c r="G199" s="29" t="s">
        <v>1047</v>
      </c>
      <c r="H199" s="29" t="s">
        <v>1048</v>
      </c>
      <c r="I199" s="29" t="s">
        <v>301</v>
      </c>
      <c r="J199" s="29" t="s">
        <v>201</v>
      </c>
      <c r="K199" s="30" t="s">
        <v>44</v>
      </c>
      <c r="L199" s="31"/>
      <c r="M199" s="29"/>
    </row>
    <row r="200" customFormat="false" ht="63.75" hidden="false" customHeight="true" outlineLevel="0" collapsed="false">
      <c r="B200" s="29" t="s">
        <v>1049</v>
      </c>
      <c r="C200" s="29" t="s">
        <v>281</v>
      </c>
      <c r="D200" s="29" t="s">
        <v>1050</v>
      </c>
      <c r="E200" s="29" t="s">
        <v>356</v>
      </c>
      <c r="F200" s="29" t="s">
        <v>1051</v>
      </c>
      <c r="G200" s="29" t="s">
        <v>1052</v>
      </c>
      <c r="H200" s="29" t="s">
        <v>1053</v>
      </c>
      <c r="I200" s="29" t="s">
        <v>301</v>
      </c>
      <c r="J200" s="29" t="s">
        <v>201</v>
      </c>
      <c r="K200" s="30" t="s">
        <v>44</v>
      </c>
      <c r="L200" s="31"/>
      <c r="M200" s="29"/>
    </row>
    <row r="201" customFormat="false" ht="114.75" hidden="false" customHeight="true" outlineLevel="0" collapsed="false">
      <c r="B201" s="29" t="s">
        <v>1054</v>
      </c>
      <c r="C201" s="29" t="s">
        <v>281</v>
      </c>
      <c r="D201" s="29" t="s">
        <v>1055</v>
      </c>
      <c r="E201" s="29" t="s">
        <v>339</v>
      </c>
      <c r="F201" s="29" t="s">
        <v>1056</v>
      </c>
      <c r="G201" s="29" t="s">
        <v>1057</v>
      </c>
      <c r="H201" s="29" t="s">
        <v>1058</v>
      </c>
      <c r="I201" s="29" t="s">
        <v>301</v>
      </c>
      <c r="J201" s="29" t="s">
        <v>201</v>
      </c>
      <c r="K201" s="30" t="s">
        <v>44</v>
      </c>
      <c r="L201" s="31"/>
      <c r="M201" s="29"/>
    </row>
    <row r="202" customFormat="false" ht="76.5" hidden="false" customHeight="true" outlineLevel="0" collapsed="false">
      <c r="B202" s="29" t="s">
        <v>1059</v>
      </c>
      <c r="C202" s="29" t="s">
        <v>281</v>
      </c>
      <c r="D202" s="29" t="s">
        <v>1060</v>
      </c>
      <c r="E202" s="29" t="s">
        <v>39</v>
      </c>
      <c r="F202" s="29" t="s">
        <v>1061</v>
      </c>
      <c r="G202" s="29" t="s">
        <v>1062</v>
      </c>
      <c r="H202" s="29" t="s">
        <v>1063</v>
      </c>
      <c r="I202" s="29" t="s">
        <v>42</v>
      </c>
      <c r="J202" s="29" t="s">
        <v>43</v>
      </c>
      <c r="K202" s="30" t="s">
        <v>44</v>
      </c>
      <c r="L202" s="31"/>
      <c r="M202" s="29"/>
    </row>
    <row r="203" customFormat="false" ht="178.5" hidden="false" customHeight="true" outlineLevel="0" collapsed="false">
      <c r="B203" s="29" t="s">
        <v>1064</v>
      </c>
      <c r="C203" s="29" t="s">
        <v>281</v>
      </c>
      <c r="D203" s="29" t="s">
        <v>1065</v>
      </c>
      <c r="E203" s="29" t="s">
        <v>356</v>
      </c>
      <c r="F203" s="29" t="s">
        <v>1066</v>
      </c>
      <c r="G203" s="29" t="s">
        <v>1067</v>
      </c>
      <c r="H203" s="29" t="s">
        <v>1068</v>
      </c>
      <c r="I203" s="29" t="s">
        <v>301</v>
      </c>
      <c r="J203" s="29" t="s">
        <v>201</v>
      </c>
      <c r="K203" s="30" t="s">
        <v>44</v>
      </c>
      <c r="L203" s="31"/>
      <c r="M203" s="29"/>
    </row>
    <row r="204" customFormat="false" ht="153" hidden="false" customHeight="true" outlineLevel="0" collapsed="false">
      <c r="B204" s="29" t="s">
        <v>1069</v>
      </c>
      <c r="C204" s="29" t="s">
        <v>281</v>
      </c>
      <c r="D204" s="29" t="s">
        <v>1070</v>
      </c>
      <c r="E204" s="29" t="s">
        <v>350</v>
      </c>
      <c r="F204" s="29" t="s">
        <v>1071</v>
      </c>
      <c r="G204" s="29" t="s">
        <v>1072</v>
      </c>
      <c r="H204" s="29" t="s">
        <v>1073</v>
      </c>
      <c r="I204" s="29" t="s">
        <v>301</v>
      </c>
      <c r="J204" s="29" t="s">
        <v>201</v>
      </c>
      <c r="K204" s="30" t="s">
        <v>44</v>
      </c>
      <c r="L204" s="31"/>
      <c r="M204" s="29"/>
    </row>
    <row r="205" customFormat="false" ht="76.5" hidden="false" customHeight="true" outlineLevel="0" collapsed="false">
      <c r="B205" s="29" t="s">
        <v>1074</v>
      </c>
      <c r="C205" s="29" t="s">
        <v>281</v>
      </c>
      <c r="D205" s="29" t="s">
        <v>1075</v>
      </c>
      <c r="E205" s="29" t="s">
        <v>356</v>
      </c>
      <c r="F205" s="29" t="s">
        <v>1076</v>
      </c>
      <c r="G205" s="29" t="s">
        <v>1077</v>
      </c>
      <c r="H205" s="29" t="s">
        <v>1078</v>
      </c>
      <c r="I205" s="29" t="s">
        <v>301</v>
      </c>
      <c r="J205" s="29" t="s">
        <v>201</v>
      </c>
      <c r="K205" s="30" t="s">
        <v>44</v>
      </c>
      <c r="L205" s="31"/>
      <c r="M205" s="29"/>
    </row>
    <row r="206" customFormat="false" ht="63.75" hidden="false" customHeight="true" outlineLevel="0" collapsed="false">
      <c r="B206" s="29" t="s">
        <v>1079</v>
      </c>
      <c r="C206" s="29" t="s">
        <v>281</v>
      </c>
      <c r="D206" s="29" t="s">
        <v>1080</v>
      </c>
      <c r="E206" s="29" t="s">
        <v>356</v>
      </c>
      <c r="F206" s="29" t="s">
        <v>1076</v>
      </c>
      <c r="G206" s="29" t="s">
        <v>1081</v>
      </c>
      <c r="H206" s="29" t="s">
        <v>1078</v>
      </c>
      <c r="I206" s="29" t="s">
        <v>301</v>
      </c>
      <c r="J206" s="29" t="s">
        <v>201</v>
      </c>
      <c r="K206" s="30" t="s">
        <v>44</v>
      </c>
      <c r="L206" s="31"/>
      <c r="M206" s="29"/>
    </row>
    <row r="207" customFormat="false" ht="63.75" hidden="false" customHeight="true" outlineLevel="0" collapsed="false">
      <c r="B207" s="29" t="s">
        <v>1082</v>
      </c>
      <c r="C207" s="29" t="s">
        <v>281</v>
      </c>
      <c r="D207" s="29" t="s">
        <v>1083</v>
      </c>
      <c r="E207" s="29" t="s">
        <v>356</v>
      </c>
      <c r="F207" s="29" t="s">
        <v>1076</v>
      </c>
      <c r="G207" s="29" t="s">
        <v>1084</v>
      </c>
      <c r="H207" s="29" t="s">
        <v>1078</v>
      </c>
      <c r="I207" s="29" t="s">
        <v>301</v>
      </c>
      <c r="J207" s="29" t="s">
        <v>201</v>
      </c>
      <c r="K207" s="30" t="s">
        <v>44</v>
      </c>
      <c r="L207" s="31"/>
      <c r="M207" s="29"/>
    </row>
    <row r="208" customFormat="false" ht="63.75" hidden="false" customHeight="true" outlineLevel="0" collapsed="false">
      <c r="B208" s="29" t="s">
        <v>1085</v>
      </c>
      <c r="C208" s="29" t="s">
        <v>281</v>
      </c>
      <c r="D208" s="29" t="s">
        <v>1086</v>
      </c>
      <c r="E208" s="29" t="s">
        <v>356</v>
      </c>
      <c r="F208" s="29" t="s">
        <v>1076</v>
      </c>
      <c r="G208" s="29" t="s">
        <v>1087</v>
      </c>
      <c r="H208" s="29" t="s">
        <v>1078</v>
      </c>
      <c r="I208" s="29" t="s">
        <v>301</v>
      </c>
      <c r="J208" s="29" t="s">
        <v>201</v>
      </c>
      <c r="K208" s="30" t="s">
        <v>44</v>
      </c>
      <c r="L208" s="31"/>
      <c r="M208" s="29"/>
    </row>
    <row r="209" customFormat="false" ht="89.25" hidden="false" customHeight="true" outlineLevel="0" collapsed="false">
      <c r="B209" s="29" t="s">
        <v>1088</v>
      </c>
      <c r="C209" s="29" t="s">
        <v>281</v>
      </c>
      <c r="D209" s="29" t="s">
        <v>1089</v>
      </c>
      <c r="E209" s="29" t="s">
        <v>356</v>
      </c>
      <c r="F209" s="29" t="s">
        <v>1090</v>
      </c>
      <c r="G209" s="29" t="s">
        <v>1091</v>
      </c>
      <c r="H209" s="29" t="s">
        <v>1092</v>
      </c>
      <c r="I209" s="29" t="s">
        <v>301</v>
      </c>
      <c r="J209" s="29" t="s">
        <v>201</v>
      </c>
      <c r="K209" s="30" t="s">
        <v>44</v>
      </c>
      <c r="L209" s="31"/>
      <c r="M209" s="29"/>
    </row>
    <row r="210" customFormat="false" ht="63.75" hidden="false" customHeight="true" outlineLevel="0" collapsed="false">
      <c r="B210" s="29" t="s">
        <v>1093</v>
      </c>
      <c r="C210" s="29" t="s">
        <v>281</v>
      </c>
      <c r="D210" s="29" t="s">
        <v>1094</v>
      </c>
      <c r="E210" s="29" t="s">
        <v>356</v>
      </c>
      <c r="F210" s="29" t="s">
        <v>1076</v>
      </c>
      <c r="G210" s="29" t="s">
        <v>1095</v>
      </c>
      <c r="H210" s="29" t="s">
        <v>1078</v>
      </c>
      <c r="I210" s="29" t="s">
        <v>301</v>
      </c>
      <c r="J210" s="29" t="s">
        <v>201</v>
      </c>
      <c r="K210" s="30" t="s">
        <v>44</v>
      </c>
      <c r="L210" s="31"/>
      <c r="M210" s="29"/>
    </row>
    <row r="211" customFormat="false" ht="140.25" hidden="false" customHeight="true" outlineLevel="0" collapsed="false">
      <c r="B211" s="29" t="s">
        <v>1096</v>
      </c>
      <c r="C211" s="29" t="s">
        <v>281</v>
      </c>
      <c r="D211" s="29" t="s">
        <v>1097</v>
      </c>
      <c r="E211" s="29" t="s">
        <v>205</v>
      </c>
      <c r="F211" s="29" t="s">
        <v>1098</v>
      </c>
      <c r="G211" s="29" t="s">
        <v>1099</v>
      </c>
      <c r="H211" s="29" t="s">
        <v>1100</v>
      </c>
      <c r="I211" s="29" t="s">
        <v>301</v>
      </c>
      <c r="J211" s="29" t="s">
        <v>201</v>
      </c>
      <c r="K211" s="30" t="s">
        <v>44</v>
      </c>
      <c r="L211" s="31"/>
      <c r="M211" s="29"/>
    </row>
    <row r="212" customFormat="false" ht="38.25" hidden="false" customHeight="true" outlineLevel="0" collapsed="false">
      <c r="B212" s="29" t="s">
        <v>1101</v>
      </c>
      <c r="C212" s="29" t="s">
        <v>281</v>
      </c>
      <c r="D212" s="29" t="s">
        <v>1102</v>
      </c>
      <c r="E212" s="29" t="s">
        <v>185</v>
      </c>
      <c r="F212" s="29" t="s">
        <v>1103</v>
      </c>
      <c r="G212" s="29" t="s">
        <v>1104</v>
      </c>
      <c r="H212" s="29" t="s">
        <v>1105</v>
      </c>
      <c r="I212" s="29" t="s">
        <v>335</v>
      </c>
      <c r="J212" s="29" t="s">
        <v>336</v>
      </c>
      <c r="K212" s="30" t="s">
        <v>44</v>
      </c>
      <c r="L212" s="31"/>
      <c r="M212" s="29"/>
    </row>
    <row r="213" customFormat="false" ht="76.5" hidden="false" customHeight="true" outlineLevel="0" collapsed="false">
      <c r="B213" s="29" t="s">
        <v>1106</v>
      </c>
      <c r="C213" s="29" t="s">
        <v>281</v>
      </c>
      <c r="D213" s="29" t="s">
        <v>1107</v>
      </c>
      <c r="E213" s="29" t="s">
        <v>356</v>
      </c>
      <c r="F213" s="29" t="s">
        <v>1108</v>
      </c>
      <c r="G213" s="29" t="s">
        <v>1109</v>
      </c>
      <c r="H213" s="29" t="s">
        <v>1110</v>
      </c>
      <c r="I213" s="29" t="s">
        <v>301</v>
      </c>
      <c r="J213" s="29" t="s">
        <v>201</v>
      </c>
      <c r="K213" s="30" t="s">
        <v>44</v>
      </c>
      <c r="L213" s="31"/>
      <c r="M213" s="29"/>
    </row>
    <row r="214" customFormat="false" ht="127.5" hidden="false" customHeight="true" outlineLevel="0" collapsed="false">
      <c r="B214" s="29" t="s">
        <v>1111</v>
      </c>
      <c r="C214" s="29" t="s">
        <v>281</v>
      </c>
      <c r="D214" s="29" t="s">
        <v>1112</v>
      </c>
      <c r="E214" s="29" t="s">
        <v>356</v>
      </c>
      <c r="F214" s="29" t="s">
        <v>1113</v>
      </c>
      <c r="G214" s="29" t="s">
        <v>1114</v>
      </c>
      <c r="H214" s="29" t="s">
        <v>1115</v>
      </c>
      <c r="I214" s="29" t="s">
        <v>301</v>
      </c>
      <c r="J214" s="29" t="s">
        <v>201</v>
      </c>
      <c r="K214" s="30" t="s">
        <v>44</v>
      </c>
      <c r="L214" s="31"/>
      <c r="M214" s="29"/>
    </row>
    <row r="215" customFormat="false" ht="38.25" hidden="false" customHeight="true" outlineLevel="0" collapsed="false">
      <c r="B215" s="29" t="s">
        <v>1116</v>
      </c>
      <c r="C215" s="29" t="s">
        <v>281</v>
      </c>
      <c r="D215" s="29" t="s">
        <v>1117</v>
      </c>
      <c r="E215" s="29" t="s">
        <v>326</v>
      </c>
      <c r="F215" s="29" t="s">
        <v>1118</v>
      </c>
      <c r="G215" s="29" t="s">
        <v>1119</v>
      </c>
      <c r="H215" s="29" t="s">
        <v>1120</v>
      </c>
      <c r="I215" s="29" t="s">
        <v>301</v>
      </c>
      <c r="J215" s="29" t="s">
        <v>201</v>
      </c>
      <c r="K215" s="30" t="s">
        <v>44</v>
      </c>
      <c r="L215" s="31"/>
      <c r="M215" s="29"/>
    </row>
    <row r="216" customFormat="false" ht="318.75" hidden="false" customHeight="true" outlineLevel="0" collapsed="false">
      <c r="B216" s="29" t="s">
        <v>1121</v>
      </c>
      <c r="C216" s="29" t="s">
        <v>281</v>
      </c>
      <c r="D216" s="29" t="s">
        <v>1122</v>
      </c>
      <c r="E216" s="29" t="s">
        <v>350</v>
      </c>
      <c r="F216" s="29" t="s">
        <v>1123</v>
      </c>
      <c r="G216" s="29" t="s">
        <v>1124</v>
      </c>
      <c r="H216" s="29" t="s">
        <v>1125</v>
      </c>
      <c r="I216" s="29" t="s">
        <v>301</v>
      </c>
      <c r="J216" s="29" t="s">
        <v>201</v>
      </c>
      <c r="K216" s="30" t="s">
        <v>44</v>
      </c>
      <c r="L216" s="31"/>
      <c r="M216" s="29"/>
    </row>
    <row r="217" customFormat="false" ht="114.75" hidden="false" customHeight="true" outlineLevel="0" collapsed="false">
      <c r="B217" s="29" t="s">
        <v>1126</v>
      </c>
      <c r="C217" s="29" t="s">
        <v>281</v>
      </c>
      <c r="D217" s="29" t="s">
        <v>1127</v>
      </c>
      <c r="E217" s="29" t="s">
        <v>356</v>
      </c>
      <c r="F217" s="29" t="s">
        <v>1128</v>
      </c>
      <c r="G217" s="29" t="s">
        <v>1129</v>
      </c>
      <c r="H217" s="29" t="s">
        <v>1130</v>
      </c>
      <c r="I217" s="29" t="s">
        <v>153</v>
      </c>
      <c r="J217" s="29" t="s">
        <v>154</v>
      </c>
      <c r="K217" s="30" t="s">
        <v>44</v>
      </c>
      <c r="L217" s="31"/>
      <c r="M217" s="29"/>
    </row>
    <row r="218" customFormat="false" ht="63.75" hidden="false" customHeight="true" outlineLevel="0" collapsed="false">
      <c r="B218" s="29" t="s">
        <v>1131</v>
      </c>
      <c r="C218" s="29" t="s">
        <v>281</v>
      </c>
      <c r="D218" s="29" t="s">
        <v>1132</v>
      </c>
      <c r="E218" s="29" t="s">
        <v>350</v>
      </c>
      <c r="F218" s="29" t="s">
        <v>1133</v>
      </c>
      <c r="G218" s="29" t="s">
        <v>1134</v>
      </c>
      <c r="H218" s="29" t="s">
        <v>1135</v>
      </c>
      <c r="I218" s="29" t="s">
        <v>301</v>
      </c>
      <c r="J218" s="29" t="s">
        <v>201</v>
      </c>
      <c r="K218" s="30" t="s">
        <v>44</v>
      </c>
      <c r="L218" s="31"/>
      <c r="M218" s="29"/>
    </row>
    <row r="219" customFormat="false" ht="89.25" hidden="false" customHeight="true" outlineLevel="0" collapsed="false">
      <c r="B219" s="29" t="s">
        <v>1136</v>
      </c>
      <c r="C219" s="29" t="s">
        <v>281</v>
      </c>
      <c r="D219" s="29" t="s">
        <v>1137</v>
      </c>
      <c r="E219" s="29" t="s">
        <v>595</v>
      </c>
      <c r="F219" s="29" t="s">
        <v>1138</v>
      </c>
      <c r="G219" s="29" t="s">
        <v>1139</v>
      </c>
      <c r="H219" s="29" t="s">
        <v>1140</v>
      </c>
      <c r="I219" s="29" t="s">
        <v>153</v>
      </c>
      <c r="J219" s="29" t="s">
        <v>154</v>
      </c>
      <c r="K219" s="30" t="s">
        <v>44</v>
      </c>
      <c r="L219" s="31"/>
      <c r="M219" s="29"/>
    </row>
    <row r="220" customFormat="false" ht="76.5" hidden="false" customHeight="true" outlineLevel="0" collapsed="false">
      <c r="B220" s="29" t="s">
        <v>1141</v>
      </c>
      <c r="C220" s="29" t="s">
        <v>281</v>
      </c>
      <c r="D220" s="29" t="s">
        <v>1142</v>
      </c>
      <c r="E220" s="29" t="s">
        <v>339</v>
      </c>
      <c r="F220" s="29" t="s">
        <v>1143</v>
      </c>
      <c r="G220" s="29" t="s">
        <v>1144</v>
      </c>
      <c r="H220" s="29" t="s">
        <v>1145</v>
      </c>
      <c r="I220" s="29" t="s">
        <v>301</v>
      </c>
      <c r="J220" s="29" t="s">
        <v>201</v>
      </c>
      <c r="K220" s="30" t="s">
        <v>44</v>
      </c>
      <c r="L220" s="31"/>
      <c r="M220" s="29"/>
    </row>
    <row r="221" customFormat="false" ht="140.25" hidden="false" customHeight="true" outlineLevel="0" collapsed="false">
      <c r="B221" s="29" t="s">
        <v>1146</v>
      </c>
      <c r="C221" s="29" t="s">
        <v>281</v>
      </c>
      <c r="D221" s="29" t="s">
        <v>1147</v>
      </c>
      <c r="E221" s="29" t="s">
        <v>205</v>
      </c>
      <c r="F221" s="29" t="s">
        <v>1148</v>
      </c>
      <c r="G221" s="29" t="s">
        <v>1149</v>
      </c>
      <c r="H221" s="29" t="s">
        <v>1150</v>
      </c>
      <c r="I221" s="29" t="s">
        <v>301</v>
      </c>
      <c r="J221" s="29" t="s">
        <v>201</v>
      </c>
      <c r="K221" s="30" t="s">
        <v>44</v>
      </c>
      <c r="L221" s="31"/>
      <c r="M221" s="29"/>
    </row>
    <row r="222" customFormat="false" ht="63.75" hidden="false" customHeight="true" outlineLevel="0" collapsed="false">
      <c r="B222" s="29" t="s">
        <v>1151</v>
      </c>
      <c r="C222" s="29" t="s">
        <v>281</v>
      </c>
      <c r="D222" s="29" t="s">
        <v>1152</v>
      </c>
      <c r="E222" s="29" t="s">
        <v>326</v>
      </c>
      <c r="F222" s="29" t="s">
        <v>1153</v>
      </c>
      <c r="G222" s="29" t="s">
        <v>1154</v>
      </c>
      <c r="H222" s="29" t="s">
        <v>1155</v>
      </c>
      <c r="I222" s="29" t="s">
        <v>301</v>
      </c>
      <c r="J222" s="29" t="s">
        <v>201</v>
      </c>
      <c r="K222" s="30" t="s">
        <v>44</v>
      </c>
      <c r="L222" s="31"/>
      <c r="M222" s="29"/>
    </row>
    <row r="223" customFormat="false" ht="229.5" hidden="false" customHeight="true" outlineLevel="0" collapsed="false">
      <c r="B223" s="29" t="s">
        <v>1156</v>
      </c>
      <c r="C223" s="29" t="s">
        <v>281</v>
      </c>
      <c r="D223" s="29" t="s">
        <v>1157</v>
      </c>
      <c r="E223" s="29" t="s">
        <v>350</v>
      </c>
      <c r="F223" s="29" t="s">
        <v>1158</v>
      </c>
      <c r="G223" s="29" t="s">
        <v>1159</v>
      </c>
      <c r="H223" s="29" t="s">
        <v>1160</v>
      </c>
      <c r="I223" s="29" t="s">
        <v>301</v>
      </c>
      <c r="J223" s="29" t="s">
        <v>201</v>
      </c>
      <c r="K223" s="30" t="s">
        <v>44</v>
      </c>
      <c r="L223" s="31"/>
      <c r="M223" s="29"/>
    </row>
    <row r="224" customFormat="false" ht="153" hidden="false" customHeight="true" outlineLevel="0" collapsed="false">
      <c r="B224" s="29" t="s">
        <v>1161</v>
      </c>
      <c r="C224" s="29" t="s">
        <v>281</v>
      </c>
      <c r="D224" s="29" t="s">
        <v>1162</v>
      </c>
      <c r="E224" s="29" t="s">
        <v>356</v>
      </c>
      <c r="F224" s="29" t="s">
        <v>1163</v>
      </c>
      <c r="G224" s="29" t="s">
        <v>1164</v>
      </c>
      <c r="H224" s="29" t="s">
        <v>1165</v>
      </c>
      <c r="I224" s="29" t="s">
        <v>301</v>
      </c>
      <c r="J224" s="29" t="s">
        <v>201</v>
      </c>
      <c r="K224" s="30" t="s">
        <v>44</v>
      </c>
      <c r="L224" s="31"/>
      <c r="M224" s="29"/>
    </row>
    <row r="225" customFormat="false" ht="102" hidden="false" customHeight="true" outlineLevel="0" collapsed="false">
      <c r="B225" s="29" t="s">
        <v>1166</v>
      </c>
      <c r="C225" s="29" t="s">
        <v>281</v>
      </c>
      <c r="D225" s="29" t="s">
        <v>1167</v>
      </c>
      <c r="E225" s="29" t="s">
        <v>356</v>
      </c>
      <c r="F225" s="29" t="s">
        <v>1168</v>
      </c>
      <c r="G225" s="29" t="s">
        <v>1169</v>
      </c>
      <c r="H225" s="29" t="s">
        <v>1170</v>
      </c>
      <c r="I225" s="29" t="s">
        <v>301</v>
      </c>
      <c r="J225" s="29" t="s">
        <v>201</v>
      </c>
      <c r="K225" s="30" t="s">
        <v>44</v>
      </c>
      <c r="L225" s="31"/>
      <c r="M225" s="29"/>
    </row>
    <row r="226" customFormat="false" ht="114.75" hidden="false" customHeight="true" outlineLevel="0" collapsed="false">
      <c r="B226" s="29" t="s">
        <v>1171</v>
      </c>
      <c r="C226" s="29" t="s">
        <v>281</v>
      </c>
      <c r="D226" s="29" t="s">
        <v>1172</v>
      </c>
      <c r="E226" s="29" t="s">
        <v>339</v>
      </c>
      <c r="F226" s="29" t="s">
        <v>1173</v>
      </c>
      <c r="G226" s="29" t="s">
        <v>1174</v>
      </c>
      <c r="H226" s="29" t="s">
        <v>1175</v>
      </c>
      <c r="I226" s="29" t="s">
        <v>301</v>
      </c>
      <c r="J226" s="29" t="s">
        <v>201</v>
      </c>
      <c r="K226" s="30" t="s">
        <v>44</v>
      </c>
      <c r="L226" s="31"/>
      <c r="M226" s="29"/>
    </row>
    <row r="227" customFormat="false" ht="63.75" hidden="false" customHeight="true" outlineLevel="0" collapsed="false">
      <c r="B227" s="29" t="s">
        <v>1176</v>
      </c>
      <c r="C227" s="29" t="s">
        <v>281</v>
      </c>
      <c r="D227" s="29" t="s">
        <v>1177</v>
      </c>
      <c r="E227" s="29" t="s">
        <v>185</v>
      </c>
      <c r="F227" s="29" t="s">
        <v>1178</v>
      </c>
      <c r="G227" s="29" t="s">
        <v>1179</v>
      </c>
      <c r="H227" s="29" t="s">
        <v>1180</v>
      </c>
      <c r="I227" s="29" t="s">
        <v>285</v>
      </c>
      <c r="J227" s="29" t="s">
        <v>189</v>
      </c>
      <c r="K227" s="30" t="s">
        <v>44</v>
      </c>
      <c r="L227" s="31"/>
      <c r="M227" s="29"/>
    </row>
    <row r="228" customFormat="false" ht="191.25" hidden="false" customHeight="true" outlineLevel="0" collapsed="false">
      <c r="B228" s="29" t="s">
        <v>1181</v>
      </c>
      <c r="C228" s="29" t="s">
        <v>281</v>
      </c>
      <c r="D228" s="29" t="s">
        <v>1182</v>
      </c>
      <c r="E228" s="29" t="s">
        <v>350</v>
      </c>
      <c r="F228" s="29" t="s">
        <v>1183</v>
      </c>
      <c r="G228" s="29" t="s">
        <v>1184</v>
      </c>
      <c r="H228" s="29" t="s">
        <v>1185</v>
      </c>
      <c r="I228" s="29" t="s">
        <v>467</v>
      </c>
      <c r="J228" s="29" t="s">
        <v>467</v>
      </c>
      <c r="K228" s="30" t="s">
        <v>44</v>
      </c>
      <c r="L228" s="31"/>
      <c r="M228" s="29"/>
    </row>
    <row r="229" customFormat="false" ht="63.75" hidden="false" customHeight="true" outlineLevel="0" collapsed="false">
      <c r="B229" s="29" t="s">
        <v>1186</v>
      </c>
      <c r="C229" s="29" t="s">
        <v>281</v>
      </c>
      <c r="D229" s="29" t="s">
        <v>1187</v>
      </c>
      <c r="E229" s="29" t="s">
        <v>356</v>
      </c>
      <c r="F229" s="29" t="s">
        <v>1188</v>
      </c>
      <c r="G229" s="29" t="s">
        <v>1189</v>
      </c>
      <c r="H229" s="29" t="s">
        <v>1190</v>
      </c>
      <c r="I229" s="29" t="s">
        <v>301</v>
      </c>
      <c r="J229" s="29" t="s">
        <v>201</v>
      </c>
      <c r="K229" s="30" t="s">
        <v>44</v>
      </c>
      <c r="L229" s="31"/>
      <c r="M229" s="29"/>
    </row>
    <row r="230" customFormat="false" ht="63.75" hidden="false" customHeight="true" outlineLevel="0" collapsed="false">
      <c r="B230" s="29" t="s">
        <v>1191</v>
      </c>
      <c r="C230" s="29" t="s">
        <v>281</v>
      </c>
      <c r="D230" s="29" t="s">
        <v>1192</v>
      </c>
      <c r="E230" s="29" t="s">
        <v>339</v>
      </c>
      <c r="F230" s="29" t="s">
        <v>1193</v>
      </c>
      <c r="G230" s="29" t="s">
        <v>1194</v>
      </c>
      <c r="H230" s="29" t="s">
        <v>1195</v>
      </c>
      <c r="I230" s="29" t="s">
        <v>301</v>
      </c>
      <c r="J230" s="29" t="s">
        <v>201</v>
      </c>
      <c r="K230" s="30" t="s">
        <v>44</v>
      </c>
      <c r="L230" s="31"/>
      <c r="M230" s="29"/>
    </row>
    <row r="231" customFormat="false" ht="38.25" hidden="false" customHeight="true" outlineLevel="0" collapsed="false">
      <c r="B231" s="29" t="s">
        <v>1196</v>
      </c>
      <c r="C231" s="29" t="s">
        <v>281</v>
      </c>
      <c r="D231" s="29" t="s">
        <v>1197</v>
      </c>
      <c r="E231" s="29" t="s">
        <v>326</v>
      </c>
      <c r="F231" s="29" t="s">
        <v>1198</v>
      </c>
      <c r="G231" s="29" t="s">
        <v>1199</v>
      </c>
      <c r="H231" s="29" t="s">
        <v>1200</v>
      </c>
      <c r="I231" s="29" t="s">
        <v>301</v>
      </c>
      <c r="J231" s="29" t="s">
        <v>201</v>
      </c>
      <c r="K231" s="30" t="s">
        <v>44</v>
      </c>
      <c r="L231" s="31"/>
      <c r="M231" s="29"/>
    </row>
    <row r="232" customFormat="false" ht="76.5" hidden="false" customHeight="true" outlineLevel="0" collapsed="false">
      <c r="B232" s="29" t="s">
        <v>1201</v>
      </c>
      <c r="C232" s="29" t="s">
        <v>281</v>
      </c>
      <c r="D232" s="29" t="s">
        <v>1202</v>
      </c>
      <c r="E232" s="29" t="s">
        <v>595</v>
      </c>
      <c r="F232" s="29" t="s">
        <v>1203</v>
      </c>
      <c r="G232" s="29" t="s">
        <v>1204</v>
      </c>
      <c r="H232" s="29" t="s">
        <v>1205</v>
      </c>
      <c r="I232" s="29" t="s">
        <v>467</v>
      </c>
      <c r="J232" s="29" t="s">
        <v>467</v>
      </c>
      <c r="K232" s="30" t="s">
        <v>44</v>
      </c>
      <c r="L232" s="31"/>
      <c r="M232" s="29"/>
    </row>
    <row r="233" customFormat="false" ht="76.5" hidden="false" customHeight="true" outlineLevel="0" collapsed="false">
      <c r="B233" s="29" t="s">
        <v>1206</v>
      </c>
      <c r="C233" s="29" t="s">
        <v>281</v>
      </c>
      <c r="D233" s="29" t="s">
        <v>1207</v>
      </c>
      <c r="E233" s="29" t="s">
        <v>595</v>
      </c>
      <c r="F233" s="29" t="s">
        <v>1208</v>
      </c>
      <c r="G233" s="29" t="s">
        <v>1209</v>
      </c>
      <c r="H233" s="29" t="s">
        <v>1210</v>
      </c>
      <c r="I233" s="29" t="s">
        <v>467</v>
      </c>
      <c r="J233" s="29" t="s">
        <v>467</v>
      </c>
      <c r="K233" s="30" t="s">
        <v>44</v>
      </c>
      <c r="L233" s="31"/>
      <c r="M233" s="29"/>
    </row>
    <row r="234" customFormat="false" ht="140.25" hidden="false" customHeight="true" outlineLevel="0" collapsed="false">
      <c r="B234" s="29" t="s">
        <v>1211</v>
      </c>
      <c r="C234" s="29" t="s">
        <v>281</v>
      </c>
      <c r="D234" s="29" t="s">
        <v>1212</v>
      </c>
      <c r="E234" s="29" t="s">
        <v>595</v>
      </c>
      <c r="F234" s="29" t="s">
        <v>1213</v>
      </c>
      <c r="G234" s="29" t="s">
        <v>1214</v>
      </c>
      <c r="H234" s="29" t="s">
        <v>1215</v>
      </c>
      <c r="I234" s="29" t="s">
        <v>153</v>
      </c>
      <c r="J234" s="29" t="s">
        <v>154</v>
      </c>
      <c r="K234" s="30" t="s">
        <v>44</v>
      </c>
      <c r="L234" s="31"/>
      <c r="M234" s="29"/>
    </row>
    <row r="235" customFormat="false" ht="89.25" hidden="false" customHeight="true" outlineLevel="0" collapsed="false">
      <c r="B235" s="29" t="s">
        <v>1216</v>
      </c>
      <c r="C235" s="29" t="s">
        <v>281</v>
      </c>
      <c r="D235" s="29" t="s">
        <v>1217</v>
      </c>
      <c r="E235" s="29" t="s">
        <v>339</v>
      </c>
      <c r="F235" s="29" t="s">
        <v>1218</v>
      </c>
      <c r="G235" s="29" t="s">
        <v>1219</v>
      </c>
      <c r="H235" s="29" t="s">
        <v>1220</v>
      </c>
      <c r="I235" s="29" t="s">
        <v>301</v>
      </c>
      <c r="J235" s="29" t="s">
        <v>201</v>
      </c>
      <c r="K235" s="30" t="s">
        <v>44</v>
      </c>
      <c r="L235" s="31"/>
      <c r="M235" s="29"/>
    </row>
    <row r="236" customFormat="false" ht="114.75" hidden="false" customHeight="true" outlineLevel="0" collapsed="false">
      <c r="B236" s="29" t="s">
        <v>1221</v>
      </c>
      <c r="C236" s="29" t="s">
        <v>281</v>
      </c>
      <c r="D236" s="29" t="s">
        <v>1222</v>
      </c>
      <c r="E236" s="29" t="s">
        <v>205</v>
      </c>
      <c r="F236" s="29" t="s">
        <v>1223</v>
      </c>
      <c r="G236" s="29" t="s">
        <v>1224</v>
      </c>
      <c r="H236" s="29" t="s">
        <v>1225</v>
      </c>
      <c r="I236" s="29" t="s">
        <v>301</v>
      </c>
      <c r="J236" s="29" t="s">
        <v>201</v>
      </c>
      <c r="K236" s="30" t="s">
        <v>44</v>
      </c>
      <c r="L236" s="31"/>
      <c r="M236" s="29"/>
    </row>
    <row r="237" customFormat="false" ht="51" hidden="false" customHeight="true" outlineLevel="0" collapsed="false">
      <c r="B237" s="29" t="s">
        <v>1226</v>
      </c>
      <c r="C237" s="29" t="s">
        <v>281</v>
      </c>
      <c r="D237" s="29" t="s">
        <v>1227</v>
      </c>
      <c r="E237" s="29" t="s">
        <v>76</v>
      </c>
      <c r="F237" s="29" t="s">
        <v>1228</v>
      </c>
      <c r="G237" s="29" t="s">
        <v>1229</v>
      </c>
      <c r="H237" s="29" t="s">
        <v>1230</v>
      </c>
      <c r="I237" s="29" t="s">
        <v>1231</v>
      </c>
      <c r="J237" s="29" t="s">
        <v>1232</v>
      </c>
      <c r="K237" s="30" t="s">
        <v>44</v>
      </c>
      <c r="L237" s="31"/>
      <c r="M237" s="29"/>
    </row>
    <row r="238" customFormat="false" ht="89.25" hidden="false" customHeight="true" outlineLevel="0" collapsed="false">
      <c r="B238" s="29" t="s">
        <v>1233</v>
      </c>
      <c r="C238" s="29" t="s">
        <v>281</v>
      </c>
      <c r="D238" s="29" t="s">
        <v>1234</v>
      </c>
      <c r="E238" s="29" t="s">
        <v>356</v>
      </c>
      <c r="F238" s="29" t="s">
        <v>1235</v>
      </c>
      <c r="G238" s="29" t="s">
        <v>1236</v>
      </c>
      <c r="H238" s="29" t="s">
        <v>1237</v>
      </c>
      <c r="I238" s="29" t="s">
        <v>301</v>
      </c>
      <c r="J238" s="29" t="s">
        <v>201</v>
      </c>
      <c r="K238" s="30" t="s">
        <v>44</v>
      </c>
      <c r="L238" s="31"/>
      <c r="M238" s="29"/>
    </row>
    <row r="239" customFormat="false" ht="63.75" hidden="false" customHeight="true" outlineLevel="0" collapsed="false">
      <c r="B239" s="29" t="s">
        <v>1238</v>
      </c>
      <c r="C239" s="29" t="s">
        <v>281</v>
      </c>
      <c r="D239" s="29" t="s">
        <v>1239</v>
      </c>
      <c r="E239" s="29" t="s">
        <v>356</v>
      </c>
      <c r="F239" s="29" t="s">
        <v>1240</v>
      </c>
      <c r="G239" s="29" t="s">
        <v>1241</v>
      </c>
      <c r="H239" s="29" t="s">
        <v>1242</v>
      </c>
      <c r="I239" s="29" t="s">
        <v>301</v>
      </c>
      <c r="J239" s="29" t="s">
        <v>201</v>
      </c>
      <c r="K239" s="30" t="s">
        <v>44</v>
      </c>
      <c r="L239" s="31"/>
      <c r="M239" s="29"/>
    </row>
    <row r="240" customFormat="false" ht="102" hidden="false" customHeight="true" outlineLevel="0" collapsed="false">
      <c r="B240" s="29" t="s">
        <v>1243</v>
      </c>
      <c r="C240" s="29" t="s">
        <v>281</v>
      </c>
      <c r="D240" s="29" t="s">
        <v>1244</v>
      </c>
      <c r="E240" s="29" t="s">
        <v>595</v>
      </c>
      <c r="F240" s="29" t="s">
        <v>1245</v>
      </c>
      <c r="G240" s="29" t="s">
        <v>1246</v>
      </c>
      <c r="H240" s="29" t="s">
        <v>1247</v>
      </c>
      <c r="I240" s="29" t="s">
        <v>153</v>
      </c>
      <c r="J240" s="29" t="s">
        <v>154</v>
      </c>
      <c r="K240" s="30" t="s">
        <v>44</v>
      </c>
      <c r="L240" s="31"/>
      <c r="M240" s="29"/>
    </row>
    <row r="241" customFormat="false" ht="127.5" hidden="false" customHeight="true" outlineLevel="0" collapsed="false">
      <c r="B241" s="29" t="s">
        <v>1248</v>
      </c>
      <c r="C241" s="29" t="s">
        <v>281</v>
      </c>
      <c r="D241" s="29" t="s">
        <v>1249</v>
      </c>
      <c r="E241" s="29" t="s">
        <v>205</v>
      </c>
      <c r="F241" s="29" t="s">
        <v>1250</v>
      </c>
      <c r="G241" s="29" t="s">
        <v>1251</v>
      </c>
      <c r="H241" s="29" t="s">
        <v>1252</v>
      </c>
      <c r="I241" s="29" t="s">
        <v>153</v>
      </c>
      <c r="J241" s="29" t="s">
        <v>154</v>
      </c>
      <c r="K241" s="30" t="s">
        <v>44</v>
      </c>
      <c r="L241" s="31"/>
      <c r="M241" s="29"/>
    </row>
    <row r="242" customFormat="false" ht="229.5" hidden="false" customHeight="true" outlineLevel="0" collapsed="false">
      <c r="B242" s="29" t="s">
        <v>1253</v>
      </c>
      <c r="C242" s="29" t="s">
        <v>281</v>
      </c>
      <c r="D242" s="29" t="s">
        <v>1254</v>
      </c>
      <c r="E242" s="29" t="s">
        <v>39</v>
      </c>
      <c r="F242" s="29" t="s">
        <v>1255</v>
      </c>
      <c r="G242" s="29" t="s">
        <v>1256</v>
      </c>
      <c r="H242" s="29" t="s">
        <v>1257</v>
      </c>
      <c r="I242" s="29" t="s">
        <v>42</v>
      </c>
      <c r="J242" s="29" t="s">
        <v>43</v>
      </c>
      <c r="K242" s="30" t="s">
        <v>44</v>
      </c>
      <c r="L242" s="31"/>
      <c r="M242" s="29"/>
    </row>
    <row r="243" customFormat="false" ht="76.5" hidden="false" customHeight="true" outlineLevel="0" collapsed="false">
      <c r="B243" s="29" t="s">
        <v>1258</v>
      </c>
      <c r="C243" s="29" t="s">
        <v>281</v>
      </c>
      <c r="D243" s="29" t="s">
        <v>1259</v>
      </c>
      <c r="E243" s="29" t="s">
        <v>356</v>
      </c>
      <c r="F243" s="29" t="s">
        <v>1260</v>
      </c>
      <c r="G243" s="29" t="s">
        <v>1261</v>
      </c>
      <c r="H243" s="29" t="s">
        <v>1262</v>
      </c>
      <c r="I243" s="29" t="s">
        <v>301</v>
      </c>
      <c r="J243" s="29" t="s">
        <v>201</v>
      </c>
      <c r="K243" s="30" t="s">
        <v>44</v>
      </c>
      <c r="L243" s="31"/>
      <c r="M243" s="29"/>
    </row>
    <row r="244" customFormat="false" ht="89.25" hidden="false" customHeight="true" outlineLevel="0" collapsed="false">
      <c r="B244" s="29" t="s">
        <v>1263</v>
      </c>
      <c r="C244" s="29" t="s">
        <v>281</v>
      </c>
      <c r="D244" s="29" t="s">
        <v>1264</v>
      </c>
      <c r="E244" s="29" t="s">
        <v>39</v>
      </c>
      <c r="F244" s="29" t="s">
        <v>1265</v>
      </c>
      <c r="G244" s="29" t="s">
        <v>1266</v>
      </c>
      <c r="H244" s="29" t="s">
        <v>1267</v>
      </c>
      <c r="I244" s="29" t="s">
        <v>455</v>
      </c>
      <c r="J244" s="29" t="s">
        <v>754</v>
      </c>
      <c r="K244" s="30" t="s">
        <v>44</v>
      </c>
      <c r="L244" s="31"/>
      <c r="M244" s="29"/>
    </row>
    <row r="245" customFormat="false" ht="51" hidden="false" customHeight="true" outlineLevel="0" collapsed="false">
      <c r="B245" s="29" t="s">
        <v>1268</v>
      </c>
      <c r="C245" s="29" t="s">
        <v>281</v>
      </c>
      <c r="D245" s="29" t="s">
        <v>1269</v>
      </c>
      <c r="E245" s="29" t="s">
        <v>356</v>
      </c>
      <c r="F245" s="29" t="s">
        <v>1270</v>
      </c>
      <c r="G245" s="29" t="s">
        <v>1271</v>
      </c>
      <c r="H245" s="29" t="s">
        <v>1272</v>
      </c>
      <c r="I245" s="29" t="s">
        <v>301</v>
      </c>
      <c r="J245" s="29" t="s">
        <v>201</v>
      </c>
      <c r="K245" s="30" t="s">
        <v>44</v>
      </c>
      <c r="L245" s="31"/>
      <c r="M245" s="29"/>
    </row>
    <row r="246" customFormat="false" ht="114.75" hidden="false" customHeight="true" outlineLevel="0" collapsed="false">
      <c r="B246" s="29" t="s">
        <v>1273</v>
      </c>
      <c r="C246" s="29" t="s">
        <v>281</v>
      </c>
      <c r="D246" s="29" t="s">
        <v>1274</v>
      </c>
      <c r="E246" s="29" t="s">
        <v>356</v>
      </c>
      <c r="F246" s="29" t="s">
        <v>1275</v>
      </c>
      <c r="G246" s="29" t="s">
        <v>1276</v>
      </c>
      <c r="H246" s="29" t="s">
        <v>1277</v>
      </c>
      <c r="I246" s="29" t="s">
        <v>301</v>
      </c>
      <c r="J246" s="29" t="s">
        <v>201</v>
      </c>
      <c r="K246" s="30" t="s">
        <v>44</v>
      </c>
      <c r="L246" s="31"/>
      <c r="M246" s="29"/>
    </row>
    <row r="247" customFormat="false" ht="63.75" hidden="false" customHeight="true" outlineLevel="0" collapsed="false">
      <c r="B247" s="29" t="s">
        <v>1278</v>
      </c>
      <c r="C247" s="29" t="s">
        <v>281</v>
      </c>
      <c r="D247" s="29" t="s">
        <v>1279</v>
      </c>
      <c r="E247" s="29" t="s">
        <v>150</v>
      </c>
      <c r="F247" s="29" t="s">
        <v>1280</v>
      </c>
      <c r="G247" s="29" t="s">
        <v>1281</v>
      </c>
      <c r="H247" s="29" t="s">
        <v>1282</v>
      </c>
      <c r="I247" s="29" t="s">
        <v>42</v>
      </c>
      <c r="J247" s="29" t="s">
        <v>269</v>
      </c>
      <c r="K247" s="30" t="s">
        <v>44</v>
      </c>
      <c r="L247" s="31"/>
      <c r="M247" s="29"/>
    </row>
    <row r="248" customFormat="false" ht="51" hidden="false" customHeight="true" outlineLevel="0" collapsed="false">
      <c r="B248" s="29" t="s">
        <v>1283</v>
      </c>
      <c r="C248" s="29" t="s">
        <v>281</v>
      </c>
      <c r="D248" s="29" t="s">
        <v>1284</v>
      </c>
      <c r="E248" s="29" t="s">
        <v>89</v>
      </c>
      <c r="F248" s="29" t="s">
        <v>1285</v>
      </c>
      <c r="G248" s="29" t="s">
        <v>1286</v>
      </c>
      <c r="H248" s="29" t="s">
        <v>1287</v>
      </c>
      <c r="I248" s="29" t="s">
        <v>42</v>
      </c>
      <c r="J248" s="29" t="s">
        <v>260</v>
      </c>
      <c r="K248" s="30" t="s">
        <v>44</v>
      </c>
      <c r="L248" s="31"/>
      <c r="M248" s="29"/>
    </row>
    <row r="249" customFormat="false" ht="89.25" hidden="false" customHeight="true" outlineLevel="0" collapsed="false">
      <c r="B249" s="29" t="s">
        <v>1288</v>
      </c>
      <c r="C249" s="29" t="s">
        <v>281</v>
      </c>
      <c r="D249" s="29" t="s">
        <v>1289</v>
      </c>
      <c r="E249" s="29" t="s">
        <v>326</v>
      </c>
      <c r="F249" s="29" t="s">
        <v>1290</v>
      </c>
      <c r="G249" s="29" t="s">
        <v>1291</v>
      </c>
      <c r="H249" s="29" t="s">
        <v>1292</v>
      </c>
      <c r="I249" s="29" t="s">
        <v>301</v>
      </c>
      <c r="J249" s="29" t="s">
        <v>201</v>
      </c>
      <c r="K249" s="30" t="s">
        <v>44</v>
      </c>
      <c r="L249" s="31"/>
      <c r="M249" s="29"/>
    </row>
    <row r="250" customFormat="false" ht="76.5" hidden="false" customHeight="true" outlineLevel="0" collapsed="false">
      <c r="B250" s="29" t="s">
        <v>1293</v>
      </c>
      <c r="C250" s="29" t="s">
        <v>281</v>
      </c>
      <c r="D250" s="29" t="s">
        <v>1294</v>
      </c>
      <c r="E250" s="29" t="s">
        <v>595</v>
      </c>
      <c r="F250" s="29" t="s">
        <v>1295</v>
      </c>
      <c r="G250" s="29" t="s">
        <v>1296</v>
      </c>
      <c r="H250" s="29" t="s">
        <v>1297</v>
      </c>
      <c r="I250" s="29" t="s">
        <v>153</v>
      </c>
      <c r="J250" s="29" t="s">
        <v>154</v>
      </c>
      <c r="K250" s="30" t="s">
        <v>44</v>
      </c>
      <c r="L250" s="31"/>
      <c r="M250" s="29"/>
    </row>
    <row r="251" customFormat="false" ht="63.75" hidden="false" customHeight="true" outlineLevel="0" collapsed="false">
      <c r="B251" s="29" t="s">
        <v>1298</v>
      </c>
      <c r="C251" s="29" t="s">
        <v>281</v>
      </c>
      <c r="D251" s="29" t="s">
        <v>1299</v>
      </c>
      <c r="E251" s="29" t="s">
        <v>205</v>
      </c>
      <c r="F251" s="29" t="s">
        <v>1300</v>
      </c>
      <c r="G251" s="29" t="s">
        <v>1301</v>
      </c>
      <c r="H251" s="29" t="s">
        <v>1302</v>
      </c>
      <c r="I251" s="29" t="s">
        <v>301</v>
      </c>
      <c r="J251" s="29" t="s">
        <v>201</v>
      </c>
      <c r="K251" s="30" t="s">
        <v>44</v>
      </c>
      <c r="L251" s="31"/>
      <c r="M251" s="29"/>
    </row>
    <row r="252" customFormat="false" ht="114.75" hidden="false" customHeight="true" outlineLevel="0" collapsed="false">
      <c r="B252" s="29" t="s">
        <v>1303</v>
      </c>
      <c r="C252" s="29" t="s">
        <v>281</v>
      </c>
      <c r="D252" s="29" t="s">
        <v>1304</v>
      </c>
      <c r="E252" s="29" t="s">
        <v>350</v>
      </c>
      <c r="F252" s="29" t="s">
        <v>1305</v>
      </c>
      <c r="G252" s="29" t="s">
        <v>1306</v>
      </c>
      <c r="H252" s="29" t="s">
        <v>1307</v>
      </c>
      <c r="I252" s="29" t="s">
        <v>153</v>
      </c>
      <c r="J252" s="29" t="s">
        <v>154</v>
      </c>
      <c r="K252" s="30" t="s">
        <v>44</v>
      </c>
      <c r="L252" s="31"/>
      <c r="M252" s="29"/>
    </row>
    <row r="253" customFormat="false" ht="102" hidden="false" customHeight="true" outlineLevel="0" collapsed="false">
      <c r="B253" s="29" t="s">
        <v>1308</v>
      </c>
      <c r="C253" s="29" t="s">
        <v>281</v>
      </c>
      <c r="D253" s="29" t="s">
        <v>1309</v>
      </c>
      <c r="E253" s="29" t="s">
        <v>350</v>
      </c>
      <c r="F253" s="29" t="s">
        <v>1310</v>
      </c>
      <c r="G253" s="29" t="s">
        <v>1311</v>
      </c>
      <c r="H253" s="29" t="s">
        <v>1312</v>
      </c>
      <c r="I253" s="29" t="s">
        <v>301</v>
      </c>
      <c r="J253" s="29" t="s">
        <v>201</v>
      </c>
      <c r="K253" s="30" t="s">
        <v>44</v>
      </c>
      <c r="L253" s="31"/>
      <c r="M253" s="29"/>
    </row>
    <row r="254" customFormat="false" ht="51" hidden="false" customHeight="true" outlineLevel="0" collapsed="false">
      <c r="B254" s="29" t="s">
        <v>1313</v>
      </c>
      <c r="C254" s="29" t="s">
        <v>281</v>
      </c>
      <c r="D254" s="29" t="s">
        <v>1314</v>
      </c>
      <c r="E254" s="29" t="s">
        <v>356</v>
      </c>
      <c r="F254" s="29" t="s">
        <v>1315</v>
      </c>
      <c r="G254" s="29" t="s">
        <v>1316</v>
      </c>
      <c r="H254" s="29" t="s">
        <v>1317</v>
      </c>
      <c r="I254" s="29" t="s">
        <v>301</v>
      </c>
      <c r="J254" s="29" t="s">
        <v>201</v>
      </c>
      <c r="K254" s="30" t="s">
        <v>44</v>
      </c>
      <c r="L254" s="31"/>
      <c r="M254" s="29"/>
    </row>
    <row r="255" customFormat="false" ht="76.5" hidden="false" customHeight="true" outlineLevel="0" collapsed="false">
      <c r="B255" s="29" t="s">
        <v>1318</v>
      </c>
      <c r="C255" s="29" t="s">
        <v>281</v>
      </c>
      <c r="D255" s="29" t="s">
        <v>1319</v>
      </c>
      <c r="E255" s="29" t="s">
        <v>326</v>
      </c>
      <c r="F255" s="29" t="s">
        <v>1320</v>
      </c>
      <c r="G255" s="29" t="s">
        <v>1321</v>
      </c>
      <c r="H255" s="29" t="s">
        <v>1322</v>
      </c>
      <c r="I255" s="29" t="s">
        <v>301</v>
      </c>
      <c r="J255" s="29" t="s">
        <v>201</v>
      </c>
      <c r="K255" s="30" t="s">
        <v>44</v>
      </c>
      <c r="L255" s="31"/>
      <c r="M255" s="29"/>
    </row>
    <row r="256" customFormat="false" ht="165.75" hidden="false" customHeight="true" outlineLevel="0" collapsed="false">
      <c r="B256" s="29" t="s">
        <v>1323</v>
      </c>
      <c r="C256" s="29" t="s">
        <v>281</v>
      </c>
      <c r="D256" s="29" t="s">
        <v>1324</v>
      </c>
      <c r="E256" s="29" t="s">
        <v>89</v>
      </c>
      <c r="F256" s="29" t="s">
        <v>1325</v>
      </c>
      <c r="G256" s="29" t="s">
        <v>1326</v>
      </c>
      <c r="H256" s="29" t="s">
        <v>1327</v>
      </c>
      <c r="I256" s="29" t="s">
        <v>42</v>
      </c>
      <c r="J256" s="29" t="s">
        <v>260</v>
      </c>
      <c r="K256" s="30" t="s">
        <v>44</v>
      </c>
      <c r="L256" s="31"/>
      <c r="M256" s="29"/>
    </row>
    <row r="257" customFormat="false" ht="63.75" hidden="false" customHeight="true" outlineLevel="0" collapsed="false">
      <c r="B257" s="29" t="s">
        <v>1328</v>
      </c>
      <c r="C257" s="29" t="s">
        <v>281</v>
      </c>
      <c r="D257" s="29" t="s">
        <v>1329</v>
      </c>
      <c r="E257" s="29" t="s">
        <v>39</v>
      </c>
      <c r="F257" s="29" t="s">
        <v>1330</v>
      </c>
      <c r="G257" s="29" t="s">
        <v>1331</v>
      </c>
      <c r="H257" s="29" t="s">
        <v>1332</v>
      </c>
      <c r="I257" s="29" t="s">
        <v>93</v>
      </c>
      <c r="J257" s="29" t="s">
        <v>1333</v>
      </c>
      <c r="K257" s="30" t="s">
        <v>44</v>
      </c>
      <c r="L257" s="31"/>
      <c r="M257" s="29"/>
    </row>
    <row r="258" customFormat="false" ht="140.25" hidden="false" customHeight="true" outlineLevel="0" collapsed="false">
      <c r="B258" s="29" t="s">
        <v>1334</v>
      </c>
      <c r="C258" s="29" t="s">
        <v>281</v>
      </c>
      <c r="D258" s="29" t="s">
        <v>1335</v>
      </c>
      <c r="E258" s="29" t="s">
        <v>326</v>
      </c>
      <c r="F258" s="29" t="s">
        <v>1336</v>
      </c>
      <c r="G258" s="29" t="s">
        <v>1337</v>
      </c>
      <c r="H258" s="29" t="s">
        <v>1338</v>
      </c>
      <c r="I258" s="29" t="s">
        <v>301</v>
      </c>
      <c r="J258" s="29" t="s">
        <v>201</v>
      </c>
      <c r="K258" s="30" t="s">
        <v>44</v>
      </c>
      <c r="L258" s="31"/>
      <c r="M258" s="29"/>
    </row>
    <row r="259" customFormat="false" ht="102" hidden="false" customHeight="true" outlineLevel="0" collapsed="false">
      <c r="B259" s="29" t="s">
        <v>1339</v>
      </c>
      <c r="C259" s="29" t="s">
        <v>281</v>
      </c>
      <c r="D259" s="29" t="s">
        <v>1340</v>
      </c>
      <c r="E259" s="29" t="s">
        <v>339</v>
      </c>
      <c r="F259" s="29" t="s">
        <v>1341</v>
      </c>
      <c r="G259" s="29" t="s">
        <v>1342</v>
      </c>
      <c r="H259" s="29" t="s">
        <v>1343</v>
      </c>
      <c r="I259" s="29" t="s">
        <v>301</v>
      </c>
      <c r="J259" s="29" t="s">
        <v>201</v>
      </c>
      <c r="K259" s="30" t="s">
        <v>44</v>
      </c>
      <c r="L259" s="31"/>
      <c r="M259" s="29"/>
    </row>
    <row r="260" customFormat="false" ht="204" hidden="false" customHeight="true" outlineLevel="0" collapsed="false">
      <c r="B260" s="29" t="s">
        <v>1344</v>
      </c>
      <c r="C260" s="29" t="s">
        <v>281</v>
      </c>
      <c r="D260" s="29" t="s">
        <v>1345</v>
      </c>
      <c r="E260" s="29" t="s">
        <v>595</v>
      </c>
      <c r="F260" s="29" t="s">
        <v>1346</v>
      </c>
      <c r="G260" s="29" t="s">
        <v>1347</v>
      </c>
      <c r="H260" s="29" t="s">
        <v>1348</v>
      </c>
      <c r="I260" s="29" t="s">
        <v>153</v>
      </c>
      <c r="J260" s="29" t="s">
        <v>154</v>
      </c>
      <c r="K260" s="30" t="s">
        <v>44</v>
      </c>
      <c r="L260" s="31"/>
      <c r="M260" s="29"/>
    </row>
    <row r="261" customFormat="false" ht="140.25" hidden="false" customHeight="true" outlineLevel="0" collapsed="false">
      <c r="B261" s="29" t="s">
        <v>1349</v>
      </c>
      <c r="C261" s="29" t="s">
        <v>281</v>
      </c>
      <c r="D261" s="29" t="s">
        <v>1350</v>
      </c>
      <c r="E261" s="29" t="s">
        <v>595</v>
      </c>
      <c r="F261" s="29" t="s">
        <v>1351</v>
      </c>
      <c r="G261" s="29" t="s">
        <v>1352</v>
      </c>
      <c r="H261" s="29" t="s">
        <v>1353</v>
      </c>
      <c r="I261" s="29" t="s">
        <v>467</v>
      </c>
      <c r="J261" s="29" t="s">
        <v>467</v>
      </c>
      <c r="K261" s="30" t="s">
        <v>44</v>
      </c>
      <c r="L261" s="31"/>
      <c r="M261" s="29"/>
    </row>
    <row r="262" customFormat="false" ht="318.75" hidden="false" customHeight="true" outlineLevel="0" collapsed="false">
      <c r="B262" s="29" t="s">
        <v>1354</v>
      </c>
      <c r="C262" s="29" t="s">
        <v>281</v>
      </c>
      <c r="D262" s="29" t="s">
        <v>1355</v>
      </c>
      <c r="E262" s="29" t="s">
        <v>339</v>
      </c>
      <c r="F262" s="29" t="s">
        <v>1356</v>
      </c>
      <c r="G262" s="29" t="s">
        <v>1357</v>
      </c>
      <c r="H262" s="29" t="s">
        <v>1358</v>
      </c>
      <c r="I262" s="29" t="s">
        <v>301</v>
      </c>
      <c r="J262" s="29" t="s">
        <v>201</v>
      </c>
      <c r="K262" s="30" t="s">
        <v>44</v>
      </c>
      <c r="L262" s="31"/>
      <c r="M262" s="29"/>
    </row>
    <row r="263" customFormat="false" ht="127.5" hidden="false" customHeight="true" outlineLevel="0" collapsed="false">
      <c r="B263" s="29" t="s">
        <v>1359</v>
      </c>
      <c r="C263" s="29" t="s">
        <v>281</v>
      </c>
      <c r="D263" s="29" t="s">
        <v>1360</v>
      </c>
      <c r="E263" s="29" t="s">
        <v>39</v>
      </c>
      <c r="F263" s="29" t="s">
        <v>1361</v>
      </c>
      <c r="G263" s="29" t="s">
        <v>1362</v>
      </c>
      <c r="H263" s="29" t="s">
        <v>1363</v>
      </c>
      <c r="I263" s="29" t="s">
        <v>42</v>
      </c>
      <c r="J263" s="29" t="s">
        <v>43</v>
      </c>
      <c r="K263" s="30" t="s">
        <v>44</v>
      </c>
      <c r="L263" s="31"/>
      <c r="M263" s="29"/>
    </row>
    <row r="264" customFormat="false" ht="89.25" hidden="false" customHeight="true" outlineLevel="0" collapsed="false">
      <c r="B264" s="29" t="s">
        <v>1364</v>
      </c>
      <c r="C264" s="29" t="s">
        <v>281</v>
      </c>
      <c r="D264" s="29" t="s">
        <v>1365</v>
      </c>
      <c r="E264" s="29" t="s">
        <v>39</v>
      </c>
      <c r="F264" s="29" t="s">
        <v>1366</v>
      </c>
      <c r="G264" s="29" t="s">
        <v>1367</v>
      </c>
      <c r="H264" s="29" t="s">
        <v>1368</v>
      </c>
      <c r="I264" s="29" t="s">
        <v>42</v>
      </c>
      <c r="J264" s="29" t="s">
        <v>1369</v>
      </c>
      <c r="K264" s="30" t="s">
        <v>44</v>
      </c>
      <c r="L264" s="31"/>
      <c r="M264" s="29"/>
    </row>
    <row r="265" customFormat="false" ht="140.25" hidden="false" customHeight="true" outlineLevel="0" collapsed="false">
      <c r="B265" s="29" t="s">
        <v>1370</v>
      </c>
      <c r="C265" s="29" t="s">
        <v>281</v>
      </c>
      <c r="D265" s="29" t="s">
        <v>1371</v>
      </c>
      <c r="E265" s="29" t="s">
        <v>150</v>
      </c>
      <c r="F265" s="29" t="s">
        <v>1372</v>
      </c>
      <c r="G265" s="29" t="s">
        <v>1373</v>
      </c>
      <c r="H265" s="29" t="s">
        <v>1374</v>
      </c>
      <c r="I265" s="29" t="s">
        <v>467</v>
      </c>
      <c r="J265" s="29" t="s">
        <v>467</v>
      </c>
      <c r="K265" s="30" t="s">
        <v>44</v>
      </c>
      <c r="L265" s="31"/>
      <c r="M265" s="29"/>
    </row>
    <row r="266" customFormat="false" ht="89.25" hidden="false" customHeight="true" outlineLevel="0" collapsed="false">
      <c r="B266" s="29" t="s">
        <v>1375</v>
      </c>
      <c r="C266" s="29" t="s">
        <v>281</v>
      </c>
      <c r="D266" s="29" t="s">
        <v>1376</v>
      </c>
      <c r="E266" s="29" t="s">
        <v>356</v>
      </c>
      <c r="F266" s="29" t="s">
        <v>1377</v>
      </c>
      <c r="G266" s="29" t="s">
        <v>1378</v>
      </c>
      <c r="H266" s="29" t="s">
        <v>1379</v>
      </c>
      <c r="I266" s="29" t="s">
        <v>301</v>
      </c>
      <c r="J266" s="29" t="s">
        <v>201</v>
      </c>
      <c r="K266" s="30" t="s">
        <v>44</v>
      </c>
      <c r="L266" s="31"/>
      <c r="M266" s="29"/>
    </row>
    <row r="267" customFormat="false" ht="38.25" hidden="false" customHeight="true" outlineLevel="0" collapsed="false">
      <c r="B267" s="29" t="s">
        <v>1380</v>
      </c>
      <c r="C267" s="29" t="s">
        <v>281</v>
      </c>
      <c r="D267" s="29" t="s">
        <v>1381</v>
      </c>
      <c r="E267" s="29" t="s">
        <v>356</v>
      </c>
      <c r="F267" s="29" t="s">
        <v>1382</v>
      </c>
      <c r="G267" s="29" t="s">
        <v>1383</v>
      </c>
      <c r="H267" s="29" t="s">
        <v>1384</v>
      </c>
      <c r="I267" s="29" t="s">
        <v>301</v>
      </c>
      <c r="J267" s="29" t="s">
        <v>201</v>
      </c>
      <c r="K267" s="30" t="s">
        <v>44</v>
      </c>
      <c r="L267" s="31"/>
      <c r="M267" s="29"/>
    </row>
    <row r="268" customFormat="false" ht="76.5" hidden="false" customHeight="true" outlineLevel="0" collapsed="false">
      <c r="B268" s="29" t="s">
        <v>1385</v>
      </c>
      <c r="C268" s="29" t="s">
        <v>281</v>
      </c>
      <c r="D268" s="29" t="s">
        <v>1386</v>
      </c>
      <c r="E268" s="29" t="s">
        <v>150</v>
      </c>
      <c r="F268" s="29" t="s">
        <v>1387</v>
      </c>
      <c r="G268" s="29" t="s">
        <v>1388</v>
      </c>
      <c r="H268" s="29" t="s">
        <v>1389</v>
      </c>
      <c r="I268" s="29" t="s">
        <v>467</v>
      </c>
      <c r="J268" s="29" t="s">
        <v>467</v>
      </c>
      <c r="K268" s="30" t="s">
        <v>44</v>
      </c>
      <c r="L268" s="31"/>
      <c r="M268" s="29"/>
    </row>
    <row r="269" customFormat="false" ht="229.5" hidden="false" customHeight="true" outlineLevel="0" collapsed="false">
      <c r="B269" s="29" t="s">
        <v>1390</v>
      </c>
      <c r="C269" s="29" t="s">
        <v>281</v>
      </c>
      <c r="D269" s="29" t="s">
        <v>1391</v>
      </c>
      <c r="E269" s="29" t="s">
        <v>356</v>
      </c>
      <c r="F269" s="29" t="s">
        <v>1392</v>
      </c>
      <c r="G269" s="29" t="s">
        <v>1393</v>
      </c>
      <c r="H269" s="29" t="s">
        <v>1394</v>
      </c>
      <c r="I269" s="29" t="s">
        <v>301</v>
      </c>
      <c r="J269" s="29" t="s">
        <v>201</v>
      </c>
      <c r="K269" s="30" t="s">
        <v>44</v>
      </c>
      <c r="L269" s="31"/>
      <c r="M269" s="29"/>
    </row>
    <row r="270" customFormat="false" ht="114.75" hidden="false" customHeight="true" outlineLevel="0" collapsed="false">
      <c r="B270" s="29" t="s">
        <v>1395</v>
      </c>
      <c r="C270" s="29" t="s">
        <v>281</v>
      </c>
      <c r="D270" s="29" t="s">
        <v>1396</v>
      </c>
      <c r="E270" s="29" t="s">
        <v>356</v>
      </c>
      <c r="F270" s="29" t="s">
        <v>1397</v>
      </c>
      <c r="G270" s="29" t="s">
        <v>1398</v>
      </c>
      <c r="H270" s="29" t="s">
        <v>1399</v>
      </c>
      <c r="I270" s="29" t="s">
        <v>301</v>
      </c>
      <c r="J270" s="29" t="s">
        <v>201</v>
      </c>
      <c r="K270" s="30" t="s">
        <v>44</v>
      </c>
      <c r="L270" s="31"/>
      <c r="M270" s="29"/>
    </row>
    <row r="271" customFormat="false" ht="89.25" hidden="false" customHeight="true" outlineLevel="0" collapsed="false">
      <c r="B271" s="29" t="s">
        <v>1400</v>
      </c>
      <c r="C271" s="29" t="s">
        <v>281</v>
      </c>
      <c r="D271" s="29" t="s">
        <v>1401</v>
      </c>
      <c r="E271" s="29" t="s">
        <v>595</v>
      </c>
      <c r="F271" s="29" t="s">
        <v>1402</v>
      </c>
      <c r="G271" s="29" t="s">
        <v>1403</v>
      </c>
      <c r="H271" s="29" t="s">
        <v>1404</v>
      </c>
      <c r="I271" s="29" t="s">
        <v>467</v>
      </c>
      <c r="J271" s="29" t="s">
        <v>467</v>
      </c>
      <c r="K271" s="30" t="s">
        <v>44</v>
      </c>
      <c r="L271" s="31"/>
      <c r="M271" s="29"/>
    </row>
    <row r="272" customFormat="false" ht="76.5" hidden="false" customHeight="true" outlineLevel="0" collapsed="false">
      <c r="B272" s="29" t="s">
        <v>1405</v>
      </c>
      <c r="C272" s="29" t="s">
        <v>281</v>
      </c>
      <c r="D272" s="29" t="s">
        <v>1406</v>
      </c>
      <c r="E272" s="29" t="s">
        <v>356</v>
      </c>
      <c r="F272" s="29" t="s">
        <v>1407</v>
      </c>
      <c r="G272" s="29" t="s">
        <v>1408</v>
      </c>
      <c r="H272" s="29" t="s">
        <v>1409</v>
      </c>
      <c r="I272" s="29" t="s">
        <v>153</v>
      </c>
      <c r="J272" s="29" t="s">
        <v>154</v>
      </c>
      <c r="K272" s="30" t="s">
        <v>44</v>
      </c>
      <c r="L272" s="31"/>
      <c r="M272" s="29"/>
    </row>
    <row r="273" customFormat="false" ht="153" hidden="false" customHeight="true" outlineLevel="0" collapsed="false">
      <c r="B273" s="29" t="s">
        <v>1410</v>
      </c>
      <c r="C273" s="29" t="s">
        <v>281</v>
      </c>
      <c r="D273" s="29" t="s">
        <v>1411</v>
      </c>
      <c r="E273" s="29" t="s">
        <v>595</v>
      </c>
      <c r="F273" s="29" t="s">
        <v>1412</v>
      </c>
      <c r="G273" s="29" t="s">
        <v>1413</v>
      </c>
      <c r="H273" s="29" t="s">
        <v>1414</v>
      </c>
      <c r="I273" s="29" t="s">
        <v>153</v>
      </c>
      <c r="J273" s="29" t="s">
        <v>154</v>
      </c>
      <c r="K273" s="30" t="s">
        <v>44</v>
      </c>
      <c r="L273" s="31"/>
      <c r="M273" s="29"/>
    </row>
    <row r="274" customFormat="false" ht="127.5" hidden="false" customHeight="true" outlineLevel="0" collapsed="false">
      <c r="B274" s="29" t="s">
        <v>1415</v>
      </c>
      <c r="C274" s="29" t="s">
        <v>281</v>
      </c>
      <c r="D274" s="29" t="s">
        <v>1416</v>
      </c>
      <c r="E274" s="29" t="s">
        <v>356</v>
      </c>
      <c r="F274" s="29" t="s">
        <v>1417</v>
      </c>
      <c r="G274" s="29" t="s">
        <v>1418</v>
      </c>
      <c r="H274" s="29" t="s">
        <v>1419</v>
      </c>
      <c r="I274" s="29" t="s">
        <v>301</v>
      </c>
      <c r="J274" s="29" t="s">
        <v>201</v>
      </c>
      <c r="K274" s="30" t="s">
        <v>44</v>
      </c>
      <c r="L274" s="31"/>
      <c r="M274" s="29"/>
    </row>
    <row r="275" customFormat="false" ht="89.25" hidden="false" customHeight="true" outlineLevel="0" collapsed="false">
      <c r="B275" s="29" t="s">
        <v>1420</v>
      </c>
      <c r="C275" s="29" t="s">
        <v>281</v>
      </c>
      <c r="D275" s="29" t="s">
        <v>1421</v>
      </c>
      <c r="E275" s="29" t="s">
        <v>150</v>
      </c>
      <c r="F275" s="29" t="s">
        <v>1422</v>
      </c>
      <c r="G275" s="29" t="s">
        <v>1423</v>
      </c>
      <c r="H275" s="29" t="s">
        <v>1424</v>
      </c>
      <c r="I275" s="29" t="s">
        <v>153</v>
      </c>
      <c r="J275" s="29" t="s">
        <v>154</v>
      </c>
      <c r="K275" s="30" t="s">
        <v>44</v>
      </c>
      <c r="L275" s="31"/>
      <c r="M275" s="29"/>
    </row>
    <row r="276" customFormat="false" ht="76.5" hidden="false" customHeight="true" outlineLevel="0" collapsed="false">
      <c r="B276" s="29" t="s">
        <v>1425</v>
      </c>
      <c r="C276" s="29" t="s">
        <v>281</v>
      </c>
      <c r="D276" s="29" t="s">
        <v>1426</v>
      </c>
      <c r="E276" s="29" t="s">
        <v>595</v>
      </c>
      <c r="F276" s="29" t="s">
        <v>1427</v>
      </c>
      <c r="G276" s="29" t="s">
        <v>1428</v>
      </c>
      <c r="H276" s="29" t="s">
        <v>1429</v>
      </c>
      <c r="I276" s="29" t="s">
        <v>467</v>
      </c>
      <c r="J276" s="29" t="s">
        <v>467</v>
      </c>
      <c r="K276" s="30" t="s">
        <v>44</v>
      </c>
      <c r="L276" s="31"/>
      <c r="M276" s="29"/>
    </row>
    <row r="277" customFormat="false" ht="63.75" hidden="false" customHeight="true" outlineLevel="0" collapsed="false">
      <c r="B277" s="29" t="s">
        <v>1430</v>
      </c>
      <c r="C277" s="29" t="s">
        <v>281</v>
      </c>
      <c r="D277" s="29" t="s">
        <v>1431</v>
      </c>
      <c r="E277" s="29" t="s">
        <v>339</v>
      </c>
      <c r="F277" s="29" t="s">
        <v>1432</v>
      </c>
      <c r="G277" s="29" t="s">
        <v>1433</v>
      </c>
      <c r="H277" s="29" t="s">
        <v>1434</v>
      </c>
      <c r="I277" s="29" t="s">
        <v>301</v>
      </c>
      <c r="J277" s="29" t="s">
        <v>201</v>
      </c>
      <c r="K277" s="30" t="s">
        <v>44</v>
      </c>
      <c r="L277" s="31"/>
      <c r="M277" s="29"/>
    </row>
    <row r="278" customFormat="false" ht="102" hidden="false" customHeight="true" outlineLevel="0" collapsed="false">
      <c r="B278" s="29" t="s">
        <v>1435</v>
      </c>
      <c r="C278" s="29" t="s">
        <v>281</v>
      </c>
      <c r="D278" s="29" t="s">
        <v>1436</v>
      </c>
      <c r="E278" s="29" t="s">
        <v>39</v>
      </c>
      <c r="F278" s="29" t="s">
        <v>1437</v>
      </c>
      <c r="G278" s="29" t="s">
        <v>1438</v>
      </c>
      <c r="H278" s="29" t="s">
        <v>1439</v>
      </c>
      <c r="I278" s="29" t="s">
        <v>42</v>
      </c>
      <c r="J278" s="29" t="s">
        <v>43</v>
      </c>
      <c r="K278" s="30" t="s">
        <v>44</v>
      </c>
      <c r="L278" s="31"/>
      <c r="M278" s="29"/>
    </row>
    <row r="279" customFormat="false" ht="178.5" hidden="false" customHeight="true" outlineLevel="0" collapsed="false">
      <c r="B279" s="29" t="s">
        <v>1440</v>
      </c>
      <c r="C279" s="29" t="s">
        <v>281</v>
      </c>
      <c r="D279" s="29" t="s">
        <v>1441</v>
      </c>
      <c r="E279" s="29" t="s">
        <v>350</v>
      </c>
      <c r="F279" s="29" t="s">
        <v>1442</v>
      </c>
      <c r="G279" s="29" t="s">
        <v>1443</v>
      </c>
      <c r="H279" s="29" t="s">
        <v>1444</v>
      </c>
      <c r="I279" s="29" t="s">
        <v>153</v>
      </c>
      <c r="J279" s="29" t="s">
        <v>154</v>
      </c>
      <c r="K279" s="30" t="s">
        <v>44</v>
      </c>
      <c r="L279" s="31"/>
      <c r="M279" s="29"/>
    </row>
    <row r="280" customFormat="false" ht="76.5" hidden="false" customHeight="true" outlineLevel="0" collapsed="false">
      <c r="B280" s="29" t="s">
        <v>1445</v>
      </c>
      <c r="C280" s="29" t="s">
        <v>281</v>
      </c>
      <c r="D280" s="29" t="s">
        <v>1446</v>
      </c>
      <c r="E280" s="29" t="s">
        <v>205</v>
      </c>
      <c r="F280" s="29" t="s">
        <v>1447</v>
      </c>
      <c r="G280" s="29" t="s">
        <v>1448</v>
      </c>
      <c r="H280" s="29" t="s">
        <v>1449</v>
      </c>
      <c r="I280" s="29" t="s">
        <v>301</v>
      </c>
      <c r="J280" s="29" t="s">
        <v>201</v>
      </c>
      <c r="K280" s="30" t="s">
        <v>44</v>
      </c>
      <c r="L280" s="31"/>
      <c r="M280" s="29"/>
    </row>
    <row r="281" customFormat="false" ht="63.75" hidden="false" customHeight="true" outlineLevel="0" collapsed="false">
      <c r="B281" s="29" t="s">
        <v>1450</v>
      </c>
      <c r="C281" s="29" t="s">
        <v>281</v>
      </c>
      <c r="D281" s="29" t="s">
        <v>1451</v>
      </c>
      <c r="E281" s="29" t="s">
        <v>350</v>
      </c>
      <c r="F281" s="29" t="s">
        <v>1452</v>
      </c>
      <c r="G281" s="29" t="s">
        <v>1453</v>
      </c>
      <c r="H281" s="29" t="s">
        <v>1454</v>
      </c>
      <c r="I281" s="29" t="s">
        <v>301</v>
      </c>
      <c r="J281" s="29" t="s">
        <v>201</v>
      </c>
      <c r="K281" s="30" t="s">
        <v>44</v>
      </c>
      <c r="L281" s="31"/>
      <c r="M281" s="29"/>
    </row>
    <row r="282" customFormat="false" ht="76.5" hidden="false" customHeight="true" outlineLevel="0" collapsed="false">
      <c r="B282" s="29" t="s">
        <v>1455</v>
      </c>
      <c r="C282" s="29" t="s">
        <v>281</v>
      </c>
      <c r="D282" s="29" t="s">
        <v>1456</v>
      </c>
      <c r="E282" s="29" t="s">
        <v>326</v>
      </c>
      <c r="F282" s="29" t="s">
        <v>1457</v>
      </c>
      <c r="G282" s="29" t="s">
        <v>1458</v>
      </c>
      <c r="H282" s="29" t="s">
        <v>1459</v>
      </c>
      <c r="I282" s="29" t="s">
        <v>301</v>
      </c>
      <c r="J282" s="29" t="s">
        <v>201</v>
      </c>
      <c r="K282" s="30" t="s">
        <v>44</v>
      </c>
      <c r="L282" s="31"/>
      <c r="M282" s="29"/>
    </row>
    <row r="283" customFormat="false" ht="89.25" hidden="false" customHeight="true" outlineLevel="0" collapsed="false">
      <c r="B283" s="29" t="s">
        <v>1460</v>
      </c>
      <c r="C283" s="29" t="s">
        <v>281</v>
      </c>
      <c r="D283" s="29" t="s">
        <v>1461</v>
      </c>
      <c r="E283" s="29" t="s">
        <v>339</v>
      </c>
      <c r="F283" s="29" t="s">
        <v>1462</v>
      </c>
      <c r="G283" s="29" t="s">
        <v>1463</v>
      </c>
      <c r="H283" s="29" t="s">
        <v>1464</v>
      </c>
      <c r="I283" s="29" t="s">
        <v>301</v>
      </c>
      <c r="J283" s="29" t="s">
        <v>201</v>
      </c>
      <c r="K283" s="30" t="s">
        <v>44</v>
      </c>
      <c r="L283" s="31"/>
      <c r="M283" s="29"/>
    </row>
    <row r="284" customFormat="false" ht="114.75" hidden="false" customHeight="true" outlineLevel="0" collapsed="false">
      <c r="B284" s="29" t="s">
        <v>1465</v>
      </c>
      <c r="C284" s="29" t="s">
        <v>281</v>
      </c>
      <c r="D284" s="29" t="s">
        <v>1466</v>
      </c>
      <c r="E284" s="29" t="s">
        <v>205</v>
      </c>
      <c r="F284" s="29" t="s">
        <v>1467</v>
      </c>
      <c r="G284" s="29" t="s">
        <v>1468</v>
      </c>
      <c r="H284" s="29" t="s">
        <v>1469</v>
      </c>
      <c r="I284" s="29" t="s">
        <v>301</v>
      </c>
      <c r="J284" s="29" t="s">
        <v>201</v>
      </c>
      <c r="K284" s="30" t="s">
        <v>44</v>
      </c>
      <c r="L284" s="31"/>
      <c r="M284" s="29"/>
    </row>
    <row r="285" customFormat="false" ht="127.5" hidden="false" customHeight="true" outlineLevel="0" collapsed="false">
      <c r="B285" s="29" t="s">
        <v>1470</v>
      </c>
      <c r="C285" s="29" t="s">
        <v>281</v>
      </c>
      <c r="D285" s="29" t="s">
        <v>1471</v>
      </c>
      <c r="E285" s="29" t="s">
        <v>356</v>
      </c>
      <c r="F285" s="29" t="s">
        <v>1472</v>
      </c>
      <c r="G285" s="29" t="s">
        <v>1473</v>
      </c>
      <c r="H285" s="29" t="s">
        <v>1474</v>
      </c>
      <c r="I285" s="29" t="s">
        <v>153</v>
      </c>
      <c r="J285" s="29" t="s">
        <v>154</v>
      </c>
      <c r="K285" s="30" t="s">
        <v>44</v>
      </c>
      <c r="L285" s="31"/>
      <c r="M285" s="29"/>
    </row>
    <row r="286" customFormat="false" ht="204" hidden="false" customHeight="true" outlineLevel="0" collapsed="false">
      <c r="B286" s="29" t="s">
        <v>1475</v>
      </c>
      <c r="C286" s="29" t="s">
        <v>281</v>
      </c>
      <c r="D286" s="29" t="s">
        <v>1476</v>
      </c>
      <c r="E286" s="29" t="s">
        <v>150</v>
      </c>
      <c r="F286" s="29" t="s">
        <v>1477</v>
      </c>
      <c r="G286" s="29" t="s">
        <v>1478</v>
      </c>
      <c r="H286" s="29" t="s">
        <v>1479</v>
      </c>
      <c r="I286" s="29" t="s">
        <v>467</v>
      </c>
      <c r="J286" s="29" t="s">
        <v>467</v>
      </c>
      <c r="K286" s="30" t="s">
        <v>44</v>
      </c>
      <c r="L286" s="31"/>
      <c r="M286" s="29"/>
    </row>
    <row r="287" customFormat="false" ht="89.25" hidden="false" customHeight="true" outlineLevel="0" collapsed="false">
      <c r="B287" s="29" t="s">
        <v>1480</v>
      </c>
      <c r="C287" s="29" t="s">
        <v>281</v>
      </c>
      <c r="D287" s="29" t="s">
        <v>1481</v>
      </c>
      <c r="E287" s="29" t="s">
        <v>339</v>
      </c>
      <c r="F287" s="29" t="s">
        <v>1482</v>
      </c>
      <c r="G287" s="29" t="s">
        <v>1483</v>
      </c>
      <c r="H287" s="29" t="s">
        <v>1484</v>
      </c>
      <c r="I287" s="29" t="s">
        <v>301</v>
      </c>
      <c r="J287" s="29" t="s">
        <v>201</v>
      </c>
      <c r="K287" s="30" t="s">
        <v>44</v>
      </c>
      <c r="L287" s="31"/>
      <c r="M287" s="29"/>
    </row>
    <row r="288" customFormat="false" ht="38.25" hidden="false" customHeight="true" outlineLevel="0" collapsed="false">
      <c r="B288" s="29" t="s">
        <v>1485</v>
      </c>
      <c r="C288" s="29" t="s">
        <v>281</v>
      </c>
      <c r="D288" s="29" t="s">
        <v>1486</v>
      </c>
      <c r="E288" s="29" t="s">
        <v>339</v>
      </c>
      <c r="F288" s="29" t="s">
        <v>1487</v>
      </c>
      <c r="G288" s="29" t="s">
        <v>1488</v>
      </c>
      <c r="H288" s="29" t="s">
        <v>1489</v>
      </c>
      <c r="I288" s="29" t="s">
        <v>301</v>
      </c>
      <c r="J288" s="29" t="s">
        <v>201</v>
      </c>
      <c r="K288" s="30" t="s">
        <v>44</v>
      </c>
      <c r="L288" s="31"/>
      <c r="M288" s="29"/>
    </row>
    <row r="289" customFormat="false" ht="38.25" hidden="false" customHeight="true" outlineLevel="0" collapsed="false">
      <c r="B289" s="29" t="s">
        <v>1490</v>
      </c>
      <c r="C289" s="29" t="s">
        <v>281</v>
      </c>
      <c r="D289" s="29" t="s">
        <v>1491</v>
      </c>
      <c r="E289" s="29" t="s">
        <v>356</v>
      </c>
      <c r="F289" s="29" t="s">
        <v>1492</v>
      </c>
      <c r="G289" s="29" t="s">
        <v>1493</v>
      </c>
      <c r="H289" s="29" t="s">
        <v>1494</v>
      </c>
      <c r="I289" s="29" t="s">
        <v>301</v>
      </c>
      <c r="J289" s="29" t="s">
        <v>201</v>
      </c>
      <c r="K289" s="30" t="s">
        <v>44</v>
      </c>
      <c r="L289" s="31"/>
      <c r="M289" s="29"/>
    </row>
    <row r="290" customFormat="false" ht="165.75" hidden="false" customHeight="true" outlineLevel="0" collapsed="false">
      <c r="B290" s="29" t="s">
        <v>1495</v>
      </c>
      <c r="C290" s="29" t="s">
        <v>281</v>
      </c>
      <c r="D290" s="29" t="s">
        <v>1496</v>
      </c>
      <c r="E290" s="29" t="s">
        <v>339</v>
      </c>
      <c r="F290" s="29" t="s">
        <v>1497</v>
      </c>
      <c r="G290" s="29" t="s">
        <v>1498</v>
      </c>
      <c r="H290" s="29" t="s">
        <v>1499</v>
      </c>
      <c r="I290" s="29" t="s">
        <v>301</v>
      </c>
      <c r="J290" s="29" t="s">
        <v>201</v>
      </c>
      <c r="K290" s="30" t="s">
        <v>44</v>
      </c>
      <c r="L290" s="31"/>
      <c r="M290" s="29"/>
    </row>
    <row r="291" customFormat="false" ht="51" hidden="false" customHeight="true" outlineLevel="0" collapsed="false">
      <c r="B291" s="29" t="s">
        <v>1500</v>
      </c>
      <c r="C291" s="29" t="s">
        <v>281</v>
      </c>
      <c r="D291" s="29" t="s">
        <v>1501</v>
      </c>
      <c r="E291" s="29" t="s">
        <v>339</v>
      </c>
      <c r="F291" s="29" t="s">
        <v>1502</v>
      </c>
      <c r="G291" s="29" t="s">
        <v>1503</v>
      </c>
      <c r="H291" s="29" t="s">
        <v>1504</v>
      </c>
      <c r="I291" s="29" t="s">
        <v>301</v>
      </c>
      <c r="J291" s="29" t="s">
        <v>201</v>
      </c>
      <c r="K291" s="30" t="s">
        <v>44</v>
      </c>
      <c r="L291" s="31"/>
      <c r="M291" s="29"/>
    </row>
    <row r="292" customFormat="false" ht="140.25" hidden="false" customHeight="true" outlineLevel="0" collapsed="false">
      <c r="B292" s="29" t="s">
        <v>1505</v>
      </c>
      <c r="C292" s="29" t="s">
        <v>281</v>
      </c>
      <c r="D292" s="29" t="s">
        <v>1506</v>
      </c>
      <c r="E292" s="29" t="s">
        <v>150</v>
      </c>
      <c r="F292" s="29" t="s">
        <v>1507</v>
      </c>
      <c r="G292" s="29" t="s">
        <v>1508</v>
      </c>
      <c r="H292" s="29" t="s">
        <v>1509</v>
      </c>
      <c r="I292" s="29" t="s">
        <v>467</v>
      </c>
      <c r="J292" s="29" t="s">
        <v>467</v>
      </c>
      <c r="K292" s="30" t="s">
        <v>44</v>
      </c>
      <c r="L292" s="31"/>
      <c r="M292" s="29"/>
    </row>
    <row r="293" customFormat="false" ht="191.25" hidden="false" customHeight="true" outlineLevel="0" collapsed="false">
      <c r="B293" s="29" t="s">
        <v>1510</v>
      </c>
      <c r="C293" s="29" t="s">
        <v>281</v>
      </c>
      <c r="D293" s="29" t="s">
        <v>1511</v>
      </c>
      <c r="E293" s="29" t="s">
        <v>356</v>
      </c>
      <c r="F293" s="29" t="s">
        <v>1512</v>
      </c>
      <c r="G293" s="29" t="s">
        <v>1513</v>
      </c>
      <c r="H293" s="29" t="s">
        <v>1514</v>
      </c>
      <c r="I293" s="29" t="s">
        <v>301</v>
      </c>
      <c r="J293" s="29" t="s">
        <v>201</v>
      </c>
      <c r="K293" s="30" t="s">
        <v>44</v>
      </c>
      <c r="L293" s="31"/>
      <c r="M293" s="29"/>
    </row>
    <row r="294" customFormat="false" ht="89.25" hidden="false" customHeight="true" outlineLevel="0" collapsed="false">
      <c r="B294" s="29" t="s">
        <v>1515</v>
      </c>
      <c r="C294" s="29" t="s">
        <v>281</v>
      </c>
      <c r="D294" s="29" t="s">
        <v>1516</v>
      </c>
      <c r="E294" s="29" t="s">
        <v>595</v>
      </c>
      <c r="F294" s="29" t="s">
        <v>1517</v>
      </c>
      <c r="G294" s="29" t="s">
        <v>1518</v>
      </c>
      <c r="H294" s="29" t="s">
        <v>1519</v>
      </c>
      <c r="I294" s="29" t="s">
        <v>467</v>
      </c>
      <c r="J294" s="29" t="s">
        <v>467</v>
      </c>
      <c r="K294" s="30" t="s">
        <v>44</v>
      </c>
      <c r="L294" s="31"/>
      <c r="M294" s="29"/>
    </row>
    <row r="295" customFormat="false" ht="153" hidden="false" customHeight="true" outlineLevel="0" collapsed="false">
      <c r="B295" s="29" t="s">
        <v>1520</v>
      </c>
      <c r="C295" s="29" t="s">
        <v>281</v>
      </c>
      <c r="D295" s="29" t="s">
        <v>1521</v>
      </c>
      <c r="E295" s="29" t="s">
        <v>39</v>
      </c>
      <c r="F295" s="29" t="s">
        <v>1522</v>
      </c>
      <c r="G295" s="29" t="s">
        <v>1523</v>
      </c>
      <c r="H295" s="29" t="s">
        <v>1524</v>
      </c>
      <c r="I295" s="29" t="s">
        <v>42</v>
      </c>
      <c r="J295" s="29" t="s">
        <v>1525</v>
      </c>
      <c r="K295" s="30" t="s">
        <v>44</v>
      </c>
      <c r="L295" s="31"/>
      <c r="M295" s="29"/>
    </row>
    <row r="296" customFormat="false" ht="89.25" hidden="false" customHeight="true" outlineLevel="0" collapsed="false">
      <c r="B296" s="29" t="s">
        <v>1526</v>
      </c>
      <c r="C296" s="29" t="s">
        <v>281</v>
      </c>
      <c r="D296" s="29" t="s">
        <v>1527</v>
      </c>
      <c r="E296" s="29" t="s">
        <v>326</v>
      </c>
      <c r="F296" s="29" t="s">
        <v>1528</v>
      </c>
      <c r="G296" s="29" t="s">
        <v>1529</v>
      </c>
      <c r="H296" s="29" t="s">
        <v>1530</v>
      </c>
      <c r="I296" s="29" t="s">
        <v>301</v>
      </c>
      <c r="J296" s="29" t="s">
        <v>201</v>
      </c>
      <c r="K296" s="30" t="s">
        <v>44</v>
      </c>
      <c r="L296" s="31"/>
      <c r="M296" s="29"/>
    </row>
    <row r="297" customFormat="false" ht="63.75" hidden="false" customHeight="true" outlineLevel="0" collapsed="false">
      <c r="B297" s="29" t="s">
        <v>1531</v>
      </c>
      <c r="C297" s="29" t="s">
        <v>281</v>
      </c>
      <c r="D297" s="29" t="s">
        <v>1532</v>
      </c>
      <c r="E297" s="29" t="s">
        <v>595</v>
      </c>
      <c r="F297" s="29" t="s">
        <v>1533</v>
      </c>
      <c r="G297" s="29" t="s">
        <v>1534</v>
      </c>
      <c r="H297" s="29" t="s">
        <v>1535</v>
      </c>
      <c r="I297" s="29" t="s">
        <v>153</v>
      </c>
      <c r="J297" s="29" t="s">
        <v>154</v>
      </c>
      <c r="K297" s="30" t="s">
        <v>44</v>
      </c>
      <c r="L297" s="31"/>
      <c r="M297" s="29"/>
    </row>
    <row r="298" customFormat="false" ht="76.5" hidden="false" customHeight="true" outlineLevel="0" collapsed="false">
      <c r="B298" s="29" t="s">
        <v>1536</v>
      </c>
      <c r="C298" s="29" t="s">
        <v>281</v>
      </c>
      <c r="D298" s="29" t="s">
        <v>1537</v>
      </c>
      <c r="E298" s="29" t="s">
        <v>326</v>
      </c>
      <c r="F298" s="29" t="s">
        <v>1538</v>
      </c>
      <c r="G298" s="29" t="s">
        <v>1539</v>
      </c>
      <c r="H298" s="29" t="s">
        <v>1540</v>
      </c>
      <c r="I298" s="29" t="s">
        <v>301</v>
      </c>
      <c r="J298" s="29" t="s">
        <v>201</v>
      </c>
      <c r="K298" s="30" t="s">
        <v>44</v>
      </c>
      <c r="L298" s="31"/>
      <c r="M298" s="29"/>
    </row>
    <row r="299" customFormat="false" ht="51" hidden="false" customHeight="true" outlineLevel="0" collapsed="false">
      <c r="B299" s="29" t="s">
        <v>1541</v>
      </c>
      <c r="C299" s="29" t="s">
        <v>281</v>
      </c>
      <c r="D299" s="29" t="s">
        <v>1542</v>
      </c>
      <c r="E299" s="29" t="s">
        <v>326</v>
      </c>
      <c r="F299" s="29" t="s">
        <v>1543</v>
      </c>
      <c r="G299" s="29" t="s">
        <v>1544</v>
      </c>
      <c r="H299" s="29" t="s">
        <v>1545</v>
      </c>
      <c r="I299" s="29" t="s">
        <v>301</v>
      </c>
      <c r="J299" s="29" t="s">
        <v>201</v>
      </c>
      <c r="K299" s="30" t="s">
        <v>44</v>
      </c>
      <c r="L299" s="31"/>
      <c r="M299" s="29"/>
    </row>
    <row r="300" customFormat="false" ht="102" hidden="false" customHeight="true" outlineLevel="0" collapsed="false">
      <c r="B300" s="29" t="s">
        <v>1546</v>
      </c>
      <c r="C300" s="29" t="s">
        <v>281</v>
      </c>
      <c r="D300" s="29" t="s">
        <v>1547</v>
      </c>
      <c r="E300" s="29" t="s">
        <v>205</v>
      </c>
      <c r="F300" s="29" t="s">
        <v>1548</v>
      </c>
      <c r="G300" s="29" t="s">
        <v>1549</v>
      </c>
      <c r="H300" s="29" t="s">
        <v>1550</v>
      </c>
      <c r="I300" s="29" t="s">
        <v>301</v>
      </c>
      <c r="J300" s="29" t="s">
        <v>201</v>
      </c>
      <c r="K300" s="30" t="s">
        <v>44</v>
      </c>
      <c r="L300" s="31"/>
      <c r="M300" s="29"/>
    </row>
    <row r="301" customFormat="false" ht="102" hidden="false" customHeight="true" outlineLevel="0" collapsed="false">
      <c r="B301" s="29" t="s">
        <v>1551</v>
      </c>
      <c r="C301" s="29" t="s">
        <v>281</v>
      </c>
      <c r="D301" s="29" t="s">
        <v>1552</v>
      </c>
      <c r="E301" s="29" t="s">
        <v>205</v>
      </c>
      <c r="F301" s="29" t="s">
        <v>1553</v>
      </c>
      <c r="G301" s="29" t="s">
        <v>1554</v>
      </c>
      <c r="H301" s="29" t="s">
        <v>1555</v>
      </c>
      <c r="I301" s="29" t="s">
        <v>301</v>
      </c>
      <c r="J301" s="29" t="s">
        <v>201</v>
      </c>
      <c r="K301" s="30" t="s">
        <v>44</v>
      </c>
      <c r="L301" s="31"/>
      <c r="M301" s="29"/>
    </row>
    <row r="302" customFormat="false" ht="140.25" hidden="false" customHeight="true" outlineLevel="0" collapsed="false">
      <c r="B302" s="29" t="s">
        <v>1556</v>
      </c>
      <c r="C302" s="29" t="s">
        <v>281</v>
      </c>
      <c r="D302" s="29" t="s">
        <v>1557</v>
      </c>
      <c r="E302" s="29" t="s">
        <v>339</v>
      </c>
      <c r="F302" s="29" t="s">
        <v>1558</v>
      </c>
      <c r="G302" s="29" t="s">
        <v>1559</v>
      </c>
      <c r="H302" s="29" t="s">
        <v>1560</v>
      </c>
      <c r="I302" s="29" t="s">
        <v>301</v>
      </c>
      <c r="J302" s="29" t="s">
        <v>201</v>
      </c>
      <c r="K302" s="30" t="s">
        <v>44</v>
      </c>
      <c r="L302" s="31"/>
      <c r="M302" s="29"/>
    </row>
    <row r="303" customFormat="false" ht="76.5" hidden="false" customHeight="true" outlineLevel="0" collapsed="false">
      <c r="B303" s="29" t="s">
        <v>1561</v>
      </c>
      <c r="C303" s="29" t="s">
        <v>281</v>
      </c>
      <c r="D303" s="29" t="s">
        <v>1562</v>
      </c>
      <c r="E303" s="29" t="s">
        <v>538</v>
      </c>
      <c r="F303" s="29" t="s">
        <v>1563</v>
      </c>
      <c r="G303" s="29" t="s">
        <v>1564</v>
      </c>
      <c r="H303" s="29" t="s">
        <v>1565</v>
      </c>
      <c r="I303" s="29" t="s">
        <v>467</v>
      </c>
      <c r="J303" s="29" t="s">
        <v>467</v>
      </c>
      <c r="K303" s="30" t="s">
        <v>44</v>
      </c>
      <c r="L303" s="31"/>
      <c r="M303" s="29"/>
    </row>
    <row r="304" customFormat="false" ht="63.75" hidden="false" customHeight="true" outlineLevel="0" collapsed="false">
      <c r="B304" s="29" t="s">
        <v>1566</v>
      </c>
      <c r="C304" s="29" t="s">
        <v>281</v>
      </c>
      <c r="D304" s="29" t="s">
        <v>1567</v>
      </c>
      <c r="E304" s="29" t="s">
        <v>339</v>
      </c>
      <c r="F304" s="29" t="s">
        <v>1568</v>
      </c>
      <c r="G304" s="29" t="s">
        <v>1569</v>
      </c>
      <c r="H304" s="29" t="s">
        <v>1570</v>
      </c>
      <c r="I304" s="29" t="s">
        <v>301</v>
      </c>
      <c r="J304" s="29" t="s">
        <v>201</v>
      </c>
      <c r="K304" s="30" t="s">
        <v>44</v>
      </c>
      <c r="L304" s="31"/>
      <c r="M304" s="29"/>
    </row>
    <row r="305" customFormat="false" ht="51" hidden="false" customHeight="true" outlineLevel="0" collapsed="false">
      <c r="B305" s="29" t="s">
        <v>1571</v>
      </c>
      <c r="C305" s="29" t="s">
        <v>281</v>
      </c>
      <c r="D305" s="29" t="s">
        <v>1572</v>
      </c>
      <c r="E305" s="29" t="s">
        <v>339</v>
      </c>
      <c r="F305" s="29" t="s">
        <v>1573</v>
      </c>
      <c r="G305" s="29" t="s">
        <v>1574</v>
      </c>
      <c r="H305" s="29" t="s">
        <v>1575</v>
      </c>
      <c r="I305" s="29" t="s">
        <v>301</v>
      </c>
      <c r="J305" s="29" t="s">
        <v>201</v>
      </c>
      <c r="K305" s="30" t="s">
        <v>44</v>
      </c>
      <c r="L305" s="31"/>
      <c r="M305" s="29"/>
    </row>
    <row r="306" customFormat="false" ht="178.5" hidden="false" customHeight="true" outlineLevel="0" collapsed="false">
      <c r="B306" s="29" t="s">
        <v>1576</v>
      </c>
      <c r="C306" s="29" t="s">
        <v>281</v>
      </c>
      <c r="D306" s="29" t="s">
        <v>1577</v>
      </c>
      <c r="E306" s="29" t="s">
        <v>350</v>
      </c>
      <c r="F306" s="29" t="s">
        <v>1578</v>
      </c>
      <c r="G306" s="29" t="s">
        <v>1579</v>
      </c>
      <c r="H306" s="29" t="s">
        <v>1580</v>
      </c>
      <c r="I306" s="29" t="s">
        <v>153</v>
      </c>
      <c r="J306" s="29" t="s">
        <v>154</v>
      </c>
      <c r="K306" s="30" t="s">
        <v>44</v>
      </c>
      <c r="L306" s="31"/>
      <c r="M306" s="29"/>
    </row>
    <row r="307" customFormat="false" ht="102" hidden="false" customHeight="true" outlineLevel="0" collapsed="false">
      <c r="B307" s="29" t="s">
        <v>1581</v>
      </c>
      <c r="C307" s="29" t="s">
        <v>281</v>
      </c>
      <c r="D307" s="29" t="s">
        <v>1582</v>
      </c>
      <c r="E307" s="29" t="s">
        <v>205</v>
      </c>
      <c r="F307" s="29" t="s">
        <v>1583</v>
      </c>
      <c r="G307" s="29" t="s">
        <v>1584</v>
      </c>
      <c r="H307" s="29" t="s">
        <v>1585</v>
      </c>
      <c r="I307" s="29" t="s">
        <v>301</v>
      </c>
      <c r="J307" s="29" t="s">
        <v>201</v>
      </c>
      <c r="K307" s="30" t="s">
        <v>44</v>
      </c>
      <c r="L307" s="31"/>
      <c r="M307" s="29"/>
    </row>
    <row r="308" customFormat="false" ht="140.25" hidden="false" customHeight="true" outlineLevel="0" collapsed="false">
      <c r="B308" s="29" t="s">
        <v>1586</v>
      </c>
      <c r="C308" s="29" t="s">
        <v>281</v>
      </c>
      <c r="D308" s="29" t="s">
        <v>1587</v>
      </c>
      <c r="E308" s="29" t="s">
        <v>350</v>
      </c>
      <c r="F308" s="29" t="s">
        <v>1588</v>
      </c>
      <c r="G308" s="29" t="s">
        <v>1589</v>
      </c>
      <c r="H308" s="29" t="s">
        <v>1590</v>
      </c>
      <c r="I308" s="29" t="s">
        <v>301</v>
      </c>
      <c r="J308" s="29" t="s">
        <v>201</v>
      </c>
      <c r="K308" s="30" t="s">
        <v>44</v>
      </c>
      <c r="L308" s="31"/>
      <c r="M308" s="29"/>
    </row>
    <row r="309" customFormat="false" ht="38.25" hidden="false" customHeight="true" outlineLevel="0" collapsed="false">
      <c r="B309" s="29" t="s">
        <v>1591</v>
      </c>
      <c r="C309" s="29" t="s">
        <v>281</v>
      </c>
      <c r="D309" s="29" t="s">
        <v>1592</v>
      </c>
      <c r="E309" s="29" t="s">
        <v>339</v>
      </c>
      <c r="F309" s="29" t="s">
        <v>1593</v>
      </c>
      <c r="G309" s="29" t="s">
        <v>1594</v>
      </c>
      <c r="H309" s="29" t="s">
        <v>1595</v>
      </c>
      <c r="I309" s="29" t="s">
        <v>301</v>
      </c>
      <c r="J309" s="29" t="s">
        <v>201</v>
      </c>
      <c r="K309" s="30" t="s">
        <v>44</v>
      </c>
      <c r="L309" s="31"/>
      <c r="M309" s="29"/>
    </row>
    <row r="310" customFormat="false" ht="89.25" hidden="false" customHeight="true" outlineLevel="0" collapsed="false">
      <c r="B310" s="29" t="s">
        <v>1596</v>
      </c>
      <c r="C310" s="29" t="s">
        <v>281</v>
      </c>
      <c r="D310" s="29" t="s">
        <v>1597</v>
      </c>
      <c r="E310" s="29" t="s">
        <v>356</v>
      </c>
      <c r="F310" s="29" t="s">
        <v>1598</v>
      </c>
      <c r="G310" s="29" t="s">
        <v>1599</v>
      </c>
      <c r="H310" s="29" t="s">
        <v>1600</v>
      </c>
      <c r="I310" s="29" t="s">
        <v>301</v>
      </c>
      <c r="J310" s="29" t="s">
        <v>201</v>
      </c>
      <c r="K310" s="30" t="s">
        <v>44</v>
      </c>
      <c r="L310" s="31"/>
      <c r="M310" s="29"/>
    </row>
    <row r="311" customFormat="false" ht="51" hidden="false" customHeight="true" outlineLevel="0" collapsed="false">
      <c r="B311" s="29" t="s">
        <v>1601</v>
      </c>
      <c r="C311" s="29" t="s">
        <v>281</v>
      </c>
      <c r="D311" s="29" t="s">
        <v>1602</v>
      </c>
      <c r="E311" s="29" t="s">
        <v>350</v>
      </c>
      <c r="F311" s="29" t="s">
        <v>1603</v>
      </c>
      <c r="G311" s="29" t="s">
        <v>1604</v>
      </c>
      <c r="H311" s="29" t="s">
        <v>1605</v>
      </c>
      <c r="I311" s="29" t="s">
        <v>153</v>
      </c>
      <c r="J311" s="29" t="s">
        <v>154</v>
      </c>
      <c r="K311" s="30" t="s">
        <v>44</v>
      </c>
      <c r="L311" s="31"/>
      <c r="M311" s="29"/>
    </row>
    <row r="312" customFormat="false" ht="102" hidden="false" customHeight="true" outlineLevel="0" collapsed="false">
      <c r="B312" s="29" t="s">
        <v>1606</v>
      </c>
      <c r="C312" s="29" t="s">
        <v>281</v>
      </c>
      <c r="D312" s="29" t="s">
        <v>1607</v>
      </c>
      <c r="E312" s="29" t="s">
        <v>350</v>
      </c>
      <c r="F312" s="29" t="s">
        <v>1608</v>
      </c>
      <c r="G312" s="29" t="s">
        <v>1609</v>
      </c>
      <c r="H312" s="29" t="s">
        <v>1610</v>
      </c>
      <c r="I312" s="29" t="s">
        <v>153</v>
      </c>
      <c r="J312" s="29" t="s">
        <v>154</v>
      </c>
      <c r="K312" s="30" t="s">
        <v>44</v>
      </c>
      <c r="L312" s="31"/>
      <c r="M312" s="29"/>
    </row>
    <row r="313" customFormat="false" ht="76.5" hidden="false" customHeight="true" outlineLevel="0" collapsed="false">
      <c r="B313" s="29" t="s">
        <v>1611</v>
      </c>
      <c r="C313" s="29" t="s">
        <v>281</v>
      </c>
      <c r="D313" s="29" t="s">
        <v>1612</v>
      </c>
      <c r="E313" s="29" t="s">
        <v>339</v>
      </c>
      <c r="F313" s="29" t="s">
        <v>1613</v>
      </c>
      <c r="G313" s="29" t="s">
        <v>1614</v>
      </c>
      <c r="H313" s="29" t="s">
        <v>1615</v>
      </c>
      <c r="I313" s="29" t="s">
        <v>467</v>
      </c>
      <c r="J313" s="29" t="s">
        <v>467</v>
      </c>
      <c r="K313" s="30" t="s">
        <v>44</v>
      </c>
      <c r="L313" s="31"/>
      <c r="M313" s="29"/>
    </row>
    <row r="314" customFormat="false" ht="114.75" hidden="false" customHeight="true" outlineLevel="0" collapsed="false">
      <c r="B314" s="29" t="s">
        <v>1616</v>
      </c>
      <c r="C314" s="29" t="s">
        <v>281</v>
      </c>
      <c r="D314" s="29" t="s">
        <v>1617</v>
      </c>
      <c r="E314" s="29" t="s">
        <v>326</v>
      </c>
      <c r="F314" s="29" t="s">
        <v>1618</v>
      </c>
      <c r="G314" s="29" t="s">
        <v>1619</v>
      </c>
      <c r="H314" s="29" t="s">
        <v>1620</v>
      </c>
      <c r="I314" s="29" t="s">
        <v>301</v>
      </c>
      <c r="J314" s="29" t="s">
        <v>201</v>
      </c>
      <c r="K314" s="30" t="s">
        <v>44</v>
      </c>
      <c r="L314" s="31"/>
      <c r="M314" s="29"/>
    </row>
    <row r="315" customFormat="false" ht="51" hidden="false" customHeight="true" outlineLevel="0" collapsed="false">
      <c r="B315" s="29" t="s">
        <v>1621</v>
      </c>
      <c r="C315" s="29" t="s">
        <v>281</v>
      </c>
      <c r="D315" s="29" t="s">
        <v>1622</v>
      </c>
      <c r="E315" s="29" t="s">
        <v>339</v>
      </c>
      <c r="F315" s="29" t="s">
        <v>1623</v>
      </c>
      <c r="G315" s="29" t="s">
        <v>1624</v>
      </c>
      <c r="H315" s="29" t="s">
        <v>1625</v>
      </c>
      <c r="I315" s="29" t="s">
        <v>301</v>
      </c>
      <c r="J315" s="29" t="s">
        <v>201</v>
      </c>
      <c r="K315" s="30" t="s">
        <v>44</v>
      </c>
      <c r="L315" s="31"/>
      <c r="M315" s="29"/>
    </row>
    <row r="316" customFormat="false" ht="76.5" hidden="false" customHeight="true" outlineLevel="0" collapsed="false">
      <c r="B316" s="29" t="s">
        <v>1626</v>
      </c>
      <c r="C316" s="29" t="s">
        <v>281</v>
      </c>
      <c r="D316" s="29" t="s">
        <v>1627</v>
      </c>
      <c r="E316" s="29" t="s">
        <v>339</v>
      </c>
      <c r="F316" s="29" t="s">
        <v>1628</v>
      </c>
      <c r="G316" s="29" t="s">
        <v>1629</v>
      </c>
      <c r="H316" s="29" t="s">
        <v>1630</v>
      </c>
      <c r="I316" s="29" t="s">
        <v>301</v>
      </c>
      <c r="J316" s="29" t="s">
        <v>201</v>
      </c>
      <c r="K316" s="30" t="s">
        <v>44</v>
      </c>
      <c r="L316" s="31"/>
      <c r="M316" s="29"/>
    </row>
    <row r="317" customFormat="false" ht="102" hidden="false" customHeight="true" outlineLevel="0" collapsed="false">
      <c r="B317" s="29" t="s">
        <v>1631</v>
      </c>
      <c r="C317" s="29" t="s">
        <v>281</v>
      </c>
      <c r="D317" s="29" t="s">
        <v>1632</v>
      </c>
      <c r="E317" s="29" t="s">
        <v>326</v>
      </c>
      <c r="F317" s="29" t="s">
        <v>1633</v>
      </c>
      <c r="G317" s="29" t="s">
        <v>1634</v>
      </c>
      <c r="H317" s="29" t="s">
        <v>1635</v>
      </c>
      <c r="I317" s="29" t="s">
        <v>301</v>
      </c>
      <c r="J317" s="29" t="s">
        <v>201</v>
      </c>
      <c r="K317" s="30" t="s">
        <v>44</v>
      </c>
      <c r="L317" s="31"/>
      <c r="M317" s="29"/>
    </row>
    <row r="318" customFormat="false" ht="114.75" hidden="false" customHeight="true" outlineLevel="0" collapsed="false">
      <c r="B318" s="29" t="s">
        <v>1636</v>
      </c>
      <c r="C318" s="29" t="s">
        <v>281</v>
      </c>
      <c r="D318" s="29" t="s">
        <v>1637</v>
      </c>
      <c r="E318" s="29" t="s">
        <v>205</v>
      </c>
      <c r="F318" s="29" t="s">
        <v>1638</v>
      </c>
      <c r="G318" s="29" t="s">
        <v>1639</v>
      </c>
      <c r="H318" s="29" t="s">
        <v>1640</v>
      </c>
      <c r="I318" s="29" t="s">
        <v>301</v>
      </c>
      <c r="J318" s="29" t="s">
        <v>201</v>
      </c>
      <c r="K318" s="30" t="s">
        <v>44</v>
      </c>
      <c r="L318" s="31"/>
      <c r="M318" s="29"/>
    </row>
    <row r="319" customFormat="false" ht="140.25" hidden="false" customHeight="true" outlineLevel="0" collapsed="false">
      <c r="B319" s="29" t="s">
        <v>1641</v>
      </c>
      <c r="C319" s="29" t="s">
        <v>281</v>
      </c>
      <c r="D319" s="29" t="s">
        <v>1642</v>
      </c>
      <c r="E319" s="29" t="s">
        <v>356</v>
      </c>
      <c r="F319" s="29" t="s">
        <v>1643</v>
      </c>
      <c r="G319" s="29" t="s">
        <v>1644</v>
      </c>
      <c r="H319" s="29" t="s">
        <v>1645</v>
      </c>
      <c r="I319" s="29" t="s">
        <v>301</v>
      </c>
      <c r="J319" s="29" t="s">
        <v>201</v>
      </c>
      <c r="K319" s="30" t="s">
        <v>44</v>
      </c>
      <c r="L319" s="31"/>
      <c r="M319" s="29"/>
    </row>
    <row r="320" customFormat="false" ht="63.75" hidden="false" customHeight="true" outlineLevel="0" collapsed="false">
      <c r="B320" s="29" t="s">
        <v>1646</v>
      </c>
      <c r="C320" s="29" t="s">
        <v>281</v>
      </c>
      <c r="D320" s="29" t="s">
        <v>1647</v>
      </c>
      <c r="E320" s="29" t="s">
        <v>205</v>
      </c>
      <c r="F320" s="29" t="s">
        <v>1648</v>
      </c>
      <c r="G320" s="29" t="s">
        <v>1649</v>
      </c>
      <c r="H320" s="29" t="s">
        <v>1650</v>
      </c>
      <c r="I320" s="29" t="s">
        <v>285</v>
      </c>
      <c r="J320" s="29" t="s">
        <v>795</v>
      </c>
      <c r="K320" s="30" t="s">
        <v>44</v>
      </c>
      <c r="L320" s="31"/>
      <c r="M320" s="29"/>
    </row>
    <row r="321" customFormat="false" ht="153" hidden="false" customHeight="true" outlineLevel="0" collapsed="false">
      <c r="B321" s="29" t="s">
        <v>1651</v>
      </c>
      <c r="C321" s="29" t="s">
        <v>281</v>
      </c>
      <c r="D321" s="29" t="s">
        <v>1652</v>
      </c>
      <c r="E321" s="29" t="s">
        <v>89</v>
      </c>
      <c r="F321" s="29" t="s">
        <v>1653</v>
      </c>
      <c r="G321" s="29" t="s">
        <v>1654</v>
      </c>
      <c r="H321" s="29" t="s">
        <v>1655</v>
      </c>
      <c r="I321" s="29" t="s">
        <v>42</v>
      </c>
      <c r="J321" s="29" t="s">
        <v>260</v>
      </c>
      <c r="K321" s="30" t="s">
        <v>44</v>
      </c>
      <c r="L321" s="31"/>
      <c r="M321" s="29"/>
    </row>
    <row r="322" customFormat="false" ht="38.25" hidden="false" customHeight="true" outlineLevel="0" collapsed="false">
      <c r="B322" s="29" t="s">
        <v>1656</v>
      </c>
      <c r="C322" s="29" t="s">
        <v>281</v>
      </c>
      <c r="D322" s="29" t="s">
        <v>1657</v>
      </c>
      <c r="E322" s="29" t="s">
        <v>326</v>
      </c>
      <c r="F322" s="29" t="s">
        <v>1658</v>
      </c>
      <c r="G322" s="29" t="s">
        <v>1659</v>
      </c>
      <c r="H322" s="29" t="s">
        <v>1660</v>
      </c>
      <c r="I322" s="29" t="s">
        <v>301</v>
      </c>
      <c r="J322" s="29" t="s">
        <v>201</v>
      </c>
      <c r="K322" s="30" t="s">
        <v>44</v>
      </c>
      <c r="L322" s="31"/>
      <c r="M322" s="29"/>
    </row>
    <row r="323" customFormat="false" ht="102" hidden="false" customHeight="true" outlineLevel="0" collapsed="false">
      <c r="B323" s="29" t="s">
        <v>1661</v>
      </c>
      <c r="C323" s="29" t="s">
        <v>281</v>
      </c>
      <c r="D323" s="29" t="s">
        <v>1662</v>
      </c>
      <c r="E323" s="29" t="s">
        <v>150</v>
      </c>
      <c r="F323" s="29" t="s">
        <v>1663</v>
      </c>
      <c r="G323" s="29" t="s">
        <v>1664</v>
      </c>
      <c r="H323" s="29" t="s">
        <v>1665</v>
      </c>
      <c r="I323" s="29" t="s">
        <v>153</v>
      </c>
      <c r="J323" s="29" t="s">
        <v>154</v>
      </c>
      <c r="K323" s="30" t="s">
        <v>44</v>
      </c>
      <c r="L323" s="31"/>
      <c r="M323" s="29"/>
    </row>
    <row r="324" customFormat="false" ht="114.75" hidden="false" customHeight="true" outlineLevel="0" collapsed="false">
      <c r="B324" s="29" t="s">
        <v>1666</v>
      </c>
      <c r="C324" s="29" t="s">
        <v>281</v>
      </c>
      <c r="D324" s="29" t="s">
        <v>1667</v>
      </c>
      <c r="E324" s="29" t="s">
        <v>205</v>
      </c>
      <c r="F324" s="29" t="s">
        <v>1668</v>
      </c>
      <c r="G324" s="29" t="s">
        <v>1669</v>
      </c>
      <c r="H324" s="29" t="s">
        <v>1670</v>
      </c>
      <c r="I324" s="29" t="s">
        <v>301</v>
      </c>
      <c r="J324" s="29" t="s">
        <v>201</v>
      </c>
      <c r="K324" s="30" t="s">
        <v>44</v>
      </c>
      <c r="L324" s="31"/>
      <c r="M324" s="29"/>
    </row>
    <row r="325" customFormat="false" ht="63.75" hidden="false" customHeight="true" outlineLevel="0" collapsed="false">
      <c r="B325" s="29" t="s">
        <v>1671</v>
      </c>
      <c r="C325" s="29" t="s">
        <v>281</v>
      </c>
      <c r="D325" s="29" t="s">
        <v>1672</v>
      </c>
      <c r="E325" s="29" t="s">
        <v>595</v>
      </c>
      <c r="F325" s="29" t="s">
        <v>1673</v>
      </c>
      <c r="G325" s="29" t="s">
        <v>1674</v>
      </c>
      <c r="H325" s="29" t="s">
        <v>1675</v>
      </c>
      <c r="I325" s="29" t="s">
        <v>467</v>
      </c>
      <c r="J325" s="29" t="s">
        <v>467</v>
      </c>
      <c r="K325" s="30" t="s">
        <v>44</v>
      </c>
      <c r="L325" s="31"/>
      <c r="M325" s="29"/>
    </row>
    <row r="326" customFormat="false" ht="114.75" hidden="false" customHeight="true" outlineLevel="0" collapsed="false">
      <c r="B326" s="29" t="s">
        <v>1676</v>
      </c>
      <c r="C326" s="29" t="s">
        <v>281</v>
      </c>
      <c r="D326" s="29" t="s">
        <v>1677</v>
      </c>
      <c r="E326" s="29" t="s">
        <v>350</v>
      </c>
      <c r="F326" s="29" t="s">
        <v>1678</v>
      </c>
      <c r="G326" s="29" t="s">
        <v>1679</v>
      </c>
      <c r="H326" s="29" t="s">
        <v>1680</v>
      </c>
      <c r="I326" s="29" t="s">
        <v>301</v>
      </c>
      <c r="J326" s="29" t="s">
        <v>201</v>
      </c>
      <c r="K326" s="30" t="s">
        <v>44</v>
      </c>
      <c r="L326" s="31"/>
      <c r="M326" s="29"/>
    </row>
    <row r="327" customFormat="false" ht="409.5" hidden="false" customHeight="true" outlineLevel="0" collapsed="false">
      <c r="B327" s="29" t="s">
        <v>1681</v>
      </c>
      <c r="C327" s="29" t="s">
        <v>281</v>
      </c>
      <c r="D327" s="29" t="s">
        <v>1682</v>
      </c>
      <c r="E327" s="29" t="s">
        <v>356</v>
      </c>
      <c r="F327" s="29" t="s">
        <v>1683</v>
      </c>
      <c r="G327" s="29" t="s">
        <v>1684</v>
      </c>
      <c r="H327" s="29" t="s">
        <v>1685</v>
      </c>
      <c r="I327" s="29" t="s">
        <v>42</v>
      </c>
      <c r="J327" s="29" t="s">
        <v>43</v>
      </c>
      <c r="K327" s="30" t="s">
        <v>44</v>
      </c>
      <c r="L327" s="31"/>
      <c r="M327" s="29"/>
    </row>
    <row r="328" customFormat="false" ht="165.75" hidden="false" customHeight="true" outlineLevel="0" collapsed="false">
      <c r="B328" s="29" t="s">
        <v>1686</v>
      </c>
      <c r="C328" s="29" t="s">
        <v>281</v>
      </c>
      <c r="D328" s="29" t="s">
        <v>1687</v>
      </c>
      <c r="E328" s="29" t="s">
        <v>150</v>
      </c>
      <c r="F328" s="29" t="s">
        <v>1688</v>
      </c>
      <c r="G328" s="29" t="s">
        <v>1689</v>
      </c>
      <c r="H328" s="29" t="s">
        <v>1690</v>
      </c>
      <c r="I328" s="29" t="s">
        <v>467</v>
      </c>
      <c r="J328" s="29" t="s">
        <v>467</v>
      </c>
      <c r="K328" s="30" t="s">
        <v>44</v>
      </c>
      <c r="L328" s="31"/>
      <c r="M328" s="29"/>
    </row>
    <row r="329" customFormat="false" ht="38.25" hidden="false" customHeight="true" outlineLevel="0" collapsed="false">
      <c r="B329" s="29" t="s">
        <v>1691</v>
      </c>
      <c r="C329" s="29" t="s">
        <v>281</v>
      </c>
      <c r="D329" s="29" t="s">
        <v>1692</v>
      </c>
      <c r="E329" s="29" t="s">
        <v>150</v>
      </c>
      <c r="F329" s="29" t="s">
        <v>1693</v>
      </c>
      <c r="G329" s="29" t="s">
        <v>1694</v>
      </c>
      <c r="H329" s="29" t="s">
        <v>1695</v>
      </c>
      <c r="I329" s="29" t="s">
        <v>285</v>
      </c>
      <c r="J329" s="29" t="s">
        <v>1696</v>
      </c>
      <c r="K329" s="30" t="s">
        <v>44</v>
      </c>
      <c r="L329" s="31"/>
      <c r="M329" s="29"/>
    </row>
    <row r="330" customFormat="false" ht="114.75" hidden="false" customHeight="true" outlineLevel="0" collapsed="false">
      <c r="B330" s="29" t="s">
        <v>1697</v>
      </c>
      <c r="C330" s="29" t="s">
        <v>281</v>
      </c>
      <c r="D330" s="29" t="s">
        <v>1698</v>
      </c>
      <c r="E330" s="29" t="s">
        <v>339</v>
      </c>
      <c r="F330" s="29" t="s">
        <v>1699</v>
      </c>
      <c r="G330" s="29" t="s">
        <v>1700</v>
      </c>
      <c r="H330" s="29" t="s">
        <v>1701</v>
      </c>
      <c r="I330" s="29" t="s">
        <v>301</v>
      </c>
      <c r="J330" s="29" t="s">
        <v>201</v>
      </c>
      <c r="K330" s="30" t="s">
        <v>44</v>
      </c>
      <c r="L330" s="31"/>
      <c r="M330" s="29"/>
    </row>
    <row r="331" customFormat="false" ht="51" hidden="false" customHeight="true" outlineLevel="0" collapsed="false">
      <c r="B331" s="29" t="s">
        <v>1702</v>
      </c>
      <c r="C331" s="29" t="s">
        <v>281</v>
      </c>
      <c r="D331" s="29" t="s">
        <v>1703</v>
      </c>
      <c r="E331" s="29" t="s">
        <v>205</v>
      </c>
      <c r="F331" s="29" t="s">
        <v>1704</v>
      </c>
      <c r="G331" s="29" t="s">
        <v>1705</v>
      </c>
      <c r="H331" s="29" t="s">
        <v>1706</v>
      </c>
      <c r="I331" s="29" t="s">
        <v>301</v>
      </c>
      <c r="J331" s="29" t="s">
        <v>201</v>
      </c>
      <c r="K331" s="30" t="s">
        <v>44</v>
      </c>
      <c r="L331" s="31"/>
      <c r="M331" s="29"/>
    </row>
    <row r="332" customFormat="false" ht="51" hidden="false" customHeight="true" outlineLevel="0" collapsed="false">
      <c r="B332" s="29" t="s">
        <v>1707</v>
      </c>
      <c r="C332" s="29" t="s">
        <v>281</v>
      </c>
      <c r="D332" s="29" t="s">
        <v>1708</v>
      </c>
      <c r="E332" s="29" t="s">
        <v>350</v>
      </c>
      <c r="F332" s="29" t="s">
        <v>1603</v>
      </c>
      <c r="G332" s="29" t="s">
        <v>1604</v>
      </c>
      <c r="H332" s="29" t="s">
        <v>1605</v>
      </c>
      <c r="I332" s="29" t="s">
        <v>153</v>
      </c>
      <c r="J332" s="29" t="s">
        <v>154</v>
      </c>
      <c r="K332" s="30" t="s">
        <v>44</v>
      </c>
      <c r="L332" s="31"/>
      <c r="M332" s="29"/>
    </row>
    <row r="333" customFormat="false" ht="114.75" hidden="false" customHeight="true" outlineLevel="0" collapsed="false">
      <c r="B333" s="29" t="s">
        <v>1709</v>
      </c>
      <c r="C333" s="29" t="s">
        <v>281</v>
      </c>
      <c r="D333" s="29" t="s">
        <v>1710</v>
      </c>
      <c r="E333" s="29" t="s">
        <v>350</v>
      </c>
      <c r="F333" s="29" t="s">
        <v>1711</v>
      </c>
      <c r="G333" s="29" t="s">
        <v>1712</v>
      </c>
      <c r="H333" s="29" t="s">
        <v>1713</v>
      </c>
      <c r="I333" s="29" t="s">
        <v>301</v>
      </c>
      <c r="J333" s="29" t="s">
        <v>201</v>
      </c>
      <c r="K333" s="30" t="s">
        <v>44</v>
      </c>
      <c r="L333" s="31"/>
      <c r="M333" s="29"/>
    </row>
    <row r="334" customFormat="false" ht="89.25" hidden="false" customHeight="true" outlineLevel="0" collapsed="false">
      <c r="B334" s="29" t="s">
        <v>1714</v>
      </c>
      <c r="C334" s="29" t="s">
        <v>281</v>
      </c>
      <c r="D334" s="29" t="s">
        <v>1715</v>
      </c>
      <c r="E334" s="29" t="s">
        <v>339</v>
      </c>
      <c r="F334" s="29" t="s">
        <v>1716</v>
      </c>
      <c r="G334" s="29" t="s">
        <v>1717</v>
      </c>
      <c r="H334" s="29" t="s">
        <v>1718</v>
      </c>
      <c r="I334" s="29" t="s">
        <v>301</v>
      </c>
      <c r="J334" s="29" t="s">
        <v>201</v>
      </c>
      <c r="K334" s="30" t="s">
        <v>44</v>
      </c>
      <c r="L334" s="31"/>
      <c r="M334" s="29"/>
    </row>
    <row r="335" customFormat="false" ht="63.75" hidden="false" customHeight="true" outlineLevel="0" collapsed="false">
      <c r="B335" s="29" t="s">
        <v>1719</v>
      </c>
      <c r="C335" s="29" t="s">
        <v>281</v>
      </c>
      <c r="D335" s="29" t="s">
        <v>1720</v>
      </c>
      <c r="E335" s="29" t="s">
        <v>595</v>
      </c>
      <c r="F335" s="29" t="s">
        <v>1721</v>
      </c>
      <c r="G335" s="29" t="s">
        <v>1722</v>
      </c>
      <c r="H335" s="29" t="s">
        <v>1723</v>
      </c>
      <c r="I335" s="29" t="s">
        <v>467</v>
      </c>
      <c r="J335" s="29" t="s">
        <v>467</v>
      </c>
      <c r="K335" s="30" t="s">
        <v>44</v>
      </c>
      <c r="L335" s="31"/>
      <c r="M335" s="29"/>
    </row>
    <row r="336" customFormat="false" ht="89.25" hidden="false" customHeight="true" outlineLevel="0" collapsed="false">
      <c r="B336" s="29" t="s">
        <v>1724</v>
      </c>
      <c r="C336" s="29" t="s">
        <v>281</v>
      </c>
      <c r="D336" s="29" t="s">
        <v>1725</v>
      </c>
      <c r="E336" s="29" t="s">
        <v>350</v>
      </c>
      <c r="F336" s="29" t="s">
        <v>1726</v>
      </c>
      <c r="G336" s="29" t="s">
        <v>1727</v>
      </c>
      <c r="H336" s="29" t="s">
        <v>1728</v>
      </c>
      <c r="I336" s="29" t="s">
        <v>301</v>
      </c>
      <c r="J336" s="29" t="s">
        <v>201</v>
      </c>
      <c r="K336" s="30" t="s">
        <v>44</v>
      </c>
      <c r="L336" s="31"/>
      <c r="M336" s="29"/>
    </row>
    <row r="337" customFormat="false" ht="63.75" hidden="false" customHeight="true" outlineLevel="0" collapsed="false">
      <c r="B337" s="29" t="s">
        <v>1729</v>
      </c>
      <c r="C337" s="29" t="s">
        <v>281</v>
      </c>
      <c r="D337" s="29" t="s">
        <v>1730</v>
      </c>
      <c r="E337" s="29" t="s">
        <v>339</v>
      </c>
      <c r="F337" s="29" t="s">
        <v>1731</v>
      </c>
      <c r="G337" s="29" t="s">
        <v>1732</v>
      </c>
      <c r="H337" s="29" t="s">
        <v>1733</v>
      </c>
      <c r="I337" s="29" t="s">
        <v>301</v>
      </c>
      <c r="J337" s="29" t="s">
        <v>201</v>
      </c>
      <c r="K337" s="30" t="s">
        <v>44</v>
      </c>
      <c r="L337" s="31"/>
      <c r="M337" s="29"/>
    </row>
    <row r="338" customFormat="false" ht="89.25" hidden="false" customHeight="true" outlineLevel="0" collapsed="false">
      <c r="B338" s="29" t="s">
        <v>1734</v>
      </c>
      <c r="C338" s="29" t="s">
        <v>281</v>
      </c>
      <c r="D338" s="29" t="s">
        <v>1735</v>
      </c>
      <c r="E338" s="29" t="s">
        <v>339</v>
      </c>
      <c r="F338" s="29" t="s">
        <v>1736</v>
      </c>
      <c r="G338" s="29" t="s">
        <v>1737</v>
      </c>
      <c r="H338" s="29" t="s">
        <v>1738</v>
      </c>
      <c r="I338" s="29" t="s">
        <v>301</v>
      </c>
      <c r="J338" s="29" t="s">
        <v>201</v>
      </c>
      <c r="K338" s="30" t="s">
        <v>44</v>
      </c>
      <c r="L338" s="31"/>
      <c r="M338" s="29"/>
    </row>
    <row r="339" customFormat="false" ht="89.25" hidden="false" customHeight="true" outlineLevel="0" collapsed="false">
      <c r="B339" s="29" t="s">
        <v>1739</v>
      </c>
      <c r="C339" s="29" t="s">
        <v>281</v>
      </c>
      <c r="D339" s="29" t="s">
        <v>1740</v>
      </c>
      <c r="E339" s="29" t="s">
        <v>326</v>
      </c>
      <c r="F339" s="29" t="s">
        <v>1741</v>
      </c>
      <c r="G339" s="29" t="s">
        <v>1742</v>
      </c>
      <c r="H339" s="29" t="s">
        <v>1743</v>
      </c>
      <c r="I339" s="29" t="s">
        <v>301</v>
      </c>
      <c r="J339" s="29" t="s">
        <v>201</v>
      </c>
      <c r="K339" s="30" t="s">
        <v>44</v>
      </c>
      <c r="L339" s="31"/>
      <c r="M339" s="29"/>
    </row>
    <row r="340" customFormat="false" ht="51" hidden="false" customHeight="true" outlineLevel="0" collapsed="false">
      <c r="B340" s="29" t="s">
        <v>1744</v>
      </c>
      <c r="C340" s="29" t="s">
        <v>281</v>
      </c>
      <c r="D340" s="29" t="s">
        <v>1745</v>
      </c>
      <c r="E340" s="29" t="s">
        <v>326</v>
      </c>
      <c r="F340" s="29" t="s">
        <v>1746</v>
      </c>
      <c r="G340" s="29" t="s">
        <v>1747</v>
      </c>
      <c r="H340" s="29" t="s">
        <v>1748</v>
      </c>
      <c r="I340" s="29" t="s">
        <v>301</v>
      </c>
      <c r="J340" s="29" t="s">
        <v>201</v>
      </c>
      <c r="K340" s="30" t="s">
        <v>44</v>
      </c>
      <c r="L340" s="31"/>
      <c r="M340" s="29"/>
    </row>
    <row r="341" customFormat="false" ht="63.75" hidden="false" customHeight="true" outlineLevel="0" collapsed="false">
      <c r="B341" s="29" t="s">
        <v>1749</v>
      </c>
      <c r="C341" s="29" t="s">
        <v>281</v>
      </c>
      <c r="D341" s="29" t="s">
        <v>1750</v>
      </c>
      <c r="E341" s="29" t="s">
        <v>205</v>
      </c>
      <c r="F341" s="29" t="s">
        <v>1751</v>
      </c>
      <c r="G341" s="29" t="s">
        <v>1752</v>
      </c>
      <c r="H341" s="29" t="s">
        <v>1753</v>
      </c>
      <c r="I341" s="29" t="s">
        <v>301</v>
      </c>
      <c r="J341" s="29" t="s">
        <v>201</v>
      </c>
      <c r="K341" s="30" t="s">
        <v>44</v>
      </c>
      <c r="L341" s="31"/>
      <c r="M341" s="29"/>
    </row>
    <row r="342" customFormat="false" ht="102" hidden="false" customHeight="true" outlineLevel="0" collapsed="false">
      <c r="B342" s="29" t="s">
        <v>1754</v>
      </c>
      <c r="C342" s="29" t="s">
        <v>281</v>
      </c>
      <c r="D342" s="29" t="s">
        <v>1755</v>
      </c>
      <c r="E342" s="29" t="s">
        <v>356</v>
      </c>
      <c r="F342" s="29" t="s">
        <v>1756</v>
      </c>
      <c r="G342" s="29" t="s">
        <v>1757</v>
      </c>
      <c r="H342" s="29" t="s">
        <v>1758</v>
      </c>
      <c r="I342" s="29" t="s">
        <v>301</v>
      </c>
      <c r="J342" s="29" t="s">
        <v>201</v>
      </c>
      <c r="K342" s="30" t="s">
        <v>44</v>
      </c>
      <c r="L342" s="31"/>
      <c r="M342" s="29"/>
    </row>
    <row r="343" customFormat="false" ht="63.75" hidden="false" customHeight="true" outlineLevel="0" collapsed="false">
      <c r="B343" s="29" t="s">
        <v>1759</v>
      </c>
      <c r="C343" s="29" t="s">
        <v>281</v>
      </c>
      <c r="D343" s="29" t="s">
        <v>1760</v>
      </c>
      <c r="E343" s="29" t="s">
        <v>350</v>
      </c>
      <c r="F343" s="29" t="s">
        <v>1761</v>
      </c>
      <c r="G343" s="29" t="s">
        <v>1762</v>
      </c>
      <c r="H343" s="29" t="s">
        <v>1763</v>
      </c>
      <c r="I343" s="29" t="s">
        <v>301</v>
      </c>
      <c r="J343" s="29" t="s">
        <v>201</v>
      </c>
      <c r="K343" s="30" t="s">
        <v>44</v>
      </c>
      <c r="L343" s="31"/>
      <c r="M343" s="29"/>
    </row>
    <row r="344" customFormat="false" ht="63.75" hidden="false" customHeight="true" outlineLevel="0" collapsed="false">
      <c r="B344" s="29" t="s">
        <v>1764</v>
      </c>
      <c r="C344" s="29" t="s">
        <v>281</v>
      </c>
      <c r="D344" s="29" t="s">
        <v>1765</v>
      </c>
      <c r="E344" s="29" t="s">
        <v>326</v>
      </c>
      <c r="F344" s="29" t="s">
        <v>1766</v>
      </c>
      <c r="G344" s="29" t="s">
        <v>1767</v>
      </c>
      <c r="H344" s="29" t="s">
        <v>1768</v>
      </c>
      <c r="I344" s="29" t="s">
        <v>301</v>
      </c>
      <c r="J344" s="29" t="s">
        <v>201</v>
      </c>
      <c r="K344" s="30" t="s">
        <v>44</v>
      </c>
      <c r="L344" s="31"/>
      <c r="M344" s="29"/>
    </row>
    <row r="345" customFormat="false" ht="114.75" hidden="false" customHeight="true" outlineLevel="0" collapsed="false">
      <c r="B345" s="29" t="s">
        <v>1769</v>
      </c>
      <c r="C345" s="29" t="s">
        <v>281</v>
      </c>
      <c r="D345" s="29" t="s">
        <v>1770</v>
      </c>
      <c r="E345" s="29" t="s">
        <v>595</v>
      </c>
      <c r="F345" s="29" t="s">
        <v>1771</v>
      </c>
      <c r="G345" s="29" t="s">
        <v>1772</v>
      </c>
      <c r="H345" s="29" t="s">
        <v>1773</v>
      </c>
      <c r="I345" s="29" t="s">
        <v>467</v>
      </c>
      <c r="J345" s="29" t="s">
        <v>467</v>
      </c>
      <c r="K345" s="30" t="s">
        <v>44</v>
      </c>
      <c r="L345" s="31"/>
      <c r="M345" s="29"/>
    </row>
    <row r="346" customFormat="false" ht="51" hidden="false" customHeight="true" outlineLevel="0" collapsed="false">
      <c r="B346" s="29" t="s">
        <v>1774</v>
      </c>
      <c r="C346" s="29" t="s">
        <v>281</v>
      </c>
      <c r="D346" s="29" t="s">
        <v>1775</v>
      </c>
      <c r="E346" s="29" t="s">
        <v>326</v>
      </c>
      <c r="F346" s="29" t="s">
        <v>1776</v>
      </c>
      <c r="G346" s="29" t="s">
        <v>1321</v>
      </c>
      <c r="H346" s="29" t="s">
        <v>1777</v>
      </c>
      <c r="I346" s="29" t="s">
        <v>301</v>
      </c>
      <c r="J346" s="29" t="s">
        <v>201</v>
      </c>
      <c r="K346" s="30" t="s">
        <v>44</v>
      </c>
      <c r="L346" s="31"/>
      <c r="M346" s="29"/>
    </row>
    <row r="347" customFormat="false" ht="89.25" hidden="false" customHeight="true" outlineLevel="0" collapsed="false">
      <c r="B347" s="29" t="s">
        <v>1778</v>
      </c>
      <c r="C347" s="29" t="s">
        <v>281</v>
      </c>
      <c r="D347" s="29" t="s">
        <v>1779</v>
      </c>
      <c r="E347" s="29" t="s">
        <v>595</v>
      </c>
      <c r="F347" s="29" t="s">
        <v>1780</v>
      </c>
      <c r="G347" s="29" t="s">
        <v>1781</v>
      </c>
      <c r="H347" s="29" t="s">
        <v>1782</v>
      </c>
      <c r="I347" s="29" t="s">
        <v>467</v>
      </c>
      <c r="J347" s="29" t="s">
        <v>467</v>
      </c>
      <c r="K347" s="30" t="s">
        <v>44</v>
      </c>
      <c r="L347" s="31"/>
      <c r="M347" s="29"/>
    </row>
    <row r="348" customFormat="false" ht="204" hidden="false" customHeight="true" outlineLevel="0" collapsed="false">
      <c r="B348" s="29" t="s">
        <v>1783</v>
      </c>
      <c r="C348" s="29" t="s">
        <v>281</v>
      </c>
      <c r="D348" s="29" t="s">
        <v>1784</v>
      </c>
      <c r="E348" s="29" t="s">
        <v>39</v>
      </c>
      <c r="F348" s="29" t="s">
        <v>1785</v>
      </c>
      <c r="G348" s="29" t="s">
        <v>1786</v>
      </c>
      <c r="H348" s="29" t="s">
        <v>1787</v>
      </c>
      <c r="I348" s="29" t="s">
        <v>42</v>
      </c>
      <c r="J348" s="29" t="s">
        <v>43</v>
      </c>
      <c r="K348" s="30" t="s">
        <v>44</v>
      </c>
      <c r="L348" s="31"/>
      <c r="M348" s="29"/>
    </row>
    <row r="349" customFormat="false" ht="76.5" hidden="false" customHeight="true" outlineLevel="0" collapsed="false">
      <c r="B349" s="29" t="s">
        <v>1788</v>
      </c>
      <c r="C349" s="29" t="s">
        <v>281</v>
      </c>
      <c r="D349" s="29" t="s">
        <v>1789</v>
      </c>
      <c r="E349" s="29" t="s">
        <v>339</v>
      </c>
      <c r="F349" s="29" t="s">
        <v>1790</v>
      </c>
      <c r="G349" s="29" t="s">
        <v>1791</v>
      </c>
      <c r="H349" s="29" t="s">
        <v>1792</v>
      </c>
      <c r="I349" s="29" t="s">
        <v>301</v>
      </c>
      <c r="J349" s="29" t="s">
        <v>201</v>
      </c>
      <c r="K349" s="30" t="s">
        <v>44</v>
      </c>
      <c r="L349" s="31"/>
      <c r="M349" s="29"/>
    </row>
    <row r="350" customFormat="false" ht="63.75" hidden="false" customHeight="true" outlineLevel="0" collapsed="false">
      <c r="B350" s="29" t="s">
        <v>1793</v>
      </c>
      <c r="C350" s="29" t="s">
        <v>281</v>
      </c>
      <c r="D350" s="29" t="s">
        <v>1794</v>
      </c>
      <c r="E350" s="29" t="s">
        <v>339</v>
      </c>
      <c r="F350" s="29" t="s">
        <v>1795</v>
      </c>
      <c r="G350" s="29" t="s">
        <v>1796</v>
      </c>
      <c r="H350" s="29" t="s">
        <v>1797</v>
      </c>
      <c r="I350" s="29" t="s">
        <v>301</v>
      </c>
      <c r="J350" s="29" t="s">
        <v>201</v>
      </c>
      <c r="K350" s="30" t="s">
        <v>44</v>
      </c>
      <c r="L350" s="31"/>
      <c r="M350" s="29"/>
    </row>
    <row r="351" customFormat="false" ht="127.5" hidden="false" customHeight="true" outlineLevel="0" collapsed="false">
      <c r="B351" s="29" t="s">
        <v>1798</v>
      </c>
      <c r="C351" s="29" t="s">
        <v>281</v>
      </c>
      <c r="D351" s="29" t="s">
        <v>1799</v>
      </c>
      <c r="E351" s="29" t="s">
        <v>538</v>
      </c>
      <c r="F351" s="29" t="s">
        <v>1800</v>
      </c>
      <c r="G351" s="29" t="s">
        <v>1801</v>
      </c>
      <c r="H351" s="29" t="s">
        <v>1802</v>
      </c>
      <c r="I351" s="29" t="s">
        <v>467</v>
      </c>
      <c r="J351" s="29" t="s">
        <v>467</v>
      </c>
      <c r="K351" s="30" t="s">
        <v>44</v>
      </c>
      <c r="L351" s="31"/>
      <c r="M351" s="29"/>
    </row>
    <row r="352" customFormat="false" ht="127.5" hidden="false" customHeight="true" outlineLevel="0" collapsed="false">
      <c r="B352" s="29" t="s">
        <v>1803</v>
      </c>
      <c r="C352" s="29" t="s">
        <v>281</v>
      </c>
      <c r="D352" s="29" t="s">
        <v>1804</v>
      </c>
      <c r="E352" s="29" t="s">
        <v>339</v>
      </c>
      <c r="F352" s="29" t="s">
        <v>1805</v>
      </c>
      <c r="G352" s="29" t="s">
        <v>1806</v>
      </c>
      <c r="H352" s="29" t="s">
        <v>1807</v>
      </c>
      <c r="I352" s="29" t="s">
        <v>301</v>
      </c>
      <c r="J352" s="29" t="s">
        <v>201</v>
      </c>
      <c r="K352" s="30" t="s">
        <v>44</v>
      </c>
      <c r="L352" s="31"/>
      <c r="M352" s="29"/>
    </row>
    <row r="353" customFormat="false" ht="38.25" hidden="false" customHeight="true" outlineLevel="0" collapsed="false">
      <c r="B353" s="29" t="s">
        <v>1808</v>
      </c>
      <c r="C353" s="29" t="s">
        <v>281</v>
      </c>
      <c r="D353" s="29" t="s">
        <v>1809</v>
      </c>
      <c r="E353" s="29" t="s">
        <v>326</v>
      </c>
      <c r="F353" s="29" t="s">
        <v>1810</v>
      </c>
      <c r="G353" s="29" t="s">
        <v>1811</v>
      </c>
      <c r="H353" s="29" t="s">
        <v>1812</v>
      </c>
      <c r="I353" s="29" t="s">
        <v>301</v>
      </c>
      <c r="J353" s="29" t="s">
        <v>201</v>
      </c>
      <c r="K353" s="30" t="s">
        <v>44</v>
      </c>
      <c r="L353" s="31"/>
      <c r="M353" s="29"/>
    </row>
    <row r="354" customFormat="false" ht="191.25" hidden="false" customHeight="true" outlineLevel="0" collapsed="false">
      <c r="B354" s="29" t="s">
        <v>1813</v>
      </c>
      <c r="C354" s="29" t="s">
        <v>281</v>
      </c>
      <c r="D354" s="29" t="s">
        <v>1814</v>
      </c>
      <c r="E354" s="29" t="s">
        <v>350</v>
      </c>
      <c r="F354" s="29" t="s">
        <v>1815</v>
      </c>
      <c r="G354" s="29" t="s">
        <v>1816</v>
      </c>
      <c r="H354" s="29" t="s">
        <v>1817</v>
      </c>
      <c r="I354" s="29" t="s">
        <v>301</v>
      </c>
      <c r="J354" s="29" t="s">
        <v>201</v>
      </c>
      <c r="K354" s="30" t="s">
        <v>44</v>
      </c>
      <c r="L354" s="31"/>
      <c r="M354" s="29"/>
    </row>
    <row r="355" customFormat="false" ht="76.5" hidden="false" customHeight="true" outlineLevel="0" collapsed="false">
      <c r="B355" s="29" t="s">
        <v>1818</v>
      </c>
      <c r="C355" s="29" t="s">
        <v>281</v>
      </c>
      <c r="D355" s="29" t="s">
        <v>1819</v>
      </c>
      <c r="E355" s="29" t="s">
        <v>339</v>
      </c>
      <c r="F355" s="29" t="s">
        <v>1820</v>
      </c>
      <c r="G355" s="29" t="s">
        <v>1821</v>
      </c>
      <c r="H355" s="29" t="s">
        <v>1822</v>
      </c>
      <c r="I355" s="29" t="s">
        <v>301</v>
      </c>
      <c r="J355" s="29" t="s">
        <v>201</v>
      </c>
      <c r="K355" s="30" t="s">
        <v>44</v>
      </c>
      <c r="L355" s="31"/>
      <c r="M355" s="29"/>
    </row>
    <row r="356" customFormat="false" ht="63.75" hidden="false" customHeight="true" outlineLevel="0" collapsed="false">
      <c r="B356" s="29" t="s">
        <v>1823</v>
      </c>
      <c r="C356" s="29" t="s">
        <v>281</v>
      </c>
      <c r="D356" s="29" t="s">
        <v>1824</v>
      </c>
      <c r="E356" s="29" t="s">
        <v>205</v>
      </c>
      <c r="F356" s="29" t="s">
        <v>1825</v>
      </c>
      <c r="G356" s="29" t="s">
        <v>1826</v>
      </c>
      <c r="H356" s="29" t="s">
        <v>1827</v>
      </c>
      <c r="I356" s="29" t="s">
        <v>301</v>
      </c>
      <c r="J356" s="29" t="s">
        <v>201</v>
      </c>
      <c r="K356" s="30" t="s">
        <v>44</v>
      </c>
      <c r="L356" s="31"/>
      <c r="M356" s="29"/>
    </row>
    <row r="357" customFormat="false" ht="51" hidden="false" customHeight="true" outlineLevel="0" collapsed="false">
      <c r="B357" s="29" t="s">
        <v>1828</v>
      </c>
      <c r="C357" s="29" t="s">
        <v>281</v>
      </c>
      <c r="D357" s="29" t="s">
        <v>1829</v>
      </c>
      <c r="E357" s="29" t="s">
        <v>326</v>
      </c>
      <c r="F357" s="29" t="s">
        <v>1830</v>
      </c>
      <c r="G357" s="29" t="s">
        <v>1831</v>
      </c>
      <c r="H357" s="29" t="s">
        <v>1832</v>
      </c>
      <c r="I357" s="29" t="s">
        <v>301</v>
      </c>
      <c r="J357" s="29" t="s">
        <v>201</v>
      </c>
      <c r="K357" s="30" t="s">
        <v>44</v>
      </c>
      <c r="L357" s="31"/>
      <c r="M357" s="29"/>
    </row>
    <row r="358" customFormat="false" ht="63.75" hidden="false" customHeight="true" outlineLevel="0" collapsed="false">
      <c r="B358" s="29" t="s">
        <v>1833</v>
      </c>
      <c r="C358" s="29" t="s">
        <v>281</v>
      </c>
      <c r="D358" s="29" t="s">
        <v>1834</v>
      </c>
      <c r="E358" s="29" t="s">
        <v>339</v>
      </c>
      <c r="F358" s="29" t="s">
        <v>1835</v>
      </c>
      <c r="G358" s="29" t="s">
        <v>1836</v>
      </c>
      <c r="H358" s="29" t="s">
        <v>1837</v>
      </c>
      <c r="I358" s="29" t="s">
        <v>301</v>
      </c>
      <c r="J358" s="29" t="s">
        <v>201</v>
      </c>
      <c r="K358" s="30" t="s">
        <v>44</v>
      </c>
      <c r="L358" s="31"/>
      <c r="M358" s="29"/>
    </row>
    <row r="359" customFormat="false" ht="191.25" hidden="false" customHeight="true" outlineLevel="0" collapsed="false">
      <c r="B359" s="29" t="s">
        <v>1838</v>
      </c>
      <c r="C359" s="29" t="s">
        <v>281</v>
      </c>
      <c r="D359" s="29" t="s">
        <v>1839</v>
      </c>
      <c r="E359" s="29" t="s">
        <v>326</v>
      </c>
      <c r="F359" s="29" t="s">
        <v>1840</v>
      </c>
      <c r="G359" s="29" t="s">
        <v>1841</v>
      </c>
      <c r="H359" s="29" t="s">
        <v>1842</v>
      </c>
      <c r="I359" s="29" t="s">
        <v>301</v>
      </c>
      <c r="J359" s="29" t="s">
        <v>201</v>
      </c>
      <c r="K359" s="30" t="s">
        <v>44</v>
      </c>
      <c r="L359" s="31"/>
      <c r="M359" s="29"/>
    </row>
    <row r="360" customFormat="false" ht="153" hidden="false" customHeight="true" outlineLevel="0" collapsed="false">
      <c r="B360" s="29" t="s">
        <v>1843</v>
      </c>
      <c r="C360" s="29" t="s">
        <v>281</v>
      </c>
      <c r="D360" s="29" t="s">
        <v>1844</v>
      </c>
      <c r="E360" s="29" t="s">
        <v>339</v>
      </c>
      <c r="F360" s="29" t="s">
        <v>1845</v>
      </c>
      <c r="G360" s="29" t="s">
        <v>1846</v>
      </c>
      <c r="H360" s="29" t="s">
        <v>1847</v>
      </c>
      <c r="I360" s="29" t="s">
        <v>301</v>
      </c>
      <c r="J360" s="29" t="s">
        <v>201</v>
      </c>
      <c r="K360" s="30" t="s">
        <v>44</v>
      </c>
      <c r="L360" s="31"/>
      <c r="M360" s="29"/>
    </row>
    <row r="361" customFormat="false" ht="63.75" hidden="false" customHeight="true" outlineLevel="0" collapsed="false">
      <c r="B361" s="29" t="s">
        <v>1848</v>
      </c>
      <c r="C361" s="29" t="s">
        <v>281</v>
      </c>
      <c r="D361" s="29" t="s">
        <v>1849</v>
      </c>
      <c r="E361" s="29" t="s">
        <v>538</v>
      </c>
      <c r="F361" s="29" t="s">
        <v>1850</v>
      </c>
      <c r="G361" s="29" t="s">
        <v>1851</v>
      </c>
      <c r="H361" s="29" t="s">
        <v>1852</v>
      </c>
      <c r="I361" s="29" t="s">
        <v>467</v>
      </c>
      <c r="J361" s="29" t="s">
        <v>467</v>
      </c>
      <c r="K361" s="30" t="s">
        <v>44</v>
      </c>
      <c r="L361" s="31"/>
      <c r="M361" s="29"/>
    </row>
    <row r="362" customFormat="false" ht="89.25" hidden="false" customHeight="true" outlineLevel="0" collapsed="false">
      <c r="B362" s="29" t="s">
        <v>1853</v>
      </c>
      <c r="C362" s="29" t="s">
        <v>281</v>
      </c>
      <c r="D362" s="29" t="s">
        <v>1854</v>
      </c>
      <c r="E362" s="29" t="s">
        <v>339</v>
      </c>
      <c r="F362" s="29" t="s">
        <v>1855</v>
      </c>
      <c r="G362" s="29" t="s">
        <v>1856</v>
      </c>
      <c r="H362" s="29" t="s">
        <v>1857</v>
      </c>
      <c r="I362" s="29" t="s">
        <v>301</v>
      </c>
      <c r="J362" s="29" t="s">
        <v>201</v>
      </c>
      <c r="K362" s="30" t="s">
        <v>44</v>
      </c>
      <c r="L362" s="31"/>
      <c r="M362" s="29"/>
    </row>
    <row r="363" customFormat="false" ht="76.5" hidden="false" customHeight="true" outlineLevel="0" collapsed="false">
      <c r="B363" s="29" t="s">
        <v>1858</v>
      </c>
      <c r="C363" s="29" t="s">
        <v>281</v>
      </c>
      <c r="D363" s="29" t="s">
        <v>1859</v>
      </c>
      <c r="E363" s="29" t="s">
        <v>538</v>
      </c>
      <c r="F363" s="29" t="s">
        <v>1860</v>
      </c>
      <c r="G363" s="29" t="s">
        <v>1861</v>
      </c>
      <c r="H363" s="29" t="s">
        <v>1862</v>
      </c>
      <c r="I363" s="29" t="s">
        <v>467</v>
      </c>
      <c r="J363" s="29" t="s">
        <v>467</v>
      </c>
      <c r="K363" s="30" t="s">
        <v>44</v>
      </c>
      <c r="L363" s="31"/>
      <c r="M363" s="29"/>
    </row>
    <row r="364" customFormat="false" ht="76.5" hidden="false" customHeight="true" outlineLevel="0" collapsed="false">
      <c r="B364" s="29" t="s">
        <v>1863</v>
      </c>
      <c r="C364" s="29" t="s">
        <v>281</v>
      </c>
      <c r="D364" s="29" t="s">
        <v>1864</v>
      </c>
      <c r="E364" s="29" t="s">
        <v>595</v>
      </c>
      <c r="F364" s="29" t="s">
        <v>1865</v>
      </c>
      <c r="G364" s="29" t="s">
        <v>1866</v>
      </c>
      <c r="H364" s="29" t="s">
        <v>1867</v>
      </c>
      <c r="I364" s="29" t="s">
        <v>153</v>
      </c>
      <c r="J364" s="29" t="s">
        <v>154</v>
      </c>
      <c r="K364" s="30" t="s">
        <v>44</v>
      </c>
      <c r="L364" s="31"/>
      <c r="M364" s="29"/>
    </row>
    <row r="365" customFormat="false" ht="38.25" hidden="false" customHeight="true" outlineLevel="0" collapsed="false">
      <c r="B365" s="29" t="s">
        <v>1868</v>
      </c>
      <c r="C365" s="29" t="s">
        <v>281</v>
      </c>
      <c r="D365" s="29" t="s">
        <v>1869</v>
      </c>
      <c r="E365" s="29" t="s">
        <v>326</v>
      </c>
      <c r="F365" s="29" t="s">
        <v>1870</v>
      </c>
      <c r="G365" s="29" t="s">
        <v>1871</v>
      </c>
      <c r="H365" s="29" t="s">
        <v>1872</v>
      </c>
      <c r="I365" s="29" t="s">
        <v>301</v>
      </c>
      <c r="J365" s="29" t="s">
        <v>201</v>
      </c>
      <c r="K365" s="30" t="s">
        <v>44</v>
      </c>
      <c r="L365" s="31"/>
      <c r="M365" s="29"/>
    </row>
    <row r="366" customFormat="false" ht="51" hidden="false" customHeight="true" outlineLevel="0" collapsed="false">
      <c r="B366" s="29" t="s">
        <v>1873</v>
      </c>
      <c r="C366" s="29" t="s">
        <v>281</v>
      </c>
      <c r="D366" s="29" t="s">
        <v>1874</v>
      </c>
      <c r="E366" s="29" t="s">
        <v>326</v>
      </c>
      <c r="F366" s="29" t="s">
        <v>1870</v>
      </c>
      <c r="G366" s="29" t="s">
        <v>1875</v>
      </c>
      <c r="H366" s="29" t="s">
        <v>1872</v>
      </c>
      <c r="I366" s="29" t="s">
        <v>301</v>
      </c>
      <c r="J366" s="29" t="s">
        <v>201</v>
      </c>
      <c r="K366" s="30" t="s">
        <v>44</v>
      </c>
      <c r="L366" s="31"/>
      <c r="M366" s="29"/>
    </row>
    <row r="367" customFormat="false" ht="76.5" hidden="false" customHeight="true" outlineLevel="0" collapsed="false">
      <c r="B367" s="29" t="s">
        <v>1876</v>
      </c>
      <c r="C367" s="29" t="s">
        <v>281</v>
      </c>
      <c r="D367" s="29" t="s">
        <v>1877</v>
      </c>
      <c r="E367" s="29" t="s">
        <v>326</v>
      </c>
      <c r="F367" s="29" t="s">
        <v>1870</v>
      </c>
      <c r="G367" s="29" t="s">
        <v>1878</v>
      </c>
      <c r="H367" s="29" t="s">
        <v>1872</v>
      </c>
      <c r="I367" s="29" t="s">
        <v>301</v>
      </c>
      <c r="J367" s="29" t="s">
        <v>201</v>
      </c>
      <c r="K367" s="30" t="s">
        <v>44</v>
      </c>
      <c r="L367" s="31"/>
      <c r="M367" s="29"/>
    </row>
    <row r="368" customFormat="false" ht="76.5" hidden="false" customHeight="true" outlineLevel="0" collapsed="false">
      <c r="B368" s="29" t="s">
        <v>1879</v>
      </c>
      <c r="C368" s="29" t="s">
        <v>281</v>
      </c>
      <c r="D368" s="29" t="s">
        <v>1880</v>
      </c>
      <c r="E368" s="29" t="s">
        <v>326</v>
      </c>
      <c r="F368" s="29" t="s">
        <v>1870</v>
      </c>
      <c r="G368" s="29" t="s">
        <v>1881</v>
      </c>
      <c r="H368" s="29" t="s">
        <v>1872</v>
      </c>
      <c r="I368" s="29" t="s">
        <v>301</v>
      </c>
      <c r="J368" s="29" t="s">
        <v>201</v>
      </c>
      <c r="K368" s="30" t="s">
        <v>44</v>
      </c>
      <c r="L368" s="31"/>
      <c r="M368" s="29"/>
    </row>
    <row r="369" customFormat="false" ht="76.5" hidden="false" customHeight="true" outlineLevel="0" collapsed="false">
      <c r="B369" s="29" t="s">
        <v>1882</v>
      </c>
      <c r="C369" s="29" t="s">
        <v>281</v>
      </c>
      <c r="D369" s="29" t="s">
        <v>1883</v>
      </c>
      <c r="E369" s="29" t="s">
        <v>39</v>
      </c>
      <c r="F369" s="29" t="s">
        <v>1884</v>
      </c>
      <c r="G369" s="29" t="s">
        <v>1885</v>
      </c>
      <c r="H369" s="29" t="s">
        <v>1886</v>
      </c>
      <c r="I369" s="29" t="s">
        <v>455</v>
      </c>
      <c r="J369" s="29" t="s">
        <v>754</v>
      </c>
      <c r="K369" s="30" t="s">
        <v>44</v>
      </c>
      <c r="L369" s="31"/>
      <c r="M369" s="29"/>
    </row>
    <row r="370" customFormat="false" ht="76.5" hidden="false" customHeight="true" outlineLevel="0" collapsed="false">
      <c r="B370" s="29" t="s">
        <v>1887</v>
      </c>
      <c r="C370" s="29" t="s">
        <v>281</v>
      </c>
      <c r="D370" s="29" t="s">
        <v>1888</v>
      </c>
      <c r="E370" s="29" t="s">
        <v>356</v>
      </c>
      <c r="F370" s="29" t="s">
        <v>1884</v>
      </c>
      <c r="G370" s="29" t="s">
        <v>1889</v>
      </c>
      <c r="H370" s="29" t="s">
        <v>1890</v>
      </c>
      <c r="I370" s="29" t="s">
        <v>301</v>
      </c>
      <c r="J370" s="29" t="s">
        <v>201</v>
      </c>
      <c r="K370" s="30" t="s">
        <v>44</v>
      </c>
      <c r="L370" s="31"/>
      <c r="M370" s="29"/>
    </row>
    <row r="371" customFormat="false" ht="76.5" hidden="false" customHeight="true" outlineLevel="0" collapsed="false">
      <c r="B371" s="29" t="s">
        <v>1891</v>
      </c>
      <c r="C371" s="29" t="s">
        <v>281</v>
      </c>
      <c r="D371" s="29" t="s">
        <v>1892</v>
      </c>
      <c r="E371" s="29" t="s">
        <v>350</v>
      </c>
      <c r="F371" s="29" t="s">
        <v>1884</v>
      </c>
      <c r="G371" s="29" t="s">
        <v>1893</v>
      </c>
      <c r="H371" s="29" t="s">
        <v>1890</v>
      </c>
      <c r="I371" s="29" t="s">
        <v>301</v>
      </c>
      <c r="J371" s="29" t="s">
        <v>201</v>
      </c>
      <c r="K371" s="30" t="s">
        <v>44</v>
      </c>
      <c r="L371" s="31"/>
      <c r="M371" s="29"/>
    </row>
    <row r="372" customFormat="false" ht="76.5" hidden="false" customHeight="true" outlineLevel="0" collapsed="false">
      <c r="B372" s="29" t="s">
        <v>1894</v>
      </c>
      <c r="C372" s="29" t="s">
        <v>281</v>
      </c>
      <c r="D372" s="29" t="s">
        <v>1895</v>
      </c>
      <c r="E372" s="29" t="s">
        <v>350</v>
      </c>
      <c r="F372" s="29" t="s">
        <v>1884</v>
      </c>
      <c r="G372" s="29" t="s">
        <v>1896</v>
      </c>
      <c r="H372" s="29" t="s">
        <v>1890</v>
      </c>
      <c r="I372" s="29" t="s">
        <v>301</v>
      </c>
      <c r="J372" s="29" t="s">
        <v>201</v>
      </c>
      <c r="K372" s="30" t="s">
        <v>44</v>
      </c>
      <c r="L372" s="31"/>
      <c r="M372" s="29"/>
    </row>
    <row r="373" customFormat="false" ht="140.25" hidden="false" customHeight="true" outlineLevel="0" collapsed="false">
      <c r="B373" s="29" t="s">
        <v>1897</v>
      </c>
      <c r="C373" s="29" t="s">
        <v>281</v>
      </c>
      <c r="D373" s="29" t="s">
        <v>1898</v>
      </c>
      <c r="E373" s="29" t="s">
        <v>356</v>
      </c>
      <c r="F373" s="29" t="s">
        <v>1899</v>
      </c>
      <c r="G373" s="29" t="s">
        <v>1900</v>
      </c>
      <c r="H373" s="29" t="s">
        <v>1901</v>
      </c>
      <c r="I373" s="29" t="s">
        <v>153</v>
      </c>
      <c r="J373" s="29" t="s">
        <v>154</v>
      </c>
      <c r="K373" s="30" t="s">
        <v>44</v>
      </c>
      <c r="L373" s="31"/>
      <c r="M373" s="29"/>
    </row>
    <row r="374" customFormat="false" ht="76.5" hidden="false" customHeight="true" outlineLevel="0" collapsed="false">
      <c r="B374" s="29" t="s">
        <v>1902</v>
      </c>
      <c r="C374" s="29" t="s">
        <v>281</v>
      </c>
      <c r="D374" s="29" t="s">
        <v>1903</v>
      </c>
      <c r="E374" s="29" t="s">
        <v>538</v>
      </c>
      <c r="F374" s="29" t="s">
        <v>1904</v>
      </c>
      <c r="G374" s="29" t="s">
        <v>1905</v>
      </c>
      <c r="H374" s="29" t="s">
        <v>1906</v>
      </c>
      <c r="I374" s="29" t="s">
        <v>467</v>
      </c>
      <c r="J374" s="29" t="s">
        <v>467</v>
      </c>
      <c r="K374" s="30" t="s">
        <v>44</v>
      </c>
      <c r="L374" s="31"/>
      <c r="M374" s="29"/>
    </row>
    <row r="375" customFormat="false" ht="191.25" hidden="false" customHeight="true" outlineLevel="0" collapsed="false">
      <c r="B375" s="29" t="s">
        <v>1907</v>
      </c>
      <c r="C375" s="29" t="s">
        <v>281</v>
      </c>
      <c r="D375" s="29" t="s">
        <v>1908</v>
      </c>
      <c r="E375" s="29" t="s">
        <v>356</v>
      </c>
      <c r="F375" s="29" t="s">
        <v>1909</v>
      </c>
      <c r="G375" s="29" t="s">
        <v>1910</v>
      </c>
      <c r="H375" s="29" t="s">
        <v>1911</v>
      </c>
      <c r="I375" s="29" t="s">
        <v>153</v>
      </c>
      <c r="J375" s="29" t="s">
        <v>154</v>
      </c>
      <c r="K375" s="30" t="s">
        <v>44</v>
      </c>
      <c r="L375" s="31"/>
      <c r="M375" s="29"/>
    </row>
    <row r="376" customFormat="false" ht="76.5" hidden="false" customHeight="true" outlineLevel="0" collapsed="false">
      <c r="B376" s="29" t="s">
        <v>1912</v>
      </c>
      <c r="C376" s="29" t="s">
        <v>281</v>
      </c>
      <c r="D376" s="29" t="s">
        <v>1913</v>
      </c>
      <c r="E376" s="29" t="s">
        <v>595</v>
      </c>
      <c r="F376" s="29" t="s">
        <v>1884</v>
      </c>
      <c r="G376" s="29" t="s">
        <v>1914</v>
      </c>
      <c r="H376" s="29" t="s">
        <v>1915</v>
      </c>
      <c r="I376" s="29" t="s">
        <v>1916</v>
      </c>
      <c r="J376" s="29" t="s">
        <v>1917</v>
      </c>
      <c r="K376" s="30" t="s">
        <v>44</v>
      </c>
      <c r="L376" s="31"/>
      <c r="M376" s="29"/>
    </row>
    <row r="377" customFormat="false" ht="76.5" hidden="false" customHeight="true" outlineLevel="0" collapsed="false">
      <c r="B377" s="29" t="s">
        <v>1918</v>
      </c>
      <c r="C377" s="29" t="s">
        <v>281</v>
      </c>
      <c r="D377" s="29" t="s">
        <v>1919</v>
      </c>
      <c r="E377" s="29" t="s">
        <v>326</v>
      </c>
      <c r="F377" s="29" t="s">
        <v>1920</v>
      </c>
      <c r="G377" s="29" t="s">
        <v>1921</v>
      </c>
      <c r="H377" s="29" t="s">
        <v>1922</v>
      </c>
      <c r="I377" s="29" t="s">
        <v>301</v>
      </c>
      <c r="J377" s="29" t="s">
        <v>201</v>
      </c>
      <c r="K377" s="30" t="s">
        <v>44</v>
      </c>
      <c r="L377" s="31"/>
      <c r="M377" s="29"/>
    </row>
    <row r="378" customFormat="false" ht="409.5" hidden="false" customHeight="true" outlineLevel="0" collapsed="false">
      <c r="B378" s="29" t="s">
        <v>1923</v>
      </c>
      <c r="C378" s="29" t="s">
        <v>281</v>
      </c>
      <c r="D378" s="29" t="s">
        <v>1924</v>
      </c>
      <c r="E378" s="29" t="s">
        <v>97</v>
      </c>
      <c r="F378" s="29" t="s">
        <v>1925</v>
      </c>
      <c r="G378" s="29" t="s">
        <v>1926</v>
      </c>
      <c r="H378" s="29" t="s">
        <v>1927</v>
      </c>
      <c r="I378" s="29" t="s">
        <v>534</v>
      </c>
      <c r="J378" s="29" t="s">
        <v>535</v>
      </c>
      <c r="K378" s="30" t="s">
        <v>44</v>
      </c>
      <c r="L378" s="31"/>
      <c r="M378" s="29"/>
    </row>
    <row r="379" customFormat="false" ht="127.5" hidden="false" customHeight="true" outlineLevel="0" collapsed="false">
      <c r="B379" s="29" t="s">
        <v>1928</v>
      </c>
      <c r="C379" s="29" t="s">
        <v>281</v>
      </c>
      <c r="D379" s="29" t="s">
        <v>1929</v>
      </c>
      <c r="E379" s="29" t="s">
        <v>76</v>
      </c>
      <c r="F379" s="29" t="s">
        <v>1930</v>
      </c>
      <c r="G379" s="29" t="s">
        <v>1931</v>
      </c>
      <c r="H379" s="29" t="s">
        <v>1932</v>
      </c>
      <c r="I379" s="29" t="s">
        <v>1933</v>
      </c>
      <c r="J379" s="29" t="s">
        <v>1934</v>
      </c>
      <c r="K379" s="30" t="s">
        <v>44</v>
      </c>
      <c r="L379" s="31"/>
      <c r="M379" s="29"/>
    </row>
    <row r="380" customFormat="false" ht="165.75" hidden="false" customHeight="true" outlineLevel="0" collapsed="false">
      <c r="B380" s="29" t="s">
        <v>1935</v>
      </c>
      <c r="C380" s="29" t="s">
        <v>281</v>
      </c>
      <c r="D380" s="29" t="s">
        <v>1936</v>
      </c>
      <c r="E380" s="29" t="s">
        <v>39</v>
      </c>
      <c r="F380" s="29" t="s">
        <v>1937</v>
      </c>
      <c r="G380" s="29" t="s">
        <v>1938</v>
      </c>
      <c r="H380" s="29" t="s">
        <v>1939</v>
      </c>
      <c r="I380" s="29" t="s">
        <v>821</v>
      </c>
      <c r="J380" s="29" t="s">
        <v>1940</v>
      </c>
      <c r="K380" s="30" t="s">
        <v>44</v>
      </c>
      <c r="L380" s="31"/>
      <c r="M380" s="29"/>
    </row>
    <row r="381" customFormat="false" ht="38.25" hidden="false" customHeight="true" outlineLevel="0" collapsed="false">
      <c r="B381" s="29" t="s">
        <v>1941</v>
      </c>
      <c r="C381" s="29" t="s">
        <v>281</v>
      </c>
      <c r="D381" s="29" t="s">
        <v>1942</v>
      </c>
      <c r="E381" s="29" t="s">
        <v>39</v>
      </c>
      <c r="F381" s="29" t="s">
        <v>1943</v>
      </c>
      <c r="G381" s="29" t="s">
        <v>1944</v>
      </c>
      <c r="H381" s="29" t="s">
        <v>1945</v>
      </c>
      <c r="I381" s="29" t="s">
        <v>42</v>
      </c>
      <c r="J381" s="29" t="s">
        <v>43</v>
      </c>
      <c r="K381" s="30" t="s">
        <v>44</v>
      </c>
      <c r="L381" s="31"/>
      <c r="M381" s="29"/>
    </row>
    <row r="382" customFormat="false" ht="63.75" hidden="false" customHeight="true" outlineLevel="0" collapsed="false">
      <c r="B382" s="29" t="s">
        <v>1946</v>
      </c>
      <c r="C382" s="29" t="s">
        <v>281</v>
      </c>
      <c r="D382" s="29" t="s">
        <v>1947</v>
      </c>
      <c r="E382" s="29" t="s">
        <v>350</v>
      </c>
      <c r="F382" s="29" t="s">
        <v>1948</v>
      </c>
      <c r="G382" s="29" t="s">
        <v>1949</v>
      </c>
      <c r="H382" s="29" t="s">
        <v>1950</v>
      </c>
      <c r="I382" s="29" t="s">
        <v>301</v>
      </c>
      <c r="J382" s="29" t="s">
        <v>201</v>
      </c>
      <c r="K382" s="30" t="s">
        <v>44</v>
      </c>
      <c r="L382" s="31"/>
      <c r="M382" s="29"/>
    </row>
    <row r="383" customFormat="false" ht="140.25" hidden="false" customHeight="true" outlineLevel="0" collapsed="false">
      <c r="B383" s="29" t="s">
        <v>1951</v>
      </c>
      <c r="C383" s="29" t="s">
        <v>281</v>
      </c>
      <c r="D383" s="29" t="s">
        <v>1952</v>
      </c>
      <c r="E383" s="29" t="s">
        <v>595</v>
      </c>
      <c r="F383" s="29" t="s">
        <v>1953</v>
      </c>
      <c r="G383" s="29" t="s">
        <v>1954</v>
      </c>
      <c r="H383" s="29" t="s">
        <v>1955</v>
      </c>
      <c r="I383" s="29" t="s">
        <v>153</v>
      </c>
      <c r="J383" s="29" t="s">
        <v>154</v>
      </c>
      <c r="K383" s="30" t="s">
        <v>44</v>
      </c>
      <c r="L383" s="31"/>
      <c r="M383" s="29"/>
    </row>
    <row r="384" customFormat="false" ht="51" hidden="false" customHeight="true" outlineLevel="0" collapsed="false">
      <c r="B384" s="29" t="s">
        <v>1956</v>
      </c>
      <c r="C384" s="29" t="s">
        <v>281</v>
      </c>
      <c r="D384" s="29" t="s">
        <v>1957</v>
      </c>
      <c r="E384" s="29" t="s">
        <v>205</v>
      </c>
      <c r="F384" s="29" t="s">
        <v>1958</v>
      </c>
      <c r="G384" s="29" t="s">
        <v>1959</v>
      </c>
      <c r="H384" s="29" t="s">
        <v>1960</v>
      </c>
      <c r="I384" s="29" t="s">
        <v>301</v>
      </c>
      <c r="J384" s="29" t="s">
        <v>201</v>
      </c>
      <c r="K384" s="30" t="s">
        <v>44</v>
      </c>
      <c r="L384" s="31"/>
      <c r="M384" s="29"/>
    </row>
    <row r="385" customFormat="false" ht="102" hidden="false" customHeight="true" outlineLevel="0" collapsed="false">
      <c r="B385" s="29" t="s">
        <v>1961</v>
      </c>
      <c r="C385" s="29" t="s">
        <v>281</v>
      </c>
      <c r="D385" s="29" t="s">
        <v>1962</v>
      </c>
      <c r="E385" s="29" t="s">
        <v>350</v>
      </c>
      <c r="F385" s="29" t="s">
        <v>1963</v>
      </c>
      <c r="G385" s="29" t="s">
        <v>1964</v>
      </c>
      <c r="H385" s="29" t="s">
        <v>1965</v>
      </c>
      <c r="I385" s="29" t="s">
        <v>301</v>
      </c>
      <c r="J385" s="29" t="s">
        <v>201</v>
      </c>
      <c r="K385" s="30" t="s">
        <v>44</v>
      </c>
      <c r="L385" s="31"/>
      <c r="M385" s="29"/>
    </row>
    <row r="386" customFormat="false" ht="140.25" hidden="false" customHeight="true" outlineLevel="0" collapsed="false">
      <c r="B386" s="29" t="s">
        <v>1966</v>
      </c>
      <c r="C386" s="29" t="s">
        <v>281</v>
      </c>
      <c r="D386" s="29" t="s">
        <v>1967</v>
      </c>
      <c r="E386" s="29" t="s">
        <v>350</v>
      </c>
      <c r="F386" s="29" t="s">
        <v>1968</v>
      </c>
      <c r="G386" s="29" t="s">
        <v>1969</v>
      </c>
      <c r="H386" s="29" t="s">
        <v>1970</v>
      </c>
      <c r="I386" s="29" t="s">
        <v>301</v>
      </c>
      <c r="J386" s="29" t="s">
        <v>201</v>
      </c>
      <c r="K386" s="30" t="s">
        <v>44</v>
      </c>
      <c r="L386" s="31"/>
      <c r="M386" s="29"/>
    </row>
    <row r="387" customFormat="false" ht="89.25" hidden="false" customHeight="true" outlineLevel="0" collapsed="false">
      <c r="B387" s="29" t="s">
        <v>1971</v>
      </c>
      <c r="C387" s="29" t="s">
        <v>281</v>
      </c>
      <c r="D387" s="29" t="s">
        <v>1972</v>
      </c>
      <c r="E387" s="29" t="s">
        <v>538</v>
      </c>
      <c r="F387" s="29" t="s">
        <v>1973</v>
      </c>
      <c r="G387" s="29" t="s">
        <v>1974</v>
      </c>
      <c r="H387" s="29" t="s">
        <v>1975</v>
      </c>
      <c r="I387" s="29" t="s">
        <v>467</v>
      </c>
      <c r="J387" s="29" t="s">
        <v>467</v>
      </c>
      <c r="K387" s="30" t="s">
        <v>44</v>
      </c>
      <c r="L387" s="31"/>
      <c r="M387" s="29"/>
    </row>
    <row r="388" customFormat="false" ht="127.5" hidden="false" customHeight="true" outlineLevel="0" collapsed="false">
      <c r="B388" s="29" t="s">
        <v>1976</v>
      </c>
      <c r="C388" s="29" t="s">
        <v>281</v>
      </c>
      <c r="D388" s="29" t="s">
        <v>1977</v>
      </c>
      <c r="E388" s="29" t="s">
        <v>595</v>
      </c>
      <c r="F388" s="29" t="s">
        <v>1884</v>
      </c>
      <c r="G388" s="29" t="s">
        <v>1978</v>
      </c>
      <c r="H388" s="29" t="s">
        <v>1979</v>
      </c>
      <c r="I388" s="29" t="s">
        <v>153</v>
      </c>
      <c r="J388" s="29" t="s">
        <v>154</v>
      </c>
      <c r="K388" s="30" t="s">
        <v>44</v>
      </c>
      <c r="L388" s="31"/>
      <c r="M388" s="29"/>
    </row>
    <row r="389" customFormat="false" ht="89.25" hidden="false" customHeight="true" outlineLevel="0" collapsed="false">
      <c r="B389" s="29" t="s">
        <v>1980</v>
      </c>
      <c r="C389" s="29" t="s">
        <v>281</v>
      </c>
      <c r="D389" s="29" t="s">
        <v>1981</v>
      </c>
      <c r="E389" s="29" t="s">
        <v>595</v>
      </c>
      <c r="F389" s="29" t="s">
        <v>1982</v>
      </c>
      <c r="G389" s="29" t="s">
        <v>1983</v>
      </c>
      <c r="H389" s="29" t="s">
        <v>1984</v>
      </c>
      <c r="I389" s="29" t="s">
        <v>153</v>
      </c>
      <c r="J389" s="29" t="s">
        <v>154</v>
      </c>
      <c r="K389" s="30" t="s">
        <v>44</v>
      </c>
      <c r="L389" s="31"/>
      <c r="M389" s="29"/>
    </row>
    <row r="390" customFormat="false" ht="76.5" hidden="false" customHeight="true" outlineLevel="0" collapsed="false">
      <c r="B390" s="29" t="s">
        <v>1985</v>
      </c>
      <c r="C390" s="29" t="s">
        <v>281</v>
      </c>
      <c r="D390" s="29" t="s">
        <v>1986</v>
      </c>
      <c r="E390" s="29" t="s">
        <v>350</v>
      </c>
      <c r="F390" s="29" t="s">
        <v>1987</v>
      </c>
      <c r="G390" s="29" t="s">
        <v>1988</v>
      </c>
      <c r="H390" s="29" t="s">
        <v>1989</v>
      </c>
      <c r="I390" s="29" t="s">
        <v>153</v>
      </c>
      <c r="J390" s="29" t="s">
        <v>154</v>
      </c>
      <c r="K390" s="30" t="s">
        <v>44</v>
      </c>
      <c r="L390" s="31"/>
      <c r="M390" s="29"/>
    </row>
    <row r="391" customFormat="false" ht="191.25" hidden="false" customHeight="true" outlineLevel="0" collapsed="false">
      <c r="B391" s="29" t="s">
        <v>1990</v>
      </c>
      <c r="C391" s="29" t="s">
        <v>281</v>
      </c>
      <c r="D391" s="29" t="s">
        <v>1991</v>
      </c>
      <c r="E391" s="29" t="s">
        <v>339</v>
      </c>
      <c r="F391" s="29" t="s">
        <v>1992</v>
      </c>
      <c r="G391" s="29" t="s">
        <v>1993</v>
      </c>
      <c r="H391" s="29" t="s">
        <v>1994</v>
      </c>
      <c r="I391" s="29" t="s">
        <v>42</v>
      </c>
      <c r="J391" s="29" t="s">
        <v>1369</v>
      </c>
      <c r="K391" s="30" t="s">
        <v>44</v>
      </c>
      <c r="L391" s="31"/>
      <c r="M391" s="29"/>
    </row>
    <row r="392" customFormat="false" ht="114.75" hidden="false" customHeight="true" outlineLevel="0" collapsed="false">
      <c r="B392" s="29" t="s">
        <v>1995</v>
      </c>
      <c r="C392" s="29" t="s">
        <v>281</v>
      </c>
      <c r="D392" s="29" t="s">
        <v>1996</v>
      </c>
      <c r="E392" s="29" t="s">
        <v>326</v>
      </c>
      <c r="F392" s="29" t="s">
        <v>1997</v>
      </c>
      <c r="G392" s="29" t="s">
        <v>1998</v>
      </c>
      <c r="H392" s="29" t="s">
        <v>1999</v>
      </c>
      <c r="I392" s="29" t="s">
        <v>301</v>
      </c>
      <c r="J392" s="29" t="s">
        <v>201</v>
      </c>
      <c r="K392" s="30" t="s">
        <v>44</v>
      </c>
      <c r="L392" s="31"/>
      <c r="M392" s="29"/>
    </row>
    <row r="393" customFormat="false" ht="140.25" hidden="false" customHeight="true" outlineLevel="0" collapsed="false">
      <c r="B393" s="29" t="s">
        <v>2000</v>
      </c>
      <c r="C393" s="29" t="s">
        <v>281</v>
      </c>
      <c r="D393" s="29" t="s">
        <v>2001</v>
      </c>
      <c r="E393" s="29" t="s">
        <v>39</v>
      </c>
      <c r="F393" s="29" t="s">
        <v>2002</v>
      </c>
      <c r="G393" s="29" t="s">
        <v>2003</v>
      </c>
      <c r="H393" s="29" t="s">
        <v>2004</v>
      </c>
      <c r="I393" s="29" t="s">
        <v>93</v>
      </c>
      <c r="J393" s="29" t="s">
        <v>1333</v>
      </c>
      <c r="K393" s="30" t="s">
        <v>44</v>
      </c>
      <c r="L393" s="31"/>
      <c r="M393" s="29"/>
    </row>
    <row r="394" customFormat="false" ht="89.25" hidden="false" customHeight="true" outlineLevel="0" collapsed="false">
      <c r="B394" s="29" t="s">
        <v>2005</v>
      </c>
      <c r="C394" s="29" t="s">
        <v>281</v>
      </c>
      <c r="D394" s="29" t="s">
        <v>2006</v>
      </c>
      <c r="E394" s="29" t="s">
        <v>39</v>
      </c>
      <c r="F394" s="29" t="s">
        <v>1884</v>
      </c>
      <c r="G394" s="29" t="s">
        <v>2007</v>
      </c>
      <c r="H394" s="29" t="s">
        <v>2008</v>
      </c>
      <c r="I394" s="29" t="s">
        <v>93</v>
      </c>
      <c r="J394" s="29" t="s">
        <v>498</v>
      </c>
      <c r="K394" s="30" t="s">
        <v>44</v>
      </c>
      <c r="L394" s="31"/>
      <c r="M394" s="29"/>
    </row>
    <row r="395" customFormat="false" ht="102" hidden="false" customHeight="true" outlineLevel="0" collapsed="false">
      <c r="B395" s="29" t="s">
        <v>2009</v>
      </c>
      <c r="C395" s="29" t="s">
        <v>281</v>
      </c>
      <c r="D395" s="29" t="s">
        <v>2010</v>
      </c>
      <c r="E395" s="29" t="s">
        <v>150</v>
      </c>
      <c r="F395" s="29" t="s">
        <v>2011</v>
      </c>
      <c r="G395" s="29" t="s">
        <v>2012</v>
      </c>
      <c r="H395" s="29" t="s">
        <v>2013</v>
      </c>
      <c r="I395" s="29" t="s">
        <v>467</v>
      </c>
      <c r="J395" s="29" t="s">
        <v>467</v>
      </c>
      <c r="K395" s="30" t="s">
        <v>44</v>
      </c>
      <c r="L395" s="31"/>
      <c r="M395" s="29"/>
    </row>
    <row r="396" customFormat="false" ht="89.25" hidden="false" customHeight="true" outlineLevel="0" collapsed="false">
      <c r="B396" s="29" t="s">
        <v>2014</v>
      </c>
      <c r="C396" s="29" t="s">
        <v>281</v>
      </c>
      <c r="D396" s="29" t="s">
        <v>2015</v>
      </c>
      <c r="E396" s="29" t="s">
        <v>150</v>
      </c>
      <c r="F396" s="29" t="s">
        <v>2016</v>
      </c>
      <c r="G396" s="29" t="s">
        <v>2017</v>
      </c>
      <c r="H396" s="29" t="s">
        <v>2018</v>
      </c>
      <c r="I396" s="29" t="s">
        <v>467</v>
      </c>
      <c r="J396" s="29" t="s">
        <v>467</v>
      </c>
      <c r="K396" s="30" t="s">
        <v>44</v>
      </c>
      <c r="L396" s="31"/>
      <c r="M396" s="29"/>
    </row>
    <row r="397" customFormat="false" ht="89.25" hidden="false" customHeight="true" outlineLevel="0" collapsed="false">
      <c r="B397" s="29" t="s">
        <v>2019</v>
      </c>
      <c r="C397" s="29" t="s">
        <v>281</v>
      </c>
      <c r="D397" s="29" t="s">
        <v>2020</v>
      </c>
      <c r="E397" s="29" t="s">
        <v>150</v>
      </c>
      <c r="F397" s="29" t="s">
        <v>2021</v>
      </c>
      <c r="G397" s="29" t="s">
        <v>2022</v>
      </c>
      <c r="H397" s="29" t="s">
        <v>2023</v>
      </c>
      <c r="I397" s="29" t="s">
        <v>467</v>
      </c>
      <c r="J397" s="29" t="s">
        <v>467</v>
      </c>
      <c r="K397" s="30" t="s">
        <v>44</v>
      </c>
      <c r="L397" s="31"/>
      <c r="M397" s="29"/>
    </row>
    <row r="398" customFormat="false" ht="114.75" hidden="false" customHeight="true" outlineLevel="0" collapsed="false">
      <c r="B398" s="29" t="s">
        <v>2024</v>
      </c>
      <c r="C398" s="29" t="s">
        <v>281</v>
      </c>
      <c r="D398" s="29" t="s">
        <v>2025</v>
      </c>
      <c r="E398" s="29" t="s">
        <v>595</v>
      </c>
      <c r="F398" s="29" t="s">
        <v>2026</v>
      </c>
      <c r="G398" s="29" t="s">
        <v>2027</v>
      </c>
      <c r="H398" s="29" t="s">
        <v>2028</v>
      </c>
      <c r="I398" s="29" t="s">
        <v>467</v>
      </c>
      <c r="J398" s="29" t="s">
        <v>467</v>
      </c>
      <c r="K398" s="30" t="s">
        <v>44</v>
      </c>
      <c r="L398" s="31"/>
      <c r="M398" s="29"/>
    </row>
    <row r="399" customFormat="false" ht="409.5" hidden="false" customHeight="true" outlineLevel="0" collapsed="false">
      <c r="B399" s="29" t="s">
        <v>2029</v>
      </c>
      <c r="C399" s="29" t="s">
        <v>281</v>
      </c>
      <c r="D399" s="29" t="s">
        <v>2030</v>
      </c>
      <c r="E399" s="29" t="s">
        <v>89</v>
      </c>
      <c r="F399" s="29" t="s">
        <v>2031</v>
      </c>
      <c r="G399" s="29" t="s">
        <v>2032</v>
      </c>
      <c r="H399" s="29" t="s">
        <v>2033</v>
      </c>
      <c r="I399" s="29" t="s">
        <v>42</v>
      </c>
      <c r="J399" s="29" t="s">
        <v>260</v>
      </c>
      <c r="K399" s="30" t="s">
        <v>44</v>
      </c>
      <c r="L399" s="31"/>
      <c r="M399" s="29"/>
    </row>
    <row r="400" customFormat="false" ht="89.25" hidden="false" customHeight="true" outlineLevel="0" collapsed="false">
      <c r="B400" s="29" t="s">
        <v>2034</v>
      </c>
      <c r="C400" s="29" t="s">
        <v>281</v>
      </c>
      <c r="D400" s="29" t="s">
        <v>2035</v>
      </c>
      <c r="E400" s="29" t="s">
        <v>326</v>
      </c>
      <c r="F400" s="29" t="s">
        <v>2036</v>
      </c>
      <c r="G400" s="29" t="s">
        <v>2037</v>
      </c>
      <c r="H400" s="29" t="s">
        <v>2038</v>
      </c>
      <c r="I400" s="29" t="s">
        <v>301</v>
      </c>
      <c r="J400" s="29" t="s">
        <v>201</v>
      </c>
      <c r="K400" s="30" t="s">
        <v>44</v>
      </c>
      <c r="L400" s="31"/>
      <c r="M400" s="29"/>
    </row>
    <row r="401" customFormat="false" ht="153" hidden="false" customHeight="true" outlineLevel="0" collapsed="false">
      <c r="B401" s="29" t="s">
        <v>2039</v>
      </c>
      <c r="C401" s="29" t="s">
        <v>281</v>
      </c>
      <c r="D401" s="29" t="s">
        <v>2040</v>
      </c>
      <c r="E401" s="29" t="s">
        <v>150</v>
      </c>
      <c r="F401" s="29" t="s">
        <v>2041</v>
      </c>
      <c r="G401" s="29" t="s">
        <v>2042</v>
      </c>
      <c r="H401" s="29" t="s">
        <v>2043</v>
      </c>
      <c r="I401" s="29" t="s">
        <v>153</v>
      </c>
      <c r="J401" s="29" t="s">
        <v>154</v>
      </c>
      <c r="K401" s="30" t="s">
        <v>44</v>
      </c>
      <c r="L401" s="31"/>
      <c r="M401" s="29"/>
    </row>
    <row r="402" customFormat="false" ht="408" hidden="false" customHeight="true" outlineLevel="0" collapsed="false">
      <c r="B402" s="29" t="s">
        <v>2044</v>
      </c>
      <c r="C402" s="29" t="s">
        <v>281</v>
      </c>
      <c r="D402" s="29" t="s">
        <v>2045</v>
      </c>
      <c r="E402" s="29" t="s">
        <v>350</v>
      </c>
      <c r="F402" s="29" t="s">
        <v>2046</v>
      </c>
      <c r="G402" s="29" t="s">
        <v>2047</v>
      </c>
      <c r="H402" s="29" t="s">
        <v>2048</v>
      </c>
      <c r="I402" s="29" t="s">
        <v>301</v>
      </c>
      <c r="J402" s="29" t="s">
        <v>201</v>
      </c>
      <c r="K402" s="30" t="s">
        <v>44</v>
      </c>
      <c r="L402" s="31"/>
      <c r="M402" s="29"/>
    </row>
    <row r="403" customFormat="false" ht="63.75" hidden="false" customHeight="true" outlineLevel="0" collapsed="false">
      <c r="B403" s="29" t="s">
        <v>2049</v>
      </c>
      <c r="C403" s="29" t="s">
        <v>281</v>
      </c>
      <c r="D403" s="29" t="s">
        <v>2050</v>
      </c>
      <c r="E403" s="29" t="s">
        <v>205</v>
      </c>
      <c r="F403" s="29" t="s">
        <v>2051</v>
      </c>
      <c r="G403" s="29" t="s">
        <v>2052</v>
      </c>
      <c r="H403" s="29" t="s">
        <v>2053</v>
      </c>
      <c r="I403" s="29" t="s">
        <v>301</v>
      </c>
      <c r="J403" s="29" t="s">
        <v>201</v>
      </c>
      <c r="K403" s="30" t="s">
        <v>44</v>
      </c>
      <c r="L403" s="31"/>
      <c r="M403" s="29"/>
    </row>
    <row r="404" customFormat="false" ht="165.75" hidden="false" customHeight="true" outlineLevel="0" collapsed="false">
      <c r="B404" s="29" t="s">
        <v>2054</v>
      </c>
      <c r="C404" s="29" t="s">
        <v>281</v>
      </c>
      <c r="D404" s="29" t="s">
        <v>2055</v>
      </c>
      <c r="E404" s="29" t="s">
        <v>205</v>
      </c>
      <c r="F404" s="29" t="s">
        <v>2056</v>
      </c>
      <c r="G404" s="29" t="s">
        <v>2057</v>
      </c>
      <c r="H404" s="29" t="s">
        <v>2058</v>
      </c>
      <c r="I404" s="29" t="s">
        <v>301</v>
      </c>
      <c r="J404" s="29" t="s">
        <v>201</v>
      </c>
      <c r="K404" s="30" t="s">
        <v>44</v>
      </c>
      <c r="L404" s="31"/>
      <c r="M404" s="29"/>
    </row>
    <row r="405" customFormat="false" ht="38.25" hidden="false" customHeight="true" outlineLevel="0" collapsed="false">
      <c r="B405" s="29" t="s">
        <v>2059</v>
      </c>
      <c r="C405" s="29" t="s">
        <v>281</v>
      </c>
      <c r="D405" s="29" t="s">
        <v>2060</v>
      </c>
      <c r="E405" s="29" t="s">
        <v>356</v>
      </c>
      <c r="F405" s="29" t="s">
        <v>2061</v>
      </c>
      <c r="G405" s="29" t="s">
        <v>2062</v>
      </c>
      <c r="H405" s="29" t="s">
        <v>2063</v>
      </c>
      <c r="I405" s="29" t="s">
        <v>301</v>
      </c>
      <c r="J405" s="29" t="s">
        <v>201</v>
      </c>
      <c r="K405" s="30" t="s">
        <v>44</v>
      </c>
      <c r="L405" s="31"/>
      <c r="M405" s="29"/>
    </row>
    <row r="406" customFormat="false" ht="102" hidden="false" customHeight="true" outlineLevel="0" collapsed="false">
      <c r="B406" s="29" t="s">
        <v>2064</v>
      </c>
      <c r="C406" s="29" t="s">
        <v>281</v>
      </c>
      <c r="D406" s="29" t="s">
        <v>2065</v>
      </c>
      <c r="E406" s="29" t="s">
        <v>339</v>
      </c>
      <c r="F406" s="29" t="s">
        <v>2066</v>
      </c>
      <c r="G406" s="29" t="s">
        <v>2067</v>
      </c>
      <c r="H406" s="29" t="s">
        <v>2068</v>
      </c>
      <c r="I406" s="29" t="s">
        <v>301</v>
      </c>
      <c r="J406" s="29" t="s">
        <v>201</v>
      </c>
      <c r="K406" s="30" t="s">
        <v>44</v>
      </c>
      <c r="L406" s="31"/>
      <c r="M406" s="29"/>
    </row>
    <row r="407" customFormat="false" ht="191.25" hidden="false" customHeight="true" outlineLevel="0" collapsed="false">
      <c r="B407" s="29" t="s">
        <v>2069</v>
      </c>
      <c r="C407" s="29" t="s">
        <v>281</v>
      </c>
      <c r="D407" s="29" t="s">
        <v>2070</v>
      </c>
      <c r="E407" s="29" t="s">
        <v>205</v>
      </c>
      <c r="F407" s="29" t="s">
        <v>2071</v>
      </c>
      <c r="G407" s="29" t="s">
        <v>2072</v>
      </c>
      <c r="H407" s="29" t="s">
        <v>2073</v>
      </c>
      <c r="I407" s="29" t="s">
        <v>301</v>
      </c>
      <c r="J407" s="29" t="s">
        <v>201</v>
      </c>
      <c r="K407" s="30" t="s">
        <v>44</v>
      </c>
      <c r="L407" s="31"/>
      <c r="M407" s="29"/>
    </row>
    <row r="408" customFormat="false" ht="140.25" hidden="false" customHeight="true" outlineLevel="0" collapsed="false">
      <c r="B408" s="29" t="s">
        <v>2074</v>
      </c>
      <c r="C408" s="29" t="s">
        <v>281</v>
      </c>
      <c r="D408" s="29" t="s">
        <v>2075</v>
      </c>
      <c r="E408" s="29" t="s">
        <v>205</v>
      </c>
      <c r="F408" s="29" t="s">
        <v>2076</v>
      </c>
      <c r="G408" s="29" t="s">
        <v>2077</v>
      </c>
      <c r="H408" s="29" t="s">
        <v>2078</v>
      </c>
      <c r="I408" s="29" t="s">
        <v>301</v>
      </c>
      <c r="J408" s="29" t="s">
        <v>201</v>
      </c>
      <c r="K408" s="30" t="s">
        <v>44</v>
      </c>
      <c r="L408" s="31"/>
      <c r="M408" s="29"/>
    </row>
    <row r="409" customFormat="false" ht="38.25" hidden="false" customHeight="true" outlineLevel="0" collapsed="false">
      <c r="B409" s="29" t="s">
        <v>2079</v>
      </c>
      <c r="C409" s="29" t="s">
        <v>281</v>
      </c>
      <c r="D409" s="29" t="s">
        <v>2080</v>
      </c>
      <c r="E409" s="29" t="s">
        <v>339</v>
      </c>
      <c r="F409" s="29" t="s">
        <v>2081</v>
      </c>
      <c r="G409" s="29" t="s">
        <v>2082</v>
      </c>
      <c r="H409" s="29" t="s">
        <v>2083</v>
      </c>
      <c r="I409" s="29" t="s">
        <v>301</v>
      </c>
      <c r="J409" s="29" t="s">
        <v>201</v>
      </c>
      <c r="K409" s="30" t="s">
        <v>44</v>
      </c>
      <c r="L409" s="31"/>
      <c r="M409" s="29"/>
    </row>
    <row r="410" customFormat="false" ht="76.5" hidden="false" customHeight="true" outlineLevel="0" collapsed="false">
      <c r="B410" s="29" t="s">
        <v>2084</v>
      </c>
      <c r="C410" s="29" t="s">
        <v>281</v>
      </c>
      <c r="D410" s="29" t="s">
        <v>2085</v>
      </c>
      <c r="E410" s="29" t="s">
        <v>39</v>
      </c>
      <c r="F410" s="29" t="s">
        <v>2086</v>
      </c>
      <c r="G410" s="29" t="s">
        <v>2087</v>
      </c>
      <c r="H410" s="29" t="s">
        <v>2088</v>
      </c>
      <c r="I410" s="29" t="s">
        <v>534</v>
      </c>
      <c r="J410" s="29" t="s">
        <v>2089</v>
      </c>
      <c r="K410" s="30" t="s">
        <v>44</v>
      </c>
      <c r="L410" s="31"/>
      <c r="M410" s="29"/>
    </row>
    <row r="411" customFormat="false" ht="63.75" hidden="false" customHeight="true" outlineLevel="0" collapsed="false">
      <c r="B411" s="29" t="s">
        <v>2090</v>
      </c>
      <c r="C411" s="29" t="s">
        <v>281</v>
      </c>
      <c r="D411" s="29" t="s">
        <v>2091</v>
      </c>
      <c r="E411" s="29" t="s">
        <v>39</v>
      </c>
      <c r="F411" s="29" t="s">
        <v>2092</v>
      </c>
      <c r="G411" s="29" t="s">
        <v>2093</v>
      </c>
      <c r="H411" s="29" t="s">
        <v>2094</v>
      </c>
      <c r="I411" s="29" t="s">
        <v>42</v>
      </c>
      <c r="J411" s="29" t="s">
        <v>43</v>
      </c>
      <c r="K411" s="30" t="s">
        <v>44</v>
      </c>
      <c r="L411" s="31"/>
      <c r="M411" s="29"/>
    </row>
    <row r="412" customFormat="false" ht="51" hidden="false" customHeight="true" outlineLevel="0" collapsed="false">
      <c r="B412" s="29" t="s">
        <v>2095</v>
      </c>
      <c r="C412" s="29" t="s">
        <v>281</v>
      </c>
      <c r="D412" s="29" t="s">
        <v>2096</v>
      </c>
      <c r="E412" s="29" t="s">
        <v>339</v>
      </c>
      <c r="F412" s="29" t="s">
        <v>2097</v>
      </c>
      <c r="G412" s="29" t="s">
        <v>2098</v>
      </c>
      <c r="H412" s="29" t="s">
        <v>2099</v>
      </c>
      <c r="I412" s="29" t="s">
        <v>301</v>
      </c>
      <c r="J412" s="29" t="s">
        <v>201</v>
      </c>
      <c r="K412" s="30" t="s">
        <v>44</v>
      </c>
      <c r="L412" s="31"/>
      <c r="M412" s="29"/>
    </row>
    <row r="413" customFormat="false" ht="89.25" hidden="false" customHeight="true" outlineLevel="0" collapsed="false">
      <c r="B413" s="29" t="s">
        <v>2100</v>
      </c>
      <c r="C413" s="29" t="s">
        <v>281</v>
      </c>
      <c r="D413" s="29" t="s">
        <v>2101</v>
      </c>
      <c r="E413" s="29" t="s">
        <v>356</v>
      </c>
      <c r="F413" s="29" t="s">
        <v>2102</v>
      </c>
      <c r="G413" s="29" t="s">
        <v>2103</v>
      </c>
      <c r="H413" s="29" t="s">
        <v>2104</v>
      </c>
      <c r="I413" s="29" t="s">
        <v>301</v>
      </c>
      <c r="J413" s="29" t="s">
        <v>201</v>
      </c>
      <c r="K413" s="30" t="s">
        <v>44</v>
      </c>
      <c r="L413" s="31"/>
      <c r="M413" s="29"/>
    </row>
    <row r="414" customFormat="false" ht="114.75" hidden="false" customHeight="true" outlineLevel="0" collapsed="false">
      <c r="B414" s="29" t="s">
        <v>2105</v>
      </c>
      <c r="C414" s="29" t="s">
        <v>281</v>
      </c>
      <c r="D414" s="29" t="s">
        <v>2106</v>
      </c>
      <c r="E414" s="29" t="s">
        <v>356</v>
      </c>
      <c r="F414" s="29" t="s">
        <v>2107</v>
      </c>
      <c r="G414" s="29" t="s">
        <v>2108</v>
      </c>
      <c r="H414" s="29" t="s">
        <v>2109</v>
      </c>
      <c r="I414" s="29" t="s">
        <v>301</v>
      </c>
      <c r="J414" s="29" t="s">
        <v>201</v>
      </c>
      <c r="K414" s="30" t="s">
        <v>44</v>
      </c>
      <c r="L414" s="31"/>
      <c r="M414" s="29"/>
    </row>
    <row r="415" customFormat="false" ht="51" hidden="false" customHeight="true" outlineLevel="0" collapsed="false">
      <c r="B415" s="29" t="s">
        <v>2110</v>
      </c>
      <c r="C415" s="29" t="s">
        <v>281</v>
      </c>
      <c r="D415" s="29" t="s">
        <v>2111</v>
      </c>
      <c r="E415" s="29" t="s">
        <v>356</v>
      </c>
      <c r="F415" s="29" t="s">
        <v>2112</v>
      </c>
      <c r="G415" s="29" t="s">
        <v>2113</v>
      </c>
      <c r="H415" s="29" t="s">
        <v>2114</v>
      </c>
      <c r="I415" s="29" t="s">
        <v>301</v>
      </c>
      <c r="J415" s="29" t="s">
        <v>201</v>
      </c>
      <c r="K415" s="30" t="s">
        <v>44</v>
      </c>
      <c r="L415" s="31"/>
      <c r="M415" s="29"/>
    </row>
    <row r="416" customFormat="false" ht="63.75" hidden="false" customHeight="true" outlineLevel="0" collapsed="false">
      <c r="B416" s="29" t="s">
        <v>2115</v>
      </c>
      <c r="C416" s="29" t="s">
        <v>281</v>
      </c>
      <c r="D416" s="29" t="s">
        <v>2116</v>
      </c>
      <c r="E416" s="29" t="s">
        <v>339</v>
      </c>
      <c r="F416" s="29" t="s">
        <v>2117</v>
      </c>
      <c r="G416" s="29" t="s">
        <v>2118</v>
      </c>
      <c r="H416" s="29" t="s">
        <v>2119</v>
      </c>
      <c r="I416" s="29" t="s">
        <v>301</v>
      </c>
      <c r="J416" s="29" t="s">
        <v>201</v>
      </c>
      <c r="K416" s="30" t="s">
        <v>44</v>
      </c>
      <c r="L416" s="31"/>
      <c r="M416" s="29"/>
    </row>
    <row r="417" customFormat="false" ht="114.75" hidden="false" customHeight="true" outlineLevel="0" collapsed="false">
      <c r="B417" s="29" t="s">
        <v>2120</v>
      </c>
      <c r="C417" s="29" t="s">
        <v>281</v>
      </c>
      <c r="D417" s="29" t="s">
        <v>2121</v>
      </c>
      <c r="E417" s="29" t="s">
        <v>356</v>
      </c>
      <c r="F417" s="29" t="s">
        <v>2122</v>
      </c>
      <c r="G417" s="29" t="s">
        <v>2123</v>
      </c>
      <c r="H417" s="29" t="s">
        <v>2124</v>
      </c>
      <c r="I417" s="29" t="s">
        <v>42</v>
      </c>
      <c r="J417" s="29" t="s">
        <v>43</v>
      </c>
      <c r="K417" s="30" t="s">
        <v>44</v>
      </c>
      <c r="L417" s="31"/>
      <c r="M417" s="29"/>
    </row>
    <row r="418" customFormat="false" ht="293.25" hidden="false" customHeight="true" outlineLevel="0" collapsed="false">
      <c r="B418" s="29" t="s">
        <v>2125</v>
      </c>
      <c r="C418" s="29" t="s">
        <v>281</v>
      </c>
      <c r="D418" s="29" t="s">
        <v>2126</v>
      </c>
      <c r="E418" s="29" t="s">
        <v>89</v>
      </c>
      <c r="F418" s="29" t="s">
        <v>2127</v>
      </c>
      <c r="G418" s="29" t="s">
        <v>2128</v>
      </c>
      <c r="H418" s="29" t="s">
        <v>2129</v>
      </c>
      <c r="I418" s="29" t="s">
        <v>534</v>
      </c>
      <c r="J418" s="29" t="s">
        <v>2130</v>
      </c>
      <c r="K418" s="30" t="s">
        <v>44</v>
      </c>
      <c r="L418" s="31"/>
      <c r="M418" s="29"/>
    </row>
    <row r="419" customFormat="false" ht="102" hidden="false" customHeight="true" outlineLevel="0" collapsed="false">
      <c r="B419" s="29" t="s">
        <v>2131</v>
      </c>
      <c r="C419" s="29" t="s">
        <v>281</v>
      </c>
      <c r="D419" s="29" t="s">
        <v>2132</v>
      </c>
      <c r="E419" s="29" t="s">
        <v>339</v>
      </c>
      <c r="F419" s="29" t="s">
        <v>2133</v>
      </c>
      <c r="G419" s="29" t="s">
        <v>2134</v>
      </c>
      <c r="H419" s="29" t="s">
        <v>2135</v>
      </c>
      <c r="I419" s="29" t="s">
        <v>301</v>
      </c>
      <c r="J419" s="29" t="s">
        <v>201</v>
      </c>
      <c r="K419" s="30" t="s">
        <v>44</v>
      </c>
      <c r="L419" s="31"/>
      <c r="M419" s="29"/>
    </row>
    <row r="420" customFormat="false" ht="153" hidden="false" customHeight="true" outlineLevel="0" collapsed="false">
      <c r="B420" s="29" t="s">
        <v>2136</v>
      </c>
      <c r="C420" s="29" t="s">
        <v>281</v>
      </c>
      <c r="D420" s="29" t="s">
        <v>2137</v>
      </c>
      <c r="E420" s="29" t="s">
        <v>356</v>
      </c>
      <c r="F420" s="29" t="s">
        <v>2138</v>
      </c>
      <c r="G420" s="29" t="s">
        <v>2139</v>
      </c>
      <c r="H420" s="29" t="s">
        <v>2140</v>
      </c>
      <c r="I420" s="29" t="s">
        <v>301</v>
      </c>
      <c r="J420" s="29" t="s">
        <v>201</v>
      </c>
      <c r="K420" s="30" t="s">
        <v>44</v>
      </c>
      <c r="L420" s="31"/>
      <c r="M420" s="29"/>
    </row>
    <row r="421" customFormat="false" ht="102" hidden="false" customHeight="true" outlineLevel="0" collapsed="false">
      <c r="B421" s="29" t="s">
        <v>2141</v>
      </c>
      <c r="C421" s="29" t="s">
        <v>281</v>
      </c>
      <c r="D421" s="29" t="s">
        <v>2142</v>
      </c>
      <c r="E421" s="29" t="s">
        <v>356</v>
      </c>
      <c r="F421" s="29" t="s">
        <v>2143</v>
      </c>
      <c r="G421" s="29" t="s">
        <v>2144</v>
      </c>
      <c r="H421" s="29" t="s">
        <v>2145</v>
      </c>
      <c r="I421" s="29" t="s">
        <v>301</v>
      </c>
      <c r="J421" s="29" t="s">
        <v>201</v>
      </c>
      <c r="K421" s="30" t="s">
        <v>44</v>
      </c>
      <c r="L421" s="31"/>
      <c r="M421" s="29"/>
    </row>
    <row r="422" customFormat="false" ht="140.25" hidden="false" customHeight="true" outlineLevel="0" collapsed="false">
      <c r="B422" s="29" t="s">
        <v>2146</v>
      </c>
      <c r="C422" s="29" t="s">
        <v>281</v>
      </c>
      <c r="D422" s="29" t="s">
        <v>2147</v>
      </c>
      <c r="E422" s="29" t="s">
        <v>356</v>
      </c>
      <c r="F422" s="29" t="s">
        <v>2148</v>
      </c>
      <c r="G422" s="29" t="s">
        <v>2149</v>
      </c>
      <c r="H422" s="29" t="s">
        <v>2150</v>
      </c>
      <c r="I422" s="29" t="s">
        <v>301</v>
      </c>
      <c r="J422" s="29" t="s">
        <v>201</v>
      </c>
      <c r="K422" s="30" t="s">
        <v>44</v>
      </c>
      <c r="L422" s="31"/>
      <c r="M422" s="29"/>
    </row>
    <row r="423" customFormat="false" ht="76.5" hidden="false" customHeight="true" outlineLevel="0" collapsed="false">
      <c r="B423" s="29" t="s">
        <v>2151</v>
      </c>
      <c r="C423" s="29" t="s">
        <v>281</v>
      </c>
      <c r="D423" s="29" t="s">
        <v>2152</v>
      </c>
      <c r="E423" s="29" t="s">
        <v>39</v>
      </c>
      <c r="F423" s="29" t="s">
        <v>2153</v>
      </c>
      <c r="G423" s="29" t="s">
        <v>2154</v>
      </c>
      <c r="H423" s="29" t="s">
        <v>2155</v>
      </c>
      <c r="I423" s="29" t="s">
        <v>42</v>
      </c>
      <c r="J423" s="29" t="s">
        <v>43</v>
      </c>
      <c r="K423" s="30" t="s">
        <v>44</v>
      </c>
      <c r="L423" s="31"/>
      <c r="M423" s="29"/>
    </row>
    <row r="424" customFormat="false" ht="127.5" hidden="false" customHeight="true" outlineLevel="0" collapsed="false">
      <c r="B424" s="29" t="s">
        <v>2156</v>
      </c>
      <c r="C424" s="29" t="s">
        <v>281</v>
      </c>
      <c r="D424" s="29" t="s">
        <v>2157</v>
      </c>
      <c r="E424" s="29" t="s">
        <v>356</v>
      </c>
      <c r="F424" s="29" t="s">
        <v>2158</v>
      </c>
      <c r="G424" s="29" t="s">
        <v>2159</v>
      </c>
      <c r="H424" s="29" t="s">
        <v>2160</v>
      </c>
      <c r="I424" s="29" t="s">
        <v>301</v>
      </c>
      <c r="J424" s="29" t="s">
        <v>201</v>
      </c>
      <c r="K424" s="30" t="s">
        <v>44</v>
      </c>
      <c r="L424" s="31"/>
      <c r="M424" s="29"/>
    </row>
    <row r="425" customFormat="false" ht="102" hidden="false" customHeight="true" outlineLevel="0" collapsed="false">
      <c r="B425" s="29" t="s">
        <v>2161</v>
      </c>
      <c r="C425" s="29" t="s">
        <v>281</v>
      </c>
      <c r="D425" s="29" t="s">
        <v>2162</v>
      </c>
      <c r="E425" s="29" t="s">
        <v>326</v>
      </c>
      <c r="F425" s="29" t="s">
        <v>2163</v>
      </c>
      <c r="G425" s="29" t="s">
        <v>2164</v>
      </c>
      <c r="H425" s="29" t="s">
        <v>2165</v>
      </c>
      <c r="I425" s="29" t="s">
        <v>301</v>
      </c>
      <c r="J425" s="29" t="s">
        <v>201</v>
      </c>
      <c r="K425" s="30" t="s">
        <v>44</v>
      </c>
      <c r="L425" s="31"/>
      <c r="M425" s="29"/>
    </row>
    <row r="426" customFormat="false" ht="178.5" hidden="false" customHeight="true" outlineLevel="0" collapsed="false">
      <c r="B426" s="29" t="s">
        <v>2166</v>
      </c>
      <c r="C426" s="29" t="s">
        <v>281</v>
      </c>
      <c r="D426" s="29" t="s">
        <v>2167</v>
      </c>
      <c r="E426" s="29" t="s">
        <v>39</v>
      </c>
      <c r="F426" s="29" t="s">
        <v>2168</v>
      </c>
      <c r="G426" s="29" t="s">
        <v>2169</v>
      </c>
      <c r="H426" s="29" t="s">
        <v>2170</v>
      </c>
      <c r="I426" s="29" t="s">
        <v>42</v>
      </c>
      <c r="J426" s="29" t="s">
        <v>1525</v>
      </c>
      <c r="K426" s="30" t="s">
        <v>44</v>
      </c>
      <c r="L426" s="31"/>
      <c r="M426" s="29"/>
    </row>
    <row r="427" customFormat="false" ht="51" hidden="false" customHeight="true" outlineLevel="0" collapsed="false">
      <c r="B427" s="29" t="s">
        <v>2171</v>
      </c>
      <c r="C427" s="29" t="s">
        <v>281</v>
      </c>
      <c r="D427" s="29" t="s">
        <v>2172</v>
      </c>
      <c r="E427" s="29" t="s">
        <v>326</v>
      </c>
      <c r="F427" s="29" t="s">
        <v>2173</v>
      </c>
      <c r="G427" s="29" t="s">
        <v>2174</v>
      </c>
      <c r="H427" s="29" t="s">
        <v>2175</v>
      </c>
      <c r="I427" s="29" t="s">
        <v>301</v>
      </c>
      <c r="J427" s="29" t="s">
        <v>201</v>
      </c>
      <c r="K427" s="30" t="s">
        <v>44</v>
      </c>
      <c r="L427" s="31"/>
      <c r="M427" s="29"/>
    </row>
    <row r="428" customFormat="false" ht="127.5" hidden="false" customHeight="true" outlineLevel="0" collapsed="false">
      <c r="B428" s="29" t="s">
        <v>2176</v>
      </c>
      <c r="C428" s="29" t="s">
        <v>281</v>
      </c>
      <c r="D428" s="29" t="s">
        <v>2177</v>
      </c>
      <c r="E428" s="29" t="s">
        <v>350</v>
      </c>
      <c r="F428" s="29" t="s">
        <v>2178</v>
      </c>
      <c r="G428" s="29" t="s">
        <v>2179</v>
      </c>
      <c r="H428" s="29" t="s">
        <v>2180</v>
      </c>
      <c r="I428" s="29" t="s">
        <v>153</v>
      </c>
      <c r="J428" s="29" t="s">
        <v>154</v>
      </c>
      <c r="K428" s="30" t="s">
        <v>44</v>
      </c>
      <c r="L428" s="31"/>
      <c r="M428" s="29"/>
    </row>
    <row r="429" customFormat="false" ht="102" hidden="false" customHeight="true" outlineLevel="0" collapsed="false">
      <c r="B429" s="29" t="s">
        <v>2181</v>
      </c>
      <c r="C429" s="29" t="s">
        <v>281</v>
      </c>
      <c r="D429" s="29" t="s">
        <v>2182</v>
      </c>
      <c r="E429" s="29" t="s">
        <v>89</v>
      </c>
      <c r="F429" s="29" t="s">
        <v>2183</v>
      </c>
      <c r="G429" s="29" t="s">
        <v>2184</v>
      </c>
      <c r="H429" s="29" t="s">
        <v>2185</v>
      </c>
      <c r="I429" s="29" t="s">
        <v>42</v>
      </c>
      <c r="J429" s="29" t="s">
        <v>260</v>
      </c>
      <c r="K429" s="30" t="s">
        <v>44</v>
      </c>
      <c r="L429" s="31"/>
      <c r="M429" s="29"/>
    </row>
    <row r="430" customFormat="false" ht="216.75" hidden="false" customHeight="true" outlineLevel="0" collapsed="false">
      <c r="B430" s="29" t="s">
        <v>2186</v>
      </c>
      <c r="C430" s="29" t="s">
        <v>281</v>
      </c>
      <c r="D430" s="29" t="s">
        <v>2187</v>
      </c>
      <c r="E430" s="29" t="s">
        <v>356</v>
      </c>
      <c r="F430" s="29" t="s">
        <v>2188</v>
      </c>
      <c r="G430" s="29" t="s">
        <v>2189</v>
      </c>
      <c r="H430" s="29" t="s">
        <v>2190</v>
      </c>
      <c r="I430" s="29" t="s">
        <v>301</v>
      </c>
      <c r="J430" s="29" t="s">
        <v>201</v>
      </c>
      <c r="K430" s="30" t="s">
        <v>44</v>
      </c>
      <c r="L430" s="31"/>
      <c r="M430" s="29"/>
    </row>
    <row r="431" customFormat="false" ht="51" hidden="false" customHeight="true" outlineLevel="0" collapsed="false">
      <c r="B431" s="29" t="s">
        <v>2191</v>
      </c>
      <c r="C431" s="29" t="s">
        <v>281</v>
      </c>
      <c r="D431" s="29" t="s">
        <v>2192</v>
      </c>
      <c r="E431" s="29" t="s">
        <v>350</v>
      </c>
      <c r="F431" s="29" t="s">
        <v>2193</v>
      </c>
      <c r="G431" s="29" t="s">
        <v>2194</v>
      </c>
      <c r="H431" s="29" t="s">
        <v>2195</v>
      </c>
      <c r="I431" s="29" t="s">
        <v>301</v>
      </c>
      <c r="J431" s="29" t="s">
        <v>201</v>
      </c>
      <c r="K431" s="30" t="s">
        <v>44</v>
      </c>
      <c r="L431" s="31"/>
      <c r="M431" s="29"/>
    </row>
    <row r="432" customFormat="false" ht="63.75" hidden="false" customHeight="true" outlineLevel="0" collapsed="false">
      <c r="B432" s="29" t="s">
        <v>2196</v>
      </c>
      <c r="C432" s="29" t="s">
        <v>281</v>
      </c>
      <c r="D432" s="29" t="s">
        <v>2197</v>
      </c>
      <c r="E432" s="29" t="s">
        <v>326</v>
      </c>
      <c r="F432" s="29" t="s">
        <v>2198</v>
      </c>
      <c r="G432" s="29" t="s">
        <v>2199</v>
      </c>
      <c r="H432" s="29" t="s">
        <v>2200</v>
      </c>
      <c r="I432" s="29" t="s">
        <v>301</v>
      </c>
      <c r="J432" s="29" t="s">
        <v>201</v>
      </c>
      <c r="K432" s="30" t="s">
        <v>44</v>
      </c>
      <c r="L432" s="31"/>
      <c r="M432" s="29"/>
    </row>
    <row r="433" customFormat="false" ht="102" hidden="false" customHeight="true" outlineLevel="0" collapsed="false">
      <c r="B433" s="29" t="s">
        <v>2201</v>
      </c>
      <c r="C433" s="29" t="s">
        <v>281</v>
      </c>
      <c r="D433" s="29" t="s">
        <v>2202</v>
      </c>
      <c r="E433" s="29" t="s">
        <v>205</v>
      </c>
      <c r="F433" s="29" t="s">
        <v>2203</v>
      </c>
      <c r="G433" s="29" t="s">
        <v>2204</v>
      </c>
      <c r="H433" s="29" t="s">
        <v>2205</v>
      </c>
      <c r="I433" s="29" t="s">
        <v>301</v>
      </c>
      <c r="J433" s="29" t="s">
        <v>201</v>
      </c>
      <c r="K433" s="30" t="s">
        <v>44</v>
      </c>
      <c r="L433" s="31"/>
      <c r="M433" s="29"/>
    </row>
    <row r="434" customFormat="false" ht="89.25" hidden="false" customHeight="true" outlineLevel="0" collapsed="false">
      <c r="B434" s="29" t="s">
        <v>2206</v>
      </c>
      <c r="C434" s="29" t="s">
        <v>281</v>
      </c>
      <c r="D434" s="29" t="s">
        <v>2207</v>
      </c>
      <c r="E434" s="29" t="s">
        <v>326</v>
      </c>
      <c r="F434" s="29" t="s">
        <v>2208</v>
      </c>
      <c r="G434" s="29" t="s">
        <v>2209</v>
      </c>
      <c r="H434" s="29" t="s">
        <v>2210</v>
      </c>
      <c r="I434" s="29" t="s">
        <v>301</v>
      </c>
      <c r="J434" s="29" t="s">
        <v>201</v>
      </c>
      <c r="K434" s="30" t="s">
        <v>44</v>
      </c>
      <c r="L434" s="31"/>
      <c r="M434" s="29"/>
    </row>
    <row r="435" customFormat="false" ht="89.25" hidden="false" customHeight="true" outlineLevel="0" collapsed="false">
      <c r="B435" s="29" t="s">
        <v>2211</v>
      </c>
      <c r="C435" s="29" t="s">
        <v>281</v>
      </c>
      <c r="D435" s="29" t="s">
        <v>2212</v>
      </c>
      <c r="E435" s="29" t="s">
        <v>356</v>
      </c>
      <c r="F435" s="29" t="s">
        <v>2213</v>
      </c>
      <c r="G435" s="29" t="s">
        <v>2214</v>
      </c>
      <c r="H435" s="29" t="s">
        <v>2215</v>
      </c>
      <c r="I435" s="29" t="s">
        <v>301</v>
      </c>
      <c r="J435" s="29" t="s">
        <v>201</v>
      </c>
      <c r="K435" s="30" t="s">
        <v>44</v>
      </c>
      <c r="L435" s="31"/>
      <c r="M435" s="29"/>
    </row>
    <row r="436" customFormat="false" ht="76.5" hidden="false" customHeight="true" outlineLevel="0" collapsed="false">
      <c r="B436" s="29" t="s">
        <v>2216</v>
      </c>
      <c r="C436" s="29" t="s">
        <v>281</v>
      </c>
      <c r="D436" s="29" t="s">
        <v>2217</v>
      </c>
      <c r="E436" s="29" t="s">
        <v>339</v>
      </c>
      <c r="F436" s="29" t="s">
        <v>2218</v>
      </c>
      <c r="G436" s="29" t="s">
        <v>2219</v>
      </c>
      <c r="H436" s="29" t="s">
        <v>2220</v>
      </c>
      <c r="I436" s="29" t="s">
        <v>301</v>
      </c>
      <c r="J436" s="29" t="s">
        <v>201</v>
      </c>
      <c r="K436" s="30" t="s">
        <v>44</v>
      </c>
      <c r="L436" s="31"/>
      <c r="M436" s="29"/>
    </row>
    <row r="437" customFormat="false" ht="51" hidden="false" customHeight="true" outlineLevel="0" collapsed="false">
      <c r="B437" s="29" t="s">
        <v>2221</v>
      </c>
      <c r="C437" s="29" t="s">
        <v>281</v>
      </c>
      <c r="D437" s="29" t="s">
        <v>2222</v>
      </c>
      <c r="E437" s="29" t="s">
        <v>356</v>
      </c>
      <c r="F437" s="29" t="s">
        <v>2223</v>
      </c>
      <c r="G437" s="29" t="s">
        <v>2224</v>
      </c>
      <c r="H437" s="29" t="s">
        <v>2225</v>
      </c>
      <c r="I437" s="29" t="s">
        <v>301</v>
      </c>
      <c r="J437" s="29" t="s">
        <v>201</v>
      </c>
      <c r="K437" s="30" t="s">
        <v>44</v>
      </c>
      <c r="L437" s="31"/>
      <c r="M437" s="29"/>
    </row>
    <row r="438" customFormat="false" ht="38.25" hidden="false" customHeight="true" outlineLevel="0" collapsed="false">
      <c r="B438" s="29" t="s">
        <v>2226</v>
      </c>
      <c r="C438" s="29" t="s">
        <v>281</v>
      </c>
      <c r="D438" s="29" t="s">
        <v>2227</v>
      </c>
      <c r="E438" s="29" t="s">
        <v>339</v>
      </c>
      <c r="F438" s="29" t="s">
        <v>2228</v>
      </c>
      <c r="G438" s="29" t="s">
        <v>2229</v>
      </c>
      <c r="H438" s="29" t="s">
        <v>2230</v>
      </c>
      <c r="I438" s="29" t="s">
        <v>301</v>
      </c>
      <c r="J438" s="29" t="s">
        <v>201</v>
      </c>
      <c r="K438" s="30" t="s">
        <v>44</v>
      </c>
      <c r="L438" s="31"/>
      <c r="M438" s="29"/>
    </row>
    <row r="439" customFormat="false" ht="76.5" hidden="false" customHeight="true" outlineLevel="0" collapsed="false">
      <c r="B439" s="29" t="s">
        <v>2231</v>
      </c>
      <c r="C439" s="29" t="s">
        <v>281</v>
      </c>
      <c r="D439" s="29" t="s">
        <v>2232</v>
      </c>
      <c r="E439" s="29" t="s">
        <v>326</v>
      </c>
      <c r="F439" s="29" t="s">
        <v>2233</v>
      </c>
      <c r="G439" s="29" t="s">
        <v>2234</v>
      </c>
      <c r="H439" s="29" t="s">
        <v>2235</v>
      </c>
      <c r="I439" s="29" t="s">
        <v>301</v>
      </c>
      <c r="J439" s="29" t="s">
        <v>201</v>
      </c>
      <c r="K439" s="30" t="s">
        <v>44</v>
      </c>
      <c r="L439" s="31"/>
      <c r="M439" s="29"/>
    </row>
    <row r="440" customFormat="false" ht="38.25" hidden="false" customHeight="true" outlineLevel="0" collapsed="false">
      <c r="B440" s="29" t="s">
        <v>2236</v>
      </c>
      <c r="C440" s="29" t="s">
        <v>281</v>
      </c>
      <c r="D440" s="29" t="s">
        <v>2237</v>
      </c>
      <c r="E440" s="29" t="s">
        <v>356</v>
      </c>
      <c r="F440" s="29" t="s">
        <v>2238</v>
      </c>
      <c r="G440" s="29" t="s">
        <v>2239</v>
      </c>
      <c r="H440" s="29" t="s">
        <v>2240</v>
      </c>
      <c r="I440" s="29" t="s">
        <v>301</v>
      </c>
      <c r="J440" s="29" t="s">
        <v>201</v>
      </c>
      <c r="K440" s="30" t="s">
        <v>44</v>
      </c>
      <c r="L440" s="31"/>
      <c r="M440" s="29"/>
    </row>
    <row r="441" customFormat="false" ht="63.75" hidden="false" customHeight="true" outlineLevel="0" collapsed="false">
      <c r="B441" s="29" t="s">
        <v>2241</v>
      </c>
      <c r="C441" s="29" t="s">
        <v>281</v>
      </c>
      <c r="D441" s="29" t="s">
        <v>2242</v>
      </c>
      <c r="E441" s="29" t="s">
        <v>356</v>
      </c>
      <c r="F441" s="29" t="s">
        <v>2243</v>
      </c>
      <c r="G441" s="29" t="s">
        <v>2244</v>
      </c>
      <c r="H441" s="29" t="s">
        <v>2245</v>
      </c>
      <c r="I441" s="29" t="s">
        <v>301</v>
      </c>
      <c r="J441" s="29" t="s">
        <v>201</v>
      </c>
      <c r="K441" s="30" t="s">
        <v>44</v>
      </c>
      <c r="L441" s="31"/>
      <c r="M441" s="29"/>
    </row>
    <row r="442" customFormat="false" ht="127.5" hidden="false" customHeight="true" outlineLevel="0" collapsed="false">
      <c r="B442" s="29" t="s">
        <v>2246</v>
      </c>
      <c r="C442" s="29" t="s">
        <v>281</v>
      </c>
      <c r="D442" s="29" t="s">
        <v>2247</v>
      </c>
      <c r="E442" s="29" t="s">
        <v>350</v>
      </c>
      <c r="F442" s="29" t="s">
        <v>2248</v>
      </c>
      <c r="G442" s="29" t="s">
        <v>2249</v>
      </c>
      <c r="H442" s="29" t="s">
        <v>2250</v>
      </c>
      <c r="I442" s="29" t="s">
        <v>301</v>
      </c>
      <c r="J442" s="29" t="s">
        <v>201</v>
      </c>
      <c r="K442" s="30" t="s">
        <v>44</v>
      </c>
      <c r="L442" s="31"/>
      <c r="M442" s="29"/>
    </row>
    <row r="443" customFormat="false" ht="153" hidden="false" customHeight="true" outlineLevel="0" collapsed="false">
      <c r="B443" s="29" t="s">
        <v>2251</v>
      </c>
      <c r="C443" s="29" t="s">
        <v>281</v>
      </c>
      <c r="D443" s="29" t="s">
        <v>2252</v>
      </c>
      <c r="E443" s="29" t="s">
        <v>76</v>
      </c>
      <c r="F443" s="29" t="s">
        <v>2253</v>
      </c>
      <c r="G443" s="29" t="s">
        <v>2254</v>
      </c>
      <c r="H443" s="29" t="s">
        <v>2255</v>
      </c>
      <c r="I443" s="29" t="s">
        <v>1933</v>
      </c>
      <c r="J443" s="29" t="s">
        <v>1934</v>
      </c>
      <c r="K443" s="30" t="s">
        <v>44</v>
      </c>
      <c r="L443" s="31"/>
      <c r="M443" s="29"/>
    </row>
    <row r="444" customFormat="false" ht="63.75" hidden="false" customHeight="true" outlineLevel="0" collapsed="false">
      <c r="B444" s="29" t="s">
        <v>2256</v>
      </c>
      <c r="C444" s="29" t="s">
        <v>281</v>
      </c>
      <c r="D444" s="29" t="s">
        <v>2257</v>
      </c>
      <c r="E444" s="29" t="s">
        <v>339</v>
      </c>
      <c r="F444" s="29" t="s">
        <v>2258</v>
      </c>
      <c r="G444" s="29" t="s">
        <v>2259</v>
      </c>
      <c r="H444" s="29" t="s">
        <v>2260</v>
      </c>
      <c r="I444" s="29" t="s">
        <v>301</v>
      </c>
      <c r="J444" s="29" t="s">
        <v>201</v>
      </c>
      <c r="K444" s="30" t="s">
        <v>44</v>
      </c>
      <c r="L444" s="31"/>
      <c r="M444" s="29"/>
    </row>
    <row r="445" customFormat="false" ht="191.25" hidden="false" customHeight="true" outlineLevel="0" collapsed="false">
      <c r="B445" s="29" t="s">
        <v>2261</v>
      </c>
      <c r="C445" s="29" t="s">
        <v>281</v>
      </c>
      <c r="D445" s="29" t="s">
        <v>2262</v>
      </c>
      <c r="E445" s="29" t="s">
        <v>205</v>
      </c>
      <c r="F445" s="29" t="s">
        <v>2263</v>
      </c>
      <c r="G445" s="29" t="s">
        <v>2264</v>
      </c>
      <c r="H445" s="29" t="s">
        <v>2265</v>
      </c>
      <c r="I445" s="29" t="s">
        <v>301</v>
      </c>
      <c r="J445" s="29" t="s">
        <v>201</v>
      </c>
      <c r="K445" s="30" t="s">
        <v>44</v>
      </c>
      <c r="L445" s="31"/>
      <c r="M445" s="29"/>
    </row>
    <row r="446" customFormat="false" ht="153" hidden="false" customHeight="true" outlineLevel="0" collapsed="false">
      <c r="B446" s="29" t="s">
        <v>2266</v>
      </c>
      <c r="C446" s="29" t="s">
        <v>281</v>
      </c>
      <c r="D446" s="29" t="s">
        <v>2267</v>
      </c>
      <c r="E446" s="29" t="s">
        <v>76</v>
      </c>
      <c r="F446" s="29" t="s">
        <v>2268</v>
      </c>
      <c r="G446" s="29" t="s">
        <v>2269</v>
      </c>
      <c r="H446" s="29" t="s">
        <v>2270</v>
      </c>
      <c r="I446" s="29" t="s">
        <v>2271</v>
      </c>
      <c r="J446" s="29" t="s">
        <v>2272</v>
      </c>
      <c r="K446" s="30" t="s">
        <v>44</v>
      </c>
      <c r="L446" s="31"/>
      <c r="M446" s="29"/>
    </row>
    <row r="447" customFormat="false" ht="63.75" hidden="false" customHeight="true" outlineLevel="0" collapsed="false">
      <c r="B447" s="29" t="s">
        <v>2273</v>
      </c>
      <c r="C447" s="29" t="s">
        <v>281</v>
      </c>
      <c r="D447" s="29" t="s">
        <v>2274</v>
      </c>
      <c r="E447" s="29" t="s">
        <v>185</v>
      </c>
      <c r="F447" s="29" t="s">
        <v>2275</v>
      </c>
      <c r="G447" s="29" t="s">
        <v>2276</v>
      </c>
      <c r="H447" s="29" t="s">
        <v>2277</v>
      </c>
      <c r="I447" s="29" t="s">
        <v>335</v>
      </c>
      <c r="J447" s="29" t="s">
        <v>336</v>
      </c>
      <c r="K447" s="30" t="s">
        <v>44</v>
      </c>
      <c r="L447" s="31"/>
      <c r="M447" s="29"/>
    </row>
    <row r="448" customFormat="false" ht="63.75" hidden="false" customHeight="true" outlineLevel="0" collapsed="false">
      <c r="B448" s="29" t="s">
        <v>2278</v>
      </c>
      <c r="C448" s="29" t="s">
        <v>281</v>
      </c>
      <c r="D448" s="29" t="s">
        <v>2279</v>
      </c>
      <c r="E448" s="29" t="s">
        <v>339</v>
      </c>
      <c r="F448" s="29" t="s">
        <v>2275</v>
      </c>
      <c r="G448" s="29" t="s">
        <v>2280</v>
      </c>
      <c r="H448" s="29" t="s">
        <v>2281</v>
      </c>
      <c r="I448" s="29" t="s">
        <v>301</v>
      </c>
      <c r="J448" s="29" t="s">
        <v>201</v>
      </c>
      <c r="K448" s="30" t="s">
        <v>44</v>
      </c>
      <c r="L448" s="31"/>
      <c r="M448" s="29"/>
    </row>
    <row r="449" customFormat="false" ht="63.75" hidden="false" customHeight="true" outlineLevel="0" collapsed="false">
      <c r="B449" s="29" t="s">
        <v>2282</v>
      </c>
      <c r="C449" s="29" t="s">
        <v>281</v>
      </c>
      <c r="D449" s="29" t="s">
        <v>2283</v>
      </c>
      <c r="E449" s="29" t="s">
        <v>339</v>
      </c>
      <c r="F449" s="29" t="s">
        <v>2284</v>
      </c>
      <c r="G449" s="29" t="s">
        <v>2285</v>
      </c>
      <c r="H449" s="29" t="s">
        <v>2286</v>
      </c>
      <c r="I449" s="29" t="s">
        <v>301</v>
      </c>
      <c r="J449" s="29" t="s">
        <v>201</v>
      </c>
      <c r="K449" s="30" t="s">
        <v>44</v>
      </c>
      <c r="L449" s="31"/>
      <c r="M449" s="29"/>
    </row>
    <row r="450" customFormat="false" ht="102" hidden="false" customHeight="true" outlineLevel="0" collapsed="false">
      <c r="B450" s="29" t="s">
        <v>2287</v>
      </c>
      <c r="C450" s="29" t="s">
        <v>281</v>
      </c>
      <c r="D450" s="29" t="s">
        <v>2288</v>
      </c>
      <c r="E450" s="29" t="s">
        <v>339</v>
      </c>
      <c r="F450" s="29" t="s">
        <v>2289</v>
      </c>
      <c r="G450" s="29" t="s">
        <v>2290</v>
      </c>
      <c r="H450" s="29" t="s">
        <v>2291</v>
      </c>
      <c r="I450" s="29" t="s">
        <v>301</v>
      </c>
      <c r="J450" s="29" t="s">
        <v>201</v>
      </c>
      <c r="K450" s="30" t="s">
        <v>44</v>
      </c>
      <c r="L450" s="31"/>
      <c r="M450" s="29"/>
    </row>
    <row r="451" customFormat="false" ht="89.25" hidden="false" customHeight="true" outlineLevel="0" collapsed="false">
      <c r="B451" s="29" t="s">
        <v>2292</v>
      </c>
      <c r="C451" s="29" t="s">
        <v>281</v>
      </c>
      <c r="D451" s="29" t="s">
        <v>2293</v>
      </c>
      <c r="E451" s="29" t="s">
        <v>339</v>
      </c>
      <c r="F451" s="29" t="s">
        <v>2294</v>
      </c>
      <c r="G451" s="29" t="s">
        <v>2295</v>
      </c>
      <c r="H451" s="29" t="s">
        <v>2296</v>
      </c>
      <c r="I451" s="29" t="s">
        <v>301</v>
      </c>
      <c r="J451" s="29" t="s">
        <v>201</v>
      </c>
      <c r="K451" s="30" t="s">
        <v>44</v>
      </c>
      <c r="L451" s="31"/>
      <c r="M451" s="29"/>
    </row>
    <row r="452" customFormat="false" ht="89.25" hidden="false" customHeight="true" outlineLevel="0" collapsed="false">
      <c r="B452" s="29" t="s">
        <v>2297</v>
      </c>
      <c r="C452" s="29" t="s">
        <v>281</v>
      </c>
      <c r="D452" s="29" t="s">
        <v>2298</v>
      </c>
      <c r="E452" s="29" t="s">
        <v>356</v>
      </c>
      <c r="F452" s="29" t="s">
        <v>2299</v>
      </c>
      <c r="G452" s="29" t="s">
        <v>2300</v>
      </c>
      <c r="H452" s="29" t="s">
        <v>2301</v>
      </c>
      <c r="I452" s="29" t="s">
        <v>301</v>
      </c>
      <c r="J452" s="29" t="s">
        <v>201</v>
      </c>
      <c r="K452" s="30" t="s">
        <v>44</v>
      </c>
      <c r="L452" s="31"/>
      <c r="M452" s="29"/>
    </row>
    <row r="453" customFormat="false" ht="76.5" hidden="false" customHeight="true" outlineLevel="0" collapsed="false">
      <c r="B453" s="29" t="s">
        <v>2302</v>
      </c>
      <c r="C453" s="29" t="s">
        <v>281</v>
      </c>
      <c r="D453" s="29" t="s">
        <v>2303</v>
      </c>
      <c r="E453" s="29" t="s">
        <v>339</v>
      </c>
      <c r="F453" s="29" t="s">
        <v>2304</v>
      </c>
      <c r="G453" s="29" t="s">
        <v>2305</v>
      </c>
      <c r="H453" s="29" t="s">
        <v>2306</v>
      </c>
      <c r="I453" s="29" t="s">
        <v>301</v>
      </c>
      <c r="J453" s="29" t="s">
        <v>201</v>
      </c>
      <c r="K453" s="30" t="s">
        <v>44</v>
      </c>
      <c r="L453" s="31"/>
      <c r="M453" s="29"/>
    </row>
    <row r="454" customFormat="false" ht="63.75" hidden="false" customHeight="true" outlineLevel="0" collapsed="false">
      <c r="B454" s="29" t="s">
        <v>2307</v>
      </c>
      <c r="C454" s="29" t="s">
        <v>281</v>
      </c>
      <c r="D454" s="29" t="s">
        <v>2308</v>
      </c>
      <c r="E454" s="29" t="s">
        <v>205</v>
      </c>
      <c r="F454" s="29" t="s">
        <v>2309</v>
      </c>
      <c r="G454" s="29" t="s">
        <v>2310</v>
      </c>
      <c r="H454" s="29" t="s">
        <v>2311</v>
      </c>
      <c r="I454" s="29" t="s">
        <v>301</v>
      </c>
      <c r="J454" s="29" t="s">
        <v>201</v>
      </c>
      <c r="K454" s="30" t="s">
        <v>44</v>
      </c>
      <c r="L454" s="31"/>
      <c r="M454" s="29"/>
    </row>
    <row r="455" customFormat="false" ht="51" hidden="false" customHeight="true" outlineLevel="0" collapsed="false">
      <c r="B455" s="29" t="s">
        <v>2312</v>
      </c>
      <c r="C455" s="29" t="s">
        <v>281</v>
      </c>
      <c r="D455" s="29" t="s">
        <v>2313</v>
      </c>
      <c r="E455" s="29" t="s">
        <v>350</v>
      </c>
      <c r="F455" s="29" t="s">
        <v>2314</v>
      </c>
      <c r="G455" s="29" t="s">
        <v>2315</v>
      </c>
      <c r="H455" s="29" t="s">
        <v>2316</v>
      </c>
      <c r="I455" s="29" t="s">
        <v>301</v>
      </c>
      <c r="J455" s="29" t="s">
        <v>201</v>
      </c>
      <c r="K455" s="30" t="s">
        <v>44</v>
      </c>
      <c r="L455" s="31"/>
      <c r="M455" s="29"/>
    </row>
    <row r="456" customFormat="false" ht="102" hidden="false" customHeight="true" outlineLevel="0" collapsed="false">
      <c r="B456" s="29" t="s">
        <v>2317</v>
      </c>
      <c r="C456" s="29" t="s">
        <v>281</v>
      </c>
      <c r="D456" s="29" t="s">
        <v>2318</v>
      </c>
      <c r="E456" s="29" t="s">
        <v>350</v>
      </c>
      <c r="F456" s="29" t="s">
        <v>2319</v>
      </c>
      <c r="G456" s="29" t="s">
        <v>2320</v>
      </c>
      <c r="H456" s="29" t="s">
        <v>2321</v>
      </c>
      <c r="I456" s="29" t="s">
        <v>301</v>
      </c>
      <c r="J456" s="29" t="s">
        <v>201</v>
      </c>
      <c r="K456" s="30" t="s">
        <v>44</v>
      </c>
      <c r="L456" s="31"/>
      <c r="M456" s="29"/>
    </row>
    <row r="457" customFormat="false" ht="89.25" hidden="false" customHeight="true" outlineLevel="0" collapsed="false">
      <c r="B457" s="29" t="s">
        <v>2322</v>
      </c>
      <c r="C457" s="29" t="s">
        <v>281</v>
      </c>
      <c r="D457" s="29" t="s">
        <v>2323</v>
      </c>
      <c r="E457" s="29" t="s">
        <v>356</v>
      </c>
      <c r="F457" s="29" t="s">
        <v>2324</v>
      </c>
      <c r="G457" s="29" t="s">
        <v>2325</v>
      </c>
      <c r="H457" s="29" t="s">
        <v>2326</v>
      </c>
      <c r="I457" s="29" t="s">
        <v>301</v>
      </c>
      <c r="J457" s="29" t="s">
        <v>201</v>
      </c>
      <c r="K457" s="30" t="s">
        <v>44</v>
      </c>
      <c r="L457" s="31"/>
      <c r="M457" s="29"/>
    </row>
    <row r="458" customFormat="false" ht="63.75" hidden="false" customHeight="true" outlineLevel="0" collapsed="false">
      <c r="B458" s="29" t="s">
        <v>2327</v>
      </c>
      <c r="C458" s="29" t="s">
        <v>281</v>
      </c>
      <c r="D458" s="29" t="s">
        <v>2328</v>
      </c>
      <c r="E458" s="29" t="s">
        <v>356</v>
      </c>
      <c r="F458" s="29" t="s">
        <v>2275</v>
      </c>
      <c r="G458" s="29" t="s">
        <v>2329</v>
      </c>
      <c r="H458" s="29" t="s">
        <v>2330</v>
      </c>
      <c r="I458" s="29" t="s">
        <v>301</v>
      </c>
      <c r="J458" s="29" t="s">
        <v>201</v>
      </c>
      <c r="K458" s="30" t="s">
        <v>44</v>
      </c>
      <c r="L458" s="31"/>
      <c r="M458" s="29"/>
    </row>
    <row r="459" customFormat="false" ht="51" hidden="false" customHeight="true" outlineLevel="0" collapsed="false">
      <c r="B459" s="29" t="s">
        <v>2331</v>
      </c>
      <c r="C459" s="29" t="s">
        <v>281</v>
      </c>
      <c r="D459" s="29" t="s">
        <v>2332</v>
      </c>
      <c r="E459" s="29" t="s">
        <v>356</v>
      </c>
      <c r="F459" s="29" t="s">
        <v>2333</v>
      </c>
      <c r="G459" s="29" t="s">
        <v>2334</v>
      </c>
      <c r="H459" s="29" t="s">
        <v>2335</v>
      </c>
      <c r="I459" s="29" t="s">
        <v>301</v>
      </c>
      <c r="J459" s="29" t="s">
        <v>201</v>
      </c>
      <c r="K459" s="30" t="s">
        <v>44</v>
      </c>
      <c r="L459" s="31"/>
      <c r="M459" s="29"/>
    </row>
    <row r="460" customFormat="false" ht="165.75" hidden="false" customHeight="true" outlineLevel="0" collapsed="false">
      <c r="B460" s="29" t="s">
        <v>2336</v>
      </c>
      <c r="C460" s="29" t="s">
        <v>281</v>
      </c>
      <c r="D460" s="29" t="s">
        <v>2337</v>
      </c>
      <c r="E460" s="29" t="s">
        <v>339</v>
      </c>
      <c r="F460" s="29" t="s">
        <v>2338</v>
      </c>
      <c r="G460" s="29" t="s">
        <v>2339</v>
      </c>
      <c r="H460" s="29" t="s">
        <v>2340</v>
      </c>
      <c r="I460" s="29" t="s">
        <v>301</v>
      </c>
      <c r="J460" s="29" t="s">
        <v>201</v>
      </c>
      <c r="K460" s="30" t="s">
        <v>44</v>
      </c>
      <c r="L460" s="31"/>
      <c r="M460" s="29"/>
    </row>
    <row r="461" customFormat="false" ht="76.5" hidden="false" customHeight="true" outlineLevel="0" collapsed="false">
      <c r="B461" s="29" t="s">
        <v>2341</v>
      </c>
      <c r="C461" s="29" t="s">
        <v>281</v>
      </c>
      <c r="D461" s="29" t="s">
        <v>2342</v>
      </c>
      <c r="E461" s="29" t="s">
        <v>150</v>
      </c>
      <c r="F461" s="29" t="s">
        <v>2343</v>
      </c>
      <c r="G461" s="29" t="s">
        <v>2344</v>
      </c>
      <c r="H461" s="29" t="s">
        <v>2345</v>
      </c>
      <c r="I461" s="29" t="s">
        <v>467</v>
      </c>
      <c r="J461" s="29" t="s">
        <v>467</v>
      </c>
      <c r="K461" s="30" t="s">
        <v>44</v>
      </c>
      <c r="L461" s="31"/>
      <c r="M461" s="29"/>
    </row>
    <row r="462" customFormat="false" ht="76.5" hidden="false" customHeight="true" outlineLevel="0" collapsed="false">
      <c r="B462" s="29" t="s">
        <v>2346</v>
      </c>
      <c r="C462" s="29" t="s">
        <v>281</v>
      </c>
      <c r="D462" s="29" t="s">
        <v>2347</v>
      </c>
      <c r="E462" s="29" t="s">
        <v>150</v>
      </c>
      <c r="F462" s="29" t="s">
        <v>2348</v>
      </c>
      <c r="G462" s="29" t="s">
        <v>2349</v>
      </c>
      <c r="H462" s="29" t="s">
        <v>2350</v>
      </c>
      <c r="I462" s="29" t="s">
        <v>467</v>
      </c>
      <c r="J462" s="29" t="s">
        <v>467</v>
      </c>
      <c r="K462" s="30" t="s">
        <v>44</v>
      </c>
      <c r="L462" s="31"/>
      <c r="M462" s="29"/>
    </row>
    <row r="463" customFormat="false" ht="38.25" hidden="false" customHeight="true" outlineLevel="0" collapsed="false">
      <c r="B463" s="29" t="s">
        <v>2351</v>
      </c>
      <c r="C463" s="29" t="s">
        <v>281</v>
      </c>
      <c r="D463" s="29" t="s">
        <v>2352</v>
      </c>
      <c r="E463" s="29" t="s">
        <v>339</v>
      </c>
      <c r="F463" s="29" t="s">
        <v>2353</v>
      </c>
      <c r="G463" s="29" t="s">
        <v>2354</v>
      </c>
      <c r="H463" s="29" t="s">
        <v>2355</v>
      </c>
      <c r="I463" s="29" t="s">
        <v>301</v>
      </c>
      <c r="J463" s="29" t="s">
        <v>201</v>
      </c>
      <c r="K463" s="30" t="s">
        <v>44</v>
      </c>
      <c r="L463" s="31"/>
      <c r="M463" s="29"/>
    </row>
    <row r="464" customFormat="false" ht="76.5" hidden="false" customHeight="true" outlineLevel="0" collapsed="false">
      <c r="B464" s="29" t="s">
        <v>2356</v>
      </c>
      <c r="C464" s="29" t="s">
        <v>281</v>
      </c>
      <c r="D464" s="29" t="s">
        <v>2357</v>
      </c>
      <c r="E464" s="29" t="s">
        <v>339</v>
      </c>
      <c r="F464" s="29" t="s">
        <v>2358</v>
      </c>
      <c r="G464" s="29" t="s">
        <v>2359</v>
      </c>
      <c r="H464" s="29" t="s">
        <v>2360</v>
      </c>
      <c r="I464" s="29" t="s">
        <v>301</v>
      </c>
      <c r="J464" s="29" t="s">
        <v>201</v>
      </c>
      <c r="K464" s="30" t="s">
        <v>44</v>
      </c>
      <c r="L464" s="31"/>
      <c r="M464" s="29"/>
    </row>
    <row r="465" customFormat="false" ht="51" hidden="false" customHeight="true" outlineLevel="0" collapsed="false">
      <c r="B465" s="29" t="s">
        <v>2361</v>
      </c>
      <c r="C465" s="29" t="s">
        <v>281</v>
      </c>
      <c r="D465" s="29" t="s">
        <v>2362</v>
      </c>
      <c r="E465" s="29" t="s">
        <v>356</v>
      </c>
      <c r="F465" s="29" t="s">
        <v>2363</v>
      </c>
      <c r="G465" s="29" t="s">
        <v>2364</v>
      </c>
      <c r="H465" s="29" t="s">
        <v>2365</v>
      </c>
      <c r="I465" s="29" t="s">
        <v>301</v>
      </c>
      <c r="J465" s="29" t="s">
        <v>201</v>
      </c>
      <c r="K465" s="30" t="s">
        <v>44</v>
      </c>
      <c r="L465" s="31"/>
      <c r="M465" s="29"/>
    </row>
    <row r="466" customFormat="false" ht="51" hidden="false" customHeight="true" outlineLevel="0" collapsed="false">
      <c r="B466" s="29" t="s">
        <v>2366</v>
      </c>
      <c r="C466" s="29" t="s">
        <v>281</v>
      </c>
      <c r="D466" s="29" t="s">
        <v>2367</v>
      </c>
      <c r="E466" s="29" t="s">
        <v>356</v>
      </c>
      <c r="F466" s="29" t="s">
        <v>2368</v>
      </c>
      <c r="G466" s="29" t="s">
        <v>2369</v>
      </c>
      <c r="H466" s="29" t="s">
        <v>2370</v>
      </c>
      <c r="I466" s="29" t="s">
        <v>301</v>
      </c>
      <c r="J466" s="29" t="s">
        <v>201</v>
      </c>
      <c r="K466" s="30" t="s">
        <v>44</v>
      </c>
      <c r="L466" s="31"/>
      <c r="M466" s="29"/>
    </row>
    <row r="467" customFormat="false" ht="89.25" hidden="false" customHeight="true" outlineLevel="0" collapsed="false">
      <c r="B467" s="29" t="s">
        <v>2371</v>
      </c>
      <c r="C467" s="29" t="s">
        <v>281</v>
      </c>
      <c r="D467" s="29" t="s">
        <v>2372</v>
      </c>
      <c r="E467" s="29" t="s">
        <v>356</v>
      </c>
      <c r="F467" s="29" t="s">
        <v>2368</v>
      </c>
      <c r="G467" s="29" t="s">
        <v>2373</v>
      </c>
      <c r="H467" s="29" t="s">
        <v>2374</v>
      </c>
      <c r="I467" s="29" t="s">
        <v>301</v>
      </c>
      <c r="J467" s="29" t="s">
        <v>201</v>
      </c>
      <c r="K467" s="30" t="s">
        <v>44</v>
      </c>
      <c r="L467" s="31"/>
      <c r="M467" s="29"/>
    </row>
    <row r="468" customFormat="false" ht="38.25" hidden="false" customHeight="true" outlineLevel="0" collapsed="false">
      <c r="B468" s="29" t="s">
        <v>2375</v>
      </c>
      <c r="C468" s="29" t="s">
        <v>281</v>
      </c>
      <c r="D468" s="29" t="s">
        <v>2376</v>
      </c>
      <c r="E468" s="29" t="s">
        <v>356</v>
      </c>
      <c r="F468" s="29" t="s">
        <v>2368</v>
      </c>
      <c r="G468" s="29" t="s">
        <v>2377</v>
      </c>
      <c r="H468" s="29" t="s">
        <v>2378</v>
      </c>
      <c r="I468" s="29" t="s">
        <v>301</v>
      </c>
      <c r="J468" s="29" t="s">
        <v>201</v>
      </c>
      <c r="K468" s="30" t="s">
        <v>44</v>
      </c>
      <c r="L468" s="31"/>
      <c r="M468" s="29"/>
    </row>
    <row r="469" customFormat="false" ht="127.5" hidden="false" customHeight="true" outlineLevel="0" collapsed="false">
      <c r="B469" s="29" t="s">
        <v>2379</v>
      </c>
      <c r="C469" s="29" t="s">
        <v>281</v>
      </c>
      <c r="D469" s="29" t="s">
        <v>2380</v>
      </c>
      <c r="E469" s="29" t="s">
        <v>356</v>
      </c>
      <c r="F469" s="29" t="s">
        <v>2381</v>
      </c>
      <c r="G469" s="29" t="s">
        <v>2382</v>
      </c>
      <c r="H469" s="29" t="s">
        <v>2383</v>
      </c>
      <c r="I469" s="29" t="s">
        <v>301</v>
      </c>
      <c r="J469" s="29" t="s">
        <v>201</v>
      </c>
      <c r="K469" s="30" t="s">
        <v>44</v>
      </c>
      <c r="L469" s="31"/>
      <c r="M469" s="29"/>
    </row>
    <row r="470" customFormat="false" ht="114.75" hidden="false" customHeight="true" outlineLevel="0" collapsed="false">
      <c r="B470" s="29" t="s">
        <v>2384</v>
      </c>
      <c r="C470" s="29" t="s">
        <v>281</v>
      </c>
      <c r="D470" s="29" t="s">
        <v>2385</v>
      </c>
      <c r="E470" s="29" t="s">
        <v>356</v>
      </c>
      <c r="F470" s="29" t="s">
        <v>2386</v>
      </c>
      <c r="G470" s="29" t="s">
        <v>2387</v>
      </c>
      <c r="H470" s="29" t="s">
        <v>2388</v>
      </c>
      <c r="I470" s="29" t="s">
        <v>301</v>
      </c>
      <c r="J470" s="29" t="s">
        <v>201</v>
      </c>
      <c r="K470" s="30" t="s">
        <v>44</v>
      </c>
      <c r="L470" s="31"/>
      <c r="M470" s="29"/>
    </row>
    <row r="471" customFormat="false" ht="51" hidden="false" customHeight="true" outlineLevel="0" collapsed="false">
      <c r="B471" s="29" t="s">
        <v>2389</v>
      </c>
      <c r="C471" s="29" t="s">
        <v>281</v>
      </c>
      <c r="D471" s="29" t="s">
        <v>2390</v>
      </c>
      <c r="E471" s="29" t="s">
        <v>356</v>
      </c>
      <c r="F471" s="29" t="s">
        <v>2391</v>
      </c>
      <c r="G471" s="29" t="s">
        <v>2392</v>
      </c>
      <c r="H471" s="29" t="s">
        <v>2393</v>
      </c>
      <c r="I471" s="29" t="s">
        <v>301</v>
      </c>
      <c r="J471" s="29" t="s">
        <v>201</v>
      </c>
      <c r="K471" s="30" t="s">
        <v>44</v>
      </c>
      <c r="L471" s="31"/>
      <c r="M471" s="29"/>
    </row>
    <row r="472" customFormat="false" ht="76.5" hidden="false" customHeight="true" outlineLevel="0" collapsed="false">
      <c r="B472" s="29" t="s">
        <v>2394</v>
      </c>
      <c r="C472" s="29" t="s">
        <v>281</v>
      </c>
      <c r="D472" s="29" t="s">
        <v>2395</v>
      </c>
      <c r="E472" s="29" t="s">
        <v>326</v>
      </c>
      <c r="F472" s="29" t="s">
        <v>2396</v>
      </c>
      <c r="G472" s="29" t="s">
        <v>2397</v>
      </c>
      <c r="H472" s="29" t="s">
        <v>2398</v>
      </c>
      <c r="I472" s="29" t="s">
        <v>301</v>
      </c>
      <c r="J472" s="29" t="s">
        <v>201</v>
      </c>
      <c r="K472" s="30" t="s">
        <v>44</v>
      </c>
      <c r="L472" s="31"/>
      <c r="M472" s="29"/>
    </row>
    <row r="473" customFormat="false" ht="63.75" hidden="false" customHeight="true" outlineLevel="0" collapsed="false">
      <c r="B473" s="29" t="s">
        <v>2399</v>
      </c>
      <c r="C473" s="29" t="s">
        <v>281</v>
      </c>
      <c r="D473" s="29" t="s">
        <v>2400</v>
      </c>
      <c r="E473" s="29" t="s">
        <v>150</v>
      </c>
      <c r="F473" s="29" t="s">
        <v>2401</v>
      </c>
      <c r="G473" s="29" t="s">
        <v>2402</v>
      </c>
      <c r="H473" s="29" t="s">
        <v>2403</v>
      </c>
      <c r="I473" s="29" t="s">
        <v>153</v>
      </c>
      <c r="J473" s="29" t="s">
        <v>154</v>
      </c>
      <c r="K473" s="30" t="s">
        <v>44</v>
      </c>
      <c r="L473" s="31"/>
      <c r="M473" s="29"/>
    </row>
    <row r="474" customFormat="false" ht="114.75" hidden="false" customHeight="true" outlineLevel="0" collapsed="false">
      <c r="B474" s="29" t="s">
        <v>2404</v>
      </c>
      <c r="C474" s="29" t="s">
        <v>281</v>
      </c>
      <c r="D474" s="29" t="s">
        <v>2405</v>
      </c>
      <c r="E474" s="29" t="s">
        <v>356</v>
      </c>
      <c r="F474" s="29" t="s">
        <v>2406</v>
      </c>
      <c r="G474" s="29" t="s">
        <v>2407</v>
      </c>
      <c r="H474" s="29" t="s">
        <v>2408</v>
      </c>
      <c r="I474" s="29" t="s">
        <v>301</v>
      </c>
      <c r="J474" s="29" t="s">
        <v>201</v>
      </c>
      <c r="K474" s="30" t="s">
        <v>44</v>
      </c>
      <c r="L474" s="31"/>
      <c r="M474" s="29"/>
    </row>
    <row r="475" customFormat="false" ht="51" hidden="false" customHeight="true" outlineLevel="0" collapsed="false">
      <c r="B475" s="29" t="s">
        <v>2409</v>
      </c>
      <c r="C475" s="29" t="s">
        <v>281</v>
      </c>
      <c r="D475" s="29" t="s">
        <v>2410</v>
      </c>
      <c r="E475" s="29" t="s">
        <v>39</v>
      </c>
      <c r="F475" s="29" t="s">
        <v>2411</v>
      </c>
      <c r="G475" s="29" t="s">
        <v>2412</v>
      </c>
      <c r="H475" s="29" t="s">
        <v>2413</v>
      </c>
      <c r="I475" s="29" t="s">
        <v>42</v>
      </c>
      <c r="J475" s="29" t="s">
        <v>2414</v>
      </c>
      <c r="K475" s="30" t="s">
        <v>44</v>
      </c>
      <c r="L475" s="31"/>
      <c r="M475" s="29"/>
    </row>
    <row r="476" customFormat="false" ht="89.25" hidden="false" customHeight="true" outlineLevel="0" collapsed="false">
      <c r="B476" s="29" t="s">
        <v>2415</v>
      </c>
      <c r="C476" s="29" t="s">
        <v>281</v>
      </c>
      <c r="D476" s="29" t="s">
        <v>2416</v>
      </c>
      <c r="E476" s="29" t="s">
        <v>339</v>
      </c>
      <c r="F476" s="29" t="s">
        <v>2417</v>
      </c>
      <c r="G476" s="29" t="s">
        <v>2418</v>
      </c>
      <c r="H476" s="29" t="s">
        <v>2419</v>
      </c>
      <c r="I476" s="29" t="s">
        <v>301</v>
      </c>
      <c r="J476" s="29" t="s">
        <v>201</v>
      </c>
      <c r="K476" s="30" t="s">
        <v>44</v>
      </c>
      <c r="L476" s="31"/>
      <c r="M476" s="29"/>
    </row>
    <row r="477" customFormat="false" ht="114.75" hidden="false" customHeight="true" outlineLevel="0" collapsed="false">
      <c r="B477" s="29" t="s">
        <v>2420</v>
      </c>
      <c r="C477" s="29" t="s">
        <v>281</v>
      </c>
      <c r="D477" s="29" t="s">
        <v>2421</v>
      </c>
      <c r="E477" s="29" t="s">
        <v>350</v>
      </c>
      <c r="F477" s="29" t="s">
        <v>2422</v>
      </c>
      <c r="G477" s="29" t="s">
        <v>2423</v>
      </c>
      <c r="H477" s="29" t="s">
        <v>2424</v>
      </c>
      <c r="I477" s="29" t="s">
        <v>301</v>
      </c>
      <c r="J477" s="29" t="s">
        <v>201</v>
      </c>
      <c r="K477" s="30" t="s">
        <v>44</v>
      </c>
      <c r="L477" s="31"/>
      <c r="M477" s="29"/>
    </row>
    <row r="478" customFormat="false" ht="165.75" hidden="false" customHeight="true" outlineLevel="0" collapsed="false">
      <c r="B478" s="29" t="s">
        <v>2425</v>
      </c>
      <c r="C478" s="29" t="s">
        <v>281</v>
      </c>
      <c r="D478" s="29" t="s">
        <v>2426</v>
      </c>
      <c r="E478" s="29" t="s">
        <v>339</v>
      </c>
      <c r="F478" s="29" t="s">
        <v>2427</v>
      </c>
      <c r="G478" s="29" t="s">
        <v>2428</v>
      </c>
      <c r="H478" s="29" t="s">
        <v>2429</v>
      </c>
      <c r="I478" s="29" t="s">
        <v>301</v>
      </c>
      <c r="J478" s="29" t="s">
        <v>201</v>
      </c>
      <c r="K478" s="30" t="s">
        <v>44</v>
      </c>
      <c r="L478" s="31"/>
      <c r="M478" s="29"/>
    </row>
    <row r="479" customFormat="false" ht="191.25" hidden="false" customHeight="true" outlineLevel="0" collapsed="false">
      <c r="B479" s="29" t="s">
        <v>2430</v>
      </c>
      <c r="C479" s="29" t="s">
        <v>281</v>
      </c>
      <c r="D479" s="29" t="s">
        <v>2431</v>
      </c>
      <c r="E479" s="29" t="s">
        <v>339</v>
      </c>
      <c r="F479" s="29" t="s">
        <v>2432</v>
      </c>
      <c r="G479" s="29" t="s">
        <v>2433</v>
      </c>
      <c r="H479" s="29" t="s">
        <v>2434</v>
      </c>
      <c r="I479" s="29" t="s">
        <v>301</v>
      </c>
      <c r="J479" s="29" t="s">
        <v>201</v>
      </c>
      <c r="K479" s="30" t="s">
        <v>44</v>
      </c>
      <c r="L479" s="31"/>
      <c r="M479" s="29"/>
    </row>
    <row r="480" customFormat="false" ht="102" hidden="false" customHeight="true" outlineLevel="0" collapsed="false">
      <c r="B480" s="29" t="s">
        <v>2435</v>
      </c>
      <c r="C480" s="29" t="s">
        <v>281</v>
      </c>
      <c r="D480" s="29" t="s">
        <v>2436</v>
      </c>
      <c r="E480" s="29" t="s">
        <v>356</v>
      </c>
      <c r="F480" s="29" t="s">
        <v>2437</v>
      </c>
      <c r="G480" s="29" t="s">
        <v>2438</v>
      </c>
      <c r="H480" s="29" t="s">
        <v>2439</v>
      </c>
      <c r="I480" s="29" t="s">
        <v>301</v>
      </c>
      <c r="J480" s="29" t="s">
        <v>201</v>
      </c>
      <c r="K480" s="30" t="s">
        <v>44</v>
      </c>
      <c r="L480" s="31"/>
      <c r="M480" s="29"/>
    </row>
    <row r="481" customFormat="false" ht="140.25" hidden="false" customHeight="true" outlineLevel="0" collapsed="false">
      <c r="B481" s="29" t="s">
        <v>2440</v>
      </c>
      <c r="C481" s="29" t="s">
        <v>281</v>
      </c>
      <c r="D481" s="29" t="s">
        <v>2441</v>
      </c>
      <c r="E481" s="29" t="s">
        <v>356</v>
      </c>
      <c r="F481" s="29" t="s">
        <v>2437</v>
      </c>
      <c r="G481" s="29" t="s">
        <v>2442</v>
      </c>
      <c r="H481" s="29" t="s">
        <v>2443</v>
      </c>
      <c r="I481" s="29" t="s">
        <v>301</v>
      </c>
      <c r="J481" s="29" t="s">
        <v>201</v>
      </c>
      <c r="K481" s="30" t="s">
        <v>44</v>
      </c>
      <c r="L481" s="31"/>
      <c r="M481" s="29"/>
    </row>
    <row r="482" customFormat="false" ht="102" hidden="false" customHeight="true" outlineLevel="0" collapsed="false">
      <c r="B482" s="29" t="s">
        <v>2444</v>
      </c>
      <c r="C482" s="29" t="s">
        <v>281</v>
      </c>
      <c r="D482" s="29" t="s">
        <v>2445</v>
      </c>
      <c r="E482" s="29" t="s">
        <v>39</v>
      </c>
      <c r="F482" s="29" t="s">
        <v>2446</v>
      </c>
      <c r="G482" s="29" t="s">
        <v>2447</v>
      </c>
      <c r="H482" s="29" t="s">
        <v>2448</v>
      </c>
      <c r="I482" s="29" t="s">
        <v>455</v>
      </c>
      <c r="J482" s="29" t="s">
        <v>2449</v>
      </c>
      <c r="K482" s="30" t="s">
        <v>44</v>
      </c>
      <c r="L482" s="31"/>
      <c r="M482" s="29"/>
    </row>
    <row r="483" customFormat="false" ht="89.25" hidden="false" customHeight="true" outlineLevel="0" collapsed="false">
      <c r="B483" s="29" t="s">
        <v>2450</v>
      </c>
      <c r="C483" s="29" t="s">
        <v>281</v>
      </c>
      <c r="D483" s="29" t="s">
        <v>2451</v>
      </c>
      <c r="E483" s="29" t="s">
        <v>356</v>
      </c>
      <c r="F483" s="29" t="s">
        <v>2452</v>
      </c>
      <c r="G483" s="29" t="s">
        <v>2453</v>
      </c>
      <c r="H483" s="29" t="s">
        <v>2454</v>
      </c>
      <c r="I483" s="29" t="s">
        <v>301</v>
      </c>
      <c r="J483" s="29" t="s">
        <v>201</v>
      </c>
      <c r="K483" s="30" t="s">
        <v>44</v>
      </c>
      <c r="L483" s="31"/>
      <c r="M483" s="29"/>
    </row>
    <row r="484" customFormat="false" ht="63.75" hidden="false" customHeight="true" outlineLevel="0" collapsed="false">
      <c r="B484" s="29" t="s">
        <v>2455</v>
      </c>
      <c r="C484" s="29" t="s">
        <v>281</v>
      </c>
      <c r="D484" s="29" t="s">
        <v>2456</v>
      </c>
      <c r="E484" s="29" t="s">
        <v>339</v>
      </c>
      <c r="F484" s="29" t="s">
        <v>2457</v>
      </c>
      <c r="G484" s="29" t="s">
        <v>2458</v>
      </c>
      <c r="H484" s="29" t="s">
        <v>2459</v>
      </c>
      <c r="I484" s="29" t="s">
        <v>301</v>
      </c>
      <c r="J484" s="29" t="s">
        <v>201</v>
      </c>
      <c r="K484" s="30" t="s">
        <v>44</v>
      </c>
      <c r="L484" s="31"/>
      <c r="M484" s="29"/>
    </row>
    <row r="485" customFormat="false" ht="76.5" hidden="false" customHeight="true" outlineLevel="0" collapsed="false">
      <c r="B485" s="29" t="s">
        <v>2460</v>
      </c>
      <c r="C485" s="29" t="s">
        <v>281</v>
      </c>
      <c r="D485" s="29" t="s">
        <v>2461</v>
      </c>
      <c r="E485" s="29" t="s">
        <v>356</v>
      </c>
      <c r="F485" s="29" t="s">
        <v>2432</v>
      </c>
      <c r="G485" s="29" t="s">
        <v>2462</v>
      </c>
      <c r="H485" s="29" t="s">
        <v>2463</v>
      </c>
      <c r="I485" s="29" t="s">
        <v>301</v>
      </c>
      <c r="J485" s="29" t="s">
        <v>201</v>
      </c>
      <c r="K485" s="30" t="s">
        <v>44</v>
      </c>
      <c r="L485" s="31"/>
      <c r="M485" s="29"/>
    </row>
    <row r="486" customFormat="false" ht="51" hidden="false" customHeight="true" outlineLevel="0" collapsed="false">
      <c r="B486" s="29" t="s">
        <v>2464</v>
      </c>
      <c r="C486" s="29" t="s">
        <v>281</v>
      </c>
      <c r="D486" s="29" t="s">
        <v>2465</v>
      </c>
      <c r="E486" s="29" t="s">
        <v>339</v>
      </c>
      <c r="F486" s="29" t="s">
        <v>2466</v>
      </c>
      <c r="G486" s="29" t="s">
        <v>2467</v>
      </c>
      <c r="H486" s="29" t="s">
        <v>2468</v>
      </c>
      <c r="I486" s="29" t="s">
        <v>301</v>
      </c>
      <c r="J486" s="29" t="s">
        <v>201</v>
      </c>
      <c r="K486" s="30" t="s">
        <v>44</v>
      </c>
      <c r="L486" s="31"/>
      <c r="M486" s="29"/>
    </row>
    <row r="487" customFormat="false" ht="51" hidden="false" customHeight="true" outlineLevel="0" collapsed="false">
      <c r="B487" s="29" t="s">
        <v>2469</v>
      </c>
      <c r="C487" s="29" t="s">
        <v>281</v>
      </c>
      <c r="D487" s="29" t="s">
        <v>2470</v>
      </c>
      <c r="E487" s="29" t="s">
        <v>39</v>
      </c>
      <c r="F487" s="29" t="s">
        <v>2471</v>
      </c>
      <c r="G487" s="29" t="s">
        <v>2472</v>
      </c>
      <c r="H487" s="29" t="s">
        <v>2473</v>
      </c>
      <c r="I487" s="29" t="s">
        <v>42</v>
      </c>
      <c r="J487" s="29" t="s">
        <v>43</v>
      </c>
      <c r="K487" s="30" t="s">
        <v>44</v>
      </c>
      <c r="L487" s="31"/>
      <c r="M487" s="29"/>
    </row>
    <row r="488" customFormat="false" ht="51" hidden="false" customHeight="true" outlineLevel="0" collapsed="false">
      <c r="B488" s="29" t="s">
        <v>2474</v>
      </c>
      <c r="C488" s="29" t="s">
        <v>281</v>
      </c>
      <c r="D488" s="29" t="s">
        <v>2475</v>
      </c>
      <c r="E488" s="29" t="s">
        <v>339</v>
      </c>
      <c r="F488" s="29" t="s">
        <v>2471</v>
      </c>
      <c r="G488" s="29" t="s">
        <v>2476</v>
      </c>
      <c r="H488" s="29" t="s">
        <v>2477</v>
      </c>
      <c r="I488" s="29" t="s">
        <v>301</v>
      </c>
      <c r="J488" s="29" t="s">
        <v>201</v>
      </c>
      <c r="K488" s="30" t="s">
        <v>44</v>
      </c>
      <c r="L488" s="31"/>
      <c r="M488" s="29"/>
    </row>
    <row r="489" customFormat="false" ht="51" hidden="false" customHeight="true" outlineLevel="0" collapsed="false">
      <c r="B489" s="29" t="s">
        <v>2478</v>
      </c>
      <c r="C489" s="29" t="s">
        <v>281</v>
      </c>
      <c r="D489" s="29" t="s">
        <v>2479</v>
      </c>
      <c r="E489" s="29" t="s">
        <v>350</v>
      </c>
      <c r="F489" s="29" t="s">
        <v>2432</v>
      </c>
      <c r="G489" s="29" t="s">
        <v>2480</v>
      </c>
      <c r="H489" s="29" t="s">
        <v>2481</v>
      </c>
      <c r="I489" s="29" t="s">
        <v>301</v>
      </c>
      <c r="J489" s="29" t="s">
        <v>201</v>
      </c>
      <c r="K489" s="30" t="s">
        <v>44</v>
      </c>
      <c r="L489" s="31"/>
      <c r="M489" s="29"/>
    </row>
    <row r="490" customFormat="false" ht="51" hidden="false" customHeight="true" outlineLevel="0" collapsed="false">
      <c r="B490" s="29" t="s">
        <v>2482</v>
      </c>
      <c r="C490" s="29" t="s">
        <v>281</v>
      </c>
      <c r="D490" s="29" t="s">
        <v>2483</v>
      </c>
      <c r="E490" s="29" t="s">
        <v>339</v>
      </c>
      <c r="F490" s="29" t="s">
        <v>2471</v>
      </c>
      <c r="G490" s="29" t="s">
        <v>2484</v>
      </c>
      <c r="H490" s="29" t="s">
        <v>2485</v>
      </c>
      <c r="I490" s="29" t="s">
        <v>301</v>
      </c>
      <c r="J490" s="29" t="s">
        <v>201</v>
      </c>
      <c r="K490" s="30" t="s">
        <v>44</v>
      </c>
      <c r="L490" s="31"/>
      <c r="M490" s="29"/>
    </row>
    <row r="491" customFormat="false" ht="89.25" hidden="false" customHeight="true" outlineLevel="0" collapsed="false">
      <c r="B491" s="29" t="s">
        <v>2486</v>
      </c>
      <c r="C491" s="29" t="s">
        <v>281</v>
      </c>
      <c r="D491" s="29" t="s">
        <v>2487</v>
      </c>
      <c r="E491" s="29" t="s">
        <v>205</v>
      </c>
      <c r="F491" s="29" t="s">
        <v>2488</v>
      </c>
      <c r="G491" s="29" t="s">
        <v>2489</v>
      </c>
      <c r="H491" s="29" t="s">
        <v>2490</v>
      </c>
      <c r="I491" s="29" t="s">
        <v>301</v>
      </c>
      <c r="J491" s="29" t="s">
        <v>201</v>
      </c>
      <c r="K491" s="30" t="s">
        <v>44</v>
      </c>
      <c r="L491" s="31"/>
      <c r="M491" s="29"/>
    </row>
    <row r="492" customFormat="false" ht="102" hidden="false" customHeight="true" outlineLevel="0" collapsed="false">
      <c r="B492" s="29" t="s">
        <v>2491</v>
      </c>
      <c r="C492" s="29" t="s">
        <v>281</v>
      </c>
      <c r="D492" s="29" t="s">
        <v>2492</v>
      </c>
      <c r="E492" s="29" t="s">
        <v>595</v>
      </c>
      <c r="F492" s="29" t="s">
        <v>2391</v>
      </c>
      <c r="G492" s="29" t="s">
        <v>2493</v>
      </c>
      <c r="H492" s="29" t="s">
        <v>2494</v>
      </c>
      <c r="I492" s="29" t="s">
        <v>153</v>
      </c>
      <c r="J492" s="29" t="s">
        <v>154</v>
      </c>
      <c r="K492" s="30" t="s">
        <v>44</v>
      </c>
      <c r="L492" s="31"/>
      <c r="M492" s="29"/>
    </row>
    <row r="493" customFormat="false" ht="76.5" hidden="false" customHeight="true" outlineLevel="0" collapsed="false">
      <c r="B493" s="29" t="s">
        <v>2495</v>
      </c>
      <c r="C493" s="29" t="s">
        <v>281</v>
      </c>
      <c r="D493" s="29" t="s">
        <v>2496</v>
      </c>
      <c r="E493" s="29" t="s">
        <v>356</v>
      </c>
      <c r="F493" s="29" t="s">
        <v>2497</v>
      </c>
      <c r="G493" s="29" t="s">
        <v>2498</v>
      </c>
      <c r="H493" s="29" t="s">
        <v>2499</v>
      </c>
      <c r="I493" s="29" t="s">
        <v>301</v>
      </c>
      <c r="J493" s="29" t="s">
        <v>201</v>
      </c>
      <c r="K493" s="30" t="s">
        <v>44</v>
      </c>
      <c r="L493" s="31"/>
      <c r="M493" s="29"/>
    </row>
    <row r="494" customFormat="false" ht="76.5" hidden="false" customHeight="true" outlineLevel="0" collapsed="false">
      <c r="B494" s="29" t="s">
        <v>2500</v>
      </c>
      <c r="C494" s="29" t="s">
        <v>281</v>
      </c>
      <c r="D494" s="29" t="s">
        <v>2501</v>
      </c>
      <c r="E494" s="29" t="s">
        <v>76</v>
      </c>
      <c r="F494" s="29" t="s">
        <v>2502</v>
      </c>
      <c r="G494" s="29" t="s">
        <v>2503</v>
      </c>
      <c r="H494" s="29" t="s">
        <v>2504</v>
      </c>
      <c r="I494" s="29" t="s">
        <v>2505</v>
      </c>
      <c r="J494" s="29" t="s">
        <v>2506</v>
      </c>
      <c r="K494" s="30" t="s">
        <v>44</v>
      </c>
      <c r="L494" s="31"/>
      <c r="M494" s="29"/>
    </row>
    <row r="495" customFormat="false" ht="89.25" hidden="false" customHeight="true" outlineLevel="0" collapsed="false">
      <c r="B495" s="29" t="s">
        <v>2507</v>
      </c>
      <c r="C495" s="29" t="s">
        <v>281</v>
      </c>
      <c r="D495" s="29" t="s">
        <v>2508</v>
      </c>
      <c r="E495" s="29" t="s">
        <v>89</v>
      </c>
      <c r="F495" s="29" t="s">
        <v>2509</v>
      </c>
      <c r="G495" s="29" t="s">
        <v>2510</v>
      </c>
      <c r="H495" s="29" t="s">
        <v>2511</v>
      </c>
      <c r="I495" s="29" t="s">
        <v>534</v>
      </c>
      <c r="J495" s="29" t="s">
        <v>2512</v>
      </c>
      <c r="K495" s="30" t="s">
        <v>44</v>
      </c>
      <c r="L495" s="31"/>
      <c r="M495" s="29"/>
    </row>
    <row r="496" customFormat="false" ht="76.5" hidden="false" customHeight="true" outlineLevel="0" collapsed="false">
      <c r="B496" s="29" t="s">
        <v>2513</v>
      </c>
      <c r="C496" s="29" t="s">
        <v>281</v>
      </c>
      <c r="D496" s="29" t="s">
        <v>2514</v>
      </c>
      <c r="E496" s="29" t="s">
        <v>89</v>
      </c>
      <c r="F496" s="29" t="s">
        <v>2515</v>
      </c>
      <c r="G496" s="29" t="s">
        <v>2516</v>
      </c>
      <c r="H496" s="29" t="s">
        <v>2517</v>
      </c>
      <c r="I496" s="29" t="s">
        <v>534</v>
      </c>
      <c r="J496" s="29" t="s">
        <v>2512</v>
      </c>
      <c r="K496" s="30" t="s">
        <v>44</v>
      </c>
      <c r="L496" s="31"/>
      <c r="M496" s="29"/>
    </row>
    <row r="497" customFormat="false" ht="63.75" hidden="false" customHeight="true" outlineLevel="0" collapsed="false">
      <c r="B497" s="29" t="s">
        <v>2518</v>
      </c>
      <c r="C497" s="29" t="s">
        <v>281</v>
      </c>
      <c r="D497" s="29" t="s">
        <v>2519</v>
      </c>
      <c r="E497" s="29" t="s">
        <v>339</v>
      </c>
      <c r="F497" s="29" t="s">
        <v>2520</v>
      </c>
      <c r="G497" s="29" t="s">
        <v>2521</v>
      </c>
      <c r="H497" s="29" t="s">
        <v>2522</v>
      </c>
      <c r="I497" s="29" t="s">
        <v>301</v>
      </c>
      <c r="J497" s="29" t="s">
        <v>201</v>
      </c>
      <c r="K497" s="30" t="s">
        <v>44</v>
      </c>
      <c r="L497" s="31"/>
      <c r="M497" s="29"/>
    </row>
    <row r="498" customFormat="false" ht="102" hidden="false" customHeight="true" outlineLevel="0" collapsed="false">
      <c r="B498" s="29" t="s">
        <v>2523</v>
      </c>
      <c r="C498" s="29" t="s">
        <v>281</v>
      </c>
      <c r="D498" s="29" t="s">
        <v>2524</v>
      </c>
      <c r="E498" s="29" t="s">
        <v>339</v>
      </c>
      <c r="F498" s="29" t="s">
        <v>2525</v>
      </c>
      <c r="G498" s="29" t="s">
        <v>2526</v>
      </c>
      <c r="H498" s="29" t="s">
        <v>2527</v>
      </c>
      <c r="I498" s="29" t="s">
        <v>301</v>
      </c>
      <c r="J498" s="29" t="s">
        <v>201</v>
      </c>
      <c r="K498" s="30" t="s">
        <v>44</v>
      </c>
      <c r="L498" s="31"/>
      <c r="M498" s="29"/>
    </row>
    <row r="499" customFormat="false" ht="153" hidden="false" customHeight="true" outlineLevel="0" collapsed="false">
      <c r="B499" s="29" t="s">
        <v>2528</v>
      </c>
      <c r="C499" s="29" t="s">
        <v>281</v>
      </c>
      <c r="D499" s="29" t="s">
        <v>2529</v>
      </c>
      <c r="E499" s="29" t="s">
        <v>339</v>
      </c>
      <c r="F499" s="29" t="s">
        <v>2530</v>
      </c>
      <c r="G499" s="29" t="s">
        <v>2531</v>
      </c>
      <c r="H499" s="29" t="s">
        <v>2532</v>
      </c>
      <c r="I499" s="29" t="s">
        <v>467</v>
      </c>
      <c r="J499" s="29" t="s">
        <v>467</v>
      </c>
      <c r="K499" s="30" t="s">
        <v>44</v>
      </c>
      <c r="L499" s="31"/>
      <c r="M499" s="29"/>
    </row>
    <row r="500" customFormat="false" ht="191.25" hidden="false" customHeight="true" outlineLevel="0" collapsed="false">
      <c r="B500" s="29" t="s">
        <v>2533</v>
      </c>
      <c r="C500" s="29" t="s">
        <v>281</v>
      </c>
      <c r="D500" s="29" t="s">
        <v>2534</v>
      </c>
      <c r="E500" s="29" t="s">
        <v>339</v>
      </c>
      <c r="F500" s="29" t="s">
        <v>2535</v>
      </c>
      <c r="G500" s="29" t="s">
        <v>2536</v>
      </c>
      <c r="H500" s="29" t="s">
        <v>2537</v>
      </c>
      <c r="I500" s="29" t="s">
        <v>301</v>
      </c>
      <c r="J500" s="29" t="s">
        <v>201</v>
      </c>
      <c r="K500" s="30" t="s">
        <v>44</v>
      </c>
      <c r="L500" s="31"/>
      <c r="M500" s="29"/>
    </row>
    <row r="501" customFormat="false" ht="51" hidden="false" customHeight="true" outlineLevel="0" collapsed="false">
      <c r="B501" s="29" t="s">
        <v>2538</v>
      </c>
      <c r="C501" s="29" t="s">
        <v>281</v>
      </c>
      <c r="D501" s="29" t="s">
        <v>2539</v>
      </c>
      <c r="E501" s="29" t="s">
        <v>339</v>
      </c>
      <c r="F501" s="29" t="s">
        <v>2540</v>
      </c>
      <c r="G501" s="29" t="s">
        <v>2541</v>
      </c>
      <c r="H501" s="29" t="s">
        <v>2542</v>
      </c>
      <c r="I501" s="29" t="s">
        <v>301</v>
      </c>
      <c r="J501" s="29" t="s">
        <v>201</v>
      </c>
      <c r="K501" s="30" t="s">
        <v>44</v>
      </c>
      <c r="L501" s="31"/>
      <c r="M501" s="29"/>
    </row>
    <row r="502" customFormat="false" ht="51" hidden="false" customHeight="true" outlineLevel="0" collapsed="false">
      <c r="B502" s="29" t="s">
        <v>2543</v>
      </c>
      <c r="C502" s="29" t="s">
        <v>281</v>
      </c>
      <c r="D502" s="29" t="s">
        <v>2544</v>
      </c>
      <c r="E502" s="29" t="s">
        <v>339</v>
      </c>
      <c r="F502" s="29" t="s">
        <v>2545</v>
      </c>
      <c r="G502" s="29" t="s">
        <v>2546</v>
      </c>
      <c r="H502" s="29" t="s">
        <v>2547</v>
      </c>
      <c r="I502" s="29" t="s">
        <v>301</v>
      </c>
      <c r="J502" s="29" t="s">
        <v>201</v>
      </c>
      <c r="K502" s="30" t="s">
        <v>44</v>
      </c>
      <c r="L502" s="31"/>
      <c r="M502" s="29"/>
    </row>
    <row r="503" customFormat="false" ht="38.25" hidden="false" customHeight="true" outlineLevel="0" collapsed="false">
      <c r="B503" s="29" t="s">
        <v>2548</v>
      </c>
      <c r="C503" s="29" t="s">
        <v>281</v>
      </c>
      <c r="D503" s="29" t="s">
        <v>2549</v>
      </c>
      <c r="E503" s="29" t="s">
        <v>339</v>
      </c>
      <c r="F503" s="29" t="s">
        <v>2550</v>
      </c>
      <c r="G503" s="29" t="s">
        <v>2551</v>
      </c>
      <c r="H503" s="29" t="s">
        <v>2552</v>
      </c>
      <c r="I503" s="29" t="s">
        <v>301</v>
      </c>
      <c r="J503" s="29" t="s">
        <v>201</v>
      </c>
      <c r="K503" s="30" t="s">
        <v>44</v>
      </c>
      <c r="L503" s="31"/>
      <c r="M503" s="29"/>
    </row>
    <row r="504" customFormat="false" ht="51" hidden="false" customHeight="true" outlineLevel="0" collapsed="false">
      <c r="B504" s="29" t="s">
        <v>2553</v>
      </c>
      <c r="C504" s="29" t="s">
        <v>281</v>
      </c>
      <c r="D504" s="29" t="s">
        <v>2554</v>
      </c>
      <c r="E504" s="29" t="s">
        <v>339</v>
      </c>
      <c r="F504" s="29" t="s">
        <v>2555</v>
      </c>
      <c r="G504" s="29" t="s">
        <v>2556</v>
      </c>
      <c r="H504" s="29" t="s">
        <v>2557</v>
      </c>
      <c r="I504" s="29" t="s">
        <v>301</v>
      </c>
      <c r="J504" s="29" t="s">
        <v>201</v>
      </c>
      <c r="K504" s="30" t="s">
        <v>44</v>
      </c>
      <c r="L504" s="31"/>
      <c r="M504" s="29"/>
    </row>
    <row r="505" customFormat="false" ht="38.25" hidden="false" customHeight="true" outlineLevel="0" collapsed="false">
      <c r="B505" s="29" t="s">
        <v>2558</v>
      </c>
      <c r="C505" s="29" t="s">
        <v>281</v>
      </c>
      <c r="D505" s="29" t="s">
        <v>2559</v>
      </c>
      <c r="E505" s="29" t="s">
        <v>339</v>
      </c>
      <c r="F505" s="29" t="s">
        <v>2560</v>
      </c>
      <c r="G505" s="29" t="s">
        <v>2561</v>
      </c>
      <c r="H505" s="29" t="s">
        <v>2562</v>
      </c>
      <c r="I505" s="29" t="s">
        <v>301</v>
      </c>
      <c r="J505" s="29" t="s">
        <v>201</v>
      </c>
      <c r="K505" s="30" t="s">
        <v>44</v>
      </c>
      <c r="L505" s="31"/>
      <c r="M505" s="29"/>
    </row>
    <row r="506" customFormat="false" ht="76.5" hidden="false" customHeight="true" outlineLevel="0" collapsed="false">
      <c r="B506" s="29" t="s">
        <v>2563</v>
      </c>
      <c r="C506" s="29" t="s">
        <v>281</v>
      </c>
      <c r="D506" s="29" t="s">
        <v>2564</v>
      </c>
      <c r="E506" s="29" t="s">
        <v>97</v>
      </c>
      <c r="F506" s="29" t="s">
        <v>2565</v>
      </c>
      <c r="G506" s="29" t="s">
        <v>2566</v>
      </c>
      <c r="H506" s="29" t="s">
        <v>2567</v>
      </c>
      <c r="I506" s="29" t="s">
        <v>534</v>
      </c>
      <c r="J506" s="29" t="s">
        <v>535</v>
      </c>
      <c r="K506" s="30" t="s">
        <v>44</v>
      </c>
      <c r="L506" s="31"/>
      <c r="M506" s="29"/>
    </row>
    <row r="507" customFormat="false" ht="63.75" hidden="false" customHeight="true" outlineLevel="0" collapsed="false">
      <c r="B507" s="29" t="s">
        <v>2568</v>
      </c>
      <c r="C507" s="29" t="s">
        <v>281</v>
      </c>
      <c r="D507" s="29" t="s">
        <v>2569</v>
      </c>
      <c r="E507" s="29" t="s">
        <v>339</v>
      </c>
      <c r="F507" s="29" t="s">
        <v>2570</v>
      </c>
      <c r="G507" s="29" t="s">
        <v>2571</v>
      </c>
      <c r="H507" s="29" t="s">
        <v>2572</v>
      </c>
      <c r="I507" s="29" t="s">
        <v>301</v>
      </c>
      <c r="J507" s="29" t="s">
        <v>201</v>
      </c>
      <c r="K507" s="30" t="s">
        <v>44</v>
      </c>
      <c r="L507" s="31"/>
      <c r="M507" s="29"/>
    </row>
    <row r="508" customFormat="false" ht="76.5" hidden="false" customHeight="true" outlineLevel="0" collapsed="false">
      <c r="B508" s="29" t="s">
        <v>2573</v>
      </c>
      <c r="C508" s="29" t="s">
        <v>281</v>
      </c>
      <c r="D508" s="29" t="s">
        <v>2574</v>
      </c>
      <c r="E508" s="29" t="s">
        <v>150</v>
      </c>
      <c r="F508" s="29" t="s">
        <v>2575</v>
      </c>
      <c r="G508" s="29" t="s">
        <v>2576</v>
      </c>
      <c r="H508" s="29" t="s">
        <v>2577</v>
      </c>
      <c r="I508" s="29" t="s">
        <v>467</v>
      </c>
      <c r="J508" s="29" t="s">
        <v>467</v>
      </c>
      <c r="K508" s="30" t="s">
        <v>44</v>
      </c>
      <c r="L508" s="31"/>
      <c r="M508" s="29"/>
    </row>
    <row r="509" customFormat="false" ht="63.75" hidden="false" customHeight="true" outlineLevel="0" collapsed="false">
      <c r="B509" s="29" t="s">
        <v>2578</v>
      </c>
      <c r="C509" s="29" t="s">
        <v>281</v>
      </c>
      <c r="D509" s="29" t="s">
        <v>2579</v>
      </c>
      <c r="E509" s="29" t="s">
        <v>39</v>
      </c>
      <c r="F509" s="29" t="s">
        <v>2391</v>
      </c>
      <c r="G509" s="29" t="s">
        <v>2580</v>
      </c>
      <c r="H509" s="29" t="s">
        <v>2581</v>
      </c>
      <c r="I509" s="29" t="s">
        <v>2582</v>
      </c>
      <c r="J509" s="29" t="s">
        <v>2583</v>
      </c>
      <c r="K509" s="30" t="s">
        <v>44</v>
      </c>
      <c r="L509" s="31"/>
      <c r="M509" s="29"/>
    </row>
    <row r="510" customFormat="false" ht="63.75" hidden="false" customHeight="true" outlineLevel="0" collapsed="false">
      <c r="B510" s="29" t="s">
        <v>2584</v>
      </c>
      <c r="C510" s="29" t="s">
        <v>281</v>
      </c>
      <c r="D510" s="29" t="s">
        <v>2585</v>
      </c>
      <c r="E510" s="29" t="s">
        <v>326</v>
      </c>
      <c r="F510" s="29" t="s">
        <v>2488</v>
      </c>
      <c r="G510" s="29" t="s">
        <v>2586</v>
      </c>
      <c r="H510" s="29" t="s">
        <v>2587</v>
      </c>
      <c r="I510" s="29" t="s">
        <v>301</v>
      </c>
      <c r="J510" s="29" t="s">
        <v>201</v>
      </c>
      <c r="K510" s="30" t="s">
        <v>44</v>
      </c>
      <c r="L510" s="31"/>
      <c r="M510" s="29"/>
    </row>
    <row r="511" customFormat="false" ht="153" hidden="false" customHeight="true" outlineLevel="0" collapsed="false">
      <c r="B511" s="29" t="s">
        <v>2588</v>
      </c>
      <c r="C511" s="29" t="s">
        <v>281</v>
      </c>
      <c r="D511" s="29" t="s">
        <v>2589</v>
      </c>
      <c r="E511" s="29" t="s">
        <v>595</v>
      </c>
      <c r="F511" s="29" t="s">
        <v>2590</v>
      </c>
      <c r="G511" s="29" t="s">
        <v>2591</v>
      </c>
      <c r="H511" s="29" t="s">
        <v>2592</v>
      </c>
      <c r="I511" s="29" t="s">
        <v>153</v>
      </c>
      <c r="J511" s="29" t="s">
        <v>154</v>
      </c>
      <c r="K511" s="30" t="s">
        <v>44</v>
      </c>
      <c r="L511" s="31"/>
      <c r="M511" s="29"/>
    </row>
    <row r="512" customFormat="false" ht="51" hidden="false" customHeight="true" outlineLevel="0" collapsed="false">
      <c r="B512" s="29" t="s">
        <v>2593</v>
      </c>
      <c r="C512" s="29" t="s">
        <v>281</v>
      </c>
      <c r="D512" s="29" t="s">
        <v>2594</v>
      </c>
      <c r="E512" s="29" t="s">
        <v>356</v>
      </c>
      <c r="F512" s="29" t="s">
        <v>2595</v>
      </c>
      <c r="G512" s="29" t="s">
        <v>2596</v>
      </c>
      <c r="H512" s="29" t="s">
        <v>2597</v>
      </c>
      <c r="I512" s="29" t="s">
        <v>301</v>
      </c>
      <c r="J512" s="29" t="s">
        <v>201</v>
      </c>
      <c r="K512" s="30" t="s">
        <v>44</v>
      </c>
      <c r="L512" s="31"/>
      <c r="M512" s="29"/>
    </row>
    <row r="513" customFormat="false" ht="102" hidden="false" customHeight="true" outlineLevel="0" collapsed="false">
      <c r="B513" s="29" t="s">
        <v>2598</v>
      </c>
      <c r="C513" s="29" t="s">
        <v>281</v>
      </c>
      <c r="D513" s="29" t="s">
        <v>2599</v>
      </c>
      <c r="E513" s="29" t="s">
        <v>89</v>
      </c>
      <c r="F513" s="29" t="s">
        <v>2600</v>
      </c>
      <c r="G513" s="29" t="s">
        <v>2601</v>
      </c>
      <c r="H513" s="29" t="s">
        <v>2602</v>
      </c>
      <c r="I513" s="29" t="s">
        <v>93</v>
      </c>
      <c r="J513" s="29" t="s">
        <v>2603</v>
      </c>
      <c r="K513" s="30" t="s">
        <v>44</v>
      </c>
      <c r="L513" s="31"/>
      <c r="M513" s="29"/>
    </row>
    <row r="514" customFormat="false" ht="89.25" hidden="false" customHeight="true" outlineLevel="0" collapsed="false">
      <c r="B514" s="29" t="s">
        <v>2604</v>
      </c>
      <c r="C514" s="29" t="s">
        <v>281</v>
      </c>
      <c r="D514" s="29" t="s">
        <v>2605</v>
      </c>
      <c r="E514" s="29" t="s">
        <v>339</v>
      </c>
      <c r="F514" s="29" t="s">
        <v>2606</v>
      </c>
      <c r="G514" s="29" t="s">
        <v>2607</v>
      </c>
      <c r="H514" s="29" t="s">
        <v>2608</v>
      </c>
      <c r="I514" s="29" t="s">
        <v>301</v>
      </c>
      <c r="J514" s="29" t="s">
        <v>201</v>
      </c>
      <c r="K514" s="30" t="s">
        <v>44</v>
      </c>
      <c r="L514" s="31"/>
      <c r="M514" s="29"/>
    </row>
    <row r="515" customFormat="false" ht="76.5" hidden="false" customHeight="true" outlineLevel="0" collapsed="false">
      <c r="B515" s="29" t="s">
        <v>2609</v>
      </c>
      <c r="C515" s="29" t="s">
        <v>281</v>
      </c>
      <c r="D515" s="29" t="s">
        <v>2610</v>
      </c>
      <c r="E515" s="29" t="s">
        <v>150</v>
      </c>
      <c r="F515" s="29" t="s">
        <v>2611</v>
      </c>
      <c r="G515" s="29" t="s">
        <v>2612</v>
      </c>
      <c r="H515" s="29" t="s">
        <v>2613</v>
      </c>
      <c r="I515" s="29" t="s">
        <v>467</v>
      </c>
      <c r="J515" s="29" t="s">
        <v>467</v>
      </c>
      <c r="K515" s="30" t="s">
        <v>44</v>
      </c>
      <c r="L515" s="31"/>
      <c r="M515" s="29"/>
    </row>
    <row r="516" customFormat="false" ht="89.25" hidden="false" customHeight="true" outlineLevel="0" collapsed="false">
      <c r="B516" s="29" t="s">
        <v>2614</v>
      </c>
      <c r="C516" s="29" t="s">
        <v>281</v>
      </c>
      <c r="D516" s="29" t="s">
        <v>2615</v>
      </c>
      <c r="E516" s="29" t="s">
        <v>356</v>
      </c>
      <c r="F516" s="29" t="s">
        <v>2616</v>
      </c>
      <c r="G516" s="29" t="s">
        <v>2617</v>
      </c>
      <c r="H516" s="29" t="s">
        <v>2618</v>
      </c>
      <c r="I516" s="29" t="s">
        <v>301</v>
      </c>
      <c r="J516" s="29" t="s">
        <v>201</v>
      </c>
      <c r="K516" s="30" t="s">
        <v>44</v>
      </c>
      <c r="L516" s="31"/>
      <c r="M516" s="29"/>
    </row>
    <row r="517" customFormat="false" ht="204" hidden="false" customHeight="true" outlineLevel="0" collapsed="false">
      <c r="B517" s="29" t="s">
        <v>2619</v>
      </c>
      <c r="C517" s="29" t="s">
        <v>281</v>
      </c>
      <c r="D517" s="29" t="s">
        <v>2620</v>
      </c>
      <c r="E517" s="29" t="s">
        <v>150</v>
      </c>
      <c r="F517" s="29" t="s">
        <v>2621</v>
      </c>
      <c r="G517" s="29" t="s">
        <v>2622</v>
      </c>
      <c r="H517" s="29" t="s">
        <v>2623</v>
      </c>
      <c r="I517" s="29" t="s">
        <v>285</v>
      </c>
      <c r="J517" s="29" t="s">
        <v>795</v>
      </c>
      <c r="K517" s="30" t="s">
        <v>44</v>
      </c>
      <c r="L517" s="31"/>
      <c r="M517" s="29"/>
    </row>
    <row r="518" customFormat="false" ht="76.5" hidden="false" customHeight="true" outlineLevel="0" collapsed="false">
      <c r="B518" s="29" t="s">
        <v>2624</v>
      </c>
      <c r="C518" s="29" t="s">
        <v>281</v>
      </c>
      <c r="D518" s="29" t="s">
        <v>2625</v>
      </c>
      <c r="E518" s="29" t="s">
        <v>205</v>
      </c>
      <c r="F518" s="29" t="s">
        <v>2626</v>
      </c>
      <c r="G518" s="29" t="s">
        <v>2627</v>
      </c>
      <c r="H518" s="29" t="s">
        <v>2628</v>
      </c>
      <c r="I518" s="29" t="s">
        <v>301</v>
      </c>
      <c r="J518" s="29" t="s">
        <v>201</v>
      </c>
      <c r="K518" s="30" t="s">
        <v>44</v>
      </c>
      <c r="L518" s="31"/>
      <c r="M518" s="29"/>
    </row>
    <row r="519" customFormat="false" ht="76.5" hidden="false" customHeight="true" outlineLevel="0" collapsed="false">
      <c r="B519" s="29" t="s">
        <v>2629</v>
      </c>
      <c r="C519" s="29" t="s">
        <v>281</v>
      </c>
      <c r="D519" s="29" t="s">
        <v>2630</v>
      </c>
      <c r="E519" s="29" t="s">
        <v>339</v>
      </c>
      <c r="F519" s="29" t="s">
        <v>2631</v>
      </c>
      <c r="G519" s="29" t="s">
        <v>2632</v>
      </c>
      <c r="H519" s="29" t="s">
        <v>2633</v>
      </c>
      <c r="I519" s="29" t="s">
        <v>301</v>
      </c>
      <c r="J519" s="29" t="s">
        <v>201</v>
      </c>
      <c r="K519" s="30" t="s">
        <v>44</v>
      </c>
      <c r="L519" s="31"/>
      <c r="M519" s="29"/>
    </row>
    <row r="520" customFormat="false" ht="102" hidden="false" customHeight="true" outlineLevel="0" collapsed="false">
      <c r="B520" s="29" t="s">
        <v>2634</v>
      </c>
      <c r="C520" s="29" t="s">
        <v>281</v>
      </c>
      <c r="D520" s="29" t="s">
        <v>2635</v>
      </c>
      <c r="E520" s="29" t="s">
        <v>350</v>
      </c>
      <c r="F520" s="29" t="s">
        <v>2636</v>
      </c>
      <c r="G520" s="29" t="s">
        <v>2637</v>
      </c>
      <c r="H520" s="29" t="s">
        <v>2638</v>
      </c>
      <c r="I520" s="29" t="s">
        <v>301</v>
      </c>
      <c r="J520" s="29" t="s">
        <v>201</v>
      </c>
      <c r="K520" s="30" t="s">
        <v>44</v>
      </c>
      <c r="L520" s="31"/>
      <c r="M520" s="29"/>
    </row>
    <row r="521" customFormat="false" ht="267.75" hidden="false" customHeight="true" outlineLevel="0" collapsed="false">
      <c r="B521" s="29" t="s">
        <v>2639</v>
      </c>
      <c r="C521" s="29" t="s">
        <v>281</v>
      </c>
      <c r="D521" s="29" t="s">
        <v>2640</v>
      </c>
      <c r="E521" s="29" t="s">
        <v>356</v>
      </c>
      <c r="F521" s="29" t="s">
        <v>2641</v>
      </c>
      <c r="G521" s="29" t="s">
        <v>2642</v>
      </c>
      <c r="H521" s="29" t="s">
        <v>2643</v>
      </c>
      <c r="I521" s="29" t="s">
        <v>301</v>
      </c>
      <c r="J521" s="29" t="s">
        <v>201</v>
      </c>
      <c r="K521" s="30" t="s">
        <v>44</v>
      </c>
      <c r="L521" s="31"/>
      <c r="M521" s="29"/>
    </row>
    <row r="522" customFormat="false" ht="63.75" hidden="false" customHeight="true" outlineLevel="0" collapsed="false">
      <c r="B522" s="29" t="s">
        <v>2644</v>
      </c>
      <c r="C522" s="29" t="s">
        <v>281</v>
      </c>
      <c r="D522" s="29" t="s">
        <v>2645</v>
      </c>
      <c r="E522" s="29" t="s">
        <v>39</v>
      </c>
      <c r="F522" s="29" t="s">
        <v>2646</v>
      </c>
      <c r="G522" s="29" t="s">
        <v>2647</v>
      </c>
      <c r="H522" s="29" t="s">
        <v>2648</v>
      </c>
      <c r="I522" s="29" t="s">
        <v>93</v>
      </c>
      <c r="J522" s="29" t="s">
        <v>2649</v>
      </c>
      <c r="K522" s="30" t="s">
        <v>44</v>
      </c>
      <c r="L522" s="31"/>
      <c r="M522" s="29"/>
    </row>
    <row r="523" customFormat="false" ht="140.25" hidden="false" customHeight="true" outlineLevel="0" collapsed="false">
      <c r="B523" s="29" t="s">
        <v>2650</v>
      </c>
      <c r="C523" s="29" t="s">
        <v>281</v>
      </c>
      <c r="D523" s="29" t="s">
        <v>2651</v>
      </c>
      <c r="E523" s="29" t="s">
        <v>356</v>
      </c>
      <c r="F523" s="29" t="s">
        <v>2652</v>
      </c>
      <c r="G523" s="29" t="s">
        <v>2653</v>
      </c>
      <c r="H523" s="29" t="s">
        <v>2654</v>
      </c>
      <c r="I523" s="29" t="s">
        <v>301</v>
      </c>
      <c r="J523" s="29" t="s">
        <v>201</v>
      </c>
      <c r="K523" s="30" t="s">
        <v>44</v>
      </c>
      <c r="L523" s="31"/>
      <c r="M523" s="29"/>
    </row>
    <row r="524" customFormat="false" ht="140.25" hidden="false" customHeight="true" outlineLevel="0" collapsed="false">
      <c r="B524" s="29" t="s">
        <v>2655</v>
      </c>
      <c r="C524" s="29" t="s">
        <v>281</v>
      </c>
      <c r="D524" s="29" t="s">
        <v>2656</v>
      </c>
      <c r="E524" s="29" t="s">
        <v>356</v>
      </c>
      <c r="F524" s="29" t="s">
        <v>2657</v>
      </c>
      <c r="G524" s="29" t="s">
        <v>2658</v>
      </c>
      <c r="H524" s="29" t="s">
        <v>2659</v>
      </c>
      <c r="I524" s="29" t="s">
        <v>301</v>
      </c>
      <c r="J524" s="29" t="s">
        <v>201</v>
      </c>
      <c r="K524" s="30" t="s">
        <v>44</v>
      </c>
      <c r="L524" s="31"/>
      <c r="M524" s="29"/>
    </row>
    <row r="525" customFormat="false" ht="63.75" hidden="false" customHeight="true" outlineLevel="0" collapsed="false">
      <c r="B525" s="29" t="s">
        <v>2660</v>
      </c>
      <c r="C525" s="29" t="s">
        <v>281</v>
      </c>
      <c r="D525" s="29" t="s">
        <v>2661</v>
      </c>
      <c r="E525" s="29" t="s">
        <v>326</v>
      </c>
      <c r="F525" s="29" t="s">
        <v>2662</v>
      </c>
      <c r="G525" s="29" t="s">
        <v>2663</v>
      </c>
      <c r="H525" s="29" t="s">
        <v>2664</v>
      </c>
      <c r="I525" s="29" t="s">
        <v>301</v>
      </c>
      <c r="J525" s="29" t="s">
        <v>201</v>
      </c>
      <c r="K525" s="30" t="s">
        <v>44</v>
      </c>
      <c r="L525" s="31"/>
      <c r="M525" s="29"/>
    </row>
    <row r="526" customFormat="false" ht="63.75" hidden="false" customHeight="true" outlineLevel="0" collapsed="false">
      <c r="B526" s="29" t="s">
        <v>2665</v>
      </c>
      <c r="C526" s="29" t="s">
        <v>281</v>
      </c>
      <c r="D526" s="29" t="s">
        <v>2666</v>
      </c>
      <c r="E526" s="29" t="s">
        <v>538</v>
      </c>
      <c r="F526" s="29" t="s">
        <v>2667</v>
      </c>
      <c r="G526" s="29" t="s">
        <v>2668</v>
      </c>
      <c r="H526" s="29" t="s">
        <v>2669</v>
      </c>
      <c r="I526" s="29" t="s">
        <v>467</v>
      </c>
      <c r="J526" s="29" t="s">
        <v>467</v>
      </c>
      <c r="K526" s="30" t="s">
        <v>44</v>
      </c>
      <c r="L526" s="31"/>
      <c r="M526" s="29"/>
    </row>
    <row r="527" customFormat="false" ht="63.75" hidden="false" customHeight="true" outlineLevel="0" collapsed="false">
      <c r="B527" s="29" t="s">
        <v>2670</v>
      </c>
      <c r="C527" s="29" t="s">
        <v>281</v>
      </c>
      <c r="D527" s="29" t="s">
        <v>2671</v>
      </c>
      <c r="E527" s="29" t="s">
        <v>339</v>
      </c>
      <c r="F527" s="29" t="s">
        <v>2672</v>
      </c>
      <c r="G527" s="29" t="s">
        <v>2673</v>
      </c>
      <c r="H527" s="29" t="s">
        <v>2674</v>
      </c>
      <c r="I527" s="29" t="s">
        <v>301</v>
      </c>
      <c r="J527" s="29" t="s">
        <v>201</v>
      </c>
      <c r="K527" s="30" t="s">
        <v>44</v>
      </c>
      <c r="L527" s="31"/>
      <c r="M527" s="29"/>
    </row>
    <row r="528" customFormat="false" ht="114.75" hidden="false" customHeight="true" outlineLevel="0" collapsed="false">
      <c r="B528" s="29" t="s">
        <v>2675</v>
      </c>
      <c r="C528" s="29" t="s">
        <v>281</v>
      </c>
      <c r="D528" s="29" t="s">
        <v>2676</v>
      </c>
      <c r="E528" s="29" t="s">
        <v>356</v>
      </c>
      <c r="F528" s="29" t="s">
        <v>2677</v>
      </c>
      <c r="G528" s="29" t="s">
        <v>2678</v>
      </c>
      <c r="H528" s="29" t="s">
        <v>2679</v>
      </c>
      <c r="I528" s="29" t="s">
        <v>301</v>
      </c>
      <c r="J528" s="29" t="s">
        <v>201</v>
      </c>
      <c r="K528" s="30" t="s">
        <v>44</v>
      </c>
      <c r="L528" s="31"/>
      <c r="M528" s="29"/>
    </row>
    <row r="529" customFormat="false" ht="114.75" hidden="false" customHeight="true" outlineLevel="0" collapsed="false">
      <c r="B529" s="29" t="s">
        <v>2680</v>
      </c>
      <c r="C529" s="29" t="s">
        <v>281</v>
      </c>
      <c r="D529" s="29" t="s">
        <v>2681</v>
      </c>
      <c r="E529" s="29" t="s">
        <v>339</v>
      </c>
      <c r="F529" s="29" t="s">
        <v>2682</v>
      </c>
      <c r="G529" s="29" t="s">
        <v>2683</v>
      </c>
      <c r="H529" s="29" t="s">
        <v>2684</v>
      </c>
      <c r="I529" s="29" t="s">
        <v>301</v>
      </c>
      <c r="J529" s="29" t="s">
        <v>201</v>
      </c>
      <c r="K529" s="30" t="s">
        <v>44</v>
      </c>
      <c r="L529" s="31"/>
      <c r="M529" s="29"/>
    </row>
    <row r="530" customFormat="false" ht="153" hidden="false" customHeight="true" outlineLevel="0" collapsed="false">
      <c r="B530" s="29" t="s">
        <v>2685</v>
      </c>
      <c r="C530" s="29" t="s">
        <v>281</v>
      </c>
      <c r="D530" s="29" t="s">
        <v>2686</v>
      </c>
      <c r="E530" s="29" t="s">
        <v>76</v>
      </c>
      <c r="F530" s="29" t="s">
        <v>2687</v>
      </c>
      <c r="G530" s="29" t="s">
        <v>2688</v>
      </c>
      <c r="H530" s="29" t="s">
        <v>2689</v>
      </c>
      <c r="I530" s="29" t="s">
        <v>1231</v>
      </c>
      <c r="J530" s="29" t="s">
        <v>2690</v>
      </c>
      <c r="K530" s="30" t="s">
        <v>44</v>
      </c>
      <c r="L530" s="31"/>
      <c r="M530" s="29"/>
    </row>
    <row r="531" customFormat="false" ht="178.5" hidden="false" customHeight="true" outlineLevel="0" collapsed="false">
      <c r="B531" s="29" t="s">
        <v>2691</v>
      </c>
      <c r="C531" s="29" t="s">
        <v>281</v>
      </c>
      <c r="D531" s="29" t="s">
        <v>2692</v>
      </c>
      <c r="E531" s="29" t="s">
        <v>350</v>
      </c>
      <c r="F531" s="29" t="s">
        <v>2693</v>
      </c>
      <c r="G531" s="29" t="s">
        <v>2694</v>
      </c>
      <c r="H531" s="29" t="s">
        <v>2695</v>
      </c>
      <c r="I531" s="29" t="s">
        <v>467</v>
      </c>
      <c r="J531" s="29" t="s">
        <v>467</v>
      </c>
      <c r="K531" s="30" t="s">
        <v>44</v>
      </c>
      <c r="L531" s="31"/>
      <c r="M531" s="29"/>
    </row>
    <row r="532" customFormat="false" ht="76.5" hidden="false" customHeight="true" outlineLevel="0" collapsed="false">
      <c r="B532" s="29" t="s">
        <v>2696</v>
      </c>
      <c r="C532" s="29" t="s">
        <v>281</v>
      </c>
      <c r="D532" s="29" t="s">
        <v>2697</v>
      </c>
      <c r="E532" s="29" t="s">
        <v>339</v>
      </c>
      <c r="F532" s="29" t="s">
        <v>2698</v>
      </c>
      <c r="G532" s="29" t="s">
        <v>2699</v>
      </c>
      <c r="H532" s="29" t="s">
        <v>2700</v>
      </c>
      <c r="I532" s="29" t="s">
        <v>301</v>
      </c>
      <c r="J532" s="29" t="s">
        <v>201</v>
      </c>
      <c r="K532" s="30" t="s">
        <v>44</v>
      </c>
      <c r="L532" s="31"/>
      <c r="M532" s="29"/>
    </row>
    <row r="533" customFormat="false" ht="76.5" hidden="false" customHeight="true" outlineLevel="0" collapsed="false">
      <c r="B533" s="29" t="s">
        <v>2701</v>
      </c>
      <c r="C533" s="29" t="s">
        <v>281</v>
      </c>
      <c r="D533" s="29" t="s">
        <v>2702</v>
      </c>
      <c r="E533" s="29" t="s">
        <v>339</v>
      </c>
      <c r="F533" s="29" t="s">
        <v>2703</v>
      </c>
      <c r="G533" s="29" t="s">
        <v>2704</v>
      </c>
      <c r="H533" s="29" t="s">
        <v>2705</v>
      </c>
      <c r="I533" s="29" t="s">
        <v>301</v>
      </c>
      <c r="J533" s="29" t="s">
        <v>201</v>
      </c>
      <c r="K533" s="30" t="s">
        <v>44</v>
      </c>
      <c r="L533" s="31"/>
      <c r="M533" s="29"/>
    </row>
    <row r="534" customFormat="false" ht="63.75" hidden="false" customHeight="true" outlineLevel="0" collapsed="false">
      <c r="B534" s="29" t="s">
        <v>2706</v>
      </c>
      <c r="C534" s="29" t="s">
        <v>281</v>
      </c>
      <c r="D534" s="29" t="s">
        <v>2707</v>
      </c>
      <c r="E534" s="29" t="s">
        <v>339</v>
      </c>
      <c r="F534" s="29" t="s">
        <v>2708</v>
      </c>
      <c r="G534" s="29" t="s">
        <v>2709</v>
      </c>
      <c r="H534" s="29" t="s">
        <v>2710</v>
      </c>
      <c r="I534" s="29" t="s">
        <v>153</v>
      </c>
      <c r="J534" s="29" t="s">
        <v>154</v>
      </c>
      <c r="K534" s="30" t="s">
        <v>44</v>
      </c>
      <c r="L534" s="31"/>
      <c r="M534" s="29"/>
    </row>
    <row r="535" customFormat="false" ht="76.5" hidden="false" customHeight="true" outlineLevel="0" collapsed="false">
      <c r="B535" s="29" t="s">
        <v>2711</v>
      </c>
      <c r="C535" s="29" t="s">
        <v>281</v>
      </c>
      <c r="D535" s="29" t="s">
        <v>2712</v>
      </c>
      <c r="E535" s="29" t="s">
        <v>356</v>
      </c>
      <c r="F535" s="29" t="s">
        <v>2713</v>
      </c>
      <c r="G535" s="29" t="s">
        <v>2714</v>
      </c>
      <c r="H535" s="29" t="s">
        <v>2715</v>
      </c>
      <c r="I535" s="29" t="s">
        <v>467</v>
      </c>
      <c r="J535" s="29" t="s">
        <v>467</v>
      </c>
      <c r="K535" s="30" t="s">
        <v>44</v>
      </c>
      <c r="L535" s="31"/>
      <c r="M535" s="29"/>
    </row>
    <row r="536" customFormat="false" ht="89.25" hidden="false" customHeight="true" outlineLevel="0" collapsed="false">
      <c r="B536" s="29" t="s">
        <v>2716</v>
      </c>
      <c r="C536" s="29" t="s">
        <v>281</v>
      </c>
      <c r="D536" s="29" t="s">
        <v>2717</v>
      </c>
      <c r="E536" s="29" t="s">
        <v>76</v>
      </c>
      <c r="F536" s="29" t="s">
        <v>2718</v>
      </c>
      <c r="G536" s="29" t="s">
        <v>2719</v>
      </c>
      <c r="H536" s="29" t="s">
        <v>2720</v>
      </c>
      <c r="I536" s="29" t="s">
        <v>285</v>
      </c>
      <c r="J536" s="29" t="s">
        <v>79</v>
      </c>
      <c r="K536" s="30" t="s">
        <v>44</v>
      </c>
      <c r="L536" s="31"/>
      <c r="M536" s="29"/>
    </row>
    <row r="537" customFormat="false" ht="153" hidden="false" customHeight="true" outlineLevel="0" collapsed="false">
      <c r="B537" s="29" t="s">
        <v>2721</v>
      </c>
      <c r="C537" s="29" t="s">
        <v>281</v>
      </c>
      <c r="D537" s="29" t="s">
        <v>2722</v>
      </c>
      <c r="E537" s="29" t="s">
        <v>76</v>
      </c>
      <c r="F537" s="29" t="s">
        <v>2723</v>
      </c>
      <c r="G537" s="29" t="s">
        <v>2724</v>
      </c>
      <c r="H537" s="29" t="s">
        <v>2725</v>
      </c>
      <c r="I537" s="29" t="s">
        <v>2726</v>
      </c>
      <c r="J537" s="29" t="s">
        <v>2727</v>
      </c>
      <c r="K537" s="30" t="s">
        <v>44</v>
      </c>
      <c r="L537" s="31"/>
      <c r="M537" s="29"/>
    </row>
    <row r="538" customFormat="false" ht="114.75" hidden="false" customHeight="true" outlineLevel="0" collapsed="false">
      <c r="B538" s="29" t="s">
        <v>2728</v>
      </c>
      <c r="C538" s="29" t="s">
        <v>281</v>
      </c>
      <c r="D538" s="29" t="s">
        <v>2729</v>
      </c>
      <c r="E538" s="29" t="s">
        <v>339</v>
      </c>
      <c r="F538" s="29" t="s">
        <v>2730</v>
      </c>
      <c r="G538" s="29" t="s">
        <v>2731</v>
      </c>
      <c r="H538" s="29" t="s">
        <v>2732</v>
      </c>
      <c r="I538" s="29" t="s">
        <v>301</v>
      </c>
      <c r="J538" s="29" t="s">
        <v>201</v>
      </c>
      <c r="K538" s="30" t="s">
        <v>44</v>
      </c>
      <c r="L538" s="31"/>
      <c r="M538" s="29"/>
    </row>
    <row r="539" customFormat="false" ht="89.25" hidden="false" customHeight="true" outlineLevel="0" collapsed="false">
      <c r="B539" s="29" t="s">
        <v>2733</v>
      </c>
      <c r="C539" s="29" t="s">
        <v>281</v>
      </c>
      <c r="D539" s="29" t="s">
        <v>2734</v>
      </c>
      <c r="E539" s="29" t="s">
        <v>339</v>
      </c>
      <c r="F539" s="29" t="s">
        <v>2735</v>
      </c>
      <c r="G539" s="29" t="s">
        <v>2736</v>
      </c>
      <c r="H539" s="29" t="s">
        <v>2737</v>
      </c>
      <c r="I539" s="29" t="s">
        <v>301</v>
      </c>
      <c r="J539" s="29" t="s">
        <v>201</v>
      </c>
      <c r="K539" s="30" t="s">
        <v>44</v>
      </c>
      <c r="L539" s="31"/>
      <c r="M539" s="29"/>
    </row>
    <row r="540" customFormat="false" ht="38.25" hidden="false" customHeight="true" outlineLevel="0" collapsed="false">
      <c r="B540" s="29" t="s">
        <v>2738</v>
      </c>
      <c r="C540" s="29" t="s">
        <v>281</v>
      </c>
      <c r="D540" s="29" t="s">
        <v>2739</v>
      </c>
      <c r="E540" s="29" t="s">
        <v>350</v>
      </c>
      <c r="F540" s="29" t="s">
        <v>2740</v>
      </c>
      <c r="G540" s="29" t="s">
        <v>2741</v>
      </c>
      <c r="H540" s="29" t="s">
        <v>2742</v>
      </c>
      <c r="I540" s="29" t="s">
        <v>301</v>
      </c>
      <c r="J540" s="29" t="s">
        <v>201</v>
      </c>
      <c r="K540" s="30" t="s">
        <v>44</v>
      </c>
      <c r="L540" s="31"/>
      <c r="M540" s="29"/>
    </row>
    <row r="541" customFormat="false" ht="178.5" hidden="false" customHeight="true" outlineLevel="0" collapsed="false">
      <c r="B541" s="29" t="s">
        <v>2743</v>
      </c>
      <c r="C541" s="29" t="s">
        <v>281</v>
      </c>
      <c r="D541" s="29" t="s">
        <v>2744</v>
      </c>
      <c r="E541" s="29" t="s">
        <v>339</v>
      </c>
      <c r="F541" s="29" t="s">
        <v>2745</v>
      </c>
      <c r="G541" s="29" t="s">
        <v>2746</v>
      </c>
      <c r="H541" s="29" t="s">
        <v>2747</v>
      </c>
      <c r="I541" s="29" t="s">
        <v>467</v>
      </c>
      <c r="J541" s="29" t="s">
        <v>467</v>
      </c>
      <c r="K541" s="30" t="s">
        <v>44</v>
      </c>
      <c r="L541" s="31"/>
      <c r="M541" s="29"/>
    </row>
    <row r="542" customFormat="false" ht="76.5" hidden="false" customHeight="true" outlineLevel="0" collapsed="false">
      <c r="B542" s="29" t="s">
        <v>2748</v>
      </c>
      <c r="C542" s="29" t="s">
        <v>281</v>
      </c>
      <c r="D542" s="29" t="s">
        <v>2749</v>
      </c>
      <c r="E542" s="29" t="s">
        <v>356</v>
      </c>
      <c r="F542" s="29" t="s">
        <v>2750</v>
      </c>
      <c r="G542" s="29" t="s">
        <v>2751</v>
      </c>
      <c r="H542" s="29" t="s">
        <v>2752</v>
      </c>
      <c r="I542" s="29" t="s">
        <v>153</v>
      </c>
      <c r="J542" s="29" t="s">
        <v>154</v>
      </c>
      <c r="K542" s="30" t="s">
        <v>44</v>
      </c>
      <c r="L542" s="31"/>
      <c r="M542" s="29"/>
    </row>
    <row r="543" customFormat="false" ht="114.75" hidden="false" customHeight="true" outlineLevel="0" collapsed="false">
      <c r="B543" s="29" t="s">
        <v>2753</v>
      </c>
      <c r="C543" s="29" t="s">
        <v>281</v>
      </c>
      <c r="D543" s="29" t="s">
        <v>2754</v>
      </c>
      <c r="E543" s="29" t="s">
        <v>595</v>
      </c>
      <c r="F543" s="29" t="s">
        <v>2755</v>
      </c>
      <c r="G543" s="29" t="s">
        <v>2756</v>
      </c>
      <c r="H543" s="29" t="s">
        <v>2757</v>
      </c>
      <c r="I543" s="29" t="s">
        <v>467</v>
      </c>
      <c r="J543" s="29" t="s">
        <v>467</v>
      </c>
      <c r="K543" s="30" t="s">
        <v>44</v>
      </c>
      <c r="L543" s="31"/>
      <c r="M543" s="29"/>
    </row>
    <row r="544" customFormat="false" ht="140.25" hidden="false" customHeight="true" outlineLevel="0" collapsed="false">
      <c r="B544" s="29" t="s">
        <v>2758</v>
      </c>
      <c r="C544" s="29" t="s">
        <v>281</v>
      </c>
      <c r="D544" s="29" t="s">
        <v>2759</v>
      </c>
      <c r="E544" s="29" t="s">
        <v>356</v>
      </c>
      <c r="F544" s="29" t="s">
        <v>2760</v>
      </c>
      <c r="G544" s="29" t="s">
        <v>2761</v>
      </c>
      <c r="H544" s="29" t="s">
        <v>2762</v>
      </c>
      <c r="I544" s="29" t="s">
        <v>285</v>
      </c>
      <c r="J544" s="29" t="s">
        <v>795</v>
      </c>
      <c r="K544" s="30" t="s">
        <v>44</v>
      </c>
      <c r="L544" s="31"/>
      <c r="M544" s="29"/>
    </row>
    <row r="545" customFormat="false" ht="89.25" hidden="false" customHeight="true" outlineLevel="0" collapsed="false">
      <c r="B545" s="29" t="s">
        <v>2763</v>
      </c>
      <c r="C545" s="29" t="s">
        <v>281</v>
      </c>
      <c r="D545" s="29" t="s">
        <v>2764</v>
      </c>
      <c r="E545" s="29" t="s">
        <v>595</v>
      </c>
      <c r="F545" s="29" t="s">
        <v>2765</v>
      </c>
      <c r="G545" s="29" t="s">
        <v>2766</v>
      </c>
      <c r="H545" s="29" t="s">
        <v>2767</v>
      </c>
      <c r="I545" s="29" t="s">
        <v>467</v>
      </c>
      <c r="J545" s="29" t="s">
        <v>467</v>
      </c>
      <c r="K545" s="30" t="s">
        <v>44</v>
      </c>
      <c r="L545" s="31"/>
      <c r="M545" s="29"/>
    </row>
    <row r="546" customFormat="false" ht="140.25" hidden="false" customHeight="true" outlineLevel="0" collapsed="false">
      <c r="B546" s="29" t="s">
        <v>2768</v>
      </c>
      <c r="C546" s="29" t="s">
        <v>281</v>
      </c>
      <c r="D546" s="29" t="s">
        <v>2769</v>
      </c>
      <c r="E546" s="29" t="s">
        <v>350</v>
      </c>
      <c r="F546" s="29" t="s">
        <v>2770</v>
      </c>
      <c r="G546" s="29" t="s">
        <v>2771</v>
      </c>
      <c r="H546" s="29" t="s">
        <v>2772</v>
      </c>
      <c r="I546" s="29" t="s">
        <v>301</v>
      </c>
      <c r="J546" s="29" t="s">
        <v>201</v>
      </c>
      <c r="K546" s="30" t="s">
        <v>44</v>
      </c>
      <c r="L546" s="31"/>
      <c r="M546" s="29"/>
    </row>
    <row r="547" customFormat="false" ht="89.25" hidden="false" customHeight="true" outlineLevel="0" collapsed="false">
      <c r="B547" s="29" t="s">
        <v>2773</v>
      </c>
      <c r="C547" s="29" t="s">
        <v>281</v>
      </c>
      <c r="D547" s="29" t="s">
        <v>2774</v>
      </c>
      <c r="E547" s="29" t="s">
        <v>356</v>
      </c>
      <c r="F547" s="29" t="s">
        <v>2775</v>
      </c>
      <c r="G547" s="29" t="s">
        <v>2776</v>
      </c>
      <c r="H547" s="29" t="s">
        <v>2777</v>
      </c>
      <c r="I547" s="29" t="s">
        <v>301</v>
      </c>
      <c r="J547" s="29" t="s">
        <v>201</v>
      </c>
      <c r="K547" s="30" t="s">
        <v>44</v>
      </c>
      <c r="L547" s="31"/>
      <c r="M547" s="29"/>
    </row>
    <row r="548" customFormat="false" ht="63.75" hidden="false" customHeight="true" outlineLevel="0" collapsed="false">
      <c r="B548" s="29" t="s">
        <v>2778</v>
      </c>
      <c r="C548" s="29" t="s">
        <v>281</v>
      </c>
      <c r="D548" s="29" t="s">
        <v>2779</v>
      </c>
      <c r="E548" s="29" t="s">
        <v>326</v>
      </c>
      <c r="F548" s="29" t="s">
        <v>2780</v>
      </c>
      <c r="G548" s="29" t="s">
        <v>2781</v>
      </c>
      <c r="H548" s="29" t="s">
        <v>2782</v>
      </c>
      <c r="I548" s="29" t="s">
        <v>301</v>
      </c>
      <c r="J548" s="29" t="s">
        <v>201</v>
      </c>
      <c r="K548" s="30" t="s">
        <v>44</v>
      </c>
      <c r="L548" s="31"/>
      <c r="M548" s="29"/>
    </row>
    <row r="549" customFormat="false" ht="165.75" hidden="false" customHeight="true" outlineLevel="0" collapsed="false">
      <c r="B549" s="29" t="s">
        <v>2783</v>
      </c>
      <c r="C549" s="29" t="s">
        <v>281</v>
      </c>
      <c r="D549" s="29" t="s">
        <v>2784</v>
      </c>
      <c r="E549" s="29" t="s">
        <v>350</v>
      </c>
      <c r="F549" s="29" t="s">
        <v>2785</v>
      </c>
      <c r="G549" s="29" t="s">
        <v>2786</v>
      </c>
      <c r="H549" s="29" t="s">
        <v>2787</v>
      </c>
      <c r="I549" s="29" t="s">
        <v>301</v>
      </c>
      <c r="J549" s="29" t="s">
        <v>201</v>
      </c>
      <c r="K549" s="30" t="s">
        <v>44</v>
      </c>
      <c r="L549" s="31"/>
      <c r="M549" s="29"/>
    </row>
    <row r="550" customFormat="false" ht="191.25" hidden="false" customHeight="true" outlineLevel="0" collapsed="false">
      <c r="B550" s="29" t="s">
        <v>2788</v>
      </c>
      <c r="C550" s="29" t="s">
        <v>281</v>
      </c>
      <c r="D550" s="29" t="s">
        <v>2789</v>
      </c>
      <c r="E550" s="29" t="s">
        <v>356</v>
      </c>
      <c r="F550" s="29" t="s">
        <v>2790</v>
      </c>
      <c r="G550" s="29" t="s">
        <v>2791</v>
      </c>
      <c r="H550" s="29" t="s">
        <v>2792</v>
      </c>
      <c r="I550" s="29" t="s">
        <v>153</v>
      </c>
      <c r="J550" s="29" t="s">
        <v>154</v>
      </c>
      <c r="K550" s="30" t="s">
        <v>44</v>
      </c>
      <c r="L550" s="31"/>
      <c r="M550" s="29"/>
    </row>
    <row r="551" customFormat="false" ht="63.75" hidden="false" customHeight="true" outlineLevel="0" collapsed="false">
      <c r="B551" s="29" t="s">
        <v>2793</v>
      </c>
      <c r="C551" s="29" t="s">
        <v>281</v>
      </c>
      <c r="D551" s="29" t="s">
        <v>2794</v>
      </c>
      <c r="E551" s="29" t="s">
        <v>39</v>
      </c>
      <c r="F551" s="29" t="s">
        <v>2795</v>
      </c>
      <c r="G551" s="29" t="s">
        <v>2796</v>
      </c>
      <c r="H551" s="29" t="s">
        <v>2797</v>
      </c>
      <c r="I551" s="29" t="s">
        <v>42</v>
      </c>
      <c r="J551" s="29" t="s">
        <v>43</v>
      </c>
      <c r="K551" s="30" t="s">
        <v>44</v>
      </c>
      <c r="L551" s="31"/>
      <c r="M551" s="29"/>
    </row>
    <row r="552" customFormat="false" ht="140.25" hidden="false" customHeight="true" outlineLevel="0" collapsed="false">
      <c r="B552" s="29" t="s">
        <v>2798</v>
      </c>
      <c r="C552" s="29" t="s">
        <v>281</v>
      </c>
      <c r="D552" s="29" t="s">
        <v>2799</v>
      </c>
      <c r="E552" s="29" t="s">
        <v>76</v>
      </c>
      <c r="F552" s="29" t="s">
        <v>2800</v>
      </c>
      <c r="G552" s="29" t="s">
        <v>2801</v>
      </c>
      <c r="H552" s="29" t="s">
        <v>2802</v>
      </c>
      <c r="I552" s="29" t="s">
        <v>285</v>
      </c>
      <c r="J552" s="29" t="s">
        <v>79</v>
      </c>
      <c r="K552" s="30" t="s">
        <v>44</v>
      </c>
      <c r="L552" s="31"/>
      <c r="M552" s="29"/>
    </row>
    <row r="553" customFormat="false" ht="204" hidden="false" customHeight="true" outlineLevel="0" collapsed="false">
      <c r="B553" s="29" t="s">
        <v>2803</v>
      </c>
      <c r="C553" s="29" t="s">
        <v>281</v>
      </c>
      <c r="D553" s="29" t="s">
        <v>2804</v>
      </c>
      <c r="E553" s="29" t="s">
        <v>76</v>
      </c>
      <c r="F553" s="29" t="s">
        <v>2805</v>
      </c>
      <c r="G553" s="29" t="s">
        <v>2806</v>
      </c>
      <c r="H553" s="29" t="s">
        <v>2807</v>
      </c>
      <c r="I553" s="29" t="s">
        <v>335</v>
      </c>
      <c r="J553" s="29" t="s">
        <v>81</v>
      </c>
      <c r="K553" s="30" t="s">
        <v>44</v>
      </c>
      <c r="L553" s="31"/>
      <c r="M553" s="29"/>
    </row>
    <row r="554" customFormat="false" ht="89.25" hidden="false" customHeight="true" outlineLevel="0" collapsed="false">
      <c r="B554" s="29" t="s">
        <v>2808</v>
      </c>
      <c r="C554" s="29" t="s">
        <v>281</v>
      </c>
      <c r="D554" s="29" t="s">
        <v>2809</v>
      </c>
      <c r="E554" s="29" t="s">
        <v>76</v>
      </c>
      <c r="F554" s="29" t="s">
        <v>2810</v>
      </c>
      <c r="G554" s="29" t="s">
        <v>2811</v>
      </c>
      <c r="H554" s="29" t="s">
        <v>2812</v>
      </c>
      <c r="I554" s="29" t="s">
        <v>1231</v>
      </c>
      <c r="J554" s="29" t="s">
        <v>2813</v>
      </c>
      <c r="K554" s="30" t="s">
        <v>44</v>
      </c>
      <c r="L554" s="31"/>
      <c r="M554" s="29"/>
    </row>
    <row r="555" customFormat="false" ht="63.75" hidden="false" customHeight="true" outlineLevel="0" collapsed="false">
      <c r="B555" s="29" t="s">
        <v>2814</v>
      </c>
      <c r="C555" s="29" t="s">
        <v>281</v>
      </c>
      <c r="D555" s="29" t="s">
        <v>2815</v>
      </c>
      <c r="E555" s="29" t="s">
        <v>39</v>
      </c>
      <c r="F555" s="29" t="s">
        <v>2816</v>
      </c>
      <c r="G555" s="29" t="s">
        <v>2817</v>
      </c>
      <c r="H555" s="29" t="s">
        <v>2818</v>
      </c>
      <c r="I555" s="29" t="s">
        <v>42</v>
      </c>
      <c r="J555" s="29" t="s">
        <v>43</v>
      </c>
      <c r="K555" s="30" t="s">
        <v>44</v>
      </c>
      <c r="L555" s="31"/>
      <c r="M555" s="29"/>
    </row>
    <row r="556" customFormat="false" ht="114.75" hidden="false" customHeight="true" outlineLevel="0" collapsed="false">
      <c r="B556" s="29" t="s">
        <v>2819</v>
      </c>
      <c r="C556" s="29" t="s">
        <v>281</v>
      </c>
      <c r="D556" s="29" t="s">
        <v>2820</v>
      </c>
      <c r="E556" s="29" t="s">
        <v>39</v>
      </c>
      <c r="F556" s="29" t="s">
        <v>2821</v>
      </c>
      <c r="G556" s="29" t="s">
        <v>2822</v>
      </c>
      <c r="H556" s="29" t="s">
        <v>2823</v>
      </c>
      <c r="I556" s="29" t="s">
        <v>42</v>
      </c>
      <c r="J556" s="29" t="s">
        <v>43</v>
      </c>
      <c r="K556" s="30" t="s">
        <v>44</v>
      </c>
      <c r="L556" s="31"/>
      <c r="M556" s="29"/>
    </row>
    <row r="557" customFormat="false" ht="51" hidden="false" customHeight="true" outlineLevel="0" collapsed="false">
      <c r="B557" s="29" t="s">
        <v>2824</v>
      </c>
      <c r="C557" s="29" t="s">
        <v>281</v>
      </c>
      <c r="D557" s="29" t="s">
        <v>2825</v>
      </c>
      <c r="E557" s="29" t="s">
        <v>326</v>
      </c>
      <c r="F557" s="29" t="s">
        <v>2826</v>
      </c>
      <c r="G557" s="29" t="s">
        <v>2827</v>
      </c>
      <c r="H557" s="29" t="s">
        <v>2828</v>
      </c>
      <c r="I557" s="29" t="s">
        <v>301</v>
      </c>
      <c r="J557" s="29" t="s">
        <v>201</v>
      </c>
      <c r="K557" s="30" t="s">
        <v>44</v>
      </c>
      <c r="L557" s="31"/>
      <c r="M557" s="29"/>
    </row>
    <row r="558" customFormat="false" ht="204" hidden="false" customHeight="true" outlineLevel="0" collapsed="false">
      <c r="B558" s="29" t="s">
        <v>2829</v>
      </c>
      <c r="C558" s="29" t="s">
        <v>281</v>
      </c>
      <c r="D558" s="29" t="s">
        <v>2830</v>
      </c>
      <c r="E558" s="29" t="s">
        <v>205</v>
      </c>
      <c r="F558" s="29" t="s">
        <v>2831</v>
      </c>
      <c r="G558" s="29" t="s">
        <v>2832</v>
      </c>
      <c r="H558" s="29" t="s">
        <v>2833</v>
      </c>
      <c r="I558" s="29" t="s">
        <v>301</v>
      </c>
      <c r="J558" s="29" t="s">
        <v>201</v>
      </c>
      <c r="K558" s="30" t="s">
        <v>44</v>
      </c>
      <c r="L558" s="31"/>
      <c r="M558" s="29"/>
    </row>
    <row r="559" customFormat="false" ht="102" hidden="false" customHeight="true" outlineLevel="0" collapsed="false">
      <c r="B559" s="29" t="s">
        <v>2834</v>
      </c>
      <c r="C559" s="29" t="s">
        <v>281</v>
      </c>
      <c r="D559" s="29" t="s">
        <v>2835</v>
      </c>
      <c r="E559" s="29" t="s">
        <v>356</v>
      </c>
      <c r="F559" s="29" t="s">
        <v>2836</v>
      </c>
      <c r="G559" s="29" t="s">
        <v>2837</v>
      </c>
      <c r="H559" s="29" t="s">
        <v>2838</v>
      </c>
      <c r="I559" s="29" t="s">
        <v>301</v>
      </c>
      <c r="J559" s="29" t="s">
        <v>201</v>
      </c>
      <c r="K559" s="30" t="s">
        <v>44</v>
      </c>
      <c r="L559" s="31"/>
      <c r="M559" s="29"/>
    </row>
    <row r="560" customFormat="false" ht="89.25" hidden="false" customHeight="true" outlineLevel="0" collapsed="false">
      <c r="B560" s="29" t="s">
        <v>2839</v>
      </c>
      <c r="C560" s="29" t="s">
        <v>281</v>
      </c>
      <c r="D560" s="29" t="s">
        <v>2840</v>
      </c>
      <c r="E560" s="29" t="s">
        <v>339</v>
      </c>
      <c r="F560" s="29" t="s">
        <v>2841</v>
      </c>
      <c r="G560" s="29" t="s">
        <v>2842</v>
      </c>
      <c r="H560" s="29" t="s">
        <v>2843</v>
      </c>
      <c r="I560" s="29" t="s">
        <v>301</v>
      </c>
      <c r="J560" s="29" t="s">
        <v>201</v>
      </c>
      <c r="K560" s="30" t="s">
        <v>44</v>
      </c>
      <c r="L560" s="31"/>
      <c r="M560" s="29"/>
    </row>
    <row r="561" customFormat="false" ht="409.5" hidden="false" customHeight="true" outlineLevel="0" collapsed="false">
      <c r="B561" s="29" t="s">
        <v>2844</v>
      </c>
      <c r="C561" s="29" t="s">
        <v>281</v>
      </c>
      <c r="D561" s="29" t="s">
        <v>2845</v>
      </c>
      <c r="E561" s="29" t="s">
        <v>595</v>
      </c>
      <c r="F561" s="29" t="s">
        <v>2846</v>
      </c>
      <c r="G561" s="29" t="s">
        <v>2847</v>
      </c>
      <c r="H561" s="29" t="s">
        <v>2848</v>
      </c>
      <c r="I561" s="29" t="s">
        <v>467</v>
      </c>
      <c r="J561" s="29" t="s">
        <v>467</v>
      </c>
      <c r="K561" s="30" t="s">
        <v>44</v>
      </c>
      <c r="L561" s="31"/>
      <c r="M561" s="29"/>
    </row>
    <row r="562" customFormat="false" ht="76.5" hidden="false" customHeight="true" outlineLevel="0" collapsed="false">
      <c r="B562" s="29" t="s">
        <v>2849</v>
      </c>
      <c r="C562" s="29" t="s">
        <v>281</v>
      </c>
      <c r="D562" s="29" t="s">
        <v>2850</v>
      </c>
      <c r="E562" s="29" t="s">
        <v>205</v>
      </c>
      <c r="F562" s="29" t="s">
        <v>2851</v>
      </c>
      <c r="G562" s="29" t="s">
        <v>2852</v>
      </c>
      <c r="H562" s="29" t="s">
        <v>2853</v>
      </c>
      <c r="I562" s="29" t="s">
        <v>301</v>
      </c>
      <c r="J562" s="29" t="s">
        <v>201</v>
      </c>
      <c r="K562" s="30" t="s">
        <v>44</v>
      </c>
      <c r="L562" s="31"/>
      <c r="M562" s="29"/>
    </row>
    <row r="563" customFormat="false" ht="165.75" hidden="false" customHeight="true" outlineLevel="0" collapsed="false">
      <c r="B563" s="29" t="s">
        <v>2854</v>
      </c>
      <c r="C563" s="29" t="s">
        <v>281</v>
      </c>
      <c r="D563" s="29" t="s">
        <v>2855</v>
      </c>
      <c r="E563" s="29" t="s">
        <v>339</v>
      </c>
      <c r="F563" s="29" t="s">
        <v>2856</v>
      </c>
      <c r="G563" s="29" t="s">
        <v>2857</v>
      </c>
      <c r="H563" s="29" t="s">
        <v>2858</v>
      </c>
      <c r="I563" s="29" t="s">
        <v>301</v>
      </c>
      <c r="J563" s="29" t="s">
        <v>201</v>
      </c>
      <c r="K563" s="30" t="s">
        <v>44</v>
      </c>
      <c r="L563" s="31"/>
      <c r="M563" s="29"/>
    </row>
    <row r="564" customFormat="false" ht="51" hidden="false" customHeight="true" outlineLevel="0" collapsed="false">
      <c r="B564" s="29" t="s">
        <v>2859</v>
      </c>
      <c r="C564" s="29" t="s">
        <v>281</v>
      </c>
      <c r="D564" s="29" t="s">
        <v>2860</v>
      </c>
      <c r="E564" s="29" t="s">
        <v>339</v>
      </c>
      <c r="F564" s="29" t="s">
        <v>2861</v>
      </c>
      <c r="G564" s="29" t="s">
        <v>2862</v>
      </c>
      <c r="H564" s="29" t="s">
        <v>2863</v>
      </c>
      <c r="I564" s="29" t="s">
        <v>301</v>
      </c>
      <c r="J564" s="29" t="s">
        <v>201</v>
      </c>
      <c r="K564" s="30" t="s">
        <v>44</v>
      </c>
      <c r="L564" s="31"/>
      <c r="M564" s="29"/>
    </row>
    <row r="565" customFormat="false" ht="63.75" hidden="false" customHeight="true" outlineLevel="0" collapsed="false">
      <c r="B565" s="29" t="s">
        <v>2864</v>
      </c>
      <c r="C565" s="29" t="s">
        <v>281</v>
      </c>
      <c r="D565" s="29" t="s">
        <v>2865</v>
      </c>
      <c r="E565" s="29" t="s">
        <v>39</v>
      </c>
      <c r="F565" s="29" t="s">
        <v>2866</v>
      </c>
      <c r="G565" s="29" t="s">
        <v>2867</v>
      </c>
      <c r="H565" s="29" t="s">
        <v>2868</v>
      </c>
      <c r="I565" s="29" t="s">
        <v>42</v>
      </c>
      <c r="J565" s="29" t="s">
        <v>43</v>
      </c>
      <c r="K565" s="30" t="s">
        <v>44</v>
      </c>
      <c r="L565" s="31"/>
      <c r="M565" s="29"/>
    </row>
    <row r="566" customFormat="false" ht="89.25" hidden="false" customHeight="true" outlineLevel="0" collapsed="false">
      <c r="B566" s="29" t="s">
        <v>2869</v>
      </c>
      <c r="C566" s="29" t="s">
        <v>281</v>
      </c>
      <c r="D566" s="29" t="s">
        <v>2870</v>
      </c>
      <c r="E566" s="29" t="s">
        <v>339</v>
      </c>
      <c r="F566" s="29" t="s">
        <v>2871</v>
      </c>
      <c r="G566" s="29" t="s">
        <v>2872</v>
      </c>
      <c r="H566" s="29" t="s">
        <v>2873</v>
      </c>
      <c r="I566" s="29" t="s">
        <v>301</v>
      </c>
      <c r="J566" s="29" t="s">
        <v>201</v>
      </c>
      <c r="K566" s="30" t="s">
        <v>44</v>
      </c>
      <c r="L566" s="31"/>
      <c r="M566" s="29"/>
    </row>
    <row r="567" customFormat="false" ht="127.5" hidden="false" customHeight="true" outlineLevel="0" collapsed="false">
      <c r="B567" s="29" t="s">
        <v>2874</v>
      </c>
      <c r="C567" s="29" t="s">
        <v>281</v>
      </c>
      <c r="D567" s="29" t="s">
        <v>2875</v>
      </c>
      <c r="E567" s="29" t="s">
        <v>339</v>
      </c>
      <c r="F567" s="29" t="s">
        <v>2876</v>
      </c>
      <c r="G567" s="29" t="s">
        <v>2877</v>
      </c>
      <c r="H567" s="29" t="s">
        <v>2878</v>
      </c>
      <c r="I567" s="29" t="s">
        <v>301</v>
      </c>
      <c r="J567" s="29" t="s">
        <v>201</v>
      </c>
      <c r="K567" s="30" t="s">
        <v>44</v>
      </c>
      <c r="L567" s="31"/>
      <c r="M567" s="29"/>
    </row>
    <row r="568" customFormat="false" ht="63.75" hidden="false" customHeight="true" outlineLevel="0" collapsed="false">
      <c r="B568" s="29" t="s">
        <v>2879</v>
      </c>
      <c r="C568" s="29" t="s">
        <v>281</v>
      </c>
      <c r="D568" s="29" t="s">
        <v>2880</v>
      </c>
      <c r="E568" s="29" t="s">
        <v>339</v>
      </c>
      <c r="F568" s="29" t="s">
        <v>2881</v>
      </c>
      <c r="G568" s="29" t="s">
        <v>2882</v>
      </c>
      <c r="H568" s="29" t="s">
        <v>2883</v>
      </c>
      <c r="I568" s="29" t="s">
        <v>301</v>
      </c>
      <c r="J568" s="29" t="s">
        <v>201</v>
      </c>
      <c r="K568" s="30" t="s">
        <v>44</v>
      </c>
      <c r="L568" s="31"/>
      <c r="M568" s="29"/>
    </row>
    <row r="569" customFormat="false" ht="63.75" hidden="false" customHeight="true" outlineLevel="0" collapsed="false">
      <c r="B569" s="29" t="s">
        <v>2884</v>
      </c>
      <c r="C569" s="29" t="s">
        <v>281</v>
      </c>
      <c r="D569" s="29" t="s">
        <v>2885</v>
      </c>
      <c r="E569" s="29" t="s">
        <v>356</v>
      </c>
      <c r="F569" s="29" t="s">
        <v>2886</v>
      </c>
      <c r="G569" s="29" t="s">
        <v>2887</v>
      </c>
      <c r="H569" s="29" t="s">
        <v>2888</v>
      </c>
      <c r="I569" s="29" t="s">
        <v>301</v>
      </c>
      <c r="J569" s="29" t="s">
        <v>201</v>
      </c>
      <c r="K569" s="30" t="s">
        <v>44</v>
      </c>
      <c r="L569" s="31"/>
      <c r="M569" s="29"/>
    </row>
    <row r="570" customFormat="false" ht="102" hidden="false" customHeight="true" outlineLevel="0" collapsed="false">
      <c r="B570" s="29" t="s">
        <v>2889</v>
      </c>
      <c r="C570" s="29" t="s">
        <v>281</v>
      </c>
      <c r="D570" s="29" t="s">
        <v>2890</v>
      </c>
      <c r="E570" s="29" t="s">
        <v>339</v>
      </c>
      <c r="F570" s="29" t="s">
        <v>2891</v>
      </c>
      <c r="G570" s="29" t="s">
        <v>2892</v>
      </c>
      <c r="H570" s="29" t="s">
        <v>2893</v>
      </c>
      <c r="I570" s="29" t="s">
        <v>301</v>
      </c>
      <c r="J570" s="29" t="s">
        <v>201</v>
      </c>
      <c r="K570" s="30" t="s">
        <v>44</v>
      </c>
      <c r="L570" s="31"/>
      <c r="M570" s="29"/>
    </row>
    <row r="571" customFormat="false" ht="255" hidden="false" customHeight="true" outlineLevel="0" collapsed="false">
      <c r="B571" s="29" t="s">
        <v>2894</v>
      </c>
      <c r="C571" s="29" t="s">
        <v>281</v>
      </c>
      <c r="D571" s="29" t="s">
        <v>2895</v>
      </c>
      <c r="E571" s="29" t="s">
        <v>356</v>
      </c>
      <c r="F571" s="29" t="s">
        <v>2896</v>
      </c>
      <c r="G571" s="29" t="s">
        <v>2897</v>
      </c>
      <c r="H571" s="29" t="s">
        <v>2898</v>
      </c>
      <c r="I571" s="29" t="s">
        <v>153</v>
      </c>
      <c r="J571" s="29" t="s">
        <v>154</v>
      </c>
      <c r="K571" s="30" t="s">
        <v>44</v>
      </c>
      <c r="L571" s="31"/>
      <c r="M571" s="29"/>
    </row>
    <row r="572" customFormat="false" ht="38.25" hidden="false" customHeight="true" outlineLevel="0" collapsed="false">
      <c r="B572" s="29" t="s">
        <v>2899</v>
      </c>
      <c r="C572" s="29" t="s">
        <v>281</v>
      </c>
      <c r="D572" s="29" t="s">
        <v>2900</v>
      </c>
      <c r="E572" s="29" t="s">
        <v>339</v>
      </c>
      <c r="F572" s="29" t="s">
        <v>2363</v>
      </c>
      <c r="G572" s="29" t="s">
        <v>2901</v>
      </c>
      <c r="H572" s="29" t="s">
        <v>2902</v>
      </c>
      <c r="I572" s="29" t="s">
        <v>301</v>
      </c>
      <c r="J572" s="29" t="s">
        <v>201</v>
      </c>
      <c r="K572" s="30" t="s">
        <v>44</v>
      </c>
      <c r="L572" s="31"/>
      <c r="M572" s="29"/>
    </row>
    <row r="573" customFormat="false" ht="409.5" hidden="false" customHeight="true" outlineLevel="0" collapsed="false">
      <c r="B573" s="29" t="s">
        <v>2903</v>
      </c>
      <c r="C573" s="29" t="s">
        <v>281</v>
      </c>
      <c r="D573" s="29" t="s">
        <v>2904</v>
      </c>
      <c r="E573" s="29" t="s">
        <v>339</v>
      </c>
      <c r="F573" s="29" t="s">
        <v>2905</v>
      </c>
      <c r="G573" s="29" t="s">
        <v>2906</v>
      </c>
      <c r="H573" s="29" t="s">
        <v>2907</v>
      </c>
      <c r="I573" s="29" t="s">
        <v>301</v>
      </c>
      <c r="J573" s="29" t="s">
        <v>201</v>
      </c>
      <c r="K573" s="30" t="s">
        <v>44</v>
      </c>
      <c r="L573" s="31"/>
      <c r="M573" s="29"/>
    </row>
    <row r="574" customFormat="false" ht="76.5" hidden="false" customHeight="true" outlineLevel="0" collapsed="false">
      <c r="B574" s="29" t="s">
        <v>2908</v>
      </c>
      <c r="C574" s="29" t="s">
        <v>281</v>
      </c>
      <c r="D574" s="29" t="s">
        <v>2909</v>
      </c>
      <c r="E574" s="29" t="s">
        <v>39</v>
      </c>
      <c r="F574" s="29" t="s">
        <v>2910</v>
      </c>
      <c r="G574" s="29" t="s">
        <v>2911</v>
      </c>
      <c r="H574" s="29" t="s">
        <v>2912</v>
      </c>
      <c r="I574" s="29" t="s">
        <v>455</v>
      </c>
      <c r="J574" s="29" t="s">
        <v>754</v>
      </c>
      <c r="K574" s="30" t="s">
        <v>44</v>
      </c>
      <c r="L574" s="31"/>
      <c r="M574" s="29"/>
    </row>
    <row r="575" customFormat="false" ht="153" hidden="false" customHeight="true" outlineLevel="0" collapsed="false">
      <c r="B575" s="29" t="s">
        <v>2913</v>
      </c>
      <c r="C575" s="29" t="s">
        <v>281</v>
      </c>
      <c r="D575" s="29" t="s">
        <v>2914</v>
      </c>
      <c r="E575" s="29" t="s">
        <v>39</v>
      </c>
      <c r="F575" s="29" t="s">
        <v>2915</v>
      </c>
      <c r="G575" s="29" t="s">
        <v>2916</v>
      </c>
      <c r="H575" s="29" t="s">
        <v>2917</v>
      </c>
      <c r="I575" s="29" t="s">
        <v>1916</v>
      </c>
      <c r="J575" s="29" t="s">
        <v>1917</v>
      </c>
      <c r="K575" s="30" t="s">
        <v>44</v>
      </c>
      <c r="L575" s="31"/>
      <c r="M575" s="29"/>
    </row>
    <row r="576" customFormat="false" ht="114.75" hidden="false" customHeight="true" outlineLevel="0" collapsed="false">
      <c r="B576" s="29" t="s">
        <v>2918</v>
      </c>
      <c r="C576" s="29" t="s">
        <v>281</v>
      </c>
      <c r="D576" s="29" t="s">
        <v>2919</v>
      </c>
      <c r="E576" s="29" t="s">
        <v>205</v>
      </c>
      <c r="F576" s="29" t="s">
        <v>2920</v>
      </c>
      <c r="G576" s="29" t="s">
        <v>2921</v>
      </c>
      <c r="H576" s="29" t="s">
        <v>2922</v>
      </c>
      <c r="I576" s="29" t="s">
        <v>301</v>
      </c>
      <c r="J576" s="29" t="s">
        <v>201</v>
      </c>
      <c r="K576" s="30" t="s">
        <v>44</v>
      </c>
      <c r="L576" s="31"/>
      <c r="M576" s="29"/>
    </row>
    <row r="577" customFormat="false" ht="51" hidden="false" customHeight="true" outlineLevel="0" collapsed="false">
      <c r="B577" s="29" t="s">
        <v>2923</v>
      </c>
      <c r="C577" s="29" t="s">
        <v>281</v>
      </c>
      <c r="D577" s="29" t="s">
        <v>2924</v>
      </c>
      <c r="E577" s="29" t="s">
        <v>339</v>
      </c>
      <c r="F577" s="29" t="s">
        <v>2925</v>
      </c>
      <c r="G577" s="29" t="s">
        <v>2926</v>
      </c>
      <c r="H577" s="29" t="s">
        <v>2927</v>
      </c>
      <c r="I577" s="29" t="s">
        <v>301</v>
      </c>
      <c r="J577" s="29" t="s">
        <v>201</v>
      </c>
      <c r="K577" s="30" t="s">
        <v>44</v>
      </c>
      <c r="L577" s="31"/>
      <c r="M577" s="29"/>
    </row>
    <row r="578" customFormat="false" ht="127.5" hidden="false" customHeight="true" outlineLevel="0" collapsed="false">
      <c r="B578" s="29" t="s">
        <v>2928</v>
      </c>
      <c r="C578" s="29" t="s">
        <v>281</v>
      </c>
      <c r="D578" s="29" t="s">
        <v>2929</v>
      </c>
      <c r="E578" s="29" t="s">
        <v>76</v>
      </c>
      <c r="F578" s="29" t="s">
        <v>2930</v>
      </c>
      <c r="G578" s="29" t="s">
        <v>2931</v>
      </c>
      <c r="H578" s="29" t="s">
        <v>2932</v>
      </c>
      <c r="I578" s="29" t="s">
        <v>1231</v>
      </c>
      <c r="J578" s="29" t="s">
        <v>1232</v>
      </c>
      <c r="K578" s="30" t="s">
        <v>44</v>
      </c>
      <c r="L578" s="31"/>
      <c r="M578" s="29"/>
    </row>
    <row r="579" customFormat="false" ht="255" hidden="false" customHeight="true" outlineLevel="0" collapsed="false">
      <c r="B579" s="29" t="s">
        <v>2933</v>
      </c>
      <c r="C579" s="29" t="s">
        <v>281</v>
      </c>
      <c r="D579" s="29" t="s">
        <v>2934</v>
      </c>
      <c r="E579" s="29" t="s">
        <v>356</v>
      </c>
      <c r="F579" s="29" t="s">
        <v>2935</v>
      </c>
      <c r="G579" s="29" t="s">
        <v>2936</v>
      </c>
      <c r="H579" s="29" t="s">
        <v>2937</v>
      </c>
      <c r="I579" s="29" t="s">
        <v>301</v>
      </c>
      <c r="J579" s="29" t="s">
        <v>201</v>
      </c>
      <c r="K579" s="30" t="s">
        <v>44</v>
      </c>
      <c r="L579" s="31"/>
      <c r="M579" s="29"/>
    </row>
    <row r="580" customFormat="false" ht="127.5" hidden="false" customHeight="true" outlineLevel="0" collapsed="false">
      <c r="B580" s="29" t="s">
        <v>2938</v>
      </c>
      <c r="C580" s="29" t="s">
        <v>281</v>
      </c>
      <c r="D580" s="29" t="s">
        <v>2939</v>
      </c>
      <c r="E580" s="29" t="s">
        <v>356</v>
      </c>
      <c r="F580" s="29" t="s">
        <v>2940</v>
      </c>
      <c r="G580" s="29" t="s">
        <v>2941</v>
      </c>
      <c r="H580" s="29" t="s">
        <v>2942</v>
      </c>
      <c r="I580" s="29" t="s">
        <v>301</v>
      </c>
      <c r="J580" s="29" t="s">
        <v>201</v>
      </c>
      <c r="K580" s="30" t="s">
        <v>44</v>
      </c>
      <c r="L580" s="31"/>
      <c r="M580" s="29"/>
    </row>
    <row r="581" customFormat="false" ht="153" hidden="false" customHeight="true" outlineLevel="0" collapsed="false">
      <c r="B581" s="29" t="s">
        <v>2943</v>
      </c>
      <c r="C581" s="29" t="s">
        <v>281</v>
      </c>
      <c r="D581" s="29" t="s">
        <v>2944</v>
      </c>
      <c r="E581" s="29" t="s">
        <v>39</v>
      </c>
      <c r="F581" s="29" t="s">
        <v>2945</v>
      </c>
      <c r="G581" s="29" t="s">
        <v>2946</v>
      </c>
      <c r="H581" s="29" t="s">
        <v>2947</v>
      </c>
      <c r="I581" s="29" t="s">
        <v>2948</v>
      </c>
      <c r="J581" s="29" t="s">
        <v>2949</v>
      </c>
      <c r="K581" s="30" t="s">
        <v>44</v>
      </c>
      <c r="L581" s="31"/>
      <c r="M581" s="29"/>
    </row>
    <row r="582" customFormat="false" ht="267.75" hidden="false" customHeight="true" outlineLevel="0" collapsed="false">
      <c r="B582" s="29" t="s">
        <v>2950</v>
      </c>
      <c r="C582" s="29" t="s">
        <v>281</v>
      </c>
      <c r="D582" s="29" t="s">
        <v>2951</v>
      </c>
      <c r="E582" s="29" t="s">
        <v>76</v>
      </c>
      <c r="F582" s="29" t="s">
        <v>2952</v>
      </c>
      <c r="G582" s="29" t="s">
        <v>2953</v>
      </c>
      <c r="H582" s="29" t="s">
        <v>2954</v>
      </c>
      <c r="I582" s="29" t="s">
        <v>2948</v>
      </c>
      <c r="J582" s="29" t="s">
        <v>2955</v>
      </c>
      <c r="K582" s="30" t="s">
        <v>44</v>
      </c>
      <c r="L582" s="31"/>
      <c r="M582" s="29"/>
    </row>
    <row r="583" customFormat="false" ht="102" hidden="false" customHeight="true" outlineLevel="0" collapsed="false">
      <c r="B583" s="29" t="s">
        <v>2956</v>
      </c>
      <c r="C583" s="29" t="s">
        <v>281</v>
      </c>
      <c r="D583" s="29" t="s">
        <v>2957</v>
      </c>
      <c r="E583" s="29" t="s">
        <v>185</v>
      </c>
      <c r="F583" s="29" t="s">
        <v>2958</v>
      </c>
      <c r="G583" s="29" t="s">
        <v>2959</v>
      </c>
      <c r="H583" s="29" t="s">
        <v>2960</v>
      </c>
      <c r="I583" s="29" t="s">
        <v>285</v>
      </c>
      <c r="J583" s="29" t="s">
        <v>189</v>
      </c>
      <c r="K583" s="30" t="s">
        <v>44</v>
      </c>
      <c r="L583" s="31"/>
      <c r="M583" s="29"/>
    </row>
    <row r="584" customFormat="false" ht="127.5" hidden="false" customHeight="true" outlineLevel="0" collapsed="false">
      <c r="B584" s="29" t="s">
        <v>2961</v>
      </c>
      <c r="C584" s="29" t="s">
        <v>281</v>
      </c>
      <c r="D584" s="29" t="s">
        <v>2962</v>
      </c>
      <c r="E584" s="29" t="s">
        <v>595</v>
      </c>
      <c r="F584" s="29" t="s">
        <v>2963</v>
      </c>
      <c r="G584" s="29" t="s">
        <v>2964</v>
      </c>
      <c r="H584" s="29" t="s">
        <v>2965</v>
      </c>
      <c r="I584" s="29" t="s">
        <v>153</v>
      </c>
      <c r="J584" s="29" t="s">
        <v>154</v>
      </c>
      <c r="K584" s="30" t="s">
        <v>44</v>
      </c>
      <c r="L584" s="31"/>
      <c r="M584" s="29"/>
    </row>
    <row r="585" customFormat="false" ht="191.25" hidden="false" customHeight="true" outlineLevel="0" collapsed="false">
      <c r="B585" s="29" t="s">
        <v>2966</v>
      </c>
      <c r="C585" s="29" t="s">
        <v>281</v>
      </c>
      <c r="D585" s="29" t="s">
        <v>2967</v>
      </c>
      <c r="E585" s="29" t="s">
        <v>595</v>
      </c>
      <c r="F585" s="29" t="s">
        <v>2968</v>
      </c>
      <c r="G585" s="29" t="s">
        <v>2969</v>
      </c>
      <c r="H585" s="29" t="s">
        <v>2970</v>
      </c>
      <c r="I585" s="29" t="s">
        <v>153</v>
      </c>
      <c r="J585" s="29" t="s">
        <v>154</v>
      </c>
      <c r="K585" s="30" t="s">
        <v>44</v>
      </c>
      <c r="L585" s="31"/>
      <c r="M585" s="29"/>
    </row>
    <row r="586" customFormat="false" ht="140.25" hidden="false" customHeight="true" outlineLevel="0" collapsed="false">
      <c r="B586" s="29" t="s">
        <v>2971</v>
      </c>
      <c r="C586" s="29" t="s">
        <v>281</v>
      </c>
      <c r="D586" s="29" t="s">
        <v>2972</v>
      </c>
      <c r="E586" s="29" t="s">
        <v>76</v>
      </c>
      <c r="F586" s="29" t="s">
        <v>2973</v>
      </c>
      <c r="G586" s="29" t="s">
        <v>2974</v>
      </c>
      <c r="H586" s="29" t="s">
        <v>2975</v>
      </c>
      <c r="I586" s="29" t="s">
        <v>1231</v>
      </c>
      <c r="J586" s="29" t="s">
        <v>2976</v>
      </c>
      <c r="K586" s="30" t="s">
        <v>44</v>
      </c>
      <c r="L586" s="31"/>
      <c r="M586" s="29"/>
    </row>
    <row r="587" customFormat="false" ht="102" hidden="false" customHeight="true" outlineLevel="0" collapsed="false">
      <c r="B587" s="29" t="s">
        <v>2977</v>
      </c>
      <c r="C587" s="29" t="s">
        <v>281</v>
      </c>
      <c r="D587" s="29" t="s">
        <v>2978</v>
      </c>
      <c r="E587" s="29" t="s">
        <v>39</v>
      </c>
      <c r="F587" s="29" t="s">
        <v>2979</v>
      </c>
      <c r="G587" s="29" t="s">
        <v>2980</v>
      </c>
      <c r="H587" s="29" t="s">
        <v>2981</v>
      </c>
      <c r="I587" s="29" t="s">
        <v>42</v>
      </c>
      <c r="J587" s="29" t="s">
        <v>592</v>
      </c>
      <c r="K587" s="30" t="s">
        <v>44</v>
      </c>
      <c r="L587" s="31"/>
      <c r="M587" s="29"/>
    </row>
    <row r="588" customFormat="false" ht="51" hidden="false" customHeight="true" outlineLevel="0" collapsed="false">
      <c r="B588" s="29" t="s">
        <v>2982</v>
      </c>
      <c r="C588" s="29" t="s">
        <v>281</v>
      </c>
      <c r="D588" s="29" t="s">
        <v>2983</v>
      </c>
      <c r="E588" s="29" t="s">
        <v>356</v>
      </c>
      <c r="F588" s="29" t="s">
        <v>2984</v>
      </c>
      <c r="G588" s="29" t="s">
        <v>2985</v>
      </c>
      <c r="H588" s="29" t="s">
        <v>2986</v>
      </c>
      <c r="I588" s="29" t="s">
        <v>301</v>
      </c>
      <c r="J588" s="29" t="s">
        <v>201</v>
      </c>
      <c r="K588" s="30" t="s">
        <v>44</v>
      </c>
      <c r="L588" s="31"/>
      <c r="M588" s="29"/>
    </row>
    <row r="589" customFormat="false" ht="267.75" hidden="false" customHeight="true" outlineLevel="0" collapsed="false">
      <c r="B589" s="29" t="s">
        <v>2987</v>
      </c>
      <c r="C589" s="29" t="s">
        <v>281</v>
      </c>
      <c r="D589" s="29" t="s">
        <v>2988</v>
      </c>
      <c r="E589" s="29" t="s">
        <v>39</v>
      </c>
      <c r="F589" s="29" t="s">
        <v>2989</v>
      </c>
      <c r="G589" s="29" t="s">
        <v>2990</v>
      </c>
      <c r="H589" s="29" t="s">
        <v>2991</v>
      </c>
      <c r="I589" s="29" t="s">
        <v>42</v>
      </c>
      <c r="J589" s="29" t="s">
        <v>592</v>
      </c>
      <c r="K589" s="30" t="s">
        <v>44</v>
      </c>
      <c r="L589" s="31"/>
      <c r="M589" s="29"/>
    </row>
    <row r="590" customFormat="false" ht="293.25" hidden="false" customHeight="true" outlineLevel="0" collapsed="false">
      <c r="B590" s="29" t="s">
        <v>2992</v>
      </c>
      <c r="C590" s="29" t="s">
        <v>281</v>
      </c>
      <c r="D590" s="29" t="s">
        <v>2993</v>
      </c>
      <c r="E590" s="29" t="s">
        <v>326</v>
      </c>
      <c r="F590" s="29" t="s">
        <v>2994</v>
      </c>
      <c r="G590" s="29" t="s">
        <v>2995</v>
      </c>
      <c r="H590" s="29" t="s">
        <v>2996</v>
      </c>
      <c r="I590" s="29" t="s">
        <v>301</v>
      </c>
      <c r="J590" s="29" t="s">
        <v>201</v>
      </c>
      <c r="K590" s="30" t="s">
        <v>44</v>
      </c>
      <c r="L590" s="31"/>
      <c r="M590" s="29"/>
    </row>
    <row r="591" customFormat="false" ht="306" hidden="false" customHeight="true" outlineLevel="0" collapsed="false">
      <c r="B591" s="29" t="s">
        <v>2997</v>
      </c>
      <c r="C591" s="29" t="s">
        <v>281</v>
      </c>
      <c r="D591" s="29" t="s">
        <v>2998</v>
      </c>
      <c r="E591" s="29" t="s">
        <v>356</v>
      </c>
      <c r="F591" s="29" t="s">
        <v>2999</v>
      </c>
      <c r="G591" s="29" t="s">
        <v>3000</v>
      </c>
      <c r="H591" s="29" t="s">
        <v>3001</v>
      </c>
      <c r="I591" s="29" t="s">
        <v>301</v>
      </c>
      <c r="J591" s="29" t="s">
        <v>201</v>
      </c>
      <c r="K591" s="30" t="s">
        <v>44</v>
      </c>
      <c r="L591" s="31"/>
      <c r="M591" s="29"/>
    </row>
    <row r="592" customFormat="false" ht="89.25" hidden="false" customHeight="true" outlineLevel="0" collapsed="false">
      <c r="B592" s="29" t="s">
        <v>3002</v>
      </c>
      <c r="C592" s="29" t="s">
        <v>281</v>
      </c>
      <c r="D592" s="29" t="s">
        <v>3003</v>
      </c>
      <c r="E592" s="29" t="s">
        <v>356</v>
      </c>
      <c r="F592" s="29" t="s">
        <v>3004</v>
      </c>
      <c r="G592" s="29" t="s">
        <v>3005</v>
      </c>
      <c r="H592" s="29" t="s">
        <v>3006</v>
      </c>
      <c r="I592" s="29" t="s">
        <v>301</v>
      </c>
      <c r="J592" s="29" t="s">
        <v>201</v>
      </c>
      <c r="K592" s="30" t="s">
        <v>44</v>
      </c>
      <c r="L592" s="31"/>
      <c r="M592" s="29"/>
    </row>
    <row r="593" customFormat="false" ht="89.25" hidden="false" customHeight="true" outlineLevel="0" collapsed="false">
      <c r="B593" s="29" t="s">
        <v>3007</v>
      </c>
      <c r="C593" s="29" t="s">
        <v>281</v>
      </c>
      <c r="D593" s="29" t="s">
        <v>3008</v>
      </c>
      <c r="E593" s="29" t="s">
        <v>326</v>
      </c>
      <c r="F593" s="29" t="s">
        <v>3009</v>
      </c>
      <c r="G593" s="29" t="s">
        <v>3010</v>
      </c>
      <c r="H593" s="29" t="s">
        <v>3011</v>
      </c>
      <c r="I593" s="29" t="s">
        <v>301</v>
      </c>
      <c r="J593" s="29" t="s">
        <v>201</v>
      </c>
      <c r="K593" s="30" t="s">
        <v>44</v>
      </c>
      <c r="L593" s="31"/>
      <c r="M593" s="29"/>
    </row>
    <row r="594" customFormat="false" ht="127.5" hidden="false" customHeight="true" outlineLevel="0" collapsed="false">
      <c r="B594" s="29" t="s">
        <v>3012</v>
      </c>
      <c r="C594" s="29" t="s">
        <v>281</v>
      </c>
      <c r="D594" s="29" t="s">
        <v>3013</v>
      </c>
      <c r="E594" s="29" t="s">
        <v>350</v>
      </c>
      <c r="F594" s="29" t="s">
        <v>3014</v>
      </c>
      <c r="G594" s="29" t="s">
        <v>3015</v>
      </c>
      <c r="H594" s="29" t="s">
        <v>3016</v>
      </c>
      <c r="I594" s="29" t="s">
        <v>301</v>
      </c>
      <c r="J594" s="29" t="s">
        <v>201</v>
      </c>
      <c r="K594" s="30" t="s">
        <v>44</v>
      </c>
      <c r="L594" s="31"/>
      <c r="M594" s="29"/>
    </row>
    <row r="595" customFormat="false" ht="127.5" hidden="false" customHeight="true" outlineLevel="0" collapsed="false">
      <c r="B595" s="29" t="s">
        <v>3017</v>
      </c>
      <c r="C595" s="29" t="s">
        <v>281</v>
      </c>
      <c r="D595" s="29" t="s">
        <v>3018</v>
      </c>
      <c r="E595" s="29" t="s">
        <v>205</v>
      </c>
      <c r="F595" s="29" t="s">
        <v>3019</v>
      </c>
      <c r="G595" s="29" t="s">
        <v>3020</v>
      </c>
      <c r="H595" s="29" t="s">
        <v>3021</v>
      </c>
      <c r="I595" s="29" t="s">
        <v>301</v>
      </c>
      <c r="J595" s="29" t="s">
        <v>201</v>
      </c>
      <c r="K595" s="30" t="s">
        <v>44</v>
      </c>
      <c r="L595" s="31"/>
      <c r="M595" s="29"/>
    </row>
    <row r="596" customFormat="false" ht="51" hidden="false" customHeight="true" outlineLevel="0" collapsed="false">
      <c r="B596" s="29" t="s">
        <v>3022</v>
      </c>
      <c r="C596" s="29" t="s">
        <v>281</v>
      </c>
      <c r="D596" s="29" t="s">
        <v>3023</v>
      </c>
      <c r="E596" s="29" t="s">
        <v>339</v>
      </c>
      <c r="F596" s="29" t="s">
        <v>3024</v>
      </c>
      <c r="G596" s="29" t="s">
        <v>3025</v>
      </c>
      <c r="H596" s="29" t="s">
        <v>3026</v>
      </c>
      <c r="I596" s="29" t="s">
        <v>301</v>
      </c>
      <c r="J596" s="29" t="s">
        <v>201</v>
      </c>
      <c r="K596" s="30" t="s">
        <v>44</v>
      </c>
      <c r="L596" s="31"/>
      <c r="M596" s="29"/>
    </row>
    <row r="597" customFormat="false" ht="89.25" hidden="false" customHeight="true" outlineLevel="0" collapsed="false">
      <c r="B597" s="29" t="s">
        <v>3027</v>
      </c>
      <c r="C597" s="29" t="s">
        <v>281</v>
      </c>
      <c r="D597" s="29" t="s">
        <v>3028</v>
      </c>
      <c r="E597" s="29" t="s">
        <v>339</v>
      </c>
      <c r="F597" s="29" t="s">
        <v>3029</v>
      </c>
      <c r="G597" s="29" t="s">
        <v>3030</v>
      </c>
      <c r="H597" s="29" t="s">
        <v>3031</v>
      </c>
      <c r="I597" s="29" t="s">
        <v>301</v>
      </c>
      <c r="J597" s="29" t="s">
        <v>201</v>
      </c>
      <c r="K597" s="30" t="s">
        <v>44</v>
      </c>
      <c r="L597" s="31"/>
      <c r="M597" s="29"/>
    </row>
    <row r="598" customFormat="false" ht="63.75" hidden="false" customHeight="true" outlineLevel="0" collapsed="false">
      <c r="B598" s="29" t="s">
        <v>3032</v>
      </c>
      <c r="C598" s="29" t="s">
        <v>281</v>
      </c>
      <c r="D598" s="29" t="s">
        <v>3033</v>
      </c>
      <c r="E598" s="29" t="s">
        <v>326</v>
      </c>
      <c r="F598" s="29" t="s">
        <v>3034</v>
      </c>
      <c r="G598" s="29" t="s">
        <v>3035</v>
      </c>
      <c r="H598" s="29" t="s">
        <v>3036</v>
      </c>
      <c r="I598" s="29" t="s">
        <v>301</v>
      </c>
      <c r="J598" s="29" t="s">
        <v>201</v>
      </c>
      <c r="K598" s="30" t="s">
        <v>44</v>
      </c>
      <c r="L598" s="31"/>
      <c r="M598" s="29"/>
    </row>
    <row r="599" customFormat="false" ht="153" hidden="false" customHeight="true" outlineLevel="0" collapsed="false">
      <c r="B599" s="29" t="s">
        <v>3037</v>
      </c>
      <c r="C599" s="29" t="s">
        <v>281</v>
      </c>
      <c r="D599" s="29" t="s">
        <v>3038</v>
      </c>
      <c r="E599" s="29" t="s">
        <v>185</v>
      </c>
      <c r="F599" s="29" t="s">
        <v>3039</v>
      </c>
      <c r="G599" s="29" t="s">
        <v>3040</v>
      </c>
      <c r="H599" s="29" t="s">
        <v>3041</v>
      </c>
      <c r="I599" s="29" t="s">
        <v>335</v>
      </c>
      <c r="J599" s="29" t="s">
        <v>336</v>
      </c>
      <c r="K599" s="30" t="s">
        <v>44</v>
      </c>
      <c r="L599" s="31"/>
      <c r="M599" s="29"/>
    </row>
    <row r="600" customFormat="false" ht="165.75" hidden="false" customHeight="true" outlineLevel="0" collapsed="false">
      <c r="B600" s="29" t="s">
        <v>3042</v>
      </c>
      <c r="C600" s="29" t="s">
        <v>281</v>
      </c>
      <c r="D600" s="29" t="s">
        <v>3043</v>
      </c>
      <c r="E600" s="29" t="s">
        <v>350</v>
      </c>
      <c r="F600" s="29" t="s">
        <v>3044</v>
      </c>
      <c r="G600" s="29" t="s">
        <v>3045</v>
      </c>
      <c r="H600" s="29" t="s">
        <v>3046</v>
      </c>
      <c r="I600" s="29" t="s">
        <v>301</v>
      </c>
      <c r="J600" s="29" t="s">
        <v>201</v>
      </c>
      <c r="K600" s="30" t="s">
        <v>44</v>
      </c>
      <c r="L600" s="31"/>
      <c r="M600" s="29"/>
    </row>
    <row r="601" customFormat="false" ht="204" hidden="false" customHeight="true" outlineLevel="0" collapsed="false">
      <c r="B601" s="29" t="s">
        <v>3047</v>
      </c>
      <c r="C601" s="29" t="s">
        <v>281</v>
      </c>
      <c r="D601" s="29" t="s">
        <v>3048</v>
      </c>
      <c r="E601" s="29" t="s">
        <v>185</v>
      </c>
      <c r="F601" s="29" t="s">
        <v>3049</v>
      </c>
      <c r="G601" s="29" t="s">
        <v>3050</v>
      </c>
      <c r="H601" s="29" t="s">
        <v>3051</v>
      </c>
      <c r="I601" s="29" t="s">
        <v>335</v>
      </c>
      <c r="J601" s="29" t="s">
        <v>336</v>
      </c>
      <c r="K601" s="30" t="s">
        <v>44</v>
      </c>
      <c r="L601" s="31"/>
      <c r="M601" s="29"/>
    </row>
    <row r="602" customFormat="false" ht="229.5" hidden="false" customHeight="true" outlineLevel="0" collapsed="false">
      <c r="B602" s="29" t="s">
        <v>3052</v>
      </c>
      <c r="C602" s="29" t="s">
        <v>281</v>
      </c>
      <c r="D602" s="29" t="s">
        <v>3053</v>
      </c>
      <c r="E602" s="29" t="s">
        <v>356</v>
      </c>
      <c r="F602" s="29" t="s">
        <v>3054</v>
      </c>
      <c r="G602" s="29" t="s">
        <v>3055</v>
      </c>
      <c r="H602" s="29" t="s">
        <v>3056</v>
      </c>
      <c r="I602" s="29" t="s">
        <v>301</v>
      </c>
      <c r="J602" s="29" t="s">
        <v>201</v>
      </c>
      <c r="K602" s="30" t="s">
        <v>44</v>
      </c>
      <c r="L602" s="31"/>
      <c r="M602" s="29"/>
    </row>
    <row r="603" customFormat="false" ht="191.25" hidden="false" customHeight="true" outlineLevel="0" collapsed="false">
      <c r="B603" s="29" t="s">
        <v>3057</v>
      </c>
      <c r="C603" s="29" t="s">
        <v>281</v>
      </c>
      <c r="D603" s="29" t="s">
        <v>3058</v>
      </c>
      <c r="E603" s="29" t="s">
        <v>89</v>
      </c>
      <c r="F603" s="29" t="s">
        <v>3059</v>
      </c>
      <c r="G603" s="29" t="s">
        <v>3060</v>
      </c>
      <c r="H603" s="29" t="s">
        <v>3061</v>
      </c>
      <c r="I603" s="29" t="s">
        <v>534</v>
      </c>
      <c r="J603" s="29" t="s">
        <v>2512</v>
      </c>
      <c r="K603" s="30" t="s">
        <v>44</v>
      </c>
      <c r="L603" s="31"/>
      <c r="M603" s="29"/>
    </row>
    <row r="604" customFormat="false" ht="102" hidden="false" customHeight="true" outlineLevel="0" collapsed="false">
      <c r="B604" s="29" t="s">
        <v>3062</v>
      </c>
      <c r="C604" s="29" t="s">
        <v>281</v>
      </c>
      <c r="D604" s="29" t="s">
        <v>3063</v>
      </c>
      <c r="E604" s="29" t="s">
        <v>339</v>
      </c>
      <c r="F604" s="29" t="s">
        <v>3064</v>
      </c>
      <c r="G604" s="29" t="s">
        <v>3065</v>
      </c>
      <c r="H604" s="29" t="s">
        <v>3066</v>
      </c>
      <c r="I604" s="29" t="s">
        <v>301</v>
      </c>
      <c r="J604" s="29" t="s">
        <v>201</v>
      </c>
      <c r="K604" s="30" t="s">
        <v>44</v>
      </c>
      <c r="L604" s="31"/>
      <c r="M604" s="29"/>
    </row>
    <row r="605" customFormat="false" ht="102" hidden="false" customHeight="true" outlineLevel="0" collapsed="false">
      <c r="B605" s="29" t="s">
        <v>3067</v>
      </c>
      <c r="C605" s="29" t="s">
        <v>281</v>
      </c>
      <c r="D605" s="29" t="s">
        <v>3068</v>
      </c>
      <c r="E605" s="29" t="s">
        <v>39</v>
      </c>
      <c r="F605" s="29" t="s">
        <v>3069</v>
      </c>
      <c r="G605" s="29" t="s">
        <v>3070</v>
      </c>
      <c r="H605" s="29" t="s">
        <v>3071</v>
      </c>
      <c r="I605" s="29" t="s">
        <v>42</v>
      </c>
      <c r="J605" s="29" t="s">
        <v>43</v>
      </c>
      <c r="K605" s="30" t="s">
        <v>44</v>
      </c>
      <c r="L605" s="31"/>
      <c r="M605" s="29"/>
    </row>
    <row r="606" customFormat="false" ht="89.25" hidden="false" customHeight="true" outlineLevel="0" collapsed="false">
      <c r="B606" s="29" t="s">
        <v>3072</v>
      </c>
      <c r="C606" s="29" t="s">
        <v>281</v>
      </c>
      <c r="D606" s="29" t="s">
        <v>3073</v>
      </c>
      <c r="E606" s="29" t="s">
        <v>150</v>
      </c>
      <c r="F606" s="29" t="s">
        <v>3074</v>
      </c>
      <c r="G606" s="29" t="s">
        <v>3075</v>
      </c>
      <c r="H606" s="29" t="s">
        <v>3076</v>
      </c>
      <c r="I606" s="29" t="s">
        <v>285</v>
      </c>
      <c r="J606" s="29" t="s">
        <v>795</v>
      </c>
      <c r="K606" s="30" t="s">
        <v>44</v>
      </c>
      <c r="L606" s="31"/>
      <c r="M606" s="29"/>
    </row>
    <row r="607" customFormat="false" ht="140.25" hidden="false" customHeight="true" outlineLevel="0" collapsed="false">
      <c r="B607" s="29" t="s">
        <v>3077</v>
      </c>
      <c r="C607" s="29" t="s">
        <v>281</v>
      </c>
      <c r="D607" s="29" t="s">
        <v>3078</v>
      </c>
      <c r="E607" s="29" t="s">
        <v>150</v>
      </c>
      <c r="F607" s="29" t="s">
        <v>3079</v>
      </c>
      <c r="G607" s="29" t="s">
        <v>3080</v>
      </c>
      <c r="H607" s="29" t="s">
        <v>3081</v>
      </c>
      <c r="I607" s="29" t="s">
        <v>467</v>
      </c>
      <c r="J607" s="29" t="s">
        <v>467</v>
      </c>
      <c r="K607" s="30" t="s">
        <v>44</v>
      </c>
      <c r="L607" s="31"/>
      <c r="M607" s="29"/>
    </row>
    <row r="608" customFormat="false" ht="153" hidden="false" customHeight="true" outlineLevel="0" collapsed="false">
      <c r="B608" s="29" t="s">
        <v>3082</v>
      </c>
      <c r="C608" s="29" t="s">
        <v>281</v>
      </c>
      <c r="D608" s="29" t="s">
        <v>3083</v>
      </c>
      <c r="E608" s="29" t="s">
        <v>595</v>
      </c>
      <c r="F608" s="29" t="s">
        <v>3084</v>
      </c>
      <c r="G608" s="29" t="s">
        <v>3085</v>
      </c>
      <c r="H608" s="29" t="s">
        <v>3086</v>
      </c>
      <c r="I608" s="29" t="s">
        <v>467</v>
      </c>
      <c r="J608" s="29" t="s">
        <v>467</v>
      </c>
      <c r="K608" s="30" t="s">
        <v>44</v>
      </c>
      <c r="L608" s="31"/>
      <c r="M608" s="29"/>
    </row>
    <row r="609" customFormat="false" ht="242.25" hidden="false" customHeight="true" outlineLevel="0" collapsed="false">
      <c r="B609" s="29" t="s">
        <v>3087</v>
      </c>
      <c r="C609" s="29" t="s">
        <v>281</v>
      </c>
      <c r="D609" s="29" t="s">
        <v>3088</v>
      </c>
      <c r="E609" s="29" t="s">
        <v>356</v>
      </c>
      <c r="F609" s="29" t="s">
        <v>3089</v>
      </c>
      <c r="G609" s="29" t="s">
        <v>3090</v>
      </c>
      <c r="H609" s="29" t="s">
        <v>3091</v>
      </c>
      <c r="I609" s="29" t="s">
        <v>301</v>
      </c>
      <c r="J609" s="29" t="s">
        <v>201</v>
      </c>
      <c r="K609" s="30" t="s">
        <v>44</v>
      </c>
      <c r="L609" s="31"/>
      <c r="M609" s="29"/>
    </row>
    <row r="610" customFormat="false" ht="357" hidden="false" customHeight="true" outlineLevel="0" collapsed="false">
      <c r="B610" s="29" t="s">
        <v>3092</v>
      </c>
      <c r="C610" s="29" t="s">
        <v>281</v>
      </c>
      <c r="D610" s="29" t="s">
        <v>3093</v>
      </c>
      <c r="E610" s="29" t="s">
        <v>356</v>
      </c>
      <c r="F610" s="29" t="s">
        <v>3094</v>
      </c>
      <c r="G610" s="29" t="s">
        <v>3095</v>
      </c>
      <c r="H610" s="29" t="s">
        <v>3096</v>
      </c>
      <c r="I610" s="29" t="s">
        <v>301</v>
      </c>
      <c r="J610" s="29" t="s">
        <v>201</v>
      </c>
      <c r="K610" s="30" t="s">
        <v>44</v>
      </c>
      <c r="L610" s="31"/>
      <c r="M610" s="29"/>
    </row>
    <row r="611" customFormat="false" ht="38.25" hidden="false" customHeight="true" outlineLevel="0" collapsed="false">
      <c r="B611" s="29" t="s">
        <v>3097</v>
      </c>
      <c r="C611" s="29" t="s">
        <v>281</v>
      </c>
      <c r="D611" s="29" t="s">
        <v>3098</v>
      </c>
      <c r="E611" s="29" t="s">
        <v>356</v>
      </c>
      <c r="F611" s="29" t="s">
        <v>3099</v>
      </c>
      <c r="G611" s="29" t="s">
        <v>3100</v>
      </c>
      <c r="H611" s="29" t="s">
        <v>3101</v>
      </c>
      <c r="I611" s="29" t="s">
        <v>301</v>
      </c>
      <c r="J611" s="29" t="s">
        <v>201</v>
      </c>
      <c r="K611" s="30" t="s">
        <v>44</v>
      </c>
      <c r="L611" s="31"/>
      <c r="M611" s="29"/>
    </row>
    <row r="612" customFormat="false" ht="140.25" hidden="false" customHeight="true" outlineLevel="0" collapsed="false">
      <c r="B612" s="29" t="s">
        <v>3102</v>
      </c>
      <c r="C612" s="29" t="s">
        <v>281</v>
      </c>
      <c r="D612" s="29" t="s">
        <v>3103</v>
      </c>
      <c r="E612" s="29" t="s">
        <v>350</v>
      </c>
      <c r="F612" s="29" t="s">
        <v>3104</v>
      </c>
      <c r="G612" s="29" t="s">
        <v>3105</v>
      </c>
      <c r="H612" s="29" t="s">
        <v>3106</v>
      </c>
      <c r="I612" s="29" t="s">
        <v>467</v>
      </c>
      <c r="J612" s="29" t="s">
        <v>467</v>
      </c>
      <c r="K612" s="30" t="s">
        <v>44</v>
      </c>
      <c r="L612" s="31"/>
      <c r="M612" s="29"/>
    </row>
    <row r="613" customFormat="false" ht="153" hidden="false" customHeight="true" outlineLevel="0" collapsed="false">
      <c r="B613" s="29" t="s">
        <v>3107</v>
      </c>
      <c r="C613" s="29" t="s">
        <v>281</v>
      </c>
      <c r="D613" s="29" t="s">
        <v>3108</v>
      </c>
      <c r="E613" s="29" t="s">
        <v>356</v>
      </c>
      <c r="F613" s="29" t="s">
        <v>3109</v>
      </c>
      <c r="G613" s="29" t="s">
        <v>3110</v>
      </c>
      <c r="H613" s="29" t="s">
        <v>3111</v>
      </c>
      <c r="I613" s="29" t="s">
        <v>301</v>
      </c>
      <c r="J613" s="29" t="s">
        <v>201</v>
      </c>
      <c r="K613" s="30" t="s">
        <v>44</v>
      </c>
      <c r="L613" s="31"/>
      <c r="M613" s="29"/>
    </row>
    <row r="614" customFormat="false" ht="178.5" hidden="false" customHeight="true" outlineLevel="0" collapsed="false">
      <c r="B614" s="29" t="s">
        <v>3112</v>
      </c>
      <c r="C614" s="29" t="s">
        <v>281</v>
      </c>
      <c r="D614" s="29" t="s">
        <v>3113</v>
      </c>
      <c r="E614" s="29" t="s">
        <v>356</v>
      </c>
      <c r="F614" s="29" t="s">
        <v>3114</v>
      </c>
      <c r="G614" s="29" t="s">
        <v>3115</v>
      </c>
      <c r="H614" s="29" t="s">
        <v>3116</v>
      </c>
      <c r="I614" s="29" t="s">
        <v>301</v>
      </c>
      <c r="J614" s="29" t="s">
        <v>201</v>
      </c>
      <c r="K614" s="30" t="s">
        <v>44</v>
      </c>
      <c r="L614" s="31"/>
      <c r="M614" s="29"/>
    </row>
    <row r="615" customFormat="false" ht="114.75" hidden="false" customHeight="true" outlineLevel="0" collapsed="false">
      <c r="B615" s="29" t="s">
        <v>3117</v>
      </c>
      <c r="C615" s="29" t="s">
        <v>281</v>
      </c>
      <c r="D615" s="29" t="s">
        <v>3118</v>
      </c>
      <c r="E615" s="29" t="s">
        <v>150</v>
      </c>
      <c r="F615" s="29" t="s">
        <v>3119</v>
      </c>
      <c r="G615" s="29" t="s">
        <v>3120</v>
      </c>
      <c r="H615" s="29" t="s">
        <v>3121</v>
      </c>
      <c r="I615" s="29" t="s">
        <v>153</v>
      </c>
      <c r="J615" s="29" t="s">
        <v>154</v>
      </c>
      <c r="K615" s="30" t="s">
        <v>44</v>
      </c>
      <c r="L615" s="31"/>
      <c r="M615" s="29"/>
    </row>
    <row r="616" customFormat="false" ht="89.25" hidden="false" customHeight="true" outlineLevel="0" collapsed="false">
      <c r="B616" s="29" t="s">
        <v>3122</v>
      </c>
      <c r="C616" s="29" t="s">
        <v>281</v>
      </c>
      <c r="D616" s="29" t="s">
        <v>3123</v>
      </c>
      <c r="E616" s="29" t="s">
        <v>356</v>
      </c>
      <c r="F616" s="29" t="s">
        <v>3124</v>
      </c>
      <c r="G616" s="29" t="s">
        <v>3125</v>
      </c>
      <c r="H616" s="29" t="s">
        <v>3126</v>
      </c>
      <c r="I616" s="29" t="s">
        <v>301</v>
      </c>
      <c r="J616" s="29" t="s">
        <v>201</v>
      </c>
      <c r="K616" s="30" t="s">
        <v>44</v>
      </c>
      <c r="L616" s="31"/>
      <c r="M616" s="29"/>
    </row>
    <row r="617" customFormat="false" ht="127.5" hidden="false" customHeight="true" outlineLevel="0" collapsed="false">
      <c r="B617" s="29" t="s">
        <v>3127</v>
      </c>
      <c r="C617" s="29" t="s">
        <v>281</v>
      </c>
      <c r="D617" s="29" t="s">
        <v>3128</v>
      </c>
      <c r="E617" s="29" t="s">
        <v>76</v>
      </c>
      <c r="F617" s="29" t="s">
        <v>3129</v>
      </c>
      <c r="G617" s="29" t="s">
        <v>3130</v>
      </c>
      <c r="H617" s="29" t="s">
        <v>3131</v>
      </c>
      <c r="I617" s="29" t="s">
        <v>335</v>
      </c>
      <c r="J617" s="29" t="s">
        <v>81</v>
      </c>
      <c r="K617" s="30" t="s">
        <v>44</v>
      </c>
      <c r="L617" s="31"/>
      <c r="M617" s="29"/>
    </row>
    <row r="618" customFormat="false" ht="153" hidden="false" customHeight="true" outlineLevel="0" collapsed="false">
      <c r="B618" s="29" t="s">
        <v>3132</v>
      </c>
      <c r="C618" s="29" t="s">
        <v>281</v>
      </c>
      <c r="D618" s="29" t="s">
        <v>3133</v>
      </c>
      <c r="E618" s="29" t="s">
        <v>350</v>
      </c>
      <c r="F618" s="29" t="s">
        <v>3134</v>
      </c>
      <c r="G618" s="29" t="s">
        <v>3135</v>
      </c>
      <c r="H618" s="29" t="s">
        <v>3136</v>
      </c>
      <c r="I618" s="29" t="s">
        <v>301</v>
      </c>
      <c r="J618" s="29" t="s">
        <v>201</v>
      </c>
      <c r="K618" s="30" t="s">
        <v>44</v>
      </c>
      <c r="L618" s="31"/>
      <c r="M618" s="29"/>
    </row>
    <row r="619" customFormat="false" ht="114.75" hidden="false" customHeight="true" outlineLevel="0" collapsed="false">
      <c r="B619" s="29" t="s">
        <v>3137</v>
      </c>
      <c r="C619" s="29" t="s">
        <v>281</v>
      </c>
      <c r="D619" s="29" t="s">
        <v>3138</v>
      </c>
      <c r="E619" s="29" t="s">
        <v>97</v>
      </c>
      <c r="F619" s="29" t="s">
        <v>3139</v>
      </c>
      <c r="G619" s="29" t="s">
        <v>3140</v>
      </c>
      <c r="H619" s="29" t="s">
        <v>3141</v>
      </c>
      <c r="I619" s="29" t="s">
        <v>42</v>
      </c>
      <c r="J619" s="29" t="s">
        <v>65</v>
      </c>
      <c r="K619" s="30" t="s">
        <v>44</v>
      </c>
      <c r="L619" s="31"/>
      <c r="M619" s="29"/>
    </row>
    <row r="620" customFormat="false" ht="102" hidden="false" customHeight="true" outlineLevel="0" collapsed="false">
      <c r="B620" s="29" t="s">
        <v>3142</v>
      </c>
      <c r="C620" s="29" t="s">
        <v>281</v>
      </c>
      <c r="D620" s="29" t="s">
        <v>3143</v>
      </c>
      <c r="E620" s="29" t="s">
        <v>350</v>
      </c>
      <c r="F620" s="29" t="s">
        <v>3144</v>
      </c>
      <c r="G620" s="29" t="s">
        <v>3145</v>
      </c>
      <c r="H620" s="29" t="s">
        <v>3146</v>
      </c>
      <c r="I620" s="29" t="s">
        <v>301</v>
      </c>
      <c r="J620" s="29" t="s">
        <v>201</v>
      </c>
      <c r="K620" s="30" t="s">
        <v>44</v>
      </c>
      <c r="L620" s="31"/>
      <c r="M620" s="29"/>
    </row>
    <row r="621" customFormat="false" ht="280.5" hidden="false" customHeight="true" outlineLevel="0" collapsed="false">
      <c r="B621" s="29" t="s">
        <v>3147</v>
      </c>
      <c r="C621" s="29" t="s">
        <v>281</v>
      </c>
      <c r="D621" s="29" t="s">
        <v>3148</v>
      </c>
      <c r="E621" s="29" t="s">
        <v>356</v>
      </c>
      <c r="F621" s="29" t="s">
        <v>3149</v>
      </c>
      <c r="G621" s="29" t="s">
        <v>3150</v>
      </c>
      <c r="H621" s="29" t="s">
        <v>3151</v>
      </c>
      <c r="I621" s="29" t="s">
        <v>301</v>
      </c>
      <c r="J621" s="29" t="s">
        <v>201</v>
      </c>
      <c r="K621" s="30" t="s">
        <v>44</v>
      </c>
      <c r="L621" s="31"/>
      <c r="M621" s="29"/>
    </row>
    <row r="622" customFormat="false" ht="76.5" hidden="false" customHeight="true" outlineLevel="0" collapsed="false">
      <c r="B622" s="29" t="s">
        <v>3152</v>
      </c>
      <c r="C622" s="29" t="s">
        <v>281</v>
      </c>
      <c r="D622" s="29" t="s">
        <v>3153</v>
      </c>
      <c r="E622" s="29" t="s">
        <v>339</v>
      </c>
      <c r="F622" s="29" t="s">
        <v>3154</v>
      </c>
      <c r="G622" s="29" t="s">
        <v>3155</v>
      </c>
      <c r="H622" s="29" t="s">
        <v>3156</v>
      </c>
      <c r="I622" s="29" t="s">
        <v>301</v>
      </c>
      <c r="J622" s="29" t="s">
        <v>201</v>
      </c>
      <c r="K622" s="30" t="s">
        <v>44</v>
      </c>
      <c r="L622" s="31"/>
      <c r="M622" s="29"/>
    </row>
    <row r="623" customFormat="false" ht="242.25" hidden="false" customHeight="true" outlineLevel="0" collapsed="false">
      <c r="B623" s="29" t="s">
        <v>3157</v>
      </c>
      <c r="C623" s="29" t="s">
        <v>281</v>
      </c>
      <c r="D623" s="29" t="s">
        <v>3158</v>
      </c>
      <c r="E623" s="29" t="s">
        <v>356</v>
      </c>
      <c r="F623" s="29" t="s">
        <v>3159</v>
      </c>
      <c r="G623" s="29" t="s">
        <v>3160</v>
      </c>
      <c r="H623" s="29" t="s">
        <v>3161</v>
      </c>
      <c r="I623" s="29" t="s">
        <v>153</v>
      </c>
      <c r="J623" s="29" t="s">
        <v>154</v>
      </c>
      <c r="K623" s="30" t="s">
        <v>44</v>
      </c>
      <c r="L623" s="31"/>
      <c r="M623" s="29"/>
    </row>
    <row r="624" customFormat="false" ht="204" hidden="false" customHeight="true" outlineLevel="0" collapsed="false">
      <c r="B624" s="29" t="s">
        <v>3162</v>
      </c>
      <c r="C624" s="29" t="s">
        <v>281</v>
      </c>
      <c r="D624" s="29" t="s">
        <v>3163</v>
      </c>
      <c r="E624" s="29" t="s">
        <v>356</v>
      </c>
      <c r="F624" s="29" t="s">
        <v>3164</v>
      </c>
      <c r="G624" s="29" t="s">
        <v>3165</v>
      </c>
      <c r="H624" s="29" t="s">
        <v>3166</v>
      </c>
      <c r="I624" s="29" t="s">
        <v>301</v>
      </c>
      <c r="J624" s="29" t="s">
        <v>201</v>
      </c>
      <c r="K624" s="30" t="s">
        <v>44</v>
      </c>
      <c r="L624" s="31"/>
      <c r="M624" s="29"/>
    </row>
    <row r="625" customFormat="false" ht="165.75" hidden="false" customHeight="true" outlineLevel="0" collapsed="false">
      <c r="B625" s="29" t="s">
        <v>3167</v>
      </c>
      <c r="C625" s="29" t="s">
        <v>281</v>
      </c>
      <c r="D625" s="29" t="s">
        <v>3168</v>
      </c>
      <c r="E625" s="29" t="s">
        <v>356</v>
      </c>
      <c r="F625" s="29" t="s">
        <v>3169</v>
      </c>
      <c r="G625" s="29" t="s">
        <v>3170</v>
      </c>
      <c r="H625" s="29" t="s">
        <v>3171</v>
      </c>
      <c r="I625" s="29" t="s">
        <v>301</v>
      </c>
      <c r="J625" s="29" t="s">
        <v>201</v>
      </c>
      <c r="K625" s="30" t="s">
        <v>44</v>
      </c>
      <c r="L625" s="31"/>
      <c r="M625" s="29"/>
    </row>
    <row r="626" customFormat="false" ht="229.5" hidden="false" customHeight="true" outlineLevel="0" collapsed="false">
      <c r="B626" s="29" t="s">
        <v>3172</v>
      </c>
      <c r="C626" s="29" t="s">
        <v>281</v>
      </c>
      <c r="D626" s="29" t="s">
        <v>3173</v>
      </c>
      <c r="E626" s="29" t="s">
        <v>339</v>
      </c>
      <c r="F626" s="29" t="s">
        <v>3174</v>
      </c>
      <c r="G626" s="29" t="s">
        <v>3175</v>
      </c>
      <c r="H626" s="29" t="s">
        <v>3176</v>
      </c>
      <c r="I626" s="29" t="s">
        <v>301</v>
      </c>
      <c r="J626" s="29" t="s">
        <v>201</v>
      </c>
      <c r="K626" s="30" t="s">
        <v>44</v>
      </c>
      <c r="L626" s="31"/>
      <c r="M626" s="29"/>
    </row>
    <row r="627" customFormat="false" ht="51" hidden="false" customHeight="true" outlineLevel="0" collapsed="false">
      <c r="B627" s="29" t="s">
        <v>3177</v>
      </c>
      <c r="C627" s="29" t="s">
        <v>281</v>
      </c>
      <c r="D627" s="29" t="s">
        <v>3178</v>
      </c>
      <c r="E627" s="29" t="s">
        <v>326</v>
      </c>
      <c r="F627" s="29" t="s">
        <v>3179</v>
      </c>
      <c r="G627" s="29" t="s">
        <v>3180</v>
      </c>
      <c r="H627" s="29" t="s">
        <v>3181</v>
      </c>
      <c r="I627" s="29" t="s">
        <v>301</v>
      </c>
      <c r="J627" s="29" t="s">
        <v>201</v>
      </c>
      <c r="K627" s="30" t="s">
        <v>44</v>
      </c>
      <c r="L627" s="31"/>
      <c r="M627" s="29"/>
    </row>
    <row r="628" customFormat="false" ht="204" hidden="false" customHeight="true" outlineLevel="0" collapsed="false">
      <c r="B628" s="29" t="s">
        <v>3182</v>
      </c>
      <c r="C628" s="29" t="s">
        <v>281</v>
      </c>
      <c r="D628" s="29" t="s">
        <v>3183</v>
      </c>
      <c r="E628" s="29" t="s">
        <v>97</v>
      </c>
      <c r="F628" s="29" t="s">
        <v>3184</v>
      </c>
      <c r="G628" s="29" t="s">
        <v>3185</v>
      </c>
      <c r="H628" s="29" t="s">
        <v>3186</v>
      </c>
      <c r="I628" s="29" t="s">
        <v>42</v>
      </c>
      <c r="J628" s="29" t="s">
        <v>65</v>
      </c>
      <c r="K628" s="30" t="s">
        <v>44</v>
      </c>
      <c r="L628" s="31"/>
      <c r="M628" s="29"/>
    </row>
    <row r="629" customFormat="false" ht="127.5" hidden="false" customHeight="true" outlineLevel="0" collapsed="false">
      <c r="B629" s="29" t="s">
        <v>3187</v>
      </c>
      <c r="C629" s="29" t="s">
        <v>281</v>
      </c>
      <c r="D629" s="29" t="s">
        <v>3188</v>
      </c>
      <c r="E629" s="29" t="s">
        <v>150</v>
      </c>
      <c r="F629" s="29" t="s">
        <v>3189</v>
      </c>
      <c r="G629" s="29" t="s">
        <v>3190</v>
      </c>
      <c r="H629" s="29" t="s">
        <v>3191</v>
      </c>
      <c r="I629" s="29" t="s">
        <v>467</v>
      </c>
      <c r="J629" s="29" t="s">
        <v>467</v>
      </c>
      <c r="K629" s="30" t="s">
        <v>44</v>
      </c>
      <c r="L629" s="31"/>
      <c r="M629" s="29"/>
    </row>
    <row r="630" customFormat="false" ht="140.25" hidden="false" customHeight="true" outlineLevel="0" collapsed="false">
      <c r="B630" s="29" t="s">
        <v>3192</v>
      </c>
      <c r="C630" s="29" t="s">
        <v>281</v>
      </c>
      <c r="D630" s="29" t="s">
        <v>3193</v>
      </c>
      <c r="E630" s="29" t="s">
        <v>205</v>
      </c>
      <c r="F630" s="29" t="s">
        <v>3194</v>
      </c>
      <c r="G630" s="29" t="s">
        <v>2832</v>
      </c>
      <c r="H630" s="29" t="s">
        <v>3195</v>
      </c>
      <c r="I630" s="29" t="s">
        <v>301</v>
      </c>
      <c r="J630" s="29" t="s">
        <v>201</v>
      </c>
      <c r="K630" s="30" t="s">
        <v>44</v>
      </c>
      <c r="L630" s="31"/>
      <c r="M630" s="29"/>
    </row>
    <row r="631" customFormat="false" ht="267.75" hidden="false" customHeight="true" outlineLevel="0" collapsed="false">
      <c r="B631" s="29" t="s">
        <v>3196</v>
      </c>
      <c r="C631" s="29" t="s">
        <v>281</v>
      </c>
      <c r="D631" s="29" t="s">
        <v>3197</v>
      </c>
      <c r="E631" s="29" t="s">
        <v>356</v>
      </c>
      <c r="F631" s="29" t="s">
        <v>3198</v>
      </c>
      <c r="G631" s="29" t="s">
        <v>3199</v>
      </c>
      <c r="H631" s="29" t="s">
        <v>3200</v>
      </c>
      <c r="I631" s="29" t="s">
        <v>301</v>
      </c>
      <c r="J631" s="29" t="s">
        <v>201</v>
      </c>
      <c r="K631" s="30" t="s">
        <v>44</v>
      </c>
      <c r="L631" s="31"/>
      <c r="M631" s="29"/>
    </row>
    <row r="632" customFormat="false" ht="191.25" hidden="false" customHeight="true" outlineLevel="0" collapsed="false">
      <c r="B632" s="29" t="s">
        <v>3201</v>
      </c>
      <c r="C632" s="29" t="s">
        <v>281</v>
      </c>
      <c r="D632" s="29" t="s">
        <v>3202</v>
      </c>
      <c r="E632" s="29" t="s">
        <v>356</v>
      </c>
      <c r="F632" s="29" t="s">
        <v>3203</v>
      </c>
      <c r="G632" s="29" t="s">
        <v>3204</v>
      </c>
      <c r="H632" s="29" t="s">
        <v>3205</v>
      </c>
      <c r="I632" s="29" t="s">
        <v>153</v>
      </c>
      <c r="J632" s="29" t="s">
        <v>154</v>
      </c>
      <c r="K632" s="30" t="s">
        <v>44</v>
      </c>
      <c r="L632" s="31"/>
      <c r="M632" s="29"/>
    </row>
    <row r="633" customFormat="false" ht="38.25" hidden="false" customHeight="true" outlineLevel="0" collapsed="false">
      <c r="B633" s="29" t="s">
        <v>3206</v>
      </c>
      <c r="C633" s="29" t="s">
        <v>281</v>
      </c>
      <c r="D633" s="29" t="s">
        <v>3207</v>
      </c>
      <c r="E633" s="29" t="s">
        <v>339</v>
      </c>
      <c r="F633" s="29" t="s">
        <v>3208</v>
      </c>
      <c r="G633" s="29" t="s">
        <v>3209</v>
      </c>
      <c r="H633" s="29" t="s">
        <v>3210</v>
      </c>
      <c r="I633" s="29" t="s">
        <v>301</v>
      </c>
      <c r="J633" s="29" t="s">
        <v>201</v>
      </c>
      <c r="K633" s="30" t="s">
        <v>44</v>
      </c>
      <c r="L633" s="31"/>
      <c r="M633" s="29"/>
    </row>
    <row r="634" customFormat="false" ht="63.75" hidden="false" customHeight="true" outlineLevel="0" collapsed="false">
      <c r="B634" s="29" t="s">
        <v>3211</v>
      </c>
      <c r="C634" s="29" t="s">
        <v>281</v>
      </c>
      <c r="D634" s="29" t="s">
        <v>3212</v>
      </c>
      <c r="E634" s="29" t="s">
        <v>356</v>
      </c>
      <c r="F634" s="29" t="s">
        <v>3213</v>
      </c>
      <c r="G634" s="29" t="s">
        <v>3214</v>
      </c>
      <c r="H634" s="29" t="s">
        <v>3215</v>
      </c>
      <c r="I634" s="29" t="s">
        <v>301</v>
      </c>
      <c r="J634" s="29" t="s">
        <v>201</v>
      </c>
      <c r="K634" s="30" t="s">
        <v>44</v>
      </c>
      <c r="L634" s="31"/>
      <c r="M634" s="29"/>
    </row>
    <row r="635" customFormat="false" ht="51" hidden="false" customHeight="true" outlineLevel="0" collapsed="false">
      <c r="B635" s="29" t="s">
        <v>3216</v>
      </c>
      <c r="C635" s="29" t="s">
        <v>281</v>
      </c>
      <c r="D635" s="29" t="s">
        <v>3217</v>
      </c>
      <c r="E635" s="29" t="s">
        <v>205</v>
      </c>
      <c r="F635" s="29" t="s">
        <v>3218</v>
      </c>
      <c r="G635" s="29" t="s">
        <v>3219</v>
      </c>
      <c r="H635" s="29" t="s">
        <v>3220</v>
      </c>
      <c r="I635" s="29" t="s">
        <v>301</v>
      </c>
      <c r="J635" s="29" t="s">
        <v>201</v>
      </c>
      <c r="K635" s="30" t="s">
        <v>44</v>
      </c>
      <c r="L635" s="31"/>
      <c r="M635" s="29"/>
    </row>
    <row r="636" customFormat="false" ht="102" hidden="false" customHeight="true" outlineLevel="0" collapsed="false">
      <c r="B636" s="29" t="s">
        <v>3221</v>
      </c>
      <c r="C636" s="29" t="s">
        <v>281</v>
      </c>
      <c r="D636" s="29" t="s">
        <v>3222</v>
      </c>
      <c r="E636" s="29" t="s">
        <v>356</v>
      </c>
      <c r="F636" s="29" t="s">
        <v>3223</v>
      </c>
      <c r="G636" s="29" t="s">
        <v>3224</v>
      </c>
      <c r="H636" s="29" t="s">
        <v>3225</v>
      </c>
      <c r="I636" s="29" t="s">
        <v>301</v>
      </c>
      <c r="J636" s="29" t="s">
        <v>201</v>
      </c>
      <c r="K636" s="30" t="s">
        <v>44</v>
      </c>
      <c r="L636" s="31"/>
      <c r="M636" s="29"/>
    </row>
    <row r="637" customFormat="false" ht="76.5" hidden="false" customHeight="true" outlineLevel="0" collapsed="false">
      <c r="B637" s="29" t="s">
        <v>3226</v>
      </c>
      <c r="C637" s="29" t="s">
        <v>281</v>
      </c>
      <c r="D637" s="29" t="s">
        <v>3227</v>
      </c>
      <c r="E637" s="29" t="s">
        <v>339</v>
      </c>
      <c r="F637" s="29" t="s">
        <v>3228</v>
      </c>
      <c r="G637" s="29" t="s">
        <v>3229</v>
      </c>
      <c r="H637" s="29" t="s">
        <v>3230</v>
      </c>
      <c r="I637" s="29" t="s">
        <v>301</v>
      </c>
      <c r="J637" s="29" t="s">
        <v>201</v>
      </c>
      <c r="K637" s="30" t="s">
        <v>44</v>
      </c>
      <c r="L637" s="31"/>
      <c r="M637" s="29"/>
    </row>
    <row r="638" customFormat="false" ht="76.5" hidden="false" customHeight="true" outlineLevel="0" collapsed="false">
      <c r="B638" s="29" t="s">
        <v>3231</v>
      </c>
      <c r="C638" s="29" t="s">
        <v>281</v>
      </c>
      <c r="D638" s="29" t="s">
        <v>3232</v>
      </c>
      <c r="E638" s="29" t="s">
        <v>356</v>
      </c>
      <c r="F638" s="29" t="s">
        <v>3233</v>
      </c>
      <c r="G638" s="29" t="s">
        <v>3234</v>
      </c>
      <c r="H638" s="29" t="s">
        <v>3235</v>
      </c>
      <c r="I638" s="29" t="s">
        <v>301</v>
      </c>
      <c r="J638" s="29" t="s">
        <v>201</v>
      </c>
      <c r="K638" s="30" t="s">
        <v>44</v>
      </c>
      <c r="L638" s="31"/>
      <c r="M638" s="29"/>
    </row>
    <row r="639" customFormat="false" ht="306" hidden="false" customHeight="true" outlineLevel="0" collapsed="false">
      <c r="B639" s="29" t="s">
        <v>3236</v>
      </c>
      <c r="C639" s="29" t="s">
        <v>281</v>
      </c>
      <c r="D639" s="29" t="s">
        <v>3237</v>
      </c>
      <c r="E639" s="29" t="s">
        <v>356</v>
      </c>
      <c r="F639" s="29" t="s">
        <v>3238</v>
      </c>
      <c r="G639" s="29" t="s">
        <v>3239</v>
      </c>
      <c r="H639" s="29" t="s">
        <v>3240</v>
      </c>
      <c r="I639" s="29" t="s">
        <v>285</v>
      </c>
      <c r="J639" s="29" t="s">
        <v>795</v>
      </c>
      <c r="K639" s="30" t="s">
        <v>44</v>
      </c>
      <c r="L639" s="31"/>
      <c r="M639" s="29"/>
    </row>
    <row r="640" customFormat="false" ht="165.75" hidden="false" customHeight="true" outlineLevel="0" collapsed="false">
      <c r="B640" s="29" t="s">
        <v>3241</v>
      </c>
      <c r="C640" s="29" t="s">
        <v>281</v>
      </c>
      <c r="D640" s="29" t="s">
        <v>3242</v>
      </c>
      <c r="E640" s="29" t="s">
        <v>39</v>
      </c>
      <c r="F640" s="29" t="s">
        <v>3243</v>
      </c>
      <c r="G640" s="29" t="s">
        <v>3244</v>
      </c>
      <c r="H640" s="29" t="s">
        <v>3245</v>
      </c>
      <c r="I640" s="29" t="s">
        <v>2726</v>
      </c>
      <c r="J640" s="29" t="s">
        <v>3246</v>
      </c>
      <c r="K640" s="30" t="s">
        <v>44</v>
      </c>
      <c r="L640" s="31"/>
      <c r="M640" s="29"/>
    </row>
    <row r="641" customFormat="false" ht="140.25" hidden="false" customHeight="true" outlineLevel="0" collapsed="false">
      <c r="B641" s="29" t="s">
        <v>3247</v>
      </c>
      <c r="C641" s="29" t="s">
        <v>281</v>
      </c>
      <c r="D641" s="29" t="s">
        <v>3248</v>
      </c>
      <c r="E641" s="29" t="s">
        <v>150</v>
      </c>
      <c r="F641" s="29" t="s">
        <v>3249</v>
      </c>
      <c r="G641" s="29" t="s">
        <v>3250</v>
      </c>
      <c r="H641" s="29" t="s">
        <v>3251</v>
      </c>
      <c r="I641" s="29" t="s">
        <v>467</v>
      </c>
      <c r="J641" s="29" t="s">
        <v>467</v>
      </c>
      <c r="K641" s="30" t="s">
        <v>44</v>
      </c>
      <c r="L641" s="31"/>
      <c r="M641" s="29"/>
    </row>
    <row r="642" customFormat="false" ht="409.5" hidden="false" customHeight="true" outlineLevel="0" collapsed="false">
      <c r="B642" s="29" t="s">
        <v>3252</v>
      </c>
      <c r="C642" s="29" t="s">
        <v>281</v>
      </c>
      <c r="D642" s="29" t="s">
        <v>3253</v>
      </c>
      <c r="E642" s="29" t="s">
        <v>205</v>
      </c>
      <c r="F642" s="29" t="s">
        <v>3254</v>
      </c>
      <c r="G642" s="29" t="s">
        <v>3255</v>
      </c>
      <c r="H642" s="29" t="s">
        <v>3256</v>
      </c>
      <c r="I642" s="29" t="s">
        <v>301</v>
      </c>
      <c r="J642" s="29" t="s">
        <v>201</v>
      </c>
      <c r="K642" s="30" t="s">
        <v>44</v>
      </c>
      <c r="L642" s="31"/>
      <c r="M642" s="29"/>
    </row>
    <row r="643" customFormat="false" ht="409.5" hidden="false" customHeight="true" outlineLevel="0" collapsed="false">
      <c r="B643" s="29" t="s">
        <v>3257</v>
      </c>
      <c r="C643" s="29" t="s">
        <v>281</v>
      </c>
      <c r="D643" s="29" t="s">
        <v>3258</v>
      </c>
      <c r="E643" s="29" t="s">
        <v>350</v>
      </c>
      <c r="F643" s="29" t="s">
        <v>3259</v>
      </c>
      <c r="G643" s="29" t="s">
        <v>3260</v>
      </c>
      <c r="H643" s="29" t="s">
        <v>3261</v>
      </c>
      <c r="I643" s="29" t="s">
        <v>153</v>
      </c>
      <c r="J643" s="29" t="s">
        <v>154</v>
      </c>
      <c r="K643" s="30" t="s">
        <v>44</v>
      </c>
      <c r="L643" s="31"/>
      <c r="M643" s="29"/>
    </row>
    <row r="644" customFormat="false" ht="63.75" hidden="false" customHeight="true" outlineLevel="0" collapsed="false">
      <c r="B644" s="29" t="s">
        <v>3262</v>
      </c>
      <c r="C644" s="29" t="s">
        <v>281</v>
      </c>
      <c r="D644" s="29" t="s">
        <v>3263</v>
      </c>
      <c r="E644" s="29" t="s">
        <v>326</v>
      </c>
      <c r="F644" s="29" t="s">
        <v>3264</v>
      </c>
      <c r="G644" s="29" t="s">
        <v>3265</v>
      </c>
      <c r="H644" s="29" t="s">
        <v>3266</v>
      </c>
      <c r="I644" s="29" t="s">
        <v>301</v>
      </c>
      <c r="J644" s="29" t="s">
        <v>201</v>
      </c>
      <c r="K644" s="30" t="s">
        <v>44</v>
      </c>
      <c r="L644" s="31"/>
      <c r="M644" s="29"/>
    </row>
    <row r="645" customFormat="false" ht="331.5" hidden="false" customHeight="true" outlineLevel="0" collapsed="false">
      <c r="B645" s="29" t="s">
        <v>3267</v>
      </c>
      <c r="C645" s="29" t="s">
        <v>281</v>
      </c>
      <c r="D645" s="29" t="s">
        <v>3268</v>
      </c>
      <c r="E645" s="29" t="s">
        <v>39</v>
      </c>
      <c r="F645" s="29" t="s">
        <v>3269</v>
      </c>
      <c r="G645" s="29" t="s">
        <v>3270</v>
      </c>
      <c r="H645" s="29" t="s">
        <v>3271</v>
      </c>
      <c r="I645" s="29" t="s">
        <v>1916</v>
      </c>
      <c r="J645" s="29" t="s">
        <v>3272</v>
      </c>
      <c r="K645" s="30" t="s">
        <v>44</v>
      </c>
      <c r="L645" s="31"/>
      <c r="M645" s="29"/>
    </row>
    <row r="646" customFormat="false" ht="127.5" hidden="false" customHeight="true" outlineLevel="0" collapsed="false">
      <c r="B646" s="29" t="s">
        <v>3273</v>
      </c>
      <c r="C646" s="29" t="s">
        <v>281</v>
      </c>
      <c r="D646" s="29" t="s">
        <v>3274</v>
      </c>
      <c r="E646" s="29" t="s">
        <v>350</v>
      </c>
      <c r="F646" s="29" t="s">
        <v>3275</v>
      </c>
      <c r="G646" s="29" t="s">
        <v>3276</v>
      </c>
      <c r="H646" s="29" t="s">
        <v>3277</v>
      </c>
      <c r="I646" s="29" t="s">
        <v>153</v>
      </c>
      <c r="J646" s="29" t="s">
        <v>154</v>
      </c>
      <c r="K646" s="30" t="s">
        <v>44</v>
      </c>
      <c r="L646" s="31"/>
      <c r="M646" s="29"/>
    </row>
    <row r="647" customFormat="false" ht="63.75" hidden="false" customHeight="true" outlineLevel="0" collapsed="false">
      <c r="B647" s="29" t="s">
        <v>3278</v>
      </c>
      <c r="C647" s="29" t="s">
        <v>281</v>
      </c>
      <c r="D647" s="29" t="s">
        <v>3279</v>
      </c>
      <c r="E647" s="29" t="s">
        <v>76</v>
      </c>
      <c r="F647" s="29" t="s">
        <v>3280</v>
      </c>
      <c r="G647" s="29" t="s">
        <v>3281</v>
      </c>
      <c r="H647" s="29" t="s">
        <v>3282</v>
      </c>
      <c r="I647" s="29" t="s">
        <v>335</v>
      </c>
      <c r="J647" s="29" t="s">
        <v>81</v>
      </c>
      <c r="K647" s="30" t="s">
        <v>44</v>
      </c>
      <c r="L647" s="31"/>
      <c r="M647" s="29"/>
    </row>
    <row r="648" customFormat="false" ht="89.25" hidden="false" customHeight="true" outlineLevel="0" collapsed="false">
      <c r="B648" s="29" t="s">
        <v>3283</v>
      </c>
      <c r="C648" s="29" t="s">
        <v>281</v>
      </c>
      <c r="D648" s="29" t="s">
        <v>3284</v>
      </c>
      <c r="E648" s="29" t="s">
        <v>339</v>
      </c>
      <c r="F648" s="29" t="s">
        <v>3285</v>
      </c>
      <c r="G648" s="29" t="s">
        <v>3286</v>
      </c>
      <c r="H648" s="29" t="s">
        <v>3287</v>
      </c>
      <c r="I648" s="29" t="s">
        <v>301</v>
      </c>
      <c r="J648" s="29" t="s">
        <v>201</v>
      </c>
      <c r="K648" s="30" t="s">
        <v>44</v>
      </c>
      <c r="L648" s="31"/>
      <c r="M648" s="29"/>
    </row>
    <row r="649" customFormat="false" ht="114.75" hidden="false" customHeight="true" outlineLevel="0" collapsed="false">
      <c r="B649" s="29" t="s">
        <v>3288</v>
      </c>
      <c r="C649" s="29" t="s">
        <v>281</v>
      </c>
      <c r="D649" s="29" t="s">
        <v>3289</v>
      </c>
      <c r="E649" s="29" t="s">
        <v>150</v>
      </c>
      <c r="F649" s="29" t="s">
        <v>3290</v>
      </c>
      <c r="G649" s="29" t="s">
        <v>3291</v>
      </c>
      <c r="H649" s="29" t="s">
        <v>3292</v>
      </c>
      <c r="I649" s="29" t="s">
        <v>285</v>
      </c>
      <c r="J649" s="29" t="s">
        <v>795</v>
      </c>
      <c r="K649" s="30" t="s">
        <v>44</v>
      </c>
      <c r="L649" s="31"/>
      <c r="M649" s="29"/>
    </row>
    <row r="650" customFormat="false" ht="89.25" hidden="false" customHeight="true" outlineLevel="0" collapsed="false">
      <c r="B650" s="29" t="s">
        <v>3293</v>
      </c>
      <c r="C650" s="29" t="s">
        <v>281</v>
      </c>
      <c r="D650" s="29" t="s">
        <v>3294</v>
      </c>
      <c r="E650" s="29" t="s">
        <v>150</v>
      </c>
      <c r="F650" s="29" t="s">
        <v>3295</v>
      </c>
      <c r="G650" s="29" t="s">
        <v>3296</v>
      </c>
      <c r="H650" s="29" t="s">
        <v>3297</v>
      </c>
      <c r="I650" s="29" t="s">
        <v>285</v>
      </c>
      <c r="J650" s="29" t="s">
        <v>795</v>
      </c>
      <c r="K650" s="30" t="s">
        <v>44</v>
      </c>
      <c r="L650" s="31"/>
      <c r="M650" s="29"/>
    </row>
    <row r="651" customFormat="false" ht="216.75" hidden="false" customHeight="true" outlineLevel="0" collapsed="false">
      <c r="B651" s="29" t="s">
        <v>3298</v>
      </c>
      <c r="C651" s="29" t="s">
        <v>281</v>
      </c>
      <c r="D651" s="29" t="s">
        <v>3299</v>
      </c>
      <c r="E651" s="29" t="s">
        <v>150</v>
      </c>
      <c r="F651" s="29" t="s">
        <v>3300</v>
      </c>
      <c r="G651" s="29" t="s">
        <v>3301</v>
      </c>
      <c r="H651" s="29" t="s">
        <v>3302</v>
      </c>
      <c r="I651" s="29" t="s">
        <v>285</v>
      </c>
      <c r="J651" s="29" t="s">
        <v>795</v>
      </c>
      <c r="K651" s="30" t="s">
        <v>44</v>
      </c>
      <c r="L651" s="31"/>
      <c r="M651" s="29"/>
    </row>
    <row r="652" customFormat="false" ht="102" hidden="false" customHeight="true" outlineLevel="0" collapsed="false">
      <c r="B652" s="29" t="s">
        <v>3303</v>
      </c>
      <c r="C652" s="29" t="s">
        <v>281</v>
      </c>
      <c r="D652" s="29" t="s">
        <v>3304</v>
      </c>
      <c r="E652" s="29" t="s">
        <v>39</v>
      </c>
      <c r="F652" s="29" t="s">
        <v>3305</v>
      </c>
      <c r="G652" s="29" t="s">
        <v>3306</v>
      </c>
      <c r="H652" s="29" t="s">
        <v>3307</v>
      </c>
      <c r="I652" s="29" t="s">
        <v>3308</v>
      </c>
      <c r="J652" s="29" t="s">
        <v>3309</v>
      </c>
      <c r="K652" s="30" t="s">
        <v>44</v>
      </c>
      <c r="L652" s="31"/>
      <c r="M652" s="29"/>
    </row>
    <row r="653" customFormat="false" ht="280.5" hidden="false" customHeight="true" outlineLevel="0" collapsed="false">
      <c r="B653" s="29" t="s">
        <v>3310</v>
      </c>
      <c r="C653" s="29" t="s">
        <v>281</v>
      </c>
      <c r="D653" s="29" t="s">
        <v>3311</v>
      </c>
      <c r="E653" s="29" t="s">
        <v>76</v>
      </c>
      <c r="F653" s="29" t="s">
        <v>3312</v>
      </c>
      <c r="G653" s="29" t="s">
        <v>3313</v>
      </c>
      <c r="H653" s="29" t="s">
        <v>3314</v>
      </c>
      <c r="I653" s="29" t="s">
        <v>2505</v>
      </c>
      <c r="J653" s="29" t="s">
        <v>3315</v>
      </c>
      <c r="K653" s="30" t="s">
        <v>44</v>
      </c>
      <c r="L653" s="31"/>
      <c r="M653" s="29"/>
    </row>
    <row r="654" customFormat="false" ht="114.75" hidden="false" customHeight="true" outlineLevel="0" collapsed="false">
      <c r="B654" s="29" t="s">
        <v>3316</v>
      </c>
      <c r="C654" s="29" t="s">
        <v>281</v>
      </c>
      <c r="D654" s="29" t="s">
        <v>3317</v>
      </c>
      <c r="E654" s="29" t="s">
        <v>76</v>
      </c>
      <c r="F654" s="29" t="s">
        <v>3318</v>
      </c>
      <c r="G654" s="29" t="s">
        <v>3319</v>
      </c>
      <c r="H654" s="29" t="s">
        <v>3320</v>
      </c>
      <c r="I654" s="29" t="s">
        <v>285</v>
      </c>
      <c r="J654" s="29" t="s">
        <v>79</v>
      </c>
      <c r="K654" s="30" t="s">
        <v>44</v>
      </c>
      <c r="L654" s="31"/>
      <c r="M654" s="29"/>
    </row>
    <row r="655" customFormat="false" ht="409.5" hidden="false" customHeight="true" outlineLevel="0" collapsed="false">
      <c r="B655" s="29" t="s">
        <v>3321</v>
      </c>
      <c r="C655" s="29" t="s">
        <v>281</v>
      </c>
      <c r="D655" s="29" t="s">
        <v>3322</v>
      </c>
      <c r="E655" s="29" t="s">
        <v>356</v>
      </c>
      <c r="F655" s="29" t="s">
        <v>3323</v>
      </c>
      <c r="G655" s="29" t="s">
        <v>3324</v>
      </c>
      <c r="H655" s="29" t="s">
        <v>3325</v>
      </c>
      <c r="I655" s="29" t="s">
        <v>301</v>
      </c>
      <c r="J655" s="29" t="s">
        <v>201</v>
      </c>
      <c r="K655" s="30" t="s">
        <v>44</v>
      </c>
      <c r="L655" s="31"/>
      <c r="M655" s="29"/>
    </row>
    <row r="656" customFormat="false" ht="89.25" hidden="false" customHeight="true" outlineLevel="0" collapsed="false">
      <c r="B656" s="29" t="s">
        <v>3326</v>
      </c>
      <c r="C656" s="29" t="s">
        <v>281</v>
      </c>
      <c r="D656" s="29" t="s">
        <v>3327</v>
      </c>
      <c r="E656" s="29" t="s">
        <v>339</v>
      </c>
      <c r="F656" s="29" t="s">
        <v>3328</v>
      </c>
      <c r="G656" s="29" t="s">
        <v>3329</v>
      </c>
      <c r="H656" s="29" t="s">
        <v>3330</v>
      </c>
      <c r="I656" s="29" t="s">
        <v>301</v>
      </c>
      <c r="J656" s="29" t="s">
        <v>201</v>
      </c>
      <c r="K656" s="30" t="s">
        <v>44</v>
      </c>
      <c r="L656" s="31"/>
      <c r="M656" s="29"/>
    </row>
    <row r="657" customFormat="false" ht="216.75" hidden="false" customHeight="true" outlineLevel="0" collapsed="false">
      <c r="B657" s="29" t="s">
        <v>3331</v>
      </c>
      <c r="C657" s="29" t="s">
        <v>281</v>
      </c>
      <c r="D657" s="29" t="s">
        <v>3332</v>
      </c>
      <c r="E657" s="29" t="s">
        <v>356</v>
      </c>
      <c r="F657" s="29" t="s">
        <v>3333</v>
      </c>
      <c r="G657" s="29" t="s">
        <v>3334</v>
      </c>
      <c r="H657" s="29" t="s">
        <v>3335</v>
      </c>
      <c r="I657" s="29" t="s">
        <v>301</v>
      </c>
      <c r="J657" s="29" t="s">
        <v>201</v>
      </c>
      <c r="K657" s="30" t="s">
        <v>44</v>
      </c>
      <c r="L657" s="31"/>
      <c r="M657" s="29"/>
    </row>
    <row r="658" customFormat="false" ht="127.5" hidden="false" customHeight="true" outlineLevel="0" collapsed="false">
      <c r="B658" s="29" t="s">
        <v>3336</v>
      </c>
      <c r="C658" s="29" t="s">
        <v>281</v>
      </c>
      <c r="D658" s="29" t="s">
        <v>3337</v>
      </c>
      <c r="E658" s="29" t="s">
        <v>339</v>
      </c>
      <c r="F658" s="29" t="s">
        <v>3338</v>
      </c>
      <c r="G658" s="29" t="s">
        <v>3339</v>
      </c>
      <c r="H658" s="29" t="s">
        <v>3340</v>
      </c>
      <c r="I658" s="29" t="s">
        <v>301</v>
      </c>
      <c r="J658" s="29" t="s">
        <v>201</v>
      </c>
      <c r="K658" s="30" t="s">
        <v>44</v>
      </c>
      <c r="L658" s="31"/>
      <c r="M658" s="29"/>
    </row>
    <row r="659" customFormat="false" ht="102" hidden="false" customHeight="true" outlineLevel="0" collapsed="false">
      <c r="B659" s="29" t="s">
        <v>3341</v>
      </c>
      <c r="C659" s="29" t="s">
        <v>281</v>
      </c>
      <c r="D659" s="29" t="s">
        <v>3342</v>
      </c>
      <c r="E659" s="29" t="s">
        <v>350</v>
      </c>
      <c r="F659" s="29" t="s">
        <v>1538</v>
      </c>
      <c r="G659" s="29" t="s">
        <v>3343</v>
      </c>
      <c r="H659" s="29" t="s">
        <v>3344</v>
      </c>
      <c r="I659" s="29" t="s">
        <v>301</v>
      </c>
      <c r="J659" s="29" t="s">
        <v>201</v>
      </c>
      <c r="K659" s="30" t="s">
        <v>44</v>
      </c>
      <c r="L659" s="31"/>
      <c r="M659" s="29"/>
    </row>
    <row r="660" customFormat="false" ht="102" hidden="false" customHeight="true" outlineLevel="0" collapsed="false">
      <c r="B660" s="29" t="s">
        <v>3345</v>
      </c>
      <c r="C660" s="29" t="s">
        <v>281</v>
      </c>
      <c r="D660" s="29" t="s">
        <v>3346</v>
      </c>
      <c r="E660" s="29" t="s">
        <v>356</v>
      </c>
      <c r="F660" s="29" t="s">
        <v>3347</v>
      </c>
      <c r="G660" s="29" t="s">
        <v>3348</v>
      </c>
      <c r="H660" s="29" t="s">
        <v>3349</v>
      </c>
      <c r="I660" s="29" t="s">
        <v>301</v>
      </c>
      <c r="J660" s="29" t="s">
        <v>201</v>
      </c>
      <c r="K660" s="30" t="s">
        <v>44</v>
      </c>
      <c r="L660" s="31"/>
      <c r="M660" s="29"/>
    </row>
    <row r="661" customFormat="false" ht="204" hidden="false" customHeight="true" outlineLevel="0" collapsed="false">
      <c r="B661" s="29" t="s">
        <v>3350</v>
      </c>
      <c r="C661" s="29" t="s">
        <v>281</v>
      </c>
      <c r="D661" s="29" t="s">
        <v>3351</v>
      </c>
      <c r="E661" s="29" t="s">
        <v>350</v>
      </c>
      <c r="F661" s="29" t="s">
        <v>3352</v>
      </c>
      <c r="G661" s="29" t="s">
        <v>3353</v>
      </c>
      <c r="H661" s="29" t="s">
        <v>3354</v>
      </c>
      <c r="I661" s="29" t="s">
        <v>301</v>
      </c>
      <c r="J661" s="29" t="s">
        <v>201</v>
      </c>
      <c r="K661" s="30" t="s">
        <v>44</v>
      </c>
      <c r="L661" s="31"/>
      <c r="M661" s="29"/>
    </row>
    <row r="662" customFormat="false" ht="255" hidden="false" customHeight="true" outlineLevel="0" collapsed="false">
      <c r="B662" s="29" t="s">
        <v>3355</v>
      </c>
      <c r="C662" s="29" t="s">
        <v>281</v>
      </c>
      <c r="D662" s="29" t="s">
        <v>3356</v>
      </c>
      <c r="E662" s="29" t="s">
        <v>350</v>
      </c>
      <c r="F662" s="29" t="s">
        <v>3357</v>
      </c>
      <c r="G662" s="29" t="s">
        <v>3358</v>
      </c>
      <c r="H662" s="29" t="s">
        <v>3359</v>
      </c>
      <c r="I662" s="29" t="s">
        <v>301</v>
      </c>
      <c r="J662" s="29" t="s">
        <v>201</v>
      </c>
      <c r="K662" s="30" t="s">
        <v>44</v>
      </c>
      <c r="L662" s="31"/>
      <c r="M662" s="29"/>
    </row>
    <row r="663" customFormat="false" ht="140.25" hidden="false" customHeight="true" outlineLevel="0" collapsed="false">
      <c r="B663" s="29" t="s">
        <v>3360</v>
      </c>
      <c r="C663" s="29" t="s">
        <v>281</v>
      </c>
      <c r="D663" s="29" t="s">
        <v>3361</v>
      </c>
      <c r="E663" s="29" t="s">
        <v>350</v>
      </c>
      <c r="F663" s="29" t="s">
        <v>3362</v>
      </c>
      <c r="G663" s="29" t="s">
        <v>3363</v>
      </c>
      <c r="H663" s="29" t="s">
        <v>3364</v>
      </c>
      <c r="I663" s="29" t="s">
        <v>301</v>
      </c>
      <c r="J663" s="29" t="s">
        <v>201</v>
      </c>
      <c r="K663" s="30" t="s">
        <v>44</v>
      </c>
      <c r="L663" s="31"/>
      <c r="M663" s="29"/>
    </row>
    <row r="664" customFormat="false" ht="165.75" hidden="false" customHeight="true" outlineLevel="0" collapsed="false">
      <c r="B664" s="29" t="s">
        <v>3365</v>
      </c>
      <c r="C664" s="29" t="s">
        <v>281</v>
      </c>
      <c r="D664" s="29" t="s">
        <v>3366</v>
      </c>
      <c r="E664" s="29" t="s">
        <v>350</v>
      </c>
      <c r="F664" s="29" t="s">
        <v>3367</v>
      </c>
      <c r="G664" s="29" t="s">
        <v>3368</v>
      </c>
      <c r="H664" s="29" t="s">
        <v>3369</v>
      </c>
      <c r="I664" s="29" t="s">
        <v>285</v>
      </c>
      <c r="J664" s="29" t="s">
        <v>3370</v>
      </c>
      <c r="K664" s="30" t="s">
        <v>44</v>
      </c>
      <c r="L664" s="31"/>
      <c r="M664" s="29"/>
    </row>
    <row r="665" customFormat="false" ht="76.5" hidden="false" customHeight="true" outlineLevel="0" collapsed="false">
      <c r="B665" s="29" t="s">
        <v>3371</v>
      </c>
      <c r="C665" s="29" t="s">
        <v>281</v>
      </c>
      <c r="D665" s="29" t="s">
        <v>3372</v>
      </c>
      <c r="E665" s="29" t="s">
        <v>339</v>
      </c>
      <c r="F665" s="29" t="s">
        <v>3373</v>
      </c>
      <c r="G665" s="29" t="s">
        <v>3374</v>
      </c>
      <c r="H665" s="29" t="s">
        <v>3375</v>
      </c>
      <c r="I665" s="29" t="s">
        <v>301</v>
      </c>
      <c r="J665" s="29" t="s">
        <v>201</v>
      </c>
      <c r="K665" s="30" t="s">
        <v>44</v>
      </c>
      <c r="L665" s="31"/>
      <c r="M665" s="29"/>
    </row>
    <row r="666" customFormat="false" ht="409.5" hidden="false" customHeight="true" outlineLevel="0" collapsed="false">
      <c r="B666" s="29" t="s">
        <v>3376</v>
      </c>
      <c r="C666" s="29" t="s">
        <v>281</v>
      </c>
      <c r="D666" s="29" t="s">
        <v>3377</v>
      </c>
      <c r="E666" s="29" t="s">
        <v>39</v>
      </c>
      <c r="F666" s="29" t="s">
        <v>3378</v>
      </c>
      <c r="G666" s="29" t="s">
        <v>3379</v>
      </c>
      <c r="H666" s="29" t="s">
        <v>3380</v>
      </c>
      <c r="I666" s="29" t="s">
        <v>42</v>
      </c>
      <c r="J666" s="29" t="s">
        <v>1369</v>
      </c>
      <c r="K666" s="30" t="s">
        <v>44</v>
      </c>
      <c r="L666" s="31"/>
      <c r="M666" s="29"/>
    </row>
    <row r="667" customFormat="false" ht="63.75" hidden="false" customHeight="true" outlineLevel="0" collapsed="false">
      <c r="B667" s="29" t="s">
        <v>3381</v>
      </c>
      <c r="C667" s="29" t="s">
        <v>281</v>
      </c>
      <c r="D667" s="29" t="s">
        <v>3382</v>
      </c>
      <c r="E667" s="29" t="s">
        <v>205</v>
      </c>
      <c r="F667" s="29" t="s">
        <v>3383</v>
      </c>
      <c r="G667" s="29" t="s">
        <v>3384</v>
      </c>
      <c r="H667" s="29" t="s">
        <v>3385</v>
      </c>
      <c r="I667" s="29" t="s">
        <v>301</v>
      </c>
      <c r="J667" s="29" t="s">
        <v>201</v>
      </c>
      <c r="K667" s="30" t="s">
        <v>44</v>
      </c>
      <c r="L667" s="31"/>
      <c r="M667" s="29"/>
    </row>
    <row r="668" customFormat="false" ht="102" hidden="false" customHeight="true" outlineLevel="0" collapsed="false">
      <c r="B668" s="29" t="s">
        <v>3386</v>
      </c>
      <c r="C668" s="29" t="s">
        <v>281</v>
      </c>
      <c r="D668" s="29" t="s">
        <v>3387</v>
      </c>
      <c r="E668" s="29" t="s">
        <v>205</v>
      </c>
      <c r="F668" s="29" t="s">
        <v>3388</v>
      </c>
      <c r="G668" s="29" t="s">
        <v>3389</v>
      </c>
      <c r="H668" s="29" t="s">
        <v>3390</v>
      </c>
      <c r="I668" s="29" t="s">
        <v>301</v>
      </c>
      <c r="J668" s="29" t="s">
        <v>201</v>
      </c>
      <c r="K668" s="30" t="s">
        <v>44</v>
      </c>
      <c r="L668" s="31"/>
      <c r="M668" s="29"/>
    </row>
    <row r="669" customFormat="false" ht="38.25" hidden="false" customHeight="true" outlineLevel="0" collapsed="false">
      <c r="B669" s="29" t="s">
        <v>3391</v>
      </c>
      <c r="C669" s="29" t="s">
        <v>281</v>
      </c>
      <c r="D669" s="29" t="s">
        <v>3392</v>
      </c>
      <c r="E669" s="29" t="s">
        <v>339</v>
      </c>
      <c r="F669" s="29" t="s">
        <v>3393</v>
      </c>
      <c r="G669" s="29" t="s">
        <v>3394</v>
      </c>
      <c r="H669" s="29" t="s">
        <v>3395</v>
      </c>
      <c r="I669" s="29" t="s">
        <v>301</v>
      </c>
      <c r="J669" s="29" t="s">
        <v>201</v>
      </c>
      <c r="K669" s="30" t="s">
        <v>44</v>
      </c>
      <c r="L669" s="31"/>
      <c r="M669" s="29"/>
    </row>
    <row r="670" customFormat="false" ht="38.25" hidden="false" customHeight="true" outlineLevel="0" collapsed="false">
      <c r="B670" s="29" t="s">
        <v>3396</v>
      </c>
      <c r="C670" s="29" t="s">
        <v>281</v>
      </c>
      <c r="D670" s="29" t="s">
        <v>3397</v>
      </c>
      <c r="E670" s="29" t="s">
        <v>339</v>
      </c>
      <c r="F670" s="29" t="s">
        <v>3393</v>
      </c>
      <c r="G670" s="29" t="s">
        <v>3398</v>
      </c>
      <c r="H670" s="29" t="s">
        <v>3395</v>
      </c>
      <c r="I670" s="29" t="s">
        <v>301</v>
      </c>
      <c r="J670" s="29" t="s">
        <v>201</v>
      </c>
      <c r="K670" s="30" t="s">
        <v>44</v>
      </c>
      <c r="L670" s="31"/>
      <c r="M670" s="29"/>
    </row>
    <row r="671" customFormat="false" ht="63.75" hidden="false" customHeight="true" outlineLevel="0" collapsed="false">
      <c r="B671" s="29" t="s">
        <v>3399</v>
      </c>
      <c r="C671" s="29" t="s">
        <v>281</v>
      </c>
      <c r="D671" s="29" t="s">
        <v>3400</v>
      </c>
      <c r="E671" s="29" t="s">
        <v>339</v>
      </c>
      <c r="F671" s="29" t="s">
        <v>3401</v>
      </c>
      <c r="G671" s="29" t="s">
        <v>3402</v>
      </c>
      <c r="H671" s="29" t="s">
        <v>3403</v>
      </c>
      <c r="I671" s="29" t="s">
        <v>301</v>
      </c>
      <c r="J671" s="29" t="s">
        <v>201</v>
      </c>
      <c r="K671" s="30" t="s">
        <v>44</v>
      </c>
      <c r="L671" s="31"/>
      <c r="M671" s="29"/>
    </row>
    <row r="672" customFormat="false" ht="114.75" hidden="false" customHeight="true" outlineLevel="0" collapsed="false">
      <c r="B672" s="29" t="s">
        <v>3404</v>
      </c>
      <c r="C672" s="29" t="s">
        <v>281</v>
      </c>
      <c r="D672" s="29" t="s">
        <v>3405</v>
      </c>
      <c r="E672" s="29" t="s">
        <v>339</v>
      </c>
      <c r="F672" s="29" t="s">
        <v>3406</v>
      </c>
      <c r="G672" s="29" t="s">
        <v>3407</v>
      </c>
      <c r="H672" s="29" t="s">
        <v>3408</v>
      </c>
      <c r="I672" s="29" t="s">
        <v>301</v>
      </c>
      <c r="J672" s="29" t="s">
        <v>201</v>
      </c>
      <c r="K672" s="30" t="s">
        <v>44</v>
      </c>
      <c r="L672" s="31"/>
      <c r="M672" s="29"/>
    </row>
    <row r="673" customFormat="false" ht="76.5" hidden="false" customHeight="true" outlineLevel="0" collapsed="false">
      <c r="B673" s="29" t="s">
        <v>3409</v>
      </c>
      <c r="C673" s="29" t="s">
        <v>281</v>
      </c>
      <c r="D673" s="29" t="s">
        <v>3410</v>
      </c>
      <c r="E673" s="29" t="s">
        <v>339</v>
      </c>
      <c r="F673" s="29" t="s">
        <v>3411</v>
      </c>
      <c r="G673" s="29" t="s">
        <v>3412</v>
      </c>
      <c r="H673" s="29" t="s">
        <v>3413</v>
      </c>
      <c r="I673" s="29" t="s">
        <v>301</v>
      </c>
      <c r="J673" s="29" t="s">
        <v>201</v>
      </c>
      <c r="K673" s="30" t="s">
        <v>44</v>
      </c>
      <c r="L673" s="31"/>
      <c r="M673" s="29"/>
    </row>
    <row r="674" customFormat="false" ht="153" hidden="false" customHeight="true" outlineLevel="0" collapsed="false">
      <c r="B674" s="29" t="s">
        <v>3414</v>
      </c>
      <c r="C674" s="29" t="s">
        <v>281</v>
      </c>
      <c r="D674" s="29" t="s">
        <v>3415</v>
      </c>
      <c r="E674" s="29" t="s">
        <v>339</v>
      </c>
      <c r="F674" s="29" t="s">
        <v>3416</v>
      </c>
      <c r="G674" s="29" t="s">
        <v>3417</v>
      </c>
      <c r="H674" s="29" t="s">
        <v>3418</v>
      </c>
      <c r="I674" s="29" t="s">
        <v>301</v>
      </c>
      <c r="J674" s="29" t="s">
        <v>201</v>
      </c>
      <c r="K674" s="30" t="s">
        <v>44</v>
      </c>
      <c r="L674" s="31"/>
      <c r="M674" s="29"/>
    </row>
    <row r="675" customFormat="false" ht="102" hidden="false" customHeight="true" outlineLevel="0" collapsed="false">
      <c r="B675" s="29" t="s">
        <v>3419</v>
      </c>
      <c r="C675" s="29" t="s">
        <v>281</v>
      </c>
      <c r="D675" s="29" t="s">
        <v>3420</v>
      </c>
      <c r="E675" s="29" t="s">
        <v>339</v>
      </c>
      <c r="F675" s="29" t="s">
        <v>3421</v>
      </c>
      <c r="G675" s="29" t="s">
        <v>3422</v>
      </c>
      <c r="H675" s="29" t="s">
        <v>3423</v>
      </c>
      <c r="I675" s="29" t="s">
        <v>301</v>
      </c>
      <c r="J675" s="29" t="s">
        <v>201</v>
      </c>
      <c r="K675" s="30" t="s">
        <v>44</v>
      </c>
      <c r="L675" s="31"/>
      <c r="M675" s="29"/>
    </row>
    <row r="676" customFormat="false" ht="102" hidden="false" customHeight="true" outlineLevel="0" collapsed="false">
      <c r="B676" s="29" t="s">
        <v>3424</v>
      </c>
      <c r="C676" s="29" t="s">
        <v>281</v>
      </c>
      <c r="D676" s="29" t="s">
        <v>3425</v>
      </c>
      <c r="E676" s="29" t="s">
        <v>339</v>
      </c>
      <c r="F676" s="29" t="s">
        <v>3426</v>
      </c>
      <c r="G676" s="29" t="s">
        <v>3427</v>
      </c>
      <c r="H676" s="29" t="s">
        <v>3428</v>
      </c>
      <c r="I676" s="29" t="s">
        <v>301</v>
      </c>
      <c r="J676" s="29" t="s">
        <v>201</v>
      </c>
      <c r="K676" s="30" t="s">
        <v>44</v>
      </c>
      <c r="L676" s="31"/>
      <c r="M676" s="29"/>
    </row>
    <row r="677" customFormat="false" ht="102" hidden="false" customHeight="true" outlineLevel="0" collapsed="false">
      <c r="B677" s="29" t="s">
        <v>3429</v>
      </c>
      <c r="C677" s="29" t="s">
        <v>281</v>
      </c>
      <c r="D677" s="29" t="s">
        <v>3430</v>
      </c>
      <c r="E677" s="29" t="s">
        <v>339</v>
      </c>
      <c r="F677" s="29" t="s">
        <v>3431</v>
      </c>
      <c r="G677" s="29" t="s">
        <v>3432</v>
      </c>
      <c r="H677" s="29" t="s">
        <v>3433</v>
      </c>
      <c r="I677" s="29" t="s">
        <v>301</v>
      </c>
      <c r="J677" s="29" t="s">
        <v>201</v>
      </c>
      <c r="K677" s="30" t="s">
        <v>44</v>
      </c>
      <c r="L677" s="31"/>
      <c r="M677" s="29"/>
    </row>
    <row r="678" customFormat="false" ht="38.25" hidden="false" customHeight="true" outlineLevel="0" collapsed="false">
      <c r="B678" s="29" t="s">
        <v>3434</v>
      </c>
      <c r="C678" s="29" t="s">
        <v>281</v>
      </c>
      <c r="D678" s="29" t="s">
        <v>3435</v>
      </c>
      <c r="E678" s="29" t="s">
        <v>339</v>
      </c>
      <c r="F678" s="29" t="s">
        <v>3436</v>
      </c>
      <c r="G678" s="29" t="s">
        <v>3437</v>
      </c>
      <c r="H678" s="29" t="s">
        <v>3438</v>
      </c>
      <c r="I678" s="29" t="s">
        <v>301</v>
      </c>
      <c r="J678" s="29" t="s">
        <v>201</v>
      </c>
      <c r="K678" s="30" t="s">
        <v>44</v>
      </c>
      <c r="L678" s="31"/>
      <c r="M678" s="29"/>
    </row>
    <row r="679" customFormat="false" ht="267.75" hidden="false" customHeight="true" outlineLevel="0" collapsed="false">
      <c r="B679" s="29" t="s">
        <v>3439</v>
      </c>
      <c r="C679" s="29" t="s">
        <v>281</v>
      </c>
      <c r="D679" s="29" t="s">
        <v>3440</v>
      </c>
      <c r="E679" s="29" t="s">
        <v>356</v>
      </c>
      <c r="F679" s="29" t="s">
        <v>3441</v>
      </c>
      <c r="G679" s="29" t="s">
        <v>3442</v>
      </c>
      <c r="H679" s="29" t="s">
        <v>3443</v>
      </c>
      <c r="I679" s="29" t="s">
        <v>153</v>
      </c>
      <c r="J679" s="29" t="s">
        <v>154</v>
      </c>
      <c r="K679" s="30" t="s">
        <v>44</v>
      </c>
      <c r="L679" s="31"/>
      <c r="M679" s="29"/>
    </row>
    <row r="680" customFormat="false" ht="140.25" hidden="false" customHeight="true" outlineLevel="0" collapsed="false">
      <c r="B680" s="29" t="s">
        <v>3444</v>
      </c>
      <c r="C680" s="29" t="s">
        <v>281</v>
      </c>
      <c r="D680" s="29" t="s">
        <v>3445</v>
      </c>
      <c r="E680" s="29" t="s">
        <v>595</v>
      </c>
      <c r="F680" s="29" t="s">
        <v>3446</v>
      </c>
      <c r="G680" s="29" t="s">
        <v>3447</v>
      </c>
      <c r="H680" s="29" t="s">
        <v>3448</v>
      </c>
      <c r="I680" s="29" t="s">
        <v>285</v>
      </c>
      <c r="J680" s="29" t="s">
        <v>795</v>
      </c>
      <c r="K680" s="30" t="s">
        <v>44</v>
      </c>
      <c r="L680" s="31"/>
      <c r="M680" s="29"/>
    </row>
    <row r="681" customFormat="false" ht="331.5" hidden="false" customHeight="true" outlineLevel="0" collapsed="false">
      <c r="B681" s="29" t="s">
        <v>3449</v>
      </c>
      <c r="C681" s="29" t="s">
        <v>281</v>
      </c>
      <c r="D681" s="29" t="s">
        <v>3450</v>
      </c>
      <c r="E681" s="29" t="s">
        <v>356</v>
      </c>
      <c r="F681" s="29" t="s">
        <v>3451</v>
      </c>
      <c r="G681" s="29" t="s">
        <v>3452</v>
      </c>
      <c r="H681" s="29" t="s">
        <v>3453</v>
      </c>
      <c r="I681" s="29" t="s">
        <v>301</v>
      </c>
      <c r="J681" s="29" t="s">
        <v>201</v>
      </c>
      <c r="K681" s="30" t="s">
        <v>44</v>
      </c>
      <c r="L681" s="31"/>
      <c r="M681" s="29"/>
    </row>
    <row r="682" customFormat="false" ht="395.25" hidden="false" customHeight="true" outlineLevel="0" collapsed="false">
      <c r="B682" s="29" t="s">
        <v>3454</v>
      </c>
      <c r="C682" s="29" t="s">
        <v>281</v>
      </c>
      <c r="D682" s="29" t="s">
        <v>3455</v>
      </c>
      <c r="E682" s="29" t="s">
        <v>205</v>
      </c>
      <c r="F682" s="29" t="s">
        <v>3456</v>
      </c>
      <c r="G682" s="29" t="s">
        <v>3457</v>
      </c>
      <c r="H682" s="29" t="s">
        <v>3458</v>
      </c>
      <c r="I682" s="29" t="s">
        <v>301</v>
      </c>
      <c r="J682" s="29" t="s">
        <v>201</v>
      </c>
      <c r="K682" s="30" t="s">
        <v>44</v>
      </c>
      <c r="L682" s="31"/>
      <c r="M682" s="29"/>
    </row>
    <row r="683" customFormat="false" ht="76.5" hidden="false" customHeight="true" outlineLevel="0" collapsed="false">
      <c r="B683" s="29" t="s">
        <v>3459</v>
      </c>
      <c r="C683" s="29" t="s">
        <v>281</v>
      </c>
      <c r="D683" s="29" t="s">
        <v>3460</v>
      </c>
      <c r="E683" s="29" t="s">
        <v>339</v>
      </c>
      <c r="F683" s="29" t="s">
        <v>3461</v>
      </c>
      <c r="G683" s="29" t="s">
        <v>3462</v>
      </c>
      <c r="H683" s="29" t="s">
        <v>3463</v>
      </c>
      <c r="I683" s="29" t="s">
        <v>301</v>
      </c>
      <c r="J683" s="29" t="s">
        <v>201</v>
      </c>
      <c r="K683" s="30" t="s">
        <v>44</v>
      </c>
      <c r="L683" s="31"/>
      <c r="M683" s="29"/>
    </row>
    <row r="684" customFormat="false" ht="38.25" hidden="false" customHeight="true" outlineLevel="0" collapsed="false">
      <c r="B684" s="29" t="s">
        <v>3464</v>
      </c>
      <c r="C684" s="29" t="s">
        <v>281</v>
      </c>
      <c r="D684" s="29" t="s">
        <v>3465</v>
      </c>
      <c r="E684" s="29" t="s">
        <v>339</v>
      </c>
      <c r="F684" s="29" t="s">
        <v>3466</v>
      </c>
      <c r="G684" s="29" t="s">
        <v>3467</v>
      </c>
      <c r="H684" s="29" t="s">
        <v>3468</v>
      </c>
      <c r="I684" s="29" t="s">
        <v>301</v>
      </c>
      <c r="J684" s="29" t="s">
        <v>201</v>
      </c>
      <c r="K684" s="30" t="s">
        <v>44</v>
      </c>
      <c r="L684" s="31"/>
      <c r="M684" s="29"/>
    </row>
    <row r="685" customFormat="false" ht="409.5" hidden="false" customHeight="true" outlineLevel="0" collapsed="false">
      <c r="B685" s="29" t="s">
        <v>3469</v>
      </c>
      <c r="C685" s="29" t="s">
        <v>281</v>
      </c>
      <c r="D685" s="29" t="s">
        <v>3470</v>
      </c>
      <c r="E685" s="29" t="s">
        <v>356</v>
      </c>
      <c r="F685" s="29" t="s">
        <v>3471</v>
      </c>
      <c r="G685" s="29" t="s">
        <v>3472</v>
      </c>
      <c r="H685" s="29" t="s">
        <v>3473</v>
      </c>
      <c r="I685" s="29" t="s">
        <v>153</v>
      </c>
      <c r="J685" s="29" t="s">
        <v>154</v>
      </c>
      <c r="K685" s="30" t="s">
        <v>44</v>
      </c>
      <c r="L685" s="31"/>
      <c r="M685" s="29"/>
    </row>
    <row r="686" customFormat="false" ht="102" hidden="false" customHeight="true" outlineLevel="0" collapsed="false">
      <c r="B686" s="29" t="s">
        <v>3474</v>
      </c>
      <c r="C686" s="29" t="s">
        <v>281</v>
      </c>
      <c r="D686" s="29" t="s">
        <v>3475</v>
      </c>
      <c r="E686" s="29" t="s">
        <v>326</v>
      </c>
      <c r="F686" s="29" t="s">
        <v>3476</v>
      </c>
      <c r="G686" s="29" t="s">
        <v>3477</v>
      </c>
      <c r="H686" s="29" t="s">
        <v>3478</v>
      </c>
      <c r="I686" s="29" t="s">
        <v>301</v>
      </c>
      <c r="J686" s="29" t="s">
        <v>201</v>
      </c>
      <c r="K686" s="30" t="s">
        <v>44</v>
      </c>
      <c r="L686" s="31"/>
      <c r="M686" s="29"/>
    </row>
    <row r="687" customFormat="false" ht="114.75" hidden="false" customHeight="true" outlineLevel="0" collapsed="false">
      <c r="B687" s="29" t="s">
        <v>3479</v>
      </c>
      <c r="C687" s="29" t="s">
        <v>281</v>
      </c>
      <c r="D687" s="29" t="s">
        <v>3480</v>
      </c>
      <c r="E687" s="29" t="s">
        <v>326</v>
      </c>
      <c r="F687" s="29" t="s">
        <v>3481</v>
      </c>
      <c r="G687" s="29" t="s">
        <v>3482</v>
      </c>
      <c r="H687" s="29" t="s">
        <v>3483</v>
      </c>
      <c r="I687" s="29" t="s">
        <v>301</v>
      </c>
      <c r="J687" s="29" t="s">
        <v>201</v>
      </c>
      <c r="K687" s="30" t="s">
        <v>44</v>
      </c>
      <c r="L687" s="31"/>
      <c r="M687" s="29"/>
    </row>
    <row r="688" customFormat="false" ht="89.25" hidden="false" customHeight="true" outlineLevel="0" collapsed="false">
      <c r="B688" s="29" t="s">
        <v>3484</v>
      </c>
      <c r="C688" s="29" t="s">
        <v>281</v>
      </c>
      <c r="D688" s="29" t="s">
        <v>3485</v>
      </c>
      <c r="E688" s="29" t="s">
        <v>205</v>
      </c>
      <c r="F688" s="29" t="s">
        <v>3486</v>
      </c>
      <c r="G688" s="29" t="s">
        <v>3487</v>
      </c>
      <c r="H688" s="29" t="s">
        <v>3488</v>
      </c>
      <c r="I688" s="29" t="s">
        <v>301</v>
      </c>
      <c r="J688" s="29" t="s">
        <v>201</v>
      </c>
      <c r="K688" s="30" t="s">
        <v>44</v>
      </c>
      <c r="L688" s="31"/>
      <c r="M688" s="29"/>
    </row>
    <row r="689" customFormat="false" ht="293.25" hidden="false" customHeight="true" outlineLevel="0" collapsed="false">
      <c r="B689" s="29" t="s">
        <v>3489</v>
      </c>
      <c r="C689" s="29" t="s">
        <v>281</v>
      </c>
      <c r="D689" s="29" t="s">
        <v>3490</v>
      </c>
      <c r="E689" s="29" t="s">
        <v>356</v>
      </c>
      <c r="F689" s="29" t="s">
        <v>3491</v>
      </c>
      <c r="G689" s="29" t="s">
        <v>3492</v>
      </c>
      <c r="H689" s="29" t="s">
        <v>3493</v>
      </c>
      <c r="I689" s="29" t="s">
        <v>301</v>
      </c>
      <c r="J689" s="29" t="s">
        <v>201</v>
      </c>
      <c r="K689" s="30" t="s">
        <v>44</v>
      </c>
      <c r="L689" s="31"/>
      <c r="M689" s="29"/>
    </row>
    <row r="690" customFormat="false" ht="229.5" hidden="false" customHeight="true" outlineLevel="0" collapsed="false">
      <c r="B690" s="29" t="s">
        <v>3494</v>
      </c>
      <c r="C690" s="29" t="s">
        <v>281</v>
      </c>
      <c r="D690" s="29" t="s">
        <v>3495</v>
      </c>
      <c r="E690" s="29" t="s">
        <v>205</v>
      </c>
      <c r="F690" s="29" t="s">
        <v>3496</v>
      </c>
      <c r="G690" s="29" t="s">
        <v>3497</v>
      </c>
      <c r="H690" s="29" t="s">
        <v>3498</v>
      </c>
      <c r="I690" s="29" t="s">
        <v>301</v>
      </c>
      <c r="J690" s="29" t="s">
        <v>201</v>
      </c>
      <c r="K690" s="30" t="s">
        <v>44</v>
      </c>
      <c r="L690" s="31"/>
      <c r="M690" s="29"/>
    </row>
    <row r="691" customFormat="false" ht="89.25" hidden="false" customHeight="true" outlineLevel="0" collapsed="false">
      <c r="B691" s="29" t="s">
        <v>3499</v>
      </c>
      <c r="C691" s="29" t="s">
        <v>281</v>
      </c>
      <c r="D691" s="29" t="s">
        <v>3500</v>
      </c>
      <c r="E691" s="29" t="s">
        <v>339</v>
      </c>
      <c r="F691" s="29" t="s">
        <v>3501</v>
      </c>
      <c r="G691" s="29" t="s">
        <v>3502</v>
      </c>
      <c r="H691" s="29" t="s">
        <v>3503</v>
      </c>
      <c r="I691" s="29" t="s">
        <v>301</v>
      </c>
      <c r="J691" s="29" t="s">
        <v>201</v>
      </c>
      <c r="K691" s="30" t="s">
        <v>44</v>
      </c>
      <c r="L691" s="31"/>
      <c r="M691" s="29"/>
    </row>
    <row r="692" customFormat="false" ht="255" hidden="false" customHeight="true" outlineLevel="0" collapsed="false">
      <c r="B692" s="29" t="s">
        <v>3504</v>
      </c>
      <c r="C692" s="29" t="s">
        <v>281</v>
      </c>
      <c r="D692" s="29" t="s">
        <v>3505</v>
      </c>
      <c r="E692" s="29" t="s">
        <v>339</v>
      </c>
      <c r="F692" s="29" t="s">
        <v>3506</v>
      </c>
      <c r="G692" s="29" t="s">
        <v>3507</v>
      </c>
      <c r="H692" s="29" t="s">
        <v>3508</v>
      </c>
      <c r="I692" s="29" t="s">
        <v>301</v>
      </c>
      <c r="J692" s="29" t="s">
        <v>201</v>
      </c>
      <c r="K692" s="30" t="s">
        <v>44</v>
      </c>
      <c r="L692" s="31"/>
      <c r="M692" s="29"/>
    </row>
    <row r="693" customFormat="false" ht="89.25" hidden="false" customHeight="true" outlineLevel="0" collapsed="false">
      <c r="B693" s="29" t="s">
        <v>3509</v>
      </c>
      <c r="C693" s="29" t="s">
        <v>281</v>
      </c>
      <c r="D693" s="29" t="s">
        <v>3510</v>
      </c>
      <c r="E693" s="29" t="s">
        <v>39</v>
      </c>
      <c r="F693" s="29" t="s">
        <v>3511</v>
      </c>
      <c r="G693" s="29" t="s">
        <v>3512</v>
      </c>
      <c r="H693" s="29" t="s">
        <v>3513</v>
      </c>
      <c r="I693" s="29" t="s">
        <v>42</v>
      </c>
      <c r="J693" s="29" t="s">
        <v>43</v>
      </c>
      <c r="K693" s="30" t="s">
        <v>44</v>
      </c>
      <c r="L693" s="31"/>
      <c r="M693" s="29"/>
    </row>
    <row r="694" customFormat="false" ht="293.25" hidden="false" customHeight="true" outlineLevel="0" collapsed="false">
      <c r="B694" s="29" t="s">
        <v>3514</v>
      </c>
      <c r="C694" s="29" t="s">
        <v>281</v>
      </c>
      <c r="D694" s="29" t="s">
        <v>3515</v>
      </c>
      <c r="E694" s="29" t="s">
        <v>97</v>
      </c>
      <c r="F694" s="29" t="s">
        <v>3516</v>
      </c>
      <c r="G694" s="29" t="s">
        <v>3517</v>
      </c>
      <c r="H694" s="29" t="s">
        <v>3518</v>
      </c>
      <c r="I694" s="29" t="s">
        <v>42</v>
      </c>
      <c r="J694" s="29" t="s">
        <v>65</v>
      </c>
      <c r="K694" s="30" t="s">
        <v>44</v>
      </c>
      <c r="L694" s="31"/>
      <c r="M694" s="29"/>
    </row>
    <row r="695" customFormat="false" ht="140.25" hidden="false" customHeight="true" outlineLevel="0" collapsed="false">
      <c r="B695" s="29" t="s">
        <v>3519</v>
      </c>
      <c r="C695" s="29" t="s">
        <v>281</v>
      </c>
      <c r="D695" s="29" t="s">
        <v>3520</v>
      </c>
      <c r="E695" s="29" t="s">
        <v>339</v>
      </c>
      <c r="F695" s="29" t="s">
        <v>3521</v>
      </c>
      <c r="G695" s="29" t="s">
        <v>3522</v>
      </c>
      <c r="H695" s="29" t="s">
        <v>3523</v>
      </c>
      <c r="I695" s="29" t="s">
        <v>301</v>
      </c>
      <c r="J695" s="29" t="s">
        <v>201</v>
      </c>
      <c r="K695" s="30" t="s">
        <v>44</v>
      </c>
      <c r="L695" s="31"/>
      <c r="M695" s="29"/>
    </row>
    <row r="696" customFormat="false" ht="127.5" hidden="false" customHeight="true" outlineLevel="0" collapsed="false">
      <c r="B696" s="29" t="s">
        <v>3524</v>
      </c>
      <c r="C696" s="29" t="s">
        <v>281</v>
      </c>
      <c r="D696" s="29" t="s">
        <v>3525</v>
      </c>
      <c r="E696" s="29" t="s">
        <v>205</v>
      </c>
      <c r="F696" s="29" t="s">
        <v>3526</v>
      </c>
      <c r="G696" s="29" t="s">
        <v>3527</v>
      </c>
      <c r="H696" s="29" t="s">
        <v>3528</v>
      </c>
      <c r="I696" s="29" t="s">
        <v>301</v>
      </c>
      <c r="J696" s="29" t="s">
        <v>201</v>
      </c>
      <c r="K696" s="30" t="s">
        <v>44</v>
      </c>
      <c r="L696" s="31"/>
      <c r="M696" s="29"/>
    </row>
    <row r="697" customFormat="false" ht="102" hidden="false" customHeight="true" outlineLevel="0" collapsed="false">
      <c r="B697" s="29" t="s">
        <v>3529</v>
      </c>
      <c r="C697" s="29" t="s">
        <v>281</v>
      </c>
      <c r="D697" s="29" t="s">
        <v>3530</v>
      </c>
      <c r="E697" s="29" t="s">
        <v>326</v>
      </c>
      <c r="F697" s="29" t="s">
        <v>3531</v>
      </c>
      <c r="G697" s="29" t="s">
        <v>3532</v>
      </c>
      <c r="H697" s="29" t="s">
        <v>3533</v>
      </c>
      <c r="I697" s="29" t="s">
        <v>301</v>
      </c>
      <c r="J697" s="29" t="s">
        <v>201</v>
      </c>
      <c r="K697" s="30" t="s">
        <v>44</v>
      </c>
      <c r="L697" s="31"/>
      <c r="M697" s="29"/>
    </row>
    <row r="698" customFormat="false" ht="89.25" hidden="false" customHeight="true" outlineLevel="0" collapsed="false">
      <c r="B698" s="29" t="s">
        <v>3534</v>
      </c>
      <c r="C698" s="29" t="s">
        <v>281</v>
      </c>
      <c r="D698" s="29" t="s">
        <v>3535</v>
      </c>
      <c r="E698" s="29" t="s">
        <v>326</v>
      </c>
      <c r="F698" s="29" t="s">
        <v>3536</v>
      </c>
      <c r="G698" s="29" t="s">
        <v>3537</v>
      </c>
      <c r="H698" s="29" t="s">
        <v>3538</v>
      </c>
      <c r="I698" s="29" t="s">
        <v>301</v>
      </c>
      <c r="J698" s="29" t="s">
        <v>201</v>
      </c>
      <c r="K698" s="30" t="s">
        <v>44</v>
      </c>
      <c r="L698" s="31"/>
      <c r="M698" s="29"/>
    </row>
    <row r="699" customFormat="false" ht="76.5" hidden="false" customHeight="true" outlineLevel="0" collapsed="false">
      <c r="B699" s="29" t="s">
        <v>3539</v>
      </c>
      <c r="C699" s="29" t="s">
        <v>281</v>
      </c>
      <c r="D699" s="29" t="s">
        <v>3540</v>
      </c>
      <c r="E699" s="29" t="s">
        <v>339</v>
      </c>
      <c r="F699" s="29" t="s">
        <v>3541</v>
      </c>
      <c r="G699" s="29" t="s">
        <v>3542</v>
      </c>
      <c r="H699" s="29" t="s">
        <v>3543</v>
      </c>
      <c r="I699" s="29" t="s">
        <v>301</v>
      </c>
      <c r="J699" s="29" t="s">
        <v>201</v>
      </c>
      <c r="K699" s="30" t="s">
        <v>44</v>
      </c>
      <c r="L699" s="31"/>
      <c r="M699" s="29"/>
    </row>
    <row r="700" customFormat="false" ht="242.25" hidden="false" customHeight="true" outlineLevel="0" collapsed="false">
      <c r="B700" s="29" t="s">
        <v>3544</v>
      </c>
      <c r="C700" s="29" t="s">
        <v>281</v>
      </c>
      <c r="D700" s="29" t="s">
        <v>3545</v>
      </c>
      <c r="E700" s="29" t="s">
        <v>356</v>
      </c>
      <c r="F700" s="29" t="s">
        <v>3546</v>
      </c>
      <c r="G700" s="29" t="s">
        <v>3547</v>
      </c>
      <c r="H700" s="29" t="s">
        <v>3548</v>
      </c>
      <c r="I700" s="29" t="s">
        <v>301</v>
      </c>
      <c r="J700" s="29" t="s">
        <v>201</v>
      </c>
      <c r="K700" s="30" t="s">
        <v>44</v>
      </c>
      <c r="L700" s="31"/>
      <c r="M700" s="29"/>
    </row>
    <row r="701" customFormat="false" ht="331.5" hidden="false" customHeight="true" outlineLevel="0" collapsed="false">
      <c r="B701" s="29" t="s">
        <v>3549</v>
      </c>
      <c r="C701" s="29" t="s">
        <v>281</v>
      </c>
      <c r="D701" s="29" t="s">
        <v>3550</v>
      </c>
      <c r="E701" s="29" t="s">
        <v>356</v>
      </c>
      <c r="F701" s="29" t="s">
        <v>3551</v>
      </c>
      <c r="G701" s="29" t="s">
        <v>3552</v>
      </c>
      <c r="H701" s="29" t="s">
        <v>3553</v>
      </c>
      <c r="I701" s="29" t="s">
        <v>301</v>
      </c>
      <c r="J701" s="29" t="s">
        <v>201</v>
      </c>
      <c r="K701" s="30" t="s">
        <v>44</v>
      </c>
      <c r="L701" s="31"/>
      <c r="M701" s="29"/>
    </row>
    <row r="702" customFormat="false" ht="178.5" hidden="false" customHeight="true" outlineLevel="0" collapsed="false">
      <c r="B702" s="29" t="s">
        <v>3554</v>
      </c>
      <c r="C702" s="29" t="s">
        <v>281</v>
      </c>
      <c r="D702" s="29" t="s">
        <v>3555</v>
      </c>
      <c r="E702" s="29" t="s">
        <v>356</v>
      </c>
      <c r="F702" s="29" t="s">
        <v>3556</v>
      </c>
      <c r="G702" s="29" t="s">
        <v>3557</v>
      </c>
      <c r="H702" s="29" t="s">
        <v>3558</v>
      </c>
      <c r="I702" s="29" t="s">
        <v>301</v>
      </c>
      <c r="J702" s="29" t="s">
        <v>201</v>
      </c>
      <c r="K702" s="30" t="s">
        <v>44</v>
      </c>
      <c r="L702" s="31"/>
      <c r="M702" s="29"/>
    </row>
    <row r="703" customFormat="false" ht="102" hidden="false" customHeight="true" outlineLevel="0" collapsed="false">
      <c r="B703" s="29" t="s">
        <v>3559</v>
      </c>
      <c r="C703" s="29" t="s">
        <v>281</v>
      </c>
      <c r="D703" s="29" t="s">
        <v>3560</v>
      </c>
      <c r="E703" s="29" t="s">
        <v>326</v>
      </c>
      <c r="F703" s="29" t="s">
        <v>3561</v>
      </c>
      <c r="G703" s="29" t="s">
        <v>3562</v>
      </c>
      <c r="H703" s="29" t="s">
        <v>3563</v>
      </c>
      <c r="I703" s="29" t="s">
        <v>301</v>
      </c>
      <c r="J703" s="29" t="s">
        <v>201</v>
      </c>
      <c r="K703" s="30" t="s">
        <v>44</v>
      </c>
      <c r="L703" s="31"/>
      <c r="M703" s="29"/>
    </row>
    <row r="704" customFormat="false" ht="165.75" hidden="false" customHeight="true" outlineLevel="0" collapsed="false">
      <c r="B704" s="29" t="s">
        <v>3564</v>
      </c>
      <c r="C704" s="29" t="s">
        <v>281</v>
      </c>
      <c r="D704" s="29" t="s">
        <v>3565</v>
      </c>
      <c r="E704" s="29" t="s">
        <v>326</v>
      </c>
      <c r="F704" s="29" t="s">
        <v>3566</v>
      </c>
      <c r="G704" s="29" t="s">
        <v>3567</v>
      </c>
      <c r="H704" s="29" t="s">
        <v>3568</v>
      </c>
      <c r="I704" s="29" t="s">
        <v>301</v>
      </c>
      <c r="J704" s="29" t="s">
        <v>201</v>
      </c>
      <c r="K704" s="30" t="s">
        <v>44</v>
      </c>
      <c r="L704" s="31"/>
      <c r="M704" s="29"/>
    </row>
    <row r="705" customFormat="false" ht="165.75" hidden="false" customHeight="true" outlineLevel="0" collapsed="false">
      <c r="B705" s="29" t="s">
        <v>3569</v>
      </c>
      <c r="C705" s="29" t="s">
        <v>281</v>
      </c>
      <c r="D705" s="29" t="s">
        <v>3570</v>
      </c>
      <c r="E705" s="29" t="s">
        <v>339</v>
      </c>
      <c r="F705" s="29" t="s">
        <v>3571</v>
      </c>
      <c r="G705" s="29" t="s">
        <v>3572</v>
      </c>
      <c r="H705" s="29" t="s">
        <v>3573</v>
      </c>
      <c r="I705" s="29" t="s">
        <v>301</v>
      </c>
      <c r="J705" s="29" t="s">
        <v>201</v>
      </c>
      <c r="K705" s="30" t="s">
        <v>44</v>
      </c>
      <c r="L705" s="31"/>
      <c r="M705" s="29"/>
    </row>
    <row r="706" customFormat="false" ht="76.5" hidden="false" customHeight="true" outlineLevel="0" collapsed="false">
      <c r="B706" s="29" t="s">
        <v>3574</v>
      </c>
      <c r="C706" s="29" t="s">
        <v>281</v>
      </c>
      <c r="D706" s="29" t="s">
        <v>3575</v>
      </c>
      <c r="E706" s="29" t="s">
        <v>326</v>
      </c>
      <c r="F706" s="29" t="s">
        <v>3576</v>
      </c>
      <c r="G706" s="29" t="s">
        <v>3577</v>
      </c>
      <c r="H706" s="29" t="s">
        <v>3578</v>
      </c>
      <c r="I706" s="29" t="s">
        <v>301</v>
      </c>
      <c r="J706" s="29" t="s">
        <v>201</v>
      </c>
      <c r="K706" s="30" t="s">
        <v>44</v>
      </c>
      <c r="L706" s="31"/>
      <c r="M706" s="29"/>
    </row>
    <row r="707" customFormat="false" ht="114.75" hidden="false" customHeight="true" outlineLevel="0" collapsed="false">
      <c r="B707" s="29" t="s">
        <v>3579</v>
      </c>
      <c r="C707" s="29" t="s">
        <v>281</v>
      </c>
      <c r="D707" s="29" t="s">
        <v>3580</v>
      </c>
      <c r="E707" s="29" t="s">
        <v>326</v>
      </c>
      <c r="F707" s="29" t="s">
        <v>3581</v>
      </c>
      <c r="G707" s="29" t="s">
        <v>3582</v>
      </c>
      <c r="H707" s="29" t="s">
        <v>3583</v>
      </c>
      <c r="I707" s="29" t="s">
        <v>301</v>
      </c>
      <c r="J707" s="29" t="s">
        <v>201</v>
      </c>
      <c r="K707" s="30" t="s">
        <v>44</v>
      </c>
      <c r="L707" s="31"/>
      <c r="M707" s="29"/>
    </row>
    <row r="708" customFormat="false" ht="153" hidden="false" customHeight="true" outlineLevel="0" collapsed="false">
      <c r="B708" s="29" t="s">
        <v>3584</v>
      </c>
      <c r="C708" s="29" t="s">
        <v>281</v>
      </c>
      <c r="D708" s="29" t="s">
        <v>3585</v>
      </c>
      <c r="E708" s="29" t="s">
        <v>339</v>
      </c>
      <c r="F708" s="29" t="s">
        <v>3586</v>
      </c>
      <c r="G708" s="29" t="s">
        <v>3587</v>
      </c>
      <c r="H708" s="29" t="s">
        <v>3588</v>
      </c>
      <c r="I708" s="29" t="s">
        <v>301</v>
      </c>
      <c r="J708" s="29" t="s">
        <v>201</v>
      </c>
      <c r="K708" s="30" t="s">
        <v>44</v>
      </c>
      <c r="L708" s="31"/>
      <c r="M708" s="29"/>
    </row>
    <row r="709" customFormat="false" ht="76.5" hidden="false" customHeight="true" outlineLevel="0" collapsed="false">
      <c r="B709" s="29" t="s">
        <v>3589</v>
      </c>
      <c r="C709" s="29" t="s">
        <v>281</v>
      </c>
      <c r="D709" s="29" t="s">
        <v>3590</v>
      </c>
      <c r="E709" s="29" t="s">
        <v>339</v>
      </c>
      <c r="F709" s="29" t="s">
        <v>3591</v>
      </c>
      <c r="G709" s="29" t="s">
        <v>3592</v>
      </c>
      <c r="H709" s="29" t="s">
        <v>3593</v>
      </c>
      <c r="I709" s="29" t="s">
        <v>301</v>
      </c>
      <c r="J709" s="29" t="s">
        <v>201</v>
      </c>
      <c r="K709" s="30" t="s">
        <v>44</v>
      </c>
      <c r="L709" s="31"/>
      <c r="M709" s="29"/>
    </row>
    <row r="710" customFormat="false" ht="216.75" hidden="false" customHeight="true" outlineLevel="0" collapsed="false">
      <c r="B710" s="29" t="s">
        <v>3594</v>
      </c>
      <c r="C710" s="29" t="s">
        <v>281</v>
      </c>
      <c r="D710" s="29" t="s">
        <v>3595</v>
      </c>
      <c r="E710" s="29" t="s">
        <v>356</v>
      </c>
      <c r="F710" s="29" t="s">
        <v>3596</v>
      </c>
      <c r="G710" s="29" t="s">
        <v>3597</v>
      </c>
      <c r="H710" s="29" t="s">
        <v>3598</v>
      </c>
      <c r="I710" s="29" t="s">
        <v>301</v>
      </c>
      <c r="J710" s="29" t="s">
        <v>201</v>
      </c>
      <c r="K710" s="30" t="s">
        <v>44</v>
      </c>
      <c r="L710" s="31"/>
      <c r="M710" s="29"/>
    </row>
    <row r="711" customFormat="false" ht="140.25" hidden="false" customHeight="true" outlineLevel="0" collapsed="false">
      <c r="B711" s="29" t="s">
        <v>3599</v>
      </c>
      <c r="C711" s="29" t="s">
        <v>281</v>
      </c>
      <c r="D711" s="29" t="s">
        <v>3600</v>
      </c>
      <c r="E711" s="29" t="s">
        <v>326</v>
      </c>
      <c r="F711" s="29" t="s">
        <v>3601</v>
      </c>
      <c r="G711" s="29" t="s">
        <v>3602</v>
      </c>
      <c r="H711" s="29" t="s">
        <v>3603</v>
      </c>
      <c r="I711" s="29" t="s">
        <v>301</v>
      </c>
      <c r="J711" s="29" t="s">
        <v>201</v>
      </c>
      <c r="K711" s="30" t="s">
        <v>44</v>
      </c>
      <c r="L711" s="31"/>
      <c r="M711" s="29"/>
    </row>
    <row r="712" customFormat="false" ht="102" hidden="false" customHeight="true" outlineLevel="0" collapsed="false">
      <c r="B712" s="29" t="s">
        <v>3604</v>
      </c>
      <c r="C712" s="29" t="s">
        <v>281</v>
      </c>
      <c r="D712" s="29" t="s">
        <v>3605</v>
      </c>
      <c r="E712" s="29" t="s">
        <v>350</v>
      </c>
      <c r="F712" s="29" t="s">
        <v>3606</v>
      </c>
      <c r="G712" s="29" t="s">
        <v>3607</v>
      </c>
      <c r="H712" s="29" t="s">
        <v>3608</v>
      </c>
      <c r="I712" s="29" t="s">
        <v>301</v>
      </c>
      <c r="J712" s="29" t="s">
        <v>201</v>
      </c>
      <c r="K712" s="30" t="s">
        <v>44</v>
      </c>
      <c r="L712" s="31"/>
      <c r="M712" s="29"/>
    </row>
    <row r="713" customFormat="false" ht="51" hidden="false" customHeight="true" outlineLevel="0" collapsed="false">
      <c r="B713" s="29" t="s">
        <v>3609</v>
      </c>
      <c r="C713" s="29" t="s">
        <v>37</v>
      </c>
      <c r="D713" s="29" t="s">
        <v>3610</v>
      </c>
      <c r="E713" s="29" t="s">
        <v>339</v>
      </c>
      <c r="F713" s="29" t="s">
        <v>3611</v>
      </c>
      <c r="G713" s="29" t="s">
        <v>3611</v>
      </c>
      <c r="H713" s="29" t="s">
        <v>3612</v>
      </c>
      <c r="I713" s="29" t="s">
        <v>301</v>
      </c>
      <c r="J713" s="29" t="s">
        <v>201</v>
      </c>
      <c r="K713" s="30" t="s">
        <v>44</v>
      </c>
      <c r="L713" s="31"/>
      <c r="M713" s="32"/>
    </row>
    <row r="714" customFormat="false" ht="51" hidden="false" customHeight="true" outlineLevel="0" collapsed="false">
      <c r="B714" s="29" t="s">
        <v>3613</v>
      </c>
      <c r="C714" s="29" t="s">
        <v>37</v>
      </c>
      <c r="D714" s="29" t="s">
        <v>3614</v>
      </c>
      <c r="E714" s="29" t="s">
        <v>339</v>
      </c>
      <c r="F714" s="29" t="s">
        <v>3615</v>
      </c>
      <c r="G714" s="29" t="s">
        <v>3615</v>
      </c>
      <c r="H714" s="29" t="s">
        <v>3612</v>
      </c>
      <c r="I714" s="29" t="s">
        <v>301</v>
      </c>
      <c r="J714" s="29" t="s">
        <v>201</v>
      </c>
      <c r="K714" s="30" t="s">
        <v>44</v>
      </c>
      <c r="L714" s="31"/>
      <c r="M714" s="32"/>
    </row>
    <row r="715" customFormat="false" ht="51" hidden="false" customHeight="true" outlineLevel="0" collapsed="false">
      <c r="B715" s="29" t="s">
        <v>3616</v>
      </c>
      <c r="C715" s="29" t="s">
        <v>37</v>
      </c>
      <c r="D715" s="29" t="s">
        <v>3617</v>
      </c>
      <c r="E715" s="29" t="s">
        <v>339</v>
      </c>
      <c r="F715" s="29" t="s">
        <v>3618</v>
      </c>
      <c r="G715" s="29" t="s">
        <v>3618</v>
      </c>
      <c r="H715" s="29" t="s">
        <v>3612</v>
      </c>
      <c r="I715" s="29" t="s">
        <v>301</v>
      </c>
      <c r="J715" s="29" t="s">
        <v>201</v>
      </c>
      <c r="K715" s="30" t="s">
        <v>44</v>
      </c>
      <c r="L715" s="31"/>
      <c r="M715" s="32"/>
    </row>
    <row r="716" customFormat="false" ht="51" hidden="false" customHeight="true" outlineLevel="0" collapsed="false">
      <c r="B716" s="29" t="s">
        <v>3619</v>
      </c>
      <c r="C716" s="29" t="s">
        <v>37</v>
      </c>
      <c r="D716" s="29" t="s">
        <v>3620</v>
      </c>
      <c r="E716" s="29" t="s">
        <v>339</v>
      </c>
      <c r="F716" s="29" t="s">
        <v>3621</v>
      </c>
      <c r="G716" s="29" t="s">
        <v>3622</v>
      </c>
      <c r="H716" s="29" t="s">
        <v>3612</v>
      </c>
      <c r="I716" s="29" t="s">
        <v>301</v>
      </c>
      <c r="J716" s="29" t="s">
        <v>201</v>
      </c>
      <c r="K716" s="30" t="s">
        <v>44</v>
      </c>
      <c r="L716" s="31"/>
      <c r="M716" s="32"/>
    </row>
    <row r="717" customFormat="false" ht="51" hidden="false" customHeight="true" outlineLevel="0" collapsed="false">
      <c r="B717" s="29" t="s">
        <v>3623</v>
      </c>
      <c r="C717" s="29" t="s">
        <v>37</v>
      </c>
      <c r="D717" s="29" t="s">
        <v>3624</v>
      </c>
      <c r="E717" s="29" t="s">
        <v>339</v>
      </c>
      <c r="F717" s="29" t="s">
        <v>3625</v>
      </c>
      <c r="G717" s="29" t="s">
        <v>3626</v>
      </c>
      <c r="H717" s="29" t="s">
        <v>3612</v>
      </c>
      <c r="I717" s="29" t="s">
        <v>301</v>
      </c>
      <c r="J717" s="29" t="s">
        <v>201</v>
      </c>
      <c r="K717" s="30" t="s">
        <v>44</v>
      </c>
      <c r="L717" s="31"/>
      <c r="M717" s="32"/>
    </row>
    <row r="718" customFormat="false" ht="51" hidden="false" customHeight="true" outlineLevel="0" collapsed="false">
      <c r="B718" s="29" t="s">
        <v>3627</v>
      </c>
      <c r="C718" s="29" t="s">
        <v>37</v>
      </c>
      <c r="D718" s="29" t="s">
        <v>3628</v>
      </c>
      <c r="E718" s="29" t="s">
        <v>339</v>
      </c>
      <c r="F718" s="29" t="s">
        <v>3629</v>
      </c>
      <c r="G718" s="29" t="s">
        <v>3630</v>
      </c>
      <c r="H718" s="29" t="s">
        <v>3631</v>
      </c>
      <c r="I718" s="29" t="s">
        <v>301</v>
      </c>
      <c r="J718" s="29" t="s">
        <v>201</v>
      </c>
      <c r="K718" s="30" t="s">
        <v>44</v>
      </c>
      <c r="L718" s="31"/>
      <c r="M718" s="32"/>
    </row>
    <row r="719" customFormat="false" ht="51" hidden="false" customHeight="true" outlineLevel="0" collapsed="false">
      <c r="B719" s="29" t="s">
        <v>3632</v>
      </c>
      <c r="C719" s="29" t="s">
        <v>37</v>
      </c>
      <c r="D719" s="29" t="s">
        <v>3633</v>
      </c>
      <c r="E719" s="29" t="s">
        <v>339</v>
      </c>
      <c r="F719" s="29" t="s">
        <v>3634</v>
      </c>
      <c r="G719" s="29" t="s">
        <v>3634</v>
      </c>
      <c r="H719" s="29" t="s">
        <v>3635</v>
      </c>
      <c r="I719" s="29" t="s">
        <v>301</v>
      </c>
      <c r="J719" s="29" t="s">
        <v>201</v>
      </c>
      <c r="K719" s="30" t="s">
        <v>44</v>
      </c>
      <c r="L719" s="31"/>
      <c r="M719" s="32"/>
    </row>
    <row r="720" customFormat="false" ht="51" hidden="false" customHeight="true" outlineLevel="0" collapsed="false">
      <c r="B720" s="29" t="s">
        <v>3636</v>
      </c>
      <c r="C720" s="29" t="s">
        <v>37</v>
      </c>
      <c r="D720" s="29" t="s">
        <v>3637</v>
      </c>
      <c r="E720" s="29" t="s">
        <v>150</v>
      </c>
      <c r="F720" s="29" t="s">
        <v>3638</v>
      </c>
      <c r="G720" s="29" t="s">
        <v>3639</v>
      </c>
      <c r="H720" s="29" t="s">
        <v>3640</v>
      </c>
      <c r="I720" s="29" t="s">
        <v>467</v>
      </c>
      <c r="J720" s="29" t="s">
        <v>467</v>
      </c>
      <c r="K720" s="30" t="s">
        <v>44</v>
      </c>
      <c r="L720" s="31"/>
      <c r="M720" s="32"/>
    </row>
    <row r="721" customFormat="false" ht="51" hidden="false" customHeight="true" outlineLevel="0" collapsed="false">
      <c r="B721" s="29" t="s">
        <v>3641</v>
      </c>
      <c r="C721" s="29" t="s">
        <v>37</v>
      </c>
      <c r="D721" s="29" t="s">
        <v>3642</v>
      </c>
      <c r="E721" s="29" t="s">
        <v>89</v>
      </c>
      <c r="F721" s="29" t="s">
        <v>3643</v>
      </c>
      <c r="G721" s="29" t="s">
        <v>3644</v>
      </c>
      <c r="H721" s="29" t="s">
        <v>3635</v>
      </c>
      <c r="I721" s="29" t="s">
        <v>42</v>
      </c>
      <c r="J721" s="29" t="s">
        <v>260</v>
      </c>
      <c r="K721" s="30" t="s">
        <v>44</v>
      </c>
      <c r="L721" s="31"/>
      <c r="M721" s="32"/>
    </row>
    <row r="722" customFormat="false" ht="51" hidden="false" customHeight="true" outlineLevel="0" collapsed="false">
      <c r="B722" s="29" t="s">
        <v>3645</v>
      </c>
      <c r="C722" s="29" t="s">
        <v>37</v>
      </c>
      <c r="D722" s="29" t="s">
        <v>3646</v>
      </c>
      <c r="E722" s="29" t="s">
        <v>339</v>
      </c>
      <c r="F722" s="29" t="s">
        <v>3647</v>
      </c>
      <c r="G722" s="29" t="s">
        <v>3647</v>
      </c>
      <c r="H722" s="29" t="s">
        <v>3635</v>
      </c>
      <c r="I722" s="29" t="s">
        <v>301</v>
      </c>
      <c r="J722" s="29" t="s">
        <v>201</v>
      </c>
      <c r="K722" s="30" t="s">
        <v>44</v>
      </c>
      <c r="L722" s="31"/>
      <c r="M722" s="32"/>
    </row>
    <row r="723" customFormat="false" ht="51" hidden="false" customHeight="true" outlineLevel="0" collapsed="false">
      <c r="B723" s="29" t="s">
        <v>3648</v>
      </c>
      <c r="C723" s="29" t="s">
        <v>37</v>
      </c>
      <c r="D723" s="29" t="s">
        <v>3649</v>
      </c>
      <c r="E723" s="29" t="s">
        <v>339</v>
      </c>
      <c r="F723" s="29" t="s">
        <v>3650</v>
      </c>
      <c r="G723" s="29" t="s">
        <v>3650</v>
      </c>
      <c r="H723" s="29" t="s">
        <v>3635</v>
      </c>
      <c r="I723" s="29" t="s">
        <v>301</v>
      </c>
      <c r="J723" s="29" t="s">
        <v>201</v>
      </c>
      <c r="K723" s="30" t="s">
        <v>44</v>
      </c>
      <c r="L723" s="31"/>
      <c r="M723" s="32"/>
    </row>
    <row r="724" customFormat="false" ht="51" hidden="false" customHeight="true" outlineLevel="0" collapsed="false">
      <c r="B724" s="29" t="s">
        <v>3651</v>
      </c>
      <c r="C724" s="29" t="s">
        <v>37</v>
      </c>
      <c r="D724" s="29" t="s">
        <v>3652</v>
      </c>
      <c r="E724" s="29" t="s">
        <v>339</v>
      </c>
      <c r="F724" s="29" t="s">
        <v>3653</v>
      </c>
      <c r="G724" s="29" t="s">
        <v>3653</v>
      </c>
      <c r="H724" s="29" t="s">
        <v>3635</v>
      </c>
      <c r="I724" s="29" t="s">
        <v>301</v>
      </c>
      <c r="J724" s="29" t="s">
        <v>201</v>
      </c>
      <c r="K724" s="30" t="s">
        <v>44</v>
      </c>
      <c r="L724" s="31"/>
      <c r="M724" s="32"/>
    </row>
    <row r="725" customFormat="false" ht="51" hidden="false" customHeight="true" outlineLevel="0" collapsed="false">
      <c r="B725" s="29" t="s">
        <v>3654</v>
      </c>
      <c r="C725" s="29" t="s">
        <v>37</v>
      </c>
      <c r="D725" s="29" t="s">
        <v>3655</v>
      </c>
      <c r="E725" s="29" t="s">
        <v>339</v>
      </c>
      <c r="F725" s="29" t="s">
        <v>3656</v>
      </c>
      <c r="G725" s="29" t="s">
        <v>3657</v>
      </c>
      <c r="H725" s="29" t="s">
        <v>3635</v>
      </c>
      <c r="I725" s="29" t="s">
        <v>301</v>
      </c>
      <c r="J725" s="29" t="s">
        <v>201</v>
      </c>
      <c r="K725" s="30" t="s">
        <v>44</v>
      </c>
      <c r="L725" s="31"/>
      <c r="M725" s="32"/>
    </row>
    <row r="726" customFormat="false" ht="51" hidden="false" customHeight="true" outlineLevel="0" collapsed="false">
      <c r="B726" s="29" t="s">
        <v>3658</v>
      </c>
      <c r="C726" s="29" t="s">
        <v>37</v>
      </c>
      <c r="D726" s="29" t="s">
        <v>3659</v>
      </c>
      <c r="E726" s="29" t="s">
        <v>595</v>
      </c>
      <c r="F726" s="29" t="s">
        <v>3660</v>
      </c>
      <c r="G726" s="29" t="s">
        <v>3660</v>
      </c>
      <c r="H726" s="29" t="s">
        <v>3661</v>
      </c>
      <c r="I726" s="29" t="s">
        <v>3662</v>
      </c>
      <c r="J726" s="29" t="s">
        <v>154</v>
      </c>
      <c r="K726" s="30" t="s">
        <v>44</v>
      </c>
      <c r="L726" s="31"/>
      <c r="M726" s="32"/>
    </row>
    <row r="727" customFormat="false" ht="51" hidden="false" customHeight="true" outlineLevel="0" collapsed="false">
      <c r="B727" s="29" t="s">
        <v>3663</v>
      </c>
      <c r="C727" s="29" t="s">
        <v>37</v>
      </c>
      <c r="D727" s="29" t="s">
        <v>3664</v>
      </c>
      <c r="E727" s="29" t="s">
        <v>89</v>
      </c>
      <c r="F727" s="29" t="s">
        <v>3665</v>
      </c>
      <c r="G727" s="29" t="s">
        <v>3666</v>
      </c>
      <c r="H727" s="29" t="s">
        <v>3661</v>
      </c>
      <c r="I727" s="29" t="s">
        <v>42</v>
      </c>
      <c r="J727" s="29" t="s">
        <v>260</v>
      </c>
      <c r="K727" s="30" t="s">
        <v>44</v>
      </c>
      <c r="L727" s="31"/>
      <c r="M727" s="32"/>
    </row>
    <row r="728" customFormat="false" ht="51" hidden="false" customHeight="true" outlineLevel="0" collapsed="false">
      <c r="B728" s="29" t="s">
        <v>3667</v>
      </c>
      <c r="C728" s="29" t="s">
        <v>37</v>
      </c>
      <c r="D728" s="29" t="s">
        <v>3668</v>
      </c>
      <c r="E728" s="29" t="s">
        <v>97</v>
      </c>
      <c r="F728" s="29" t="s">
        <v>3669</v>
      </c>
      <c r="G728" s="29" t="s">
        <v>3669</v>
      </c>
      <c r="H728" s="29" t="s">
        <v>3661</v>
      </c>
      <c r="I728" s="29" t="s">
        <v>42</v>
      </c>
      <c r="J728" s="29" t="s">
        <v>65</v>
      </c>
      <c r="K728" s="30" t="s">
        <v>44</v>
      </c>
      <c r="L728" s="31"/>
      <c r="M728" s="32"/>
    </row>
    <row r="729" customFormat="false" ht="51" hidden="false" customHeight="true" outlineLevel="0" collapsed="false">
      <c r="B729" s="29" t="s">
        <v>3670</v>
      </c>
      <c r="C729" s="29" t="s">
        <v>37</v>
      </c>
      <c r="D729" s="29" t="s">
        <v>3671</v>
      </c>
      <c r="E729" s="29" t="s">
        <v>538</v>
      </c>
      <c r="F729" s="29" t="s">
        <v>3672</v>
      </c>
      <c r="G729" s="29" t="s">
        <v>3672</v>
      </c>
      <c r="H729" s="29" t="s">
        <v>3673</v>
      </c>
      <c r="I729" s="29" t="s">
        <v>467</v>
      </c>
      <c r="J729" s="29" t="s">
        <v>467</v>
      </c>
      <c r="K729" s="30" t="s">
        <v>44</v>
      </c>
      <c r="L729" s="31"/>
      <c r="M729" s="32"/>
    </row>
    <row r="730" customFormat="false" ht="51" hidden="false" customHeight="true" outlineLevel="0" collapsed="false">
      <c r="B730" s="29" t="s">
        <v>3674</v>
      </c>
      <c r="C730" s="29" t="s">
        <v>37</v>
      </c>
      <c r="D730" s="29" t="s">
        <v>3675</v>
      </c>
      <c r="E730" s="29" t="s">
        <v>538</v>
      </c>
      <c r="F730" s="29" t="s">
        <v>3676</v>
      </c>
      <c r="G730" s="29" t="s">
        <v>3676</v>
      </c>
      <c r="H730" s="29" t="s">
        <v>3673</v>
      </c>
      <c r="I730" s="29" t="s">
        <v>467</v>
      </c>
      <c r="J730" s="29" t="s">
        <v>467</v>
      </c>
      <c r="K730" s="30" t="s">
        <v>44</v>
      </c>
      <c r="L730" s="31"/>
      <c r="M730" s="32"/>
    </row>
    <row r="731" customFormat="false" ht="51" hidden="false" customHeight="true" outlineLevel="0" collapsed="false">
      <c r="B731" s="29" t="s">
        <v>3677</v>
      </c>
      <c r="C731" s="29" t="s">
        <v>37</v>
      </c>
      <c r="D731" s="29" t="s">
        <v>3678</v>
      </c>
      <c r="E731" s="29" t="s">
        <v>595</v>
      </c>
      <c r="F731" s="29" t="s">
        <v>3679</v>
      </c>
      <c r="G731" s="29" t="s">
        <v>3680</v>
      </c>
      <c r="H731" s="29" t="s">
        <v>3661</v>
      </c>
      <c r="I731" s="29" t="s">
        <v>3662</v>
      </c>
      <c r="J731" s="29" t="s">
        <v>154</v>
      </c>
      <c r="K731" s="30" t="s">
        <v>44</v>
      </c>
      <c r="L731" s="31"/>
      <c r="M731" s="32"/>
    </row>
    <row r="732" customFormat="false" ht="51" hidden="false" customHeight="true" outlineLevel="0" collapsed="false">
      <c r="B732" s="29" t="s">
        <v>3681</v>
      </c>
      <c r="C732" s="29" t="s">
        <v>37</v>
      </c>
      <c r="D732" s="29" t="s">
        <v>3682</v>
      </c>
      <c r="E732" s="29" t="s">
        <v>538</v>
      </c>
      <c r="F732" s="29" t="s">
        <v>3683</v>
      </c>
      <c r="G732" s="29" t="s">
        <v>3684</v>
      </c>
      <c r="H732" s="29" t="s">
        <v>3673</v>
      </c>
      <c r="I732" s="29" t="s">
        <v>467</v>
      </c>
      <c r="J732" s="29" t="s">
        <v>467</v>
      </c>
      <c r="K732" s="30" t="s">
        <v>44</v>
      </c>
      <c r="L732" s="31"/>
      <c r="M732" s="32"/>
    </row>
    <row r="733" customFormat="false" ht="51" hidden="false" customHeight="true" outlineLevel="0" collapsed="false">
      <c r="B733" s="29" t="s">
        <v>3685</v>
      </c>
      <c r="C733" s="29" t="s">
        <v>37</v>
      </c>
      <c r="D733" s="29" t="s">
        <v>3686</v>
      </c>
      <c r="E733" s="29" t="s">
        <v>205</v>
      </c>
      <c r="F733" s="29" t="s">
        <v>3687</v>
      </c>
      <c r="G733" s="29" t="s">
        <v>3687</v>
      </c>
      <c r="H733" s="29" t="s">
        <v>3661</v>
      </c>
      <c r="I733" s="29" t="s">
        <v>301</v>
      </c>
      <c r="J733" s="29" t="s">
        <v>201</v>
      </c>
      <c r="K733" s="30" t="s">
        <v>44</v>
      </c>
      <c r="L733" s="31"/>
      <c r="M733" s="32"/>
    </row>
    <row r="734" customFormat="false" ht="51" hidden="false" customHeight="true" outlineLevel="0" collapsed="false">
      <c r="B734" s="29" t="s">
        <v>3688</v>
      </c>
      <c r="C734" s="29" t="s">
        <v>37</v>
      </c>
      <c r="D734" s="29" t="s">
        <v>3689</v>
      </c>
      <c r="E734" s="29" t="s">
        <v>538</v>
      </c>
      <c r="F734" s="29" t="s">
        <v>3690</v>
      </c>
      <c r="G734" s="29" t="s">
        <v>3691</v>
      </c>
      <c r="H734" s="29" t="s">
        <v>3673</v>
      </c>
      <c r="I734" s="29" t="s">
        <v>467</v>
      </c>
      <c r="J734" s="29" t="s">
        <v>467</v>
      </c>
      <c r="K734" s="30" t="s">
        <v>44</v>
      </c>
      <c r="L734" s="31"/>
      <c r="M734" s="32"/>
    </row>
    <row r="735" customFormat="false" ht="51" hidden="false" customHeight="true" outlineLevel="0" collapsed="false">
      <c r="B735" s="29" t="s">
        <v>3692</v>
      </c>
      <c r="C735" s="29" t="s">
        <v>37</v>
      </c>
      <c r="D735" s="29" t="s">
        <v>3693</v>
      </c>
      <c r="E735" s="29" t="s">
        <v>595</v>
      </c>
      <c r="F735" s="29" t="s">
        <v>3694</v>
      </c>
      <c r="G735" s="29" t="s">
        <v>3694</v>
      </c>
      <c r="H735" s="29" t="s">
        <v>3661</v>
      </c>
      <c r="I735" s="29" t="s">
        <v>3662</v>
      </c>
      <c r="J735" s="29" t="s">
        <v>154</v>
      </c>
      <c r="K735" s="30" t="s">
        <v>44</v>
      </c>
      <c r="L735" s="31"/>
      <c r="M735" s="32"/>
    </row>
    <row r="736" customFormat="false" ht="51" hidden="false" customHeight="true" outlineLevel="0" collapsed="false">
      <c r="B736" s="29" t="s">
        <v>3695</v>
      </c>
      <c r="C736" s="29" t="s">
        <v>37</v>
      </c>
      <c r="D736" s="29" t="s">
        <v>3696</v>
      </c>
      <c r="E736" s="29" t="s">
        <v>205</v>
      </c>
      <c r="F736" s="29" t="s">
        <v>3697</v>
      </c>
      <c r="G736" s="29" t="s">
        <v>3697</v>
      </c>
      <c r="H736" s="29" t="s">
        <v>3661</v>
      </c>
      <c r="I736" s="29" t="s">
        <v>301</v>
      </c>
      <c r="J736" s="29" t="s">
        <v>201</v>
      </c>
      <c r="K736" s="30" t="s">
        <v>44</v>
      </c>
      <c r="L736" s="31"/>
      <c r="M736" s="32"/>
    </row>
    <row r="737" customFormat="false" ht="51" hidden="false" customHeight="true" outlineLevel="0" collapsed="false">
      <c r="B737" s="29" t="s">
        <v>3698</v>
      </c>
      <c r="C737" s="29" t="s">
        <v>37</v>
      </c>
      <c r="D737" s="29" t="s">
        <v>3699</v>
      </c>
      <c r="E737" s="29" t="s">
        <v>595</v>
      </c>
      <c r="F737" s="29" t="s">
        <v>3700</v>
      </c>
      <c r="G737" s="29" t="s">
        <v>3700</v>
      </c>
      <c r="H737" s="29" t="s">
        <v>3673</v>
      </c>
      <c r="I737" s="29" t="s">
        <v>467</v>
      </c>
      <c r="J737" s="29" t="s">
        <v>467</v>
      </c>
      <c r="K737" s="30" t="s">
        <v>44</v>
      </c>
      <c r="L737" s="31"/>
      <c r="M737" s="32"/>
    </row>
    <row r="738" customFormat="false" ht="51" hidden="false" customHeight="true" outlineLevel="0" collapsed="false">
      <c r="B738" s="29" t="s">
        <v>3701</v>
      </c>
      <c r="C738" s="29" t="s">
        <v>37</v>
      </c>
      <c r="D738" s="29" t="s">
        <v>3702</v>
      </c>
      <c r="E738" s="29" t="s">
        <v>595</v>
      </c>
      <c r="F738" s="29" t="s">
        <v>3703</v>
      </c>
      <c r="G738" s="29" t="s">
        <v>3703</v>
      </c>
      <c r="H738" s="29" t="s">
        <v>3673</v>
      </c>
      <c r="I738" s="29" t="s">
        <v>467</v>
      </c>
      <c r="J738" s="29" t="s">
        <v>467</v>
      </c>
      <c r="K738" s="30" t="s">
        <v>44</v>
      </c>
      <c r="L738" s="31"/>
      <c r="M738" s="32"/>
    </row>
    <row r="739" customFormat="false" ht="51" hidden="false" customHeight="true" outlineLevel="0" collapsed="false">
      <c r="B739" s="29" t="s">
        <v>3704</v>
      </c>
      <c r="C739" s="29" t="s">
        <v>37</v>
      </c>
      <c r="D739" s="29" t="s">
        <v>3675</v>
      </c>
      <c r="E739" s="29" t="s">
        <v>595</v>
      </c>
      <c r="F739" s="29" t="s">
        <v>3705</v>
      </c>
      <c r="G739" s="29" t="s">
        <v>3706</v>
      </c>
      <c r="H739" s="29" t="s">
        <v>3661</v>
      </c>
      <c r="I739" s="29" t="s">
        <v>3662</v>
      </c>
      <c r="J739" s="29" t="s">
        <v>154</v>
      </c>
      <c r="K739" s="30" t="s">
        <v>44</v>
      </c>
      <c r="L739" s="31"/>
      <c r="M739" s="32"/>
    </row>
    <row r="740" customFormat="false" ht="51" hidden="false" customHeight="true" outlineLevel="0" collapsed="false">
      <c r="B740" s="29" t="s">
        <v>3707</v>
      </c>
      <c r="C740" s="29" t="s">
        <v>37</v>
      </c>
      <c r="D740" s="29" t="s">
        <v>3708</v>
      </c>
      <c r="E740" s="29" t="s">
        <v>538</v>
      </c>
      <c r="F740" s="29" t="s">
        <v>3709</v>
      </c>
      <c r="G740" s="29" t="s">
        <v>3710</v>
      </c>
      <c r="H740" s="29" t="s">
        <v>3673</v>
      </c>
      <c r="I740" s="29" t="s">
        <v>467</v>
      </c>
      <c r="J740" s="29" t="s">
        <v>467</v>
      </c>
      <c r="K740" s="30" t="s">
        <v>44</v>
      </c>
      <c r="L740" s="31"/>
      <c r="M740" s="32"/>
    </row>
    <row r="741" customFormat="false" ht="51" hidden="false" customHeight="true" outlineLevel="0" collapsed="false">
      <c r="B741" s="29" t="s">
        <v>3711</v>
      </c>
      <c r="C741" s="29" t="s">
        <v>37</v>
      </c>
      <c r="D741" s="29" t="s">
        <v>3712</v>
      </c>
      <c r="E741" s="29" t="s">
        <v>538</v>
      </c>
      <c r="F741" s="29" t="s">
        <v>3713</v>
      </c>
      <c r="G741" s="29" t="s">
        <v>3714</v>
      </c>
      <c r="H741" s="29" t="s">
        <v>3673</v>
      </c>
      <c r="I741" s="29" t="s">
        <v>467</v>
      </c>
      <c r="J741" s="29" t="s">
        <v>467</v>
      </c>
      <c r="K741" s="30" t="s">
        <v>44</v>
      </c>
      <c r="L741" s="31"/>
      <c r="M741" s="32"/>
    </row>
    <row r="742" customFormat="false" ht="51" hidden="false" customHeight="true" outlineLevel="0" collapsed="false">
      <c r="B742" s="29" t="s">
        <v>3715</v>
      </c>
      <c r="C742" s="29" t="s">
        <v>37</v>
      </c>
      <c r="D742" s="29" t="s">
        <v>3716</v>
      </c>
      <c r="E742" s="29" t="s">
        <v>339</v>
      </c>
      <c r="F742" s="29" t="s">
        <v>3717</v>
      </c>
      <c r="G742" s="29" t="s">
        <v>3718</v>
      </c>
      <c r="H742" s="29" t="s">
        <v>3661</v>
      </c>
      <c r="I742" s="29" t="s">
        <v>301</v>
      </c>
      <c r="J742" s="29" t="s">
        <v>201</v>
      </c>
      <c r="K742" s="30" t="s">
        <v>44</v>
      </c>
      <c r="L742" s="31"/>
      <c r="M742" s="32"/>
    </row>
    <row r="743" customFormat="false" ht="51" hidden="false" customHeight="true" outlineLevel="0" collapsed="false">
      <c r="B743" s="29" t="s">
        <v>3719</v>
      </c>
      <c r="C743" s="29" t="s">
        <v>37</v>
      </c>
      <c r="D743" s="29" t="s">
        <v>3720</v>
      </c>
      <c r="E743" s="29" t="s">
        <v>595</v>
      </c>
      <c r="F743" s="29" t="s">
        <v>3721</v>
      </c>
      <c r="G743" s="29" t="s">
        <v>3721</v>
      </c>
      <c r="H743" s="29" t="s">
        <v>3661</v>
      </c>
      <c r="I743" s="29" t="s">
        <v>3662</v>
      </c>
      <c r="J743" s="29" t="s">
        <v>154</v>
      </c>
      <c r="K743" s="30" t="s">
        <v>44</v>
      </c>
      <c r="L743" s="31"/>
      <c r="M743" s="32"/>
    </row>
    <row r="744" customFormat="false" ht="51" hidden="false" customHeight="true" outlineLevel="0" collapsed="false">
      <c r="B744" s="29" t="s">
        <v>3722</v>
      </c>
      <c r="C744" s="29" t="s">
        <v>37</v>
      </c>
      <c r="D744" s="29" t="s">
        <v>3723</v>
      </c>
      <c r="E744" s="29" t="s">
        <v>350</v>
      </c>
      <c r="F744" s="29" t="s">
        <v>3724</v>
      </c>
      <c r="G744" s="29" t="s">
        <v>3725</v>
      </c>
      <c r="H744" s="29" t="s">
        <v>3661</v>
      </c>
      <c r="I744" s="29" t="s">
        <v>301</v>
      </c>
      <c r="J744" s="29" t="s">
        <v>201</v>
      </c>
      <c r="K744" s="30" t="s">
        <v>44</v>
      </c>
      <c r="L744" s="31"/>
      <c r="M744" s="32"/>
    </row>
    <row r="745" customFormat="false" ht="51" hidden="false" customHeight="true" outlineLevel="0" collapsed="false">
      <c r="B745" s="29" t="s">
        <v>3726</v>
      </c>
      <c r="C745" s="29" t="s">
        <v>37</v>
      </c>
      <c r="D745" s="29" t="s">
        <v>3727</v>
      </c>
      <c r="E745" s="29" t="s">
        <v>538</v>
      </c>
      <c r="F745" s="29" t="s">
        <v>3728</v>
      </c>
      <c r="G745" s="29" t="s">
        <v>3729</v>
      </c>
      <c r="H745" s="29" t="s">
        <v>3673</v>
      </c>
      <c r="I745" s="29" t="s">
        <v>467</v>
      </c>
      <c r="J745" s="29" t="s">
        <v>467</v>
      </c>
      <c r="K745" s="30" t="s">
        <v>44</v>
      </c>
      <c r="L745" s="31"/>
      <c r="M745" s="32"/>
    </row>
    <row r="746" customFormat="false" ht="51" hidden="false" customHeight="true" outlineLevel="0" collapsed="false">
      <c r="B746" s="29" t="s">
        <v>3730</v>
      </c>
      <c r="C746" s="29" t="s">
        <v>37</v>
      </c>
      <c r="D746" s="29" t="s">
        <v>3731</v>
      </c>
      <c r="E746" s="29" t="s">
        <v>595</v>
      </c>
      <c r="F746" s="29" t="s">
        <v>3732</v>
      </c>
      <c r="G746" s="29" t="s">
        <v>3733</v>
      </c>
      <c r="H746" s="29" t="s">
        <v>3661</v>
      </c>
      <c r="I746" s="29" t="s">
        <v>42</v>
      </c>
      <c r="J746" s="29" t="s">
        <v>43</v>
      </c>
      <c r="K746" s="30" t="s">
        <v>44</v>
      </c>
      <c r="L746" s="31"/>
      <c r="M746" s="32"/>
    </row>
    <row r="747" customFormat="false" ht="51" hidden="false" customHeight="true" outlineLevel="0" collapsed="false">
      <c r="B747" s="29" t="s">
        <v>3734</v>
      </c>
      <c r="C747" s="29" t="s">
        <v>37</v>
      </c>
      <c r="D747" s="29" t="s">
        <v>3735</v>
      </c>
      <c r="E747" s="29" t="s">
        <v>339</v>
      </c>
      <c r="F747" s="29" t="s">
        <v>3736</v>
      </c>
      <c r="G747" s="29" t="s">
        <v>3736</v>
      </c>
      <c r="H747" s="29" t="s">
        <v>3661</v>
      </c>
      <c r="I747" s="29" t="s">
        <v>301</v>
      </c>
      <c r="J747" s="29" t="s">
        <v>201</v>
      </c>
      <c r="K747" s="30" t="s">
        <v>44</v>
      </c>
      <c r="L747" s="31"/>
      <c r="M747" s="32"/>
    </row>
    <row r="748" customFormat="false" ht="51" hidden="false" customHeight="true" outlineLevel="0" collapsed="false">
      <c r="B748" s="29" t="s">
        <v>3737</v>
      </c>
      <c r="C748" s="29" t="s">
        <v>37</v>
      </c>
      <c r="D748" s="29" t="s">
        <v>3738</v>
      </c>
      <c r="E748" s="29" t="s">
        <v>538</v>
      </c>
      <c r="F748" s="29" t="s">
        <v>3739</v>
      </c>
      <c r="G748" s="29" t="s">
        <v>3740</v>
      </c>
      <c r="H748" s="29" t="s">
        <v>3673</v>
      </c>
      <c r="I748" s="29" t="s">
        <v>467</v>
      </c>
      <c r="J748" s="29" t="s">
        <v>467</v>
      </c>
      <c r="K748" s="30" t="s">
        <v>44</v>
      </c>
      <c r="L748" s="31"/>
      <c r="M748" s="32"/>
    </row>
    <row r="749" customFormat="false" ht="51" hidden="false" customHeight="true" outlineLevel="0" collapsed="false">
      <c r="B749" s="29" t="s">
        <v>3741</v>
      </c>
      <c r="C749" s="29" t="s">
        <v>37</v>
      </c>
      <c r="D749" s="29" t="s">
        <v>3742</v>
      </c>
      <c r="E749" s="29" t="s">
        <v>150</v>
      </c>
      <c r="F749" s="29" t="s">
        <v>3743</v>
      </c>
      <c r="G749" s="29" t="s">
        <v>3744</v>
      </c>
      <c r="H749" s="29" t="s">
        <v>3673</v>
      </c>
      <c r="I749" s="29" t="s">
        <v>467</v>
      </c>
      <c r="J749" s="29" t="s">
        <v>467</v>
      </c>
      <c r="K749" s="30" t="s">
        <v>44</v>
      </c>
      <c r="L749" s="31"/>
      <c r="M749" s="32"/>
    </row>
    <row r="750" customFormat="false" ht="51" hidden="false" customHeight="true" outlineLevel="0" collapsed="false">
      <c r="B750" s="29" t="s">
        <v>3745</v>
      </c>
      <c r="C750" s="29" t="s">
        <v>37</v>
      </c>
      <c r="D750" s="29" t="s">
        <v>3746</v>
      </c>
      <c r="E750" s="29" t="s">
        <v>339</v>
      </c>
      <c r="F750" s="29" t="s">
        <v>3747</v>
      </c>
      <c r="G750" s="29" t="s">
        <v>3747</v>
      </c>
      <c r="H750" s="29" t="s">
        <v>3661</v>
      </c>
      <c r="I750" s="29" t="s">
        <v>301</v>
      </c>
      <c r="J750" s="29" t="s">
        <v>201</v>
      </c>
      <c r="K750" s="30" t="s">
        <v>44</v>
      </c>
      <c r="L750" s="31"/>
      <c r="M750" s="32"/>
    </row>
    <row r="751" customFormat="false" ht="51" hidden="false" customHeight="true" outlineLevel="0" collapsed="false">
      <c r="B751" s="29" t="s">
        <v>3748</v>
      </c>
      <c r="C751" s="29" t="s">
        <v>37</v>
      </c>
      <c r="D751" s="29" t="s">
        <v>3749</v>
      </c>
      <c r="E751" s="29" t="s">
        <v>356</v>
      </c>
      <c r="F751" s="29" t="s">
        <v>3750</v>
      </c>
      <c r="G751" s="29" t="s">
        <v>3751</v>
      </c>
      <c r="H751" s="29" t="s">
        <v>3661</v>
      </c>
      <c r="I751" s="29" t="s">
        <v>3662</v>
      </c>
      <c r="J751" s="29" t="s">
        <v>154</v>
      </c>
      <c r="K751" s="30" t="s">
        <v>44</v>
      </c>
      <c r="L751" s="31"/>
      <c r="M751" s="32"/>
    </row>
    <row r="752" customFormat="false" ht="51" hidden="false" customHeight="true" outlineLevel="0" collapsed="false">
      <c r="B752" s="29" t="s">
        <v>3752</v>
      </c>
      <c r="C752" s="29" t="s">
        <v>37</v>
      </c>
      <c r="D752" s="29" t="s">
        <v>3753</v>
      </c>
      <c r="E752" s="29" t="s">
        <v>356</v>
      </c>
      <c r="F752" s="29" t="s">
        <v>3754</v>
      </c>
      <c r="G752" s="29" t="s">
        <v>3755</v>
      </c>
      <c r="H752" s="29" t="s">
        <v>3661</v>
      </c>
      <c r="I752" s="29" t="s">
        <v>3662</v>
      </c>
      <c r="J752" s="29" t="s">
        <v>154</v>
      </c>
      <c r="K752" s="30" t="s">
        <v>44</v>
      </c>
      <c r="L752" s="31"/>
      <c r="M752" s="32"/>
    </row>
    <row r="753" customFormat="false" ht="51" hidden="false" customHeight="true" outlineLevel="0" collapsed="false">
      <c r="B753" s="29" t="s">
        <v>3756</v>
      </c>
      <c r="C753" s="29" t="s">
        <v>37</v>
      </c>
      <c r="D753" s="29" t="s">
        <v>3757</v>
      </c>
      <c r="E753" s="29" t="s">
        <v>595</v>
      </c>
      <c r="F753" s="29" t="s">
        <v>3758</v>
      </c>
      <c r="G753" s="29" t="s">
        <v>3759</v>
      </c>
      <c r="H753" s="29" t="s">
        <v>3673</v>
      </c>
      <c r="I753" s="29" t="s">
        <v>467</v>
      </c>
      <c r="J753" s="29" t="s">
        <v>467</v>
      </c>
      <c r="K753" s="30" t="s">
        <v>44</v>
      </c>
      <c r="L753" s="31"/>
      <c r="M753" s="32"/>
    </row>
    <row r="754" customFormat="false" ht="51" hidden="false" customHeight="true" outlineLevel="0" collapsed="false">
      <c r="B754" s="29" t="s">
        <v>3760</v>
      </c>
      <c r="C754" s="29" t="s">
        <v>37</v>
      </c>
      <c r="D754" s="29" t="s">
        <v>3761</v>
      </c>
      <c r="E754" s="29" t="s">
        <v>595</v>
      </c>
      <c r="F754" s="29" t="s">
        <v>3762</v>
      </c>
      <c r="G754" s="29" t="s">
        <v>3763</v>
      </c>
      <c r="H754" s="29" t="s">
        <v>3673</v>
      </c>
      <c r="I754" s="29" t="s">
        <v>467</v>
      </c>
      <c r="J754" s="29" t="s">
        <v>467</v>
      </c>
      <c r="K754" s="30" t="s">
        <v>44</v>
      </c>
      <c r="L754" s="31"/>
      <c r="M754" s="32"/>
    </row>
    <row r="755" customFormat="false" ht="51" hidden="false" customHeight="true" outlineLevel="0" collapsed="false">
      <c r="B755" s="29" t="s">
        <v>3764</v>
      </c>
      <c r="C755" s="29" t="s">
        <v>37</v>
      </c>
      <c r="D755" s="29" t="s">
        <v>3765</v>
      </c>
      <c r="E755" s="29" t="s">
        <v>339</v>
      </c>
      <c r="F755" s="29" t="s">
        <v>3766</v>
      </c>
      <c r="G755" s="29" t="s">
        <v>3767</v>
      </c>
      <c r="H755" s="29" t="s">
        <v>3661</v>
      </c>
      <c r="I755" s="29" t="s">
        <v>301</v>
      </c>
      <c r="J755" s="29" t="s">
        <v>201</v>
      </c>
      <c r="K755" s="30" t="s">
        <v>44</v>
      </c>
      <c r="L755" s="31"/>
      <c r="M755" s="32"/>
    </row>
    <row r="756" customFormat="false" ht="51" hidden="false" customHeight="true" outlineLevel="0" collapsed="false">
      <c r="B756" s="29" t="s">
        <v>3768</v>
      </c>
      <c r="C756" s="29" t="s">
        <v>37</v>
      </c>
      <c r="D756" s="29" t="s">
        <v>3769</v>
      </c>
      <c r="E756" s="29" t="s">
        <v>538</v>
      </c>
      <c r="F756" s="29" t="s">
        <v>3770</v>
      </c>
      <c r="G756" s="29" t="s">
        <v>3770</v>
      </c>
      <c r="H756" s="29" t="s">
        <v>3673</v>
      </c>
      <c r="I756" s="29" t="s">
        <v>467</v>
      </c>
      <c r="J756" s="29" t="s">
        <v>467</v>
      </c>
      <c r="K756" s="30" t="s">
        <v>44</v>
      </c>
      <c r="L756" s="31"/>
      <c r="M756" s="32"/>
    </row>
    <row r="757" customFormat="false" ht="51" hidden="false" customHeight="true" outlineLevel="0" collapsed="false">
      <c r="B757" s="29" t="s">
        <v>3771</v>
      </c>
      <c r="C757" s="29" t="s">
        <v>37</v>
      </c>
      <c r="D757" s="29" t="s">
        <v>3772</v>
      </c>
      <c r="E757" s="29" t="s">
        <v>595</v>
      </c>
      <c r="F757" s="29" t="s">
        <v>3773</v>
      </c>
      <c r="G757" s="29" t="s">
        <v>3773</v>
      </c>
      <c r="H757" s="29" t="s">
        <v>3673</v>
      </c>
      <c r="I757" s="29" t="s">
        <v>467</v>
      </c>
      <c r="J757" s="29" t="s">
        <v>467</v>
      </c>
      <c r="K757" s="30" t="s">
        <v>44</v>
      </c>
      <c r="L757" s="31"/>
      <c r="M757" s="32"/>
    </row>
    <row r="758" customFormat="false" ht="51" hidden="false" customHeight="true" outlineLevel="0" collapsed="false">
      <c r="B758" s="29" t="s">
        <v>3774</v>
      </c>
      <c r="C758" s="29" t="s">
        <v>37</v>
      </c>
      <c r="D758" s="29" t="s">
        <v>3775</v>
      </c>
      <c r="E758" s="29" t="s">
        <v>595</v>
      </c>
      <c r="F758" s="29" t="s">
        <v>3776</v>
      </c>
      <c r="G758" s="29" t="s">
        <v>3777</v>
      </c>
      <c r="H758" s="29" t="s">
        <v>3661</v>
      </c>
      <c r="I758" s="29" t="s">
        <v>3662</v>
      </c>
      <c r="J758" s="29" t="s">
        <v>154</v>
      </c>
      <c r="K758" s="30" t="s">
        <v>44</v>
      </c>
      <c r="L758" s="31"/>
      <c r="M758" s="32"/>
    </row>
    <row r="759" customFormat="false" ht="51" hidden="false" customHeight="true" outlineLevel="0" collapsed="false">
      <c r="B759" s="29" t="s">
        <v>3778</v>
      </c>
      <c r="C759" s="29" t="s">
        <v>37</v>
      </c>
      <c r="D759" s="29" t="s">
        <v>3779</v>
      </c>
      <c r="E759" s="29" t="s">
        <v>538</v>
      </c>
      <c r="F759" s="29" t="s">
        <v>3780</v>
      </c>
      <c r="G759" s="29" t="s">
        <v>3781</v>
      </c>
      <c r="H759" s="29" t="s">
        <v>3673</v>
      </c>
      <c r="I759" s="29" t="s">
        <v>467</v>
      </c>
      <c r="J759" s="29" t="s">
        <v>467</v>
      </c>
      <c r="K759" s="30" t="s">
        <v>44</v>
      </c>
      <c r="L759" s="31"/>
      <c r="M759" s="32"/>
    </row>
    <row r="760" customFormat="false" ht="51" hidden="false" customHeight="true" outlineLevel="0" collapsed="false">
      <c r="B760" s="29" t="s">
        <v>3782</v>
      </c>
      <c r="C760" s="29" t="s">
        <v>37</v>
      </c>
      <c r="D760" s="29" t="s">
        <v>3783</v>
      </c>
      <c r="E760" s="29" t="s">
        <v>89</v>
      </c>
      <c r="F760" s="29" t="s">
        <v>3784</v>
      </c>
      <c r="G760" s="29" t="s">
        <v>3785</v>
      </c>
      <c r="H760" s="29" t="s">
        <v>3661</v>
      </c>
      <c r="I760" s="29" t="s">
        <v>42</v>
      </c>
      <c r="J760" s="29" t="s">
        <v>260</v>
      </c>
      <c r="K760" s="30" t="s">
        <v>44</v>
      </c>
      <c r="L760" s="31"/>
      <c r="M760" s="32"/>
    </row>
    <row r="761" customFormat="false" ht="51" hidden="false" customHeight="true" outlineLevel="0" collapsed="false">
      <c r="B761" s="29" t="s">
        <v>3786</v>
      </c>
      <c r="C761" s="29" t="s">
        <v>37</v>
      </c>
      <c r="D761" s="29" t="s">
        <v>3787</v>
      </c>
      <c r="E761" s="29" t="s">
        <v>356</v>
      </c>
      <c r="F761" s="29" t="s">
        <v>3788</v>
      </c>
      <c r="G761" s="29" t="s">
        <v>3789</v>
      </c>
      <c r="H761" s="29" t="s">
        <v>3661</v>
      </c>
      <c r="I761" s="29" t="s">
        <v>301</v>
      </c>
      <c r="J761" s="29" t="s">
        <v>201</v>
      </c>
      <c r="K761" s="30" t="s">
        <v>44</v>
      </c>
      <c r="L761" s="31"/>
      <c r="M761" s="32"/>
    </row>
    <row r="762" customFormat="false" ht="51" hidden="false" customHeight="true" outlineLevel="0" collapsed="false">
      <c r="B762" s="29" t="s">
        <v>3790</v>
      </c>
      <c r="C762" s="29" t="s">
        <v>37</v>
      </c>
      <c r="D762" s="29" t="s">
        <v>3791</v>
      </c>
      <c r="E762" s="29" t="s">
        <v>356</v>
      </c>
      <c r="F762" s="29" t="s">
        <v>3792</v>
      </c>
      <c r="G762" s="29" t="s">
        <v>3792</v>
      </c>
      <c r="H762" s="29" t="s">
        <v>3661</v>
      </c>
      <c r="I762" s="29" t="s">
        <v>3662</v>
      </c>
      <c r="J762" s="29" t="s">
        <v>154</v>
      </c>
      <c r="K762" s="30" t="s">
        <v>44</v>
      </c>
      <c r="L762" s="31"/>
      <c r="M762" s="32"/>
    </row>
    <row r="763" customFormat="false" ht="51" hidden="false" customHeight="true" outlineLevel="0" collapsed="false">
      <c r="B763" s="29" t="s">
        <v>3793</v>
      </c>
      <c r="C763" s="29" t="s">
        <v>37</v>
      </c>
      <c r="D763" s="29" t="s">
        <v>3794</v>
      </c>
      <c r="E763" s="29" t="s">
        <v>538</v>
      </c>
      <c r="F763" s="29" t="s">
        <v>3795</v>
      </c>
      <c r="G763" s="29" t="s">
        <v>3795</v>
      </c>
      <c r="H763" s="29" t="s">
        <v>3673</v>
      </c>
      <c r="I763" s="29" t="s">
        <v>467</v>
      </c>
      <c r="J763" s="29" t="s">
        <v>467</v>
      </c>
      <c r="K763" s="30" t="s">
        <v>44</v>
      </c>
      <c r="L763" s="31"/>
      <c r="M763" s="32"/>
    </row>
    <row r="764" customFormat="false" ht="51" hidden="false" customHeight="true" outlineLevel="0" collapsed="false">
      <c r="B764" s="29" t="s">
        <v>3796</v>
      </c>
      <c r="C764" s="29" t="s">
        <v>37</v>
      </c>
      <c r="D764" s="29" t="s">
        <v>3797</v>
      </c>
      <c r="E764" s="29" t="s">
        <v>339</v>
      </c>
      <c r="F764" s="29" t="s">
        <v>3798</v>
      </c>
      <c r="G764" s="29" t="s">
        <v>3798</v>
      </c>
      <c r="H764" s="29" t="s">
        <v>3661</v>
      </c>
      <c r="I764" s="29" t="s">
        <v>301</v>
      </c>
      <c r="J764" s="29" t="s">
        <v>201</v>
      </c>
      <c r="K764" s="30" t="s">
        <v>44</v>
      </c>
      <c r="L764" s="31"/>
      <c r="M764" s="32"/>
    </row>
    <row r="765" customFormat="false" ht="51" hidden="false" customHeight="true" outlineLevel="0" collapsed="false">
      <c r="B765" s="29" t="s">
        <v>3799</v>
      </c>
      <c r="C765" s="29" t="s">
        <v>37</v>
      </c>
      <c r="D765" s="29" t="s">
        <v>3800</v>
      </c>
      <c r="E765" s="29" t="s">
        <v>89</v>
      </c>
      <c r="F765" s="29" t="s">
        <v>3801</v>
      </c>
      <c r="G765" s="29" t="s">
        <v>3801</v>
      </c>
      <c r="H765" s="29" t="s">
        <v>3661</v>
      </c>
      <c r="I765" s="29" t="s">
        <v>42</v>
      </c>
      <c r="J765" s="29" t="s">
        <v>260</v>
      </c>
      <c r="K765" s="30" t="s">
        <v>44</v>
      </c>
      <c r="L765" s="31"/>
      <c r="M765" s="32"/>
    </row>
    <row r="766" customFormat="false" ht="51" hidden="false" customHeight="true" outlineLevel="0" collapsed="false">
      <c r="B766" s="29" t="s">
        <v>3802</v>
      </c>
      <c r="C766" s="29" t="s">
        <v>37</v>
      </c>
      <c r="D766" s="29" t="s">
        <v>3803</v>
      </c>
      <c r="E766" s="29" t="s">
        <v>538</v>
      </c>
      <c r="F766" s="29" t="s">
        <v>3804</v>
      </c>
      <c r="G766" s="29" t="s">
        <v>3804</v>
      </c>
      <c r="H766" s="29" t="s">
        <v>3673</v>
      </c>
      <c r="I766" s="29" t="s">
        <v>467</v>
      </c>
      <c r="J766" s="29" t="s">
        <v>467</v>
      </c>
      <c r="K766" s="30" t="s">
        <v>44</v>
      </c>
      <c r="L766" s="31"/>
      <c r="M766" s="32"/>
    </row>
    <row r="767" customFormat="false" ht="51" hidden="false" customHeight="true" outlineLevel="0" collapsed="false">
      <c r="B767" s="29" t="s">
        <v>3805</v>
      </c>
      <c r="C767" s="29" t="s">
        <v>37</v>
      </c>
      <c r="D767" s="29" t="s">
        <v>3806</v>
      </c>
      <c r="E767" s="29" t="s">
        <v>89</v>
      </c>
      <c r="F767" s="29" t="s">
        <v>3807</v>
      </c>
      <c r="G767" s="29" t="s">
        <v>3807</v>
      </c>
      <c r="H767" s="29" t="s">
        <v>3661</v>
      </c>
      <c r="I767" s="29" t="s">
        <v>3808</v>
      </c>
      <c r="J767" s="29" t="s">
        <v>2512</v>
      </c>
      <c r="K767" s="30" t="s">
        <v>44</v>
      </c>
      <c r="L767" s="31"/>
      <c r="M767" s="32"/>
    </row>
    <row r="768" customFormat="false" ht="51" hidden="false" customHeight="true" outlineLevel="0" collapsed="false">
      <c r="B768" s="29" t="s">
        <v>3809</v>
      </c>
      <c r="C768" s="29" t="s">
        <v>37</v>
      </c>
      <c r="D768" s="29" t="s">
        <v>3810</v>
      </c>
      <c r="E768" s="29" t="s">
        <v>595</v>
      </c>
      <c r="F768" s="29" t="s">
        <v>3811</v>
      </c>
      <c r="G768" s="29" t="s">
        <v>3811</v>
      </c>
      <c r="H768" s="29" t="s">
        <v>3661</v>
      </c>
      <c r="I768" s="29" t="s">
        <v>3662</v>
      </c>
      <c r="J768" s="29" t="s">
        <v>154</v>
      </c>
      <c r="K768" s="30" t="s">
        <v>44</v>
      </c>
      <c r="L768" s="31"/>
      <c r="M768" s="32"/>
    </row>
    <row r="769" customFormat="false" ht="51" hidden="false" customHeight="true" outlineLevel="0" collapsed="false">
      <c r="B769" s="29" t="s">
        <v>3812</v>
      </c>
      <c r="C769" s="29" t="s">
        <v>37</v>
      </c>
      <c r="D769" s="29" t="s">
        <v>3813</v>
      </c>
      <c r="E769" s="29" t="s">
        <v>350</v>
      </c>
      <c r="F769" s="29" t="s">
        <v>3814</v>
      </c>
      <c r="G769" s="29" t="s">
        <v>3814</v>
      </c>
      <c r="H769" s="29" t="s">
        <v>3661</v>
      </c>
      <c r="I769" s="29" t="s">
        <v>301</v>
      </c>
      <c r="J769" s="29" t="s">
        <v>201</v>
      </c>
      <c r="K769" s="30" t="s">
        <v>44</v>
      </c>
      <c r="L769" s="31"/>
      <c r="M769" s="32"/>
    </row>
    <row r="770" customFormat="false" ht="51" hidden="false" customHeight="true" outlineLevel="0" collapsed="false">
      <c r="B770" s="29" t="s">
        <v>3815</v>
      </c>
      <c r="C770" s="29" t="s">
        <v>37</v>
      </c>
      <c r="D770" s="29" t="s">
        <v>3816</v>
      </c>
      <c r="E770" s="29" t="s">
        <v>150</v>
      </c>
      <c r="F770" s="29" t="s">
        <v>3817</v>
      </c>
      <c r="G770" s="29" t="s">
        <v>3818</v>
      </c>
      <c r="H770" s="29" t="s">
        <v>3661</v>
      </c>
      <c r="I770" s="29" t="s">
        <v>3662</v>
      </c>
      <c r="J770" s="29" t="s">
        <v>154</v>
      </c>
      <c r="K770" s="30" t="s">
        <v>44</v>
      </c>
      <c r="L770" s="31"/>
      <c r="M770" s="32"/>
    </row>
    <row r="771" customFormat="false" ht="51" hidden="false" customHeight="true" outlineLevel="0" collapsed="false">
      <c r="B771" s="29" t="s">
        <v>3819</v>
      </c>
      <c r="C771" s="29" t="s">
        <v>37</v>
      </c>
      <c r="D771" s="29" t="s">
        <v>3820</v>
      </c>
      <c r="E771" s="29" t="s">
        <v>595</v>
      </c>
      <c r="F771" s="29" t="s">
        <v>3821</v>
      </c>
      <c r="G771" s="29" t="s">
        <v>3821</v>
      </c>
      <c r="H771" s="29" t="s">
        <v>3661</v>
      </c>
      <c r="I771" s="29" t="s">
        <v>3662</v>
      </c>
      <c r="J771" s="29" t="s">
        <v>154</v>
      </c>
      <c r="K771" s="30" t="s">
        <v>44</v>
      </c>
      <c r="L771" s="31"/>
      <c r="M771" s="32"/>
    </row>
    <row r="772" customFormat="false" ht="51" hidden="false" customHeight="true" outlineLevel="0" collapsed="false">
      <c r="B772" s="29" t="s">
        <v>3822</v>
      </c>
      <c r="C772" s="29" t="s">
        <v>37</v>
      </c>
      <c r="D772" s="29" t="s">
        <v>3823</v>
      </c>
      <c r="E772" s="29" t="s">
        <v>339</v>
      </c>
      <c r="F772" s="29" t="s">
        <v>3824</v>
      </c>
      <c r="G772" s="29" t="s">
        <v>3824</v>
      </c>
      <c r="H772" s="29" t="s">
        <v>3673</v>
      </c>
      <c r="I772" s="29" t="s">
        <v>467</v>
      </c>
      <c r="J772" s="29" t="s">
        <v>467</v>
      </c>
      <c r="K772" s="30" t="s">
        <v>44</v>
      </c>
      <c r="L772" s="31"/>
      <c r="M772" s="32"/>
    </row>
    <row r="773" customFormat="false" ht="51" hidden="false" customHeight="true" outlineLevel="0" collapsed="false">
      <c r="B773" s="29" t="s">
        <v>3825</v>
      </c>
      <c r="C773" s="29" t="s">
        <v>37</v>
      </c>
      <c r="D773" s="29" t="s">
        <v>3826</v>
      </c>
      <c r="E773" s="29" t="s">
        <v>205</v>
      </c>
      <c r="F773" s="29" t="s">
        <v>3827</v>
      </c>
      <c r="G773" s="29" t="s">
        <v>3828</v>
      </c>
      <c r="H773" s="29" t="s">
        <v>3661</v>
      </c>
      <c r="I773" s="29" t="s">
        <v>301</v>
      </c>
      <c r="J773" s="29" t="s">
        <v>201</v>
      </c>
      <c r="K773" s="30" t="s">
        <v>44</v>
      </c>
      <c r="L773" s="31"/>
      <c r="M773" s="32"/>
    </row>
    <row r="774" customFormat="false" ht="51" hidden="false" customHeight="true" outlineLevel="0" collapsed="false">
      <c r="B774" s="29" t="s">
        <v>3829</v>
      </c>
      <c r="C774" s="29" t="s">
        <v>37</v>
      </c>
      <c r="D774" s="29" t="s">
        <v>3830</v>
      </c>
      <c r="E774" s="29" t="s">
        <v>595</v>
      </c>
      <c r="F774" s="29" t="s">
        <v>3831</v>
      </c>
      <c r="G774" s="29" t="s">
        <v>3832</v>
      </c>
      <c r="H774" s="29" t="s">
        <v>3673</v>
      </c>
      <c r="I774" s="29" t="s">
        <v>467</v>
      </c>
      <c r="J774" s="29" t="s">
        <v>467</v>
      </c>
      <c r="K774" s="30" t="s">
        <v>44</v>
      </c>
      <c r="L774" s="31"/>
      <c r="M774" s="32"/>
    </row>
    <row r="775" customFormat="false" ht="51" hidden="false" customHeight="true" outlineLevel="0" collapsed="false">
      <c r="B775" s="29" t="s">
        <v>3833</v>
      </c>
      <c r="C775" s="29" t="s">
        <v>37</v>
      </c>
      <c r="D775" s="29" t="s">
        <v>3834</v>
      </c>
      <c r="E775" s="29" t="s">
        <v>595</v>
      </c>
      <c r="F775" s="29" t="s">
        <v>3835</v>
      </c>
      <c r="G775" s="29" t="s">
        <v>3835</v>
      </c>
      <c r="H775" s="29" t="s">
        <v>3661</v>
      </c>
      <c r="I775" s="29" t="s">
        <v>3662</v>
      </c>
      <c r="J775" s="29" t="s">
        <v>154</v>
      </c>
      <c r="K775" s="30" t="s">
        <v>44</v>
      </c>
      <c r="L775" s="31"/>
      <c r="M775" s="32"/>
    </row>
    <row r="776" customFormat="false" ht="51" hidden="false" customHeight="true" outlineLevel="0" collapsed="false">
      <c r="B776" s="29" t="s">
        <v>3836</v>
      </c>
      <c r="C776" s="29" t="s">
        <v>37</v>
      </c>
      <c r="D776" s="29" t="s">
        <v>3837</v>
      </c>
      <c r="E776" s="29" t="s">
        <v>339</v>
      </c>
      <c r="F776" s="29" t="s">
        <v>3838</v>
      </c>
      <c r="G776" s="29" t="s">
        <v>3838</v>
      </c>
      <c r="H776" s="29" t="s">
        <v>3661</v>
      </c>
      <c r="I776" s="29" t="s">
        <v>301</v>
      </c>
      <c r="J776" s="29" t="s">
        <v>201</v>
      </c>
      <c r="K776" s="30" t="s">
        <v>44</v>
      </c>
      <c r="L776" s="31"/>
      <c r="M776" s="32"/>
    </row>
    <row r="777" customFormat="false" ht="51" hidden="false" customHeight="true" outlineLevel="0" collapsed="false">
      <c r="B777" s="29" t="s">
        <v>3839</v>
      </c>
      <c r="C777" s="29" t="s">
        <v>37</v>
      </c>
      <c r="D777" s="29" t="s">
        <v>165</v>
      </c>
      <c r="E777" s="29" t="s">
        <v>538</v>
      </c>
      <c r="F777" s="29" t="s">
        <v>3840</v>
      </c>
      <c r="G777" s="29" t="s">
        <v>3840</v>
      </c>
      <c r="H777" s="29" t="s">
        <v>3841</v>
      </c>
      <c r="I777" s="29" t="s">
        <v>467</v>
      </c>
      <c r="J777" s="29" t="s">
        <v>467</v>
      </c>
      <c r="K777" s="30" t="s">
        <v>44</v>
      </c>
      <c r="L777" s="31"/>
      <c r="M777" s="32"/>
    </row>
    <row r="778" customFormat="false" ht="51" hidden="false" customHeight="true" outlineLevel="0" collapsed="false">
      <c r="B778" s="29" t="s">
        <v>3842</v>
      </c>
      <c r="C778" s="29" t="s">
        <v>37</v>
      </c>
      <c r="D778" s="29" t="s">
        <v>3843</v>
      </c>
      <c r="E778" s="29" t="s">
        <v>595</v>
      </c>
      <c r="F778" s="29" t="s">
        <v>3844</v>
      </c>
      <c r="G778" s="29" t="s">
        <v>3845</v>
      </c>
      <c r="H778" s="29" t="s">
        <v>3673</v>
      </c>
      <c r="I778" s="29" t="s">
        <v>467</v>
      </c>
      <c r="J778" s="29" t="s">
        <v>467</v>
      </c>
      <c r="K778" s="30" t="s">
        <v>44</v>
      </c>
      <c r="L778" s="31"/>
      <c r="M778" s="32"/>
    </row>
    <row r="779" customFormat="false" ht="51" hidden="false" customHeight="true" outlineLevel="0" collapsed="false">
      <c r="B779" s="29" t="s">
        <v>3846</v>
      </c>
      <c r="C779" s="29" t="s">
        <v>37</v>
      </c>
      <c r="D779" s="29" t="s">
        <v>3847</v>
      </c>
      <c r="E779" s="29" t="s">
        <v>205</v>
      </c>
      <c r="F779" s="29" t="s">
        <v>3848</v>
      </c>
      <c r="G779" s="29" t="s">
        <v>3849</v>
      </c>
      <c r="H779" s="29" t="s">
        <v>3850</v>
      </c>
      <c r="I779" s="29" t="s">
        <v>301</v>
      </c>
      <c r="J779" s="29" t="s">
        <v>201</v>
      </c>
      <c r="K779" s="30" t="s">
        <v>44</v>
      </c>
      <c r="L779" s="31"/>
      <c r="M779" s="32"/>
    </row>
    <row r="780" customFormat="false" ht="51" hidden="false" customHeight="true" outlineLevel="0" collapsed="false">
      <c r="B780" s="29" t="s">
        <v>3851</v>
      </c>
      <c r="C780" s="29" t="s">
        <v>37</v>
      </c>
      <c r="D780" s="29" t="s">
        <v>3852</v>
      </c>
      <c r="E780" s="29" t="s">
        <v>205</v>
      </c>
      <c r="F780" s="29" t="s">
        <v>3853</v>
      </c>
      <c r="G780" s="29" t="s">
        <v>3853</v>
      </c>
      <c r="H780" s="29" t="s">
        <v>3854</v>
      </c>
      <c r="I780" s="29" t="s">
        <v>301</v>
      </c>
      <c r="J780" s="29" t="s">
        <v>201</v>
      </c>
      <c r="K780" s="30" t="s">
        <v>44</v>
      </c>
      <c r="L780" s="31"/>
      <c r="M780" s="32"/>
    </row>
    <row r="781" customFormat="false" ht="51" hidden="false" customHeight="true" outlineLevel="0" collapsed="false">
      <c r="B781" s="29" t="s">
        <v>3855</v>
      </c>
      <c r="C781" s="29" t="s">
        <v>37</v>
      </c>
      <c r="D781" s="29" t="s">
        <v>3856</v>
      </c>
      <c r="E781" s="29" t="s">
        <v>205</v>
      </c>
      <c r="F781" s="29" t="s">
        <v>3857</v>
      </c>
      <c r="G781" s="29" t="s">
        <v>3858</v>
      </c>
      <c r="H781" s="29" t="s">
        <v>3854</v>
      </c>
      <c r="I781" s="29" t="s">
        <v>301</v>
      </c>
      <c r="J781" s="29" t="s">
        <v>201</v>
      </c>
      <c r="K781" s="30" t="s">
        <v>44</v>
      </c>
      <c r="L781" s="31"/>
      <c r="M781" s="32"/>
    </row>
    <row r="782" customFormat="false" ht="51" hidden="false" customHeight="true" outlineLevel="0" collapsed="false">
      <c r="B782" s="29" t="s">
        <v>3859</v>
      </c>
      <c r="C782" s="29" t="s">
        <v>37</v>
      </c>
      <c r="D782" s="29" t="s">
        <v>3860</v>
      </c>
      <c r="E782" s="29" t="s">
        <v>205</v>
      </c>
      <c r="F782" s="29" t="s">
        <v>3861</v>
      </c>
      <c r="G782" s="29" t="s">
        <v>3862</v>
      </c>
      <c r="H782" s="29" t="s">
        <v>3854</v>
      </c>
      <c r="I782" s="29" t="s">
        <v>301</v>
      </c>
      <c r="J782" s="29" t="s">
        <v>201</v>
      </c>
      <c r="K782" s="30" t="s">
        <v>44</v>
      </c>
      <c r="L782" s="31"/>
      <c r="M782" s="32"/>
    </row>
    <row r="783" customFormat="false" ht="51" hidden="false" customHeight="true" outlineLevel="0" collapsed="false">
      <c r="B783" s="29" t="s">
        <v>3863</v>
      </c>
      <c r="C783" s="29" t="s">
        <v>37</v>
      </c>
      <c r="D783" s="29" t="s">
        <v>3864</v>
      </c>
      <c r="E783" s="29" t="s">
        <v>205</v>
      </c>
      <c r="F783" s="29" t="s">
        <v>3865</v>
      </c>
      <c r="G783" s="29" t="s">
        <v>3866</v>
      </c>
      <c r="H783" s="29" t="s">
        <v>3854</v>
      </c>
      <c r="I783" s="29" t="s">
        <v>301</v>
      </c>
      <c r="J783" s="29" t="s">
        <v>201</v>
      </c>
      <c r="K783" s="30" t="s">
        <v>44</v>
      </c>
      <c r="L783" s="31"/>
      <c r="M783" s="32"/>
    </row>
    <row r="784" customFormat="false" ht="51" hidden="false" customHeight="true" outlineLevel="0" collapsed="false">
      <c r="B784" s="29" t="s">
        <v>3867</v>
      </c>
      <c r="C784" s="29" t="s">
        <v>37</v>
      </c>
      <c r="D784" s="29" t="s">
        <v>3868</v>
      </c>
      <c r="E784" s="29" t="s">
        <v>205</v>
      </c>
      <c r="F784" s="29" t="s">
        <v>3869</v>
      </c>
      <c r="G784" s="29" t="s">
        <v>3870</v>
      </c>
      <c r="H784" s="29" t="s">
        <v>3854</v>
      </c>
      <c r="I784" s="29" t="s">
        <v>301</v>
      </c>
      <c r="J784" s="29" t="s">
        <v>201</v>
      </c>
      <c r="K784" s="30" t="s">
        <v>44</v>
      </c>
      <c r="L784" s="31"/>
      <c r="M784" s="32"/>
    </row>
    <row r="785" customFormat="false" ht="51" hidden="false" customHeight="true" outlineLevel="0" collapsed="false">
      <c r="B785" s="29" t="s">
        <v>3871</v>
      </c>
      <c r="C785" s="29" t="s">
        <v>37</v>
      </c>
      <c r="D785" s="29" t="s">
        <v>3872</v>
      </c>
      <c r="E785" s="29" t="s">
        <v>595</v>
      </c>
      <c r="F785" s="29" t="s">
        <v>3873</v>
      </c>
      <c r="G785" s="29" t="s">
        <v>3873</v>
      </c>
      <c r="H785" s="29" t="s">
        <v>3874</v>
      </c>
      <c r="I785" s="29" t="s">
        <v>467</v>
      </c>
      <c r="J785" s="29" t="s">
        <v>467</v>
      </c>
      <c r="K785" s="30" t="s">
        <v>44</v>
      </c>
      <c r="L785" s="31"/>
      <c r="M785" s="32"/>
    </row>
    <row r="786" customFormat="false" ht="51" hidden="false" customHeight="true" outlineLevel="0" collapsed="false">
      <c r="B786" s="29" t="s">
        <v>3875</v>
      </c>
      <c r="C786" s="29" t="s">
        <v>37</v>
      </c>
      <c r="D786" s="29" t="s">
        <v>3876</v>
      </c>
      <c r="E786" s="29" t="s">
        <v>356</v>
      </c>
      <c r="F786" s="29" t="s">
        <v>3877</v>
      </c>
      <c r="G786" s="29" t="s">
        <v>3878</v>
      </c>
      <c r="H786" s="29" t="s">
        <v>3879</v>
      </c>
      <c r="I786" s="29" t="s">
        <v>301</v>
      </c>
      <c r="J786" s="29" t="s">
        <v>201</v>
      </c>
      <c r="K786" s="30" t="s">
        <v>44</v>
      </c>
      <c r="L786" s="31"/>
      <c r="M786" s="32"/>
    </row>
    <row r="787" customFormat="false" ht="51" hidden="false" customHeight="true" outlineLevel="0" collapsed="false">
      <c r="B787" s="29" t="s">
        <v>3880</v>
      </c>
      <c r="C787" s="29" t="s">
        <v>37</v>
      </c>
      <c r="D787" s="29" t="s">
        <v>3881</v>
      </c>
      <c r="E787" s="29" t="s">
        <v>339</v>
      </c>
      <c r="F787" s="29" t="s">
        <v>3882</v>
      </c>
      <c r="G787" s="29" t="s">
        <v>3883</v>
      </c>
      <c r="H787" s="29" t="s">
        <v>3879</v>
      </c>
      <c r="I787" s="29" t="s">
        <v>301</v>
      </c>
      <c r="J787" s="29" t="s">
        <v>201</v>
      </c>
      <c r="K787" s="30" t="s">
        <v>44</v>
      </c>
      <c r="L787" s="31"/>
      <c r="M787" s="32"/>
    </row>
    <row r="788" customFormat="false" ht="51" hidden="false" customHeight="true" outlineLevel="0" collapsed="false">
      <c r="B788" s="29" t="s">
        <v>3884</v>
      </c>
      <c r="C788" s="29" t="s">
        <v>37</v>
      </c>
      <c r="D788" s="29" t="s">
        <v>3885</v>
      </c>
      <c r="E788" s="29" t="s">
        <v>538</v>
      </c>
      <c r="F788" s="29" t="s">
        <v>3886</v>
      </c>
      <c r="G788" s="29" t="s">
        <v>3886</v>
      </c>
      <c r="H788" s="29" t="s">
        <v>3874</v>
      </c>
      <c r="I788" s="29" t="s">
        <v>467</v>
      </c>
      <c r="J788" s="29" t="s">
        <v>467</v>
      </c>
      <c r="K788" s="30" t="s">
        <v>44</v>
      </c>
      <c r="L788" s="31"/>
      <c r="M788" s="32"/>
    </row>
    <row r="789" customFormat="false" ht="51" hidden="false" customHeight="true" outlineLevel="0" collapsed="false">
      <c r="B789" s="29" t="s">
        <v>3887</v>
      </c>
      <c r="C789" s="29" t="s">
        <v>37</v>
      </c>
      <c r="D789" s="29" t="s">
        <v>3888</v>
      </c>
      <c r="E789" s="29" t="s">
        <v>350</v>
      </c>
      <c r="F789" s="29" t="s">
        <v>3889</v>
      </c>
      <c r="G789" s="29" t="s">
        <v>3890</v>
      </c>
      <c r="H789" s="29" t="s">
        <v>3879</v>
      </c>
      <c r="I789" s="29" t="s">
        <v>301</v>
      </c>
      <c r="J789" s="29" t="s">
        <v>201</v>
      </c>
      <c r="K789" s="30" t="s">
        <v>44</v>
      </c>
      <c r="L789" s="31"/>
      <c r="M789" s="32"/>
    </row>
    <row r="790" customFormat="false" ht="51" hidden="false" customHeight="true" outlineLevel="0" collapsed="false">
      <c r="B790" s="29" t="s">
        <v>3891</v>
      </c>
      <c r="C790" s="29" t="s">
        <v>37</v>
      </c>
      <c r="D790" s="29" t="s">
        <v>3892</v>
      </c>
      <c r="E790" s="29" t="s">
        <v>356</v>
      </c>
      <c r="F790" s="29" t="s">
        <v>3893</v>
      </c>
      <c r="G790" s="29" t="s">
        <v>3894</v>
      </c>
      <c r="H790" s="29" t="s">
        <v>3879</v>
      </c>
      <c r="I790" s="29" t="s">
        <v>301</v>
      </c>
      <c r="J790" s="29" t="s">
        <v>201</v>
      </c>
      <c r="K790" s="30" t="s">
        <v>44</v>
      </c>
      <c r="L790" s="31"/>
      <c r="M790" s="32"/>
    </row>
    <row r="791" customFormat="false" ht="51" hidden="false" customHeight="true" outlineLevel="0" collapsed="false">
      <c r="B791" s="29" t="s">
        <v>3895</v>
      </c>
      <c r="C791" s="29" t="s">
        <v>37</v>
      </c>
      <c r="D791" s="29" t="s">
        <v>3896</v>
      </c>
      <c r="E791" s="29" t="s">
        <v>356</v>
      </c>
      <c r="F791" s="29" t="s">
        <v>3897</v>
      </c>
      <c r="G791" s="29" t="s">
        <v>3898</v>
      </c>
      <c r="H791" s="29" t="s">
        <v>3879</v>
      </c>
      <c r="I791" s="29" t="s">
        <v>301</v>
      </c>
      <c r="J791" s="29" t="s">
        <v>201</v>
      </c>
      <c r="K791" s="30" t="s">
        <v>44</v>
      </c>
      <c r="L791" s="31"/>
      <c r="M791" s="32"/>
    </row>
    <row r="792" customFormat="false" ht="51" hidden="false" customHeight="true" outlineLevel="0" collapsed="false">
      <c r="B792" s="29" t="s">
        <v>3899</v>
      </c>
      <c r="C792" s="29" t="s">
        <v>37</v>
      </c>
      <c r="D792" s="29" t="s">
        <v>3900</v>
      </c>
      <c r="E792" s="29" t="s">
        <v>356</v>
      </c>
      <c r="F792" s="29" t="s">
        <v>3901</v>
      </c>
      <c r="G792" s="29" t="s">
        <v>3902</v>
      </c>
      <c r="H792" s="29" t="s">
        <v>3879</v>
      </c>
      <c r="I792" s="29" t="s">
        <v>301</v>
      </c>
      <c r="J792" s="29" t="s">
        <v>201</v>
      </c>
      <c r="K792" s="30" t="s">
        <v>44</v>
      </c>
      <c r="L792" s="31"/>
      <c r="M792" s="32"/>
    </row>
    <row r="793" customFormat="false" ht="51" hidden="false" customHeight="true" outlineLevel="0" collapsed="false">
      <c r="B793" s="29" t="s">
        <v>3903</v>
      </c>
      <c r="C793" s="29" t="s">
        <v>37</v>
      </c>
      <c r="D793" s="29" t="s">
        <v>3904</v>
      </c>
      <c r="E793" s="29" t="s">
        <v>350</v>
      </c>
      <c r="F793" s="29" t="s">
        <v>3905</v>
      </c>
      <c r="G793" s="29" t="s">
        <v>3906</v>
      </c>
      <c r="H793" s="29" t="s">
        <v>3879</v>
      </c>
      <c r="I793" s="29" t="s">
        <v>301</v>
      </c>
      <c r="J793" s="29" t="s">
        <v>201</v>
      </c>
      <c r="K793" s="30" t="s">
        <v>44</v>
      </c>
      <c r="L793" s="31"/>
      <c r="M793" s="32"/>
    </row>
    <row r="794" customFormat="false" ht="51" hidden="false" customHeight="true" outlineLevel="0" collapsed="false">
      <c r="B794" s="29" t="s">
        <v>3907</v>
      </c>
      <c r="C794" s="29" t="s">
        <v>37</v>
      </c>
      <c r="D794" s="29" t="s">
        <v>3908</v>
      </c>
      <c r="E794" s="29" t="s">
        <v>350</v>
      </c>
      <c r="F794" s="29" t="s">
        <v>3909</v>
      </c>
      <c r="G794" s="29" t="s">
        <v>3910</v>
      </c>
      <c r="H794" s="29" t="s">
        <v>3879</v>
      </c>
      <c r="I794" s="29" t="s">
        <v>301</v>
      </c>
      <c r="J794" s="29" t="s">
        <v>201</v>
      </c>
      <c r="K794" s="30" t="s">
        <v>44</v>
      </c>
      <c r="L794" s="31"/>
      <c r="M794" s="32"/>
    </row>
    <row r="795" customFormat="false" ht="51" hidden="false" customHeight="true" outlineLevel="0" collapsed="false">
      <c r="B795" s="29" t="s">
        <v>3911</v>
      </c>
      <c r="C795" s="29" t="s">
        <v>37</v>
      </c>
      <c r="D795" s="29" t="s">
        <v>276</v>
      </c>
      <c r="E795" s="29" t="s">
        <v>595</v>
      </c>
      <c r="F795" s="29" t="s">
        <v>3912</v>
      </c>
      <c r="G795" s="29" t="s">
        <v>3913</v>
      </c>
      <c r="H795" s="29" t="s">
        <v>3914</v>
      </c>
      <c r="I795" s="29" t="s">
        <v>467</v>
      </c>
      <c r="J795" s="29" t="s">
        <v>467</v>
      </c>
      <c r="K795" s="30" t="s">
        <v>44</v>
      </c>
      <c r="L795" s="31"/>
      <c r="M795" s="32"/>
    </row>
    <row r="796" customFormat="false" ht="51" hidden="false" customHeight="true" outlineLevel="0" collapsed="false">
      <c r="B796" s="29" t="s">
        <v>3915</v>
      </c>
      <c r="C796" s="29" t="s">
        <v>37</v>
      </c>
      <c r="D796" s="29" t="s">
        <v>3916</v>
      </c>
      <c r="E796" s="29" t="s">
        <v>97</v>
      </c>
      <c r="F796" s="29" t="s">
        <v>3917</v>
      </c>
      <c r="G796" s="29" t="s">
        <v>3918</v>
      </c>
      <c r="H796" s="29" t="s">
        <v>3919</v>
      </c>
      <c r="I796" s="29" t="s">
        <v>3808</v>
      </c>
      <c r="J796" s="29" t="s">
        <v>535</v>
      </c>
      <c r="K796" s="30" t="s">
        <v>44</v>
      </c>
      <c r="L796" s="31"/>
      <c r="M796" s="32"/>
    </row>
    <row r="797" customFormat="false" ht="51" hidden="false" customHeight="true" outlineLevel="0" collapsed="false">
      <c r="B797" s="29" t="s">
        <v>3920</v>
      </c>
      <c r="C797" s="29" t="s">
        <v>37</v>
      </c>
      <c r="D797" s="29" t="s">
        <v>3921</v>
      </c>
      <c r="E797" s="29" t="s">
        <v>97</v>
      </c>
      <c r="F797" s="29" t="s">
        <v>3922</v>
      </c>
      <c r="G797" s="29" t="s">
        <v>3923</v>
      </c>
      <c r="H797" s="29" t="s">
        <v>3919</v>
      </c>
      <c r="I797" s="29" t="s">
        <v>42</v>
      </c>
      <c r="J797" s="29" t="s">
        <v>65</v>
      </c>
      <c r="K797" s="30" t="s">
        <v>44</v>
      </c>
      <c r="L797" s="31"/>
      <c r="M797" s="32"/>
    </row>
    <row r="798" customFormat="false" ht="51" hidden="false" customHeight="true" outlineLevel="0" collapsed="false">
      <c r="B798" s="29" t="s">
        <v>3924</v>
      </c>
      <c r="C798" s="29" t="s">
        <v>37</v>
      </c>
      <c r="D798" s="29" t="s">
        <v>3925</v>
      </c>
      <c r="E798" s="29" t="s">
        <v>595</v>
      </c>
      <c r="F798" s="29" t="s">
        <v>3926</v>
      </c>
      <c r="G798" s="29" t="s">
        <v>3927</v>
      </c>
      <c r="H798" s="29" t="s">
        <v>3919</v>
      </c>
      <c r="I798" s="29" t="s">
        <v>3662</v>
      </c>
      <c r="J798" s="29" t="s">
        <v>154</v>
      </c>
      <c r="K798" s="30" t="s">
        <v>44</v>
      </c>
      <c r="L798" s="31"/>
      <c r="M798" s="32"/>
    </row>
    <row r="799" customFormat="false" ht="51" hidden="false" customHeight="true" outlineLevel="0" collapsed="false">
      <c r="B799" s="29" t="s">
        <v>3928</v>
      </c>
      <c r="C799" s="29" t="s">
        <v>37</v>
      </c>
      <c r="D799" s="29" t="s">
        <v>219</v>
      </c>
      <c r="E799" s="29" t="s">
        <v>595</v>
      </c>
      <c r="F799" s="29" t="s">
        <v>3929</v>
      </c>
      <c r="G799" s="29" t="s">
        <v>3930</v>
      </c>
      <c r="H799" s="29" t="s">
        <v>3931</v>
      </c>
      <c r="I799" s="29" t="s">
        <v>3662</v>
      </c>
      <c r="J799" s="29" t="s">
        <v>154</v>
      </c>
      <c r="K799" s="30" t="s">
        <v>44</v>
      </c>
      <c r="L799" s="31"/>
      <c r="M799" s="32"/>
    </row>
    <row r="800" customFormat="false" ht="51" hidden="false" customHeight="true" outlineLevel="0" collapsed="false">
      <c r="B800" s="29" t="s">
        <v>3932</v>
      </c>
      <c r="C800" s="29" t="s">
        <v>37</v>
      </c>
      <c r="D800" s="29" t="s">
        <v>227</v>
      </c>
      <c r="E800" s="29" t="s">
        <v>595</v>
      </c>
      <c r="F800" s="29" t="s">
        <v>3933</v>
      </c>
      <c r="G800" s="29" t="s">
        <v>3934</v>
      </c>
      <c r="H800" s="29" t="s">
        <v>3931</v>
      </c>
      <c r="I800" s="29" t="s">
        <v>3662</v>
      </c>
      <c r="J800" s="29" t="s">
        <v>154</v>
      </c>
      <c r="K800" s="30" t="s">
        <v>44</v>
      </c>
      <c r="L800" s="31"/>
      <c r="M800" s="32"/>
    </row>
    <row r="801" customFormat="false" ht="51" hidden="false" customHeight="true" outlineLevel="0" collapsed="false">
      <c r="B801" s="29" t="s">
        <v>3935</v>
      </c>
      <c r="C801" s="29" t="s">
        <v>37</v>
      </c>
      <c r="D801" s="29" t="s">
        <v>3936</v>
      </c>
      <c r="E801" s="29" t="s">
        <v>595</v>
      </c>
      <c r="F801" s="29" t="s">
        <v>3937</v>
      </c>
      <c r="G801" s="29" t="s">
        <v>3938</v>
      </c>
      <c r="H801" s="29" t="s">
        <v>3931</v>
      </c>
      <c r="I801" s="29" t="s">
        <v>3939</v>
      </c>
      <c r="J801" s="29" t="s">
        <v>1917</v>
      </c>
      <c r="K801" s="30" t="s">
        <v>44</v>
      </c>
      <c r="L801" s="31"/>
      <c r="M801" s="32"/>
    </row>
    <row r="802" customFormat="false" ht="51" hidden="false" customHeight="true" outlineLevel="0" collapsed="false">
      <c r="B802" s="29" t="s">
        <v>3940</v>
      </c>
      <c r="C802" s="29" t="s">
        <v>37</v>
      </c>
      <c r="D802" s="29" t="s">
        <v>3941</v>
      </c>
      <c r="E802" s="29" t="s">
        <v>595</v>
      </c>
      <c r="F802" s="29" t="s">
        <v>3942</v>
      </c>
      <c r="G802" s="29" t="s">
        <v>3942</v>
      </c>
      <c r="H802" s="29" t="s">
        <v>3931</v>
      </c>
      <c r="I802" s="29" t="s">
        <v>3662</v>
      </c>
      <c r="J802" s="29" t="s">
        <v>154</v>
      </c>
      <c r="K802" s="30" t="s">
        <v>44</v>
      </c>
      <c r="L802" s="31"/>
      <c r="M802" s="32"/>
    </row>
    <row r="803" customFormat="false" ht="51" hidden="false" customHeight="true" outlineLevel="0" collapsed="false">
      <c r="B803" s="29" t="s">
        <v>3943</v>
      </c>
      <c r="C803" s="29" t="s">
        <v>37</v>
      </c>
      <c r="D803" s="29" t="s">
        <v>3944</v>
      </c>
      <c r="E803" s="29" t="s">
        <v>595</v>
      </c>
      <c r="F803" s="29" t="s">
        <v>3945</v>
      </c>
      <c r="G803" s="29" t="s">
        <v>3945</v>
      </c>
      <c r="H803" s="29" t="s">
        <v>3931</v>
      </c>
      <c r="I803" s="29" t="s">
        <v>3662</v>
      </c>
      <c r="J803" s="29" t="s">
        <v>154</v>
      </c>
      <c r="K803" s="30" t="s">
        <v>44</v>
      </c>
      <c r="L803" s="31"/>
      <c r="M803" s="32"/>
    </row>
    <row r="804" customFormat="false" ht="51" hidden="false" customHeight="true" outlineLevel="0" collapsed="false">
      <c r="B804" s="29" t="s">
        <v>3946</v>
      </c>
      <c r="C804" s="29" t="s">
        <v>37</v>
      </c>
      <c r="D804" s="29" t="s">
        <v>3947</v>
      </c>
      <c r="E804" s="29" t="s">
        <v>595</v>
      </c>
      <c r="F804" s="29" t="s">
        <v>3948</v>
      </c>
      <c r="G804" s="29" t="s">
        <v>3948</v>
      </c>
      <c r="H804" s="29" t="s">
        <v>3931</v>
      </c>
      <c r="I804" s="29" t="s">
        <v>3662</v>
      </c>
      <c r="J804" s="29" t="s">
        <v>154</v>
      </c>
      <c r="K804" s="30" t="s">
        <v>44</v>
      </c>
      <c r="L804" s="31"/>
      <c r="M804" s="32"/>
    </row>
    <row r="805" customFormat="false" ht="51" hidden="false" customHeight="true" outlineLevel="0" collapsed="false">
      <c r="B805" s="29" t="s">
        <v>3949</v>
      </c>
      <c r="C805" s="29" t="s">
        <v>37</v>
      </c>
      <c r="D805" s="29" t="s">
        <v>233</v>
      </c>
      <c r="E805" s="29" t="s">
        <v>185</v>
      </c>
      <c r="F805" s="29" t="s">
        <v>3950</v>
      </c>
      <c r="G805" s="29" t="s">
        <v>3951</v>
      </c>
      <c r="H805" s="29" t="s">
        <v>3952</v>
      </c>
      <c r="I805" s="29" t="s">
        <v>335</v>
      </c>
      <c r="J805" s="29" t="s">
        <v>336</v>
      </c>
      <c r="K805" s="30" t="s">
        <v>44</v>
      </c>
      <c r="L805" s="31"/>
      <c r="M805" s="32"/>
    </row>
    <row r="806" customFormat="false" ht="51" hidden="false" customHeight="true" outlineLevel="0" collapsed="false">
      <c r="B806" s="29" t="s">
        <v>3953</v>
      </c>
      <c r="C806" s="29" t="s">
        <v>37</v>
      </c>
      <c r="D806" s="29" t="s">
        <v>238</v>
      </c>
      <c r="E806" s="29" t="s">
        <v>185</v>
      </c>
      <c r="F806" s="29" t="s">
        <v>3954</v>
      </c>
      <c r="G806" s="29" t="s">
        <v>3954</v>
      </c>
      <c r="H806" s="29" t="s">
        <v>3952</v>
      </c>
      <c r="I806" s="29" t="s">
        <v>335</v>
      </c>
      <c r="J806" s="29" t="s">
        <v>336</v>
      </c>
      <c r="K806" s="30" t="s">
        <v>44</v>
      </c>
      <c r="L806" s="31"/>
      <c r="M806" s="32"/>
    </row>
    <row r="807" customFormat="false" ht="51" hidden="false" customHeight="true" outlineLevel="0" collapsed="false">
      <c r="B807" s="29" t="s">
        <v>3955</v>
      </c>
      <c r="C807" s="29" t="s">
        <v>37</v>
      </c>
      <c r="D807" s="29" t="s">
        <v>3956</v>
      </c>
      <c r="E807" s="29" t="s">
        <v>350</v>
      </c>
      <c r="F807" s="29" t="s">
        <v>3957</v>
      </c>
      <c r="G807" s="29" t="s">
        <v>3958</v>
      </c>
      <c r="H807" s="29" t="s">
        <v>3959</v>
      </c>
      <c r="I807" s="29" t="s">
        <v>3662</v>
      </c>
      <c r="J807" s="29" t="s">
        <v>154</v>
      </c>
      <c r="K807" s="30" t="s">
        <v>44</v>
      </c>
      <c r="L807" s="31"/>
      <c r="M807" s="32"/>
    </row>
    <row r="808" customFormat="false" ht="51" hidden="false" customHeight="true" outlineLevel="0" collapsed="false">
      <c r="B808" s="29" t="s">
        <v>3960</v>
      </c>
      <c r="C808" s="29" t="s">
        <v>37</v>
      </c>
      <c r="D808" s="29" t="s">
        <v>3961</v>
      </c>
      <c r="E808" s="29" t="s">
        <v>205</v>
      </c>
      <c r="F808" s="29" t="s">
        <v>3962</v>
      </c>
      <c r="G808" s="29" t="s">
        <v>3963</v>
      </c>
      <c r="H808" s="29" t="s">
        <v>3959</v>
      </c>
      <c r="I808" s="29" t="s">
        <v>301</v>
      </c>
      <c r="J808" s="29" t="s">
        <v>201</v>
      </c>
      <c r="K808" s="30" t="s">
        <v>44</v>
      </c>
      <c r="L808" s="31"/>
      <c r="M808" s="32"/>
    </row>
    <row r="809" customFormat="false" ht="51" hidden="false" customHeight="true" outlineLevel="0" collapsed="false">
      <c r="B809" s="29" t="s">
        <v>3964</v>
      </c>
      <c r="C809" s="29" t="s">
        <v>37</v>
      </c>
      <c r="D809" s="29" t="s">
        <v>3965</v>
      </c>
      <c r="E809" s="29" t="s">
        <v>205</v>
      </c>
      <c r="F809" s="29" t="s">
        <v>3966</v>
      </c>
      <c r="G809" s="29" t="s">
        <v>3967</v>
      </c>
      <c r="H809" s="29" t="s">
        <v>3959</v>
      </c>
      <c r="I809" s="29" t="s">
        <v>301</v>
      </c>
      <c r="J809" s="29" t="s">
        <v>201</v>
      </c>
      <c r="K809" s="30" t="s">
        <v>44</v>
      </c>
      <c r="L809" s="31"/>
      <c r="M809" s="32"/>
    </row>
    <row r="810" customFormat="false" ht="51" hidden="false" customHeight="true" outlineLevel="0" collapsed="false">
      <c r="B810" s="29" t="s">
        <v>3968</v>
      </c>
      <c r="C810" s="29" t="s">
        <v>37</v>
      </c>
      <c r="D810" s="29" t="s">
        <v>3969</v>
      </c>
      <c r="E810" s="29" t="s">
        <v>205</v>
      </c>
      <c r="F810" s="29" t="s">
        <v>3970</v>
      </c>
      <c r="G810" s="29" t="s">
        <v>3971</v>
      </c>
      <c r="H810" s="29" t="s">
        <v>3959</v>
      </c>
      <c r="I810" s="29" t="s">
        <v>301</v>
      </c>
      <c r="J810" s="29" t="s">
        <v>201</v>
      </c>
      <c r="K810" s="30" t="s">
        <v>44</v>
      </c>
      <c r="L810" s="31"/>
      <c r="M810" s="32"/>
    </row>
    <row r="811" customFormat="false" ht="51" hidden="false" customHeight="true" outlineLevel="0" collapsed="false">
      <c r="B811" s="29" t="s">
        <v>3972</v>
      </c>
      <c r="C811" s="29" t="s">
        <v>37</v>
      </c>
      <c r="D811" s="29" t="s">
        <v>3973</v>
      </c>
      <c r="E811" s="29" t="s">
        <v>356</v>
      </c>
      <c r="F811" s="29" t="s">
        <v>3974</v>
      </c>
      <c r="G811" s="29" t="s">
        <v>3975</v>
      </c>
      <c r="H811" s="29" t="s">
        <v>3959</v>
      </c>
      <c r="I811" s="29" t="s">
        <v>301</v>
      </c>
      <c r="J811" s="29" t="s">
        <v>201</v>
      </c>
      <c r="K811" s="30" t="s">
        <v>44</v>
      </c>
      <c r="L811" s="31"/>
      <c r="M811" s="32"/>
    </row>
    <row r="812" customFormat="false" ht="51" hidden="false" customHeight="true" outlineLevel="0" collapsed="false">
      <c r="B812" s="29" t="s">
        <v>3976</v>
      </c>
      <c r="C812" s="29" t="s">
        <v>37</v>
      </c>
      <c r="D812" s="29" t="s">
        <v>3977</v>
      </c>
      <c r="E812" s="29" t="s">
        <v>185</v>
      </c>
      <c r="F812" s="29" t="s">
        <v>3978</v>
      </c>
      <c r="G812" s="29" t="s">
        <v>3979</v>
      </c>
      <c r="H812" s="29" t="s">
        <v>3959</v>
      </c>
      <c r="I812" s="29" t="s">
        <v>335</v>
      </c>
      <c r="J812" s="29" t="s">
        <v>336</v>
      </c>
      <c r="K812" s="30" t="s">
        <v>44</v>
      </c>
      <c r="L812" s="31"/>
      <c r="M812" s="32"/>
    </row>
    <row r="813" customFormat="false" ht="51" hidden="false" customHeight="true" outlineLevel="0" collapsed="false">
      <c r="B813" s="29" t="s">
        <v>3980</v>
      </c>
      <c r="C813" s="29" t="s">
        <v>37</v>
      </c>
      <c r="D813" s="29" t="s">
        <v>3981</v>
      </c>
      <c r="E813" s="29" t="s">
        <v>205</v>
      </c>
      <c r="F813" s="29" t="s">
        <v>3982</v>
      </c>
      <c r="G813" s="29" t="s">
        <v>3983</v>
      </c>
      <c r="H813" s="29" t="s">
        <v>3984</v>
      </c>
      <c r="I813" s="29" t="s">
        <v>301</v>
      </c>
      <c r="J813" s="29" t="s">
        <v>201</v>
      </c>
      <c r="K813" s="30" t="s">
        <v>44</v>
      </c>
      <c r="L813" s="31"/>
      <c r="M813" s="32"/>
    </row>
    <row r="814" customFormat="false" ht="51" hidden="false" customHeight="true" outlineLevel="0" collapsed="false">
      <c r="B814" s="29" t="s">
        <v>3985</v>
      </c>
      <c r="C814" s="29" t="s">
        <v>37</v>
      </c>
      <c r="D814" s="29" t="s">
        <v>3986</v>
      </c>
      <c r="E814" s="29" t="s">
        <v>205</v>
      </c>
      <c r="F814" s="29" t="s">
        <v>3987</v>
      </c>
      <c r="G814" s="29" t="s">
        <v>3988</v>
      </c>
      <c r="H814" s="29" t="s">
        <v>3984</v>
      </c>
      <c r="I814" s="29" t="s">
        <v>301</v>
      </c>
      <c r="J814" s="29" t="s">
        <v>201</v>
      </c>
      <c r="K814" s="30" t="s">
        <v>44</v>
      </c>
      <c r="L814" s="31"/>
      <c r="M814" s="32"/>
    </row>
    <row r="815" customFormat="false" ht="51" hidden="false" customHeight="true" outlineLevel="0" collapsed="false">
      <c r="B815" s="29" t="s">
        <v>3989</v>
      </c>
      <c r="C815" s="29" t="s">
        <v>37</v>
      </c>
      <c r="D815" s="29" t="s">
        <v>3990</v>
      </c>
      <c r="E815" s="29" t="s">
        <v>205</v>
      </c>
      <c r="F815" s="29" t="s">
        <v>3991</v>
      </c>
      <c r="G815" s="29" t="s">
        <v>3992</v>
      </c>
      <c r="H815" s="29" t="s">
        <v>3984</v>
      </c>
      <c r="I815" s="29" t="s">
        <v>301</v>
      </c>
      <c r="J815" s="29" t="s">
        <v>201</v>
      </c>
      <c r="K815" s="30" t="s">
        <v>44</v>
      </c>
      <c r="L815" s="31"/>
      <c r="M815" s="32"/>
    </row>
    <row r="816" customFormat="false" ht="51" hidden="false" customHeight="true" outlineLevel="0" collapsed="false">
      <c r="B816" s="29" t="s">
        <v>3993</v>
      </c>
      <c r="C816" s="29" t="s">
        <v>37</v>
      </c>
      <c r="D816" s="29" t="s">
        <v>3994</v>
      </c>
      <c r="E816" s="29" t="s">
        <v>350</v>
      </c>
      <c r="F816" s="29" t="s">
        <v>3995</v>
      </c>
      <c r="G816" s="29" t="s">
        <v>3996</v>
      </c>
      <c r="H816" s="29" t="s">
        <v>3984</v>
      </c>
      <c r="I816" s="29" t="s">
        <v>301</v>
      </c>
      <c r="J816" s="29" t="s">
        <v>201</v>
      </c>
      <c r="K816" s="30" t="s">
        <v>44</v>
      </c>
      <c r="L816" s="31"/>
      <c r="M816" s="32"/>
    </row>
    <row r="817" customFormat="false" ht="51" hidden="false" customHeight="true" outlineLevel="0" collapsed="false">
      <c r="B817" s="29" t="s">
        <v>3997</v>
      </c>
      <c r="C817" s="29" t="s">
        <v>37</v>
      </c>
      <c r="D817" s="29" t="s">
        <v>3998</v>
      </c>
      <c r="E817" s="29" t="s">
        <v>356</v>
      </c>
      <c r="F817" s="29" t="s">
        <v>3999</v>
      </c>
      <c r="G817" s="29" t="s">
        <v>4000</v>
      </c>
      <c r="H817" s="29" t="s">
        <v>3984</v>
      </c>
      <c r="I817" s="29" t="s">
        <v>301</v>
      </c>
      <c r="J817" s="29" t="s">
        <v>201</v>
      </c>
      <c r="K817" s="30" t="s">
        <v>44</v>
      </c>
      <c r="L817" s="31"/>
      <c r="M817" s="32"/>
    </row>
    <row r="818" customFormat="false" ht="51" hidden="false" customHeight="true" outlineLevel="0" collapsed="false">
      <c r="B818" s="29" t="s">
        <v>4001</v>
      </c>
      <c r="C818" s="29" t="s">
        <v>37</v>
      </c>
      <c r="D818" s="29" t="s">
        <v>4002</v>
      </c>
      <c r="E818" s="29" t="s">
        <v>205</v>
      </c>
      <c r="F818" s="29" t="s">
        <v>4003</v>
      </c>
      <c r="G818" s="29" t="s">
        <v>4004</v>
      </c>
      <c r="H818" s="29" t="s">
        <v>3984</v>
      </c>
      <c r="I818" s="29" t="s">
        <v>301</v>
      </c>
      <c r="J818" s="29" t="s">
        <v>201</v>
      </c>
      <c r="K818" s="30" t="s">
        <v>44</v>
      </c>
      <c r="L818" s="31"/>
      <c r="M818" s="32"/>
    </row>
    <row r="819" customFormat="false" ht="51" hidden="false" customHeight="true" outlineLevel="0" collapsed="false">
      <c r="B819" s="29" t="s">
        <v>4005</v>
      </c>
      <c r="C819" s="29" t="s">
        <v>37</v>
      </c>
      <c r="D819" s="29" t="s">
        <v>4006</v>
      </c>
      <c r="E819" s="29" t="s">
        <v>205</v>
      </c>
      <c r="F819" s="29" t="s">
        <v>4007</v>
      </c>
      <c r="G819" s="29" t="s">
        <v>4008</v>
      </c>
      <c r="H819" s="29" t="s">
        <v>3984</v>
      </c>
      <c r="I819" s="29" t="s">
        <v>301</v>
      </c>
      <c r="J819" s="29" t="s">
        <v>201</v>
      </c>
      <c r="K819" s="30" t="s">
        <v>44</v>
      </c>
      <c r="L819" s="31"/>
      <c r="M819" s="32"/>
    </row>
    <row r="820" customFormat="false" ht="51" hidden="false" customHeight="true" outlineLevel="0" collapsed="false">
      <c r="B820" s="29" t="s">
        <v>4009</v>
      </c>
      <c r="C820" s="29" t="s">
        <v>37</v>
      </c>
      <c r="D820" s="29" t="s">
        <v>4010</v>
      </c>
      <c r="E820" s="29" t="s">
        <v>205</v>
      </c>
      <c r="F820" s="29" t="s">
        <v>4011</v>
      </c>
      <c r="G820" s="29" t="s">
        <v>4012</v>
      </c>
      <c r="H820" s="29" t="s">
        <v>4013</v>
      </c>
      <c r="I820" s="29" t="s">
        <v>301</v>
      </c>
      <c r="J820" s="29" t="s">
        <v>201</v>
      </c>
      <c r="K820" s="30" t="s">
        <v>44</v>
      </c>
      <c r="L820" s="31"/>
      <c r="M820" s="32"/>
    </row>
    <row r="821" customFormat="false" ht="51" hidden="false" customHeight="true" outlineLevel="0" collapsed="false">
      <c r="B821" s="29" t="s">
        <v>4014</v>
      </c>
      <c r="C821" s="29" t="s">
        <v>37</v>
      </c>
      <c r="D821" s="29" t="s">
        <v>4015</v>
      </c>
      <c r="E821" s="29" t="s">
        <v>205</v>
      </c>
      <c r="F821" s="29" t="s">
        <v>4016</v>
      </c>
      <c r="G821" s="29" t="s">
        <v>4017</v>
      </c>
      <c r="H821" s="29" t="s">
        <v>4013</v>
      </c>
      <c r="I821" s="29" t="s">
        <v>301</v>
      </c>
      <c r="J821" s="29" t="s">
        <v>201</v>
      </c>
      <c r="K821" s="30" t="s">
        <v>44</v>
      </c>
      <c r="L821" s="31"/>
      <c r="M821" s="32"/>
    </row>
    <row r="822" customFormat="false" ht="51" hidden="false" customHeight="true" outlineLevel="0" collapsed="false">
      <c r="B822" s="29" t="s">
        <v>4018</v>
      </c>
      <c r="C822" s="29" t="s">
        <v>37</v>
      </c>
      <c r="D822" s="29" t="s">
        <v>4019</v>
      </c>
      <c r="E822" s="29" t="s">
        <v>205</v>
      </c>
      <c r="F822" s="29" t="s">
        <v>4020</v>
      </c>
      <c r="G822" s="29" t="s">
        <v>4021</v>
      </c>
      <c r="H822" s="29" t="s">
        <v>4013</v>
      </c>
      <c r="I822" s="29" t="s">
        <v>301</v>
      </c>
      <c r="J822" s="29" t="s">
        <v>201</v>
      </c>
      <c r="K822" s="30" t="s">
        <v>44</v>
      </c>
      <c r="L822" s="31"/>
      <c r="M822" s="32"/>
    </row>
    <row r="823" customFormat="false" ht="51" hidden="false" customHeight="true" outlineLevel="0" collapsed="false">
      <c r="B823" s="29" t="s">
        <v>4022</v>
      </c>
      <c r="C823" s="29" t="s">
        <v>37</v>
      </c>
      <c r="D823" s="29" t="s">
        <v>4023</v>
      </c>
      <c r="E823" s="29" t="s">
        <v>205</v>
      </c>
      <c r="F823" s="29" t="s">
        <v>4024</v>
      </c>
      <c r="G823" s="29" t="s">
        <v>4025</v>
      </c>
      <c r="H823" s="29" t="s">
        <v>4013</v>
      </c>
      <c r="I823" s="29" t="s">
        <v>301</v>
      </c>
      <c r="J823" s="29" t="s">
        <v>201</v>
      </c>
      <c r="K823" s="30" t="s">
        <v>44</v>
      </c>
      <c r="L823" s="31"/>
      <c r="M823" s="32"/>
    </row>
    <row r="824" customFormat="false" ht="51" hidden="false" customHeight="true" outlineLevel="0" collapsed="false">
      <c r="B824" s="29" t="s">
        <v>4026</v>
      </c>
      <c r="C824" s="29" t="s">
        <v>37</v>
      </c>
      <c r="D824" s="29" t="s">
        <v>4027</v>
      </c>
      <c r="E824" s="29" t="s">
        <v>205</v>
      </c>
      <c r="F824" s="29" t="s">
        <v>4028</v>
      </c>
      <c r="G824" s="29" t="s">
        <v>4029</v>
      </c>
      <c r="H824" s="29" t="s">
        <v>4013</v>
      </c>
      <c r="I824" s="29" t="s">
        <v>301</v>
      </c>
      <c r="J824" s="29" t="s">
        <v>201</v>
      </c>
      <c r="K824" s="30" t="s">
        <v>44</v>
      </c>
      <c r="L824" s="31"/>
      <c r="M824" s="32"/>
    </row>
    <row r="825" customFormat="false" ht="51" hidden="false" customHeight="true" outlineLevel="0" collapsed="false">
      <c r="B825" s="29" t="s">
        <v>4030</v>
      </c>
      <c r="C825" s="29" t="s">
        <v>37</v>
      </c>
      <c r="D825" s="29" t="s">
        <v>4031</v>
      </c>
      <c r="E825" s="29" t="s">
        <v>205</v>
      </c>
      <c r="F825" s="29" t="s">
        <v>4032</v>
      </c>
      <c r="G825" s="29" t="s">
        <v>4033</v>
      </c>
      <c r="H825" s="29" t="s">
        <v>4013</v>
      </c>
      <c r="I825" s="29" t="s">
        <v>3662</v>
      </c>
      <c r="J825" s="29" t="s">
        <v>154</v>
      </c>
      <c r="K825" s="30" t="s">
        <v>44</v>
      </c>
      <c r="L825" s="31"/>
      <c r="M825" s="32"/>
    </row>
    <row r="826" customFormat="false" ht="51" hidden="false" customHeight="true" outlineLevel="0" collapsed="false">
      <c r="B826" s="29" t="s">
        <v>4034</v>
      </c>
      <c r="C826" s="29" t="s">
        <v>37</v>
      </c>
      <c r="D826" s="29" t="s">
        <v>4035</v>
      </c>
      <c r="E826" s="29" t="s">
        <v>205</v>
      </c>
      <c r="F826" s="29" t="s">
        <v>4036</v>
      </c>
      <c r="G826" s="29" t="s">
        <v>4037</v>
      </c>
      <c r="H826" s="29" t="s">
        <v>4013</v>
      </c>
      <c r="I826" s="29" t="s">
        <v>301</v>
      </c>
      <c r="J826" s="29" t="s">
        <v>201</v>
      </c>
      <c r="K826" s="30" t="s">
        <v>44</v>
      </c>
      <c r="L826" s="31"/>
      <c r="M826" s="32"/>
    </row>
    <row r="827" customFormat="false" ht="51" hidden="false" customHeight="true" outlineLevel="0" collapsed="false">
      <c r="B827" s="29" t="s">
        <v>4038</v>
      </c>
      <c r="C827" s="29" t="s">
        <v>37</v>
      </c>
      <c r="D827" s="29" t="s">
        <v>4039</v>
      </c>
      <c r="E827" s="29" t="s">
        <v>205</v>
      </c>
      <c r="F827" s="29" t="s">
        <v>4040</v>
      </c>
      <c r="G827" s="29" t="s">
        <v>4041</v>
      </c>
      <c r="H827" s="29" t="s">
        <v>4013</v>
      </c>
      <c r="I827" s="29" t="s">
        <v>301</v>
      </c>
      <c r="J827" s="29" t="s">
        <v>201</v>
      </c>
      <c r="K827" s="30" t="s">
        <v>44</v>
      </c>
      <c r="L827" s="31"/>
      <c r="M827" s="32"/>
    </row>
    <row r="828" customFormat="false" ht="51" hidden="false" customHeight="true" outlineLevel="0" collapsed="false">
      <c r="B828" s="29" t="s">
        <v>4042</v>
      </c>
      <c r="C828" s="29" t="s">
        <v>37</v>
      </c>
      <c r="D828" s="29" t="s">
        <v>4043</v>
      </c>
      <c r="E828" s="29" t="s">
        <v>205</v>
      </c>
      <c r="F828" s="29" t="s">
        <v>4044</v>
      </c>
      <c r="G828" s="29" t="s">
        <v>4045</v>
      </c>
      <c r="H828" s="29" t="s">
        <v>4046</v>
      </c>
      <c r="I828" s="29" t="s">
        <v>301</v>
      </c>
      <c r="J828" s="29" t="s">
        <v>201</v>
      </c>
      <c r="K828" s="30" t="s">
        <v>44</v>
      </c>
      <c r="L828" s="31"/>
      <c r="M828" s="32"/>
    </row>
    <row r="829" customFormat="false" ht="51" hidden="false" customHeight="true" outlineLevel="0" collapsed="false">
      <c r="B829" s="29" t="s">
        <v>4047</v>
      </c>
      <c r="C829" s="29" t="s">
        <v>37</v>
      </c>
      <c r="D829" s="29" t="s">
        <v>4048</v>
      </c>
      <c r="E829" s="29" t="s">
        <v>356</v>
      </c>
      <c r="F829" s="29" t="s">
        <v>4049</v>
      </c>
      <c r="G829" s="29" t="s">
        <v>4050</v>
      </c>
      <c r="H829" s="29" t="s">
        <v>4051</v>
      </c>
      <c r="I829" s="29" t="s">
        <v>3662</v>
      </c>
      <c r="J829" s="29" t="s">
        <v>154</v>
      </c>
      <c r="K829" s="30" t="s">
        <v>44</v>
      </c>
      <c r="L829" s="31"/>
      <c r="M829" s="32"/>
    </row>
    <row r="830" customFormat="false" ht="51" hidden="false" customHeight="true" outlineLevel="0" collapsed="false">
      <c r="B830" s="29" t="s">
        <v>4052</v>
      </c>
      <c r="C830" s="29" t="s">
        <v>37</v>
      </c>
      <c r="D830" s="29" t="s">
        <v>4053</v>
      </c>
      <c r="E830" s="29" t="s">
        <v>356</v>
      </c>
      <c r="F830" s="29" t="s">
        <v>4054</v>
      </c>
      <c r="G830" s="29" t="s">
        <v>4055</v>
      </c>
      <c r="H830" s="29" t="s">
        <v>4051</v>
      </c>
      <c r="I830" s="29" t="s">
        <v>301</v>
      </c>
      <c r="J830" s="29" t="s">
        <v>201</v>
      </c>
      <c r="K830" s="30" t="s">
        <v>44</v>
      </c>
      <c r="L830" s="31"/>
      <c r="M830" s="32"/>
    </row>
    <row r="831" customFormat="false" ht="51" hidden="false" customHeight="true" outlineLevel="0" collapsed="false">
      <c r="B831" s="29" t="s">
        <v>4056</v>
      </c>
      <c r="C831" s="29" t="s">
        <v>37</v>
      </c>
      <c r="D831" s="29" t="s">
        <v>4057</v>
      </c>
      <c r="E831" s="29" t="s">
        <v>356</v>
      </c>
      <c r="F831" s="29" t="s">
        <v>4058</v>
      </c>
      <c r="G831" s="29" t="s">
        <v>4058</v>
      </c>
      <c r="H831" s="29" t="s">
        <v>4051</v>
      </c>
      <c r="I831" s="29" t="s">
        <v>301</v>
      </c>
      <c r="J831" s="29" t="s">
        <v>201</v>
      </c>
      <c r="K831" s="30" t="s">
        <v>44</v>
      </c>
      <c r="L831" s="31"/>
      <c r="M831" s="32"/>
    </row>
    <row r="832" customFormat="false" ht="51" hidden="false" customHeight="true" outlineLevel="0" collapsed="false">
      <c r="B832" s="29" t="s">
        <v>4059</v>
      </c>
      <c r="C832" s="29" t="s">
        <v>37</v>
      </c>
      <c r="D832" s="29" t="s">
        <v>4060</v>
      </c>
      <c r="E832" s="29" t="s">
        <v>356</v>
      </c>
      <c r="F832" s="29" t="s">
        <v>4061</v>
      </c>
      <c r="G832" s="29" t="s">
        <v>4062</v>
      </c>
      <c r="H832" s="29" t="s">
        <v>4063</v>
      </c>
      <c r="I832" s="29" t="s">
        <v>301</v>
      </c>
      <c r="J832" s="29" t="s">
        <v>201</v>
      </c>
      <c r="K832" s="30" t="s">
        <v>44</v>
      </c>
      <c r="L832" s="31"/>
      <c r="M832" s="32"/>
    </row>
    <row r="833" customFormat="false" ht="51" hidden="false" customHeight="true" outlineLevel="0" collapsed="false">
      <c r="B833" s="29" t="s">
        <v>4064</v>
      </c>
      <c r="C833" s="29" t="s">
        <v>37</v>
      </c>
      <c r="D833" s="29" t="s">
        <v>4065</v>
      </c>
      <c r="E833" s="29" t="s">
        <v>595</v>
      </c>
      <c r="F833" s="29" t="s">
        <v>4066</v>
      </c>
      <c r="G833" s="29" t="s">
        <v>4066</v>
      </c>
      <c r="H833" s="29" t="s">
        <v>4067</v>
      </c>
      <c r="I833" s="29" t="s">
        <v>467</v>
      </c>
      <c r="J833" s="29" t="s">
        <v>467</v>
      </c>
      <c r="K833" s="30" t="s">
        <v>44</v>
      </c>
      <c r="L833" s="31"/>
      <c r="M833" s="32"/>
    </row>
    <row r="834" customFormat="false" ht="51" hidden="false" customHeight="true" outlineLevel="0" collapsed="false">
      <c r="B834" s="29" t="s">
        <v>4068</v>
      </c>
      <c r="C834" s="29" t="s">
        <v>37</v>
      </c>
      <c r="D834" s="29" t="s">
        <v>4069</v>
      </c>
      <c r="E834" s="29" t="s">
        <v>595</v>
      </c>
      <c r="F834" s="29" t="s">
        <v>4070</v>
      </c>
      <c r="G834" s="29" t="s">
        <v>4071</v>
      </c>
      <c r="H834" s="29" t="s">
        <v>4067</v>
      </c>
      <c r="I834" s="29" t="s">
        <v>467</v>
      </c>
      <c r="J834" s="29" t="s">
        <v>467</v>
      </c>
      <c r="K834" s="30" t="s">
        <v>44</v>
      </c>
      <c r="L834" s="31"/>
      <c r="M834" s="32"/>
    </row>
    <row r="835" customFormat="false" ht="51" hidden="false" customHeight="true" outlineLevel="0" collapsed="false">
      <c r="B835" s="29" t="s">
        <v>4072</v>
      </c>
      <c r="C835" s="29" t="s">
        <v>37</v>
      </c>
      <c r="D835" s="29" t="s">
        <v>4073</v>
      </c>
      <c r="E835" s="29" t="s">
        <v>356</v>
      </c>
      <c r="F835" s="29" t="s">
        <v>4074</v>
      </c>
      <c r="G835" s="29" t="s">
        <v>4075</v>
      </c>
      <c r="H835" s="29" t="s">
        <v>4063</v>
      </c>
      <c r="I835" s="29" t="s">
        <v>301</v>
      </c>
      <c r="J835" s="29" t="s">
        <v>201</v>
      </c>
      <c r="K835" s="30" t="s">
        <v>44</v>
      </c>
      <c r="L835" s="31"/>
      <c r="M835" s="32"/>
    </row>
    <row r="836" customFormat="false" ht="51" hidden="false" customHeight="true" outlineLevel="0" collapsed="false">
      <c r="B836" s="29" t="s">
        <v>4076</v>
      </c>
      <c r="C836" s="29" t="s">
        <v>37</v>
      </c>
      <c r="D836" s="29" t="s">
        <v>4077</v>
      </c>
      <c r="E836" s="29" t="s">
        <v>595</v>
      </c>
      <c r="F836" s="29" t="s">
        <v>4078</v>
      </c>
      <c r="G836" s="29" t="s">
        <v>4079</v>
      </c>
      <c r="H836" s="29" t="s">
        <v>4067</v>
      </c>
      <c r="I836" s="29" t="s">
        <v>467</v>
      </c>
      <c r="J836" s="29" t="s">
        <v>467</v>
      </c>
      <c r="K836" s="30" t="s">
        <v>44</v>
      </c>
      <c r="L836" s="31"/>
      <c r="M836" s="32"/>
    </row>
    <row r="837" customFormat="false" ht="51" hidden="false" customHeight="true" outlineLevel="0" collapsed="false">
      <c r="B837" s="29" t="s">
        <v>4080</v>
      </c>
      <c r="C837" s="29" t="s">
        <v>37</v>
      </c>
      <c r="D837" s="29" t="s">
        <v>4081</v>
      </c>
      <c r="E837" s="29" t="s">
        <v>339</v>
      </c>
      <c r="F837" s="29" t="s">
        <v>4082</v>
      </c>
      <c r="G837" s="29" t="s">
        <v>4083</v>
      </c>
      <c r="H837" s="29" t="s">
        <v>4063</v>
      </c>
      <c r="I837" s="29" t="s">
        <v>301</v>
      </c>
      <c r="J837" s="29" t="s">
        <v>201</v>
      </c>
      <c r="K837" s="30" t="s">
        <v>44</v>
      </c>
      <c r="L837" s="31"/>
      <c r="M837" s="32"/>
    </row>
    <row r="838" customFormat="false" ht="51" hidden="false" customHeight="true" outlineLevel="0" collapsed="false">
      <c r="B838" s="29" t="s">
        <v>4084</v>
      </c>
      <c r="C838" s="29" t="s">
        <v>37</v>
      </c>
      <c r="D838" s="29" t="s">
        <v>4085</v>
      </c>
      <c r="E838" s="29" t="s">
        <v>595</v>
      </c>
      <c r="F838" s="29" t="s">
        <v>4086</v>
      </c>
      <c r="G838" s="29" t="s">
        <v>4086</v>
      </c>
      <c r="H838" s="29" t="s">
        <v>4067</v>
      </c>
      <c r="I838" s="29" t="s">
        <v>467</v>
      </c>
      <c r="J838" s="29" t="s">
        <v>467</v>
      </c>
      <c r="K838" s="30" t="s">
        <v>44</v>
      </c>
      <c r="L838" s="31"/>
      <c r="M838" s="32"/>
    </row>
    <row r="839" customFormat="false" ht="51" hidden="false" customHeight="true" outlineLevel="0" collapsed="false">
      <c r="B839" s="29" t="s">
        <v>4087</v>
      </c>
      <c r="C839" s="29" t="s">
        <v>37</v>
      </c>
      <c r="D839" s="29" t="s">
        <v>4088</v>
      </c>
      <c r="E839" s="29" t="s">
        <v>356</v>
      </c>
      <c r="F839" s="29" t="s">
        <v>4089</v>
      </c>
      <c r="G839" s="29" t="s">
        <v>4090</v>
      </c>
      <c r="H839" s="29" t="s">
        <v>4091</v>
      </c>
      <c r="I839" s="29" t="s">
        <v>301</v>
      </c>
      <c r="J839" s="29" t="s">
        <v>201</v>
      </c>
      <c r="K839" s="30" t="s">
        <v>44</v>
      </c>
      <c r="L839" s="31"/>
      <c r="M839" s="32"/>
    </row>
    <row r="840" customFormat="false" ht="51" hidden="false" customHeight="true" outlineLevel="0" collapsed="false">
      <c r="B840" s="29" t="s">
        <v>4092</v>
      </c>
      <c r="C840" s="29" t="s">
        <v>37</v>
      </c>
      <c r="D840" s="29" t="s">
        <v>4093</v>
      </c>
      <c r="E840" s="29" t="s">
        <v>339</v>
      </c>
      <c r="F840" s="29" t="s">
        <v>4094</v>
      </c>
      <c r="G840" s="29" t="s">
        <v>4095</v>
      </c>
      <c r="H840" s="29" t="s">
        <v>4091</v>
      </c>
      <c r="I840" s="29" t="s">
        <v>301</v>
      </c>
      <c r="J840" s="29" t="s">
        <v>201</v>
      </c>
      <c r="K840" s="30" t="s">
        <v>44</v>
      </c>
      <c r="L840" s="31"/>
      <c r="M840" s="32"/>
    </row>
    <row r="841" customFormat="false" ht="51" hidden="false" customHeight="true" outlineLevel="0" collapsed="false">
      <c r="B841" s="29" t="s">
        <v>4096</v>
      </c>
      <c r="C841" s="29" t="s">
        <v>37</v>
      </c>
      <c r="D841" s="29" t="s">
        <v>4097</v>
      </c>
      <c r="E841" s="29" t="s">
        <v>339</v>
      </c>
      <c r="F841" s="29" t="s">
        <v>4098</v>
      </c>
      <c r="G841" s="29" t="s">
        <v>4099</v>
      </c>
      <c r="H841" s="29" t="s">
        <v>4091</v>
      </c>
      <c r="I841" s="29" t="s">
        <v>301</v>
      </c>
      <c r="J841" s="29" t="s">
        <v>201</v>
      </c>
      <c r="K841" s="30" t="s">
        <v>44</v>
      </c>
      <c r="L841" s="31"/>
      <c r="M841" s="32"/>
    </row>
    <row r="842" customFormat="false" ht="51" hidden="false" customHeight="true" outlineLevel="0" collapsed="false">
      <c r="B842" s="29" t="s">
        <v>4100</v>
      </c>
      <c r="C842" s="29" t="s">
        <v>37</v>
      </c>
      <c r="D842" s="29" t="s">
        <v>4101</v>
      </c>
      <c r="E842" s="29" t="s">
        <v>339</v>
      </c>
      <c r="F842" s="29" t="s">
        <v>4102</v>
      </c>
      <c r="G842" s="29" t="s">
        <v>4103</v>
      </c>
      <c r="H842" s="29" t="s">
        <v>4091</v>
      </c>
      <c r="I842" s="29" t="s">
        <v>301</v>
      </c>
      <c r="J842" s="29" t="s">
        <v>201</v>
      </c>
      <c r="K842" s="30" t="s">
        <v>44</v>
      </c>
      <c r="L842" s="31"/>
      <c r="M842" s="32"/>
    </row>
    <row r="843" customFormat="false" ht="51" hidden="false" customHeight="true" outlineLevel="0" collapsed="false">
      <c r="B843" s="29" t="s">
        <v>4104</v>
      </c>
      <c r="C843" s="29" t="s">
        <v>37</v>
      </c>
      <c r="D843" s="29" t="s">
        <v>4105</v>
      </c>
      <c r="E843" s="29" t="s">
        <v>356</v>
      </c>
      <c r="F843" s="29" t="s">
        <v>4106</v>
      </c>
      <c r="G843" s="29" t="s">
        <v>4107</v>
      </c>
      <c r="H843" s="29" t="s">
        <v>4091</v>
      </c>
      <c r="I843" s="29" t="s">
        <v>301</v>
      </c>
      <c r="J843" s="29" t="s">
        <v>201</v>
      </c>
      <c r="K843" s="30" t="s">
        <v>44</v>
      </c>
      <c r="L843" s="31"/>
      <c r="M843" s="32"/>
    </row>
    <row r="844" customFormat="false" ht="51" hidden="false" customHeight="true" outlineLevel="0" collapsed="false">
      <c r="B844" s="29" t="s">
        <v>4108</v>
      </c>
      <c r="C844" s="29" t="s">
        <v>37</v>
      </c>
      <c r="D844" s="29" t="s">
        <v>4109</v>
      </c>
      <c r="E844" s="29" t="s">
        <v>339</v>
      </c>
      <c r="F844" s="29" t="s">
        <v>4110</v>
      </c>
      <c r="G844" s="29" t="s">
        <v>4111</v>
      </c>
      <c r="H844" s="29" t="s">
        <v>4091</v>
      </c>
      <c r="I844" s="29" t="s">
        <v>301</v>
      </c>
      <c r="J844" s="29" t="s">
        <v>201</v>
      </c>
      <c r="K844" s="30" t="s">
        <v>44</v>
      </c>
      <c r="L844" s="31"/>
      <c r="M844" s="32"/>
    </row>
    <row r="845" customFormat="false" ht="51" hidden="false" customHeight="true" outlineLevel="0" collapsed="false">
      <c r="B845" s="29" t="s">
        <v>4112</v>
      </c>
      <c r="C845" s="29" t="s">
        <v>37</v>
      </c>
      <c r="D845" s="29" t="s">
        <v>4113</v>
      </c>
      <c r="E845" s="29" t="s">
        <v>339</v>
      </c>
      <c r="F845" s="29" t="s">
        <v>4114</v>
      </c>
      <c r="G845" s="29" t="s">
        <v>4115</v>
      </c>
      <c r="H845" s="29" t="s">
        <v>4091</v>
      </c>
      <c r="I845" s="29" t="s">
        <v>301</v>
      </c>
      <c r="J845" s="29" t="s">
        <v>201</v>
      </c>
      <c r="K845" s="30" t="s">
        <v>44</v>
      </c>
      <c r="L845" s="31"/>
      <c r="M845" s="32"/>
    </row>
    <row r="846" customFormat="false" ht="51" hidden="false" customHeight="true" outlineLevel="0" collapsed="false">
      <c r="B846" s="29" t="s">
        <v>4116</v>
      </c>
      <c r="C846" s="29" t="s">
        <v>37</v>
      </c>
      <c r="D846" s="29" t="s">
        <v>4117</v>
      </c>
      <c r="E846" s="29" t="s">
        <v>356</v>
      </c>
      <c r="F846" s="29" t="s">
        <v>4118</v>
      </c>
      <c r="G846" s="29" t="s">
        <v>4119</v>
      </c>
      <c r="H846" s="29" t="s">
        <v>4091</v>
      </c>
      <c r="I846" s="29" t="s">
        <v>301</v>
      </c>
      <c r="J846" s="29" t="s">
        <v>201</v>
      </c>
      <c r="K846" s="30" t="s">
        <v>44</v>
      </c>
      <c r="L846" s="31"/>
      <c r="M846" s="32"/>
    </row>
    <row r="847" customFormat="false" ht="51" hidden="false" customHeight="true" outlineLevel="0" collapsed="false">
      <c r="B847" s="29" t="s">
        <v>4120</v>
      </c>
      <c r="C847" s="29" t="s">
        <v>37</v>
      </c>
      <c r="D847" s="29" t="s">
        <v>4121</v>
      </c>
      <c r="E847" s="29" t="s">
        <v>339</v>
      </c>
      <c r="F847" s="29" t="s">
        <v>4122</v>
      </c>
      <c r="G847" s="29" t="s">
        <v>4123</v>
      </c>
      <c r="H847" s="29" t="s">
        <v>4091</v>
      </c>
      <c r="I847" s="29" t="s">
        <v>301</v>
      </c>
      <c r="J847" s="29" t="s">
        <v>201</v>
      </c>
      <c r="K847" s="30" t="s">
        <v>44</v>
      </c>
      <c r="L847" s="31"/>
      <c r="M847" s="32"/>
    </row>
    <row r="848" customFormat="false" ht="51" hidden="false" customHeight="true" outlineLevel="0" collapsed="false">
      <c r="B848" s="29" t="s">
        <v>4124</v>
      </c>
      <c r="C848" s="29" t="s">
        <v>37</v>
      </c>
      <c r="D848" s="29" t="s">
        <v>4125</v>
      </c>
      <c r="E848" s="29" t="s">
        <v>339</v>
      </c>
      <c r="F848" s="29" t="s">
        <v>4126</v>
      </c>
      <c r="G848" s="29" t="s">
        <v>4127</v>
      </c>
      <c r="H848" s="29" t="s">
        <v>4091</v>
      </c>
      <c r="I848" s="29" t="s">
        <v>301</v>
      </c>
      <c r="J848" s="29" t="s">
        <v>201</v>
      </c>
      <c r="K848" s="30" t="s">
        <v>44</v>
      </c>
      <c r="L848" s="31"/>
      <c r="M848" s="32"/>
    </row>
    <row r="849" customFormat="false" ht="51" hidden="false" customHeight="true" outlineLevel="0" collapsed="false">
      <c r="B849" s="29" t="s">
        <v>4128</v>
      </c>
      <c r="C849" s="29" t="s">
        <v>37</v>
      </c>
      <c r="D849" s="29" t="s">
        <v>4129</v>
      </c>
      <c r="E849" s="29" t="s">
        <v>538</v>
      </c>
      <c r="F849" s="29" t="s">
        <v>4130</v>
      </c>
      <c r="G849" s="29" t="s">
        <v>4130</v>
      </c>
      <c r="H849" s="29" t="s">
        <v>4131</v>
      </c>
      <c r="I849" s="29" t="s">
        <v>467</v>
      </c>
      <c r="J849" s="29" t="s">
        <v>467</v>
      </c>
      <c r="K849" s="30" t="s">
        <v>44</v>
      </c>
      <c r="L849" s="31"/>
      <c r="M849" s="32"/>
    </row>
    <row r="850" customFormat="false" ht="51" hidden="false" customHeight="true" outlineLevel="0" collapsed="false">
      <c r="B850" s="29" t="s">
        <v>4132</v>
      </c>
      <c r="C850" s="29" t="s">
        <v>37</v>
      </c>
      <c r="D850" s="29" t="s">
        <v>4133</v>
      </c>
      <c r="E850" s="29" t="s">
        <v>339</v>
      </c>
      <c r="F850" s="29" t="s">
        <v>4134</v>
      </c>
      <c r="G850" s="29" t="s">
        <v>4135</v>
      </c>
      <c r="H850" s="29" t="s">
        <v>4136</v>
      </c>
      <c r="I850" s="29" t="s">
        <v>301</v>
      </c>
      <c r="J850" s="29" t="s">
        <v>201</v>
      </c>
      <c r="K850" s="30" t="s">
        <v>44</v>
      </c>
      <c r="L850" s="31"/>
      <c r="M850" s="32"/>
    </row>
    <row r="851" customFormat="false" ht="51" hidden="false" customHeight="true" outlineLevel="0" collapsed="false">
      <c r="B851" s="29" t="s">
        <v>4137</v>
      </c>
      <c r="C851" s="29" t="s">
        <v>37</v>
      </c>
      <c r="D851" s="29" t="s">
        <v>4138</v>
      </c>
      <c r="E851" s="29" t="s">
        <v>356</v>
      </c>
      <c r="F851" s="29" t="s">
        <v>4139</v>
      </c>
      <c r="G851" s="29" t="s">
        <v>4140</v>
      </c>
      <c r="H851" s="29" t="s">
        <v>4136</v>
      </c>
      <c r="I851" s="29" t="s">
        <v>3662</v>
      </c>
      <c r="J851" s="29" t="s">
        <v>154</v>
      </c>
      <c r="K851" s="30" t="s">
        <v>44</v>
      </c>
      <c r="L851" s="31"/>
      <c r="M851" s="32"/>
    </row>
    <row r="852" customFormat="false" ht="51" hidden="false" customHeight="true" outlineLevel="0" collapsed="false">
      <c r="B852" s="29" t="s">
        <v>4141</v>
      </c>
      <c r="C852" s="29" t="s">
        <v>37</v>
      </c>
      <c r="D852" s="29" t="s">
        <v>4142</v>
      </c>
      <c r="E852" s="29" t="s">
        <v>538</v>
      </c>
      <c r="F852" s="29" t="s">
        <v>4143</v>
      </c>
      <c r="G852" s="29" t="s">
        <v>4144</v>
      </c>
      <c r="H852" s="29" t="s">
        <v>4145</v>
      </c>
      <c r="I852" s="29" t="s">
        <v>467</v>
      </c>
      <c r="J852" s="29" t="s">
        <v>467</v>
      </c>
      <c r="K852" s="30" t="s">
        <v>44</v>
      </c>
      <c r="L852" s="31"/>
      <c r="M852" s="32"/>
    </row>
    <row r="853" customFormat="false" ht="51" hidden="false" customHeight="true" outlineLevel="0" collapsed="false">
      <c r="B853" s="29" t="s">
        <v>4146</v>
      </c>
      <c r="C853" s="29" t="s">
        <v>37</v>
      </c>
      <c r="D853" s="29" t="s">
        <v>4147</v>
      </c>
      <c r="E853" s="29" t="s">
        <v>538</v>
      </c>
      <c r="F853" s="29" t="s">
        <v>4148</v>
      </c>
      <c r="G853" s="29" t="s">
        <v>4148</v>
      </c>
      <c r="H853" s="29" t="s">
        <v>4145</v>
      </c>
      <c r="I853" s="29" t="s">
        <v>467</v>
      </c>
      <c r="J853" s="29" t="s">
        <v>467</v>
      </c>
      <c r="K853" s="30" t="s">
        <v>44</v>
      </c>
      <c r="L853" s="31"/>
      <c r="M853" s="32"/>
    </row>
    <row r="854" customFormat="false" ht="51" hidden="false" customHeight="true" outlineLevel="0" collapsed="false">
      <c r="B854" s="29" t="s">
        <v>4149</v>
      </c>
      <c r="C854" s="29" t="s">
        <v>37</v>
      </c>
      <c r="D854" s="29" t="s">
        <v>4150</v>
      </c>
      <c r="E854" s="29" t="s">
        <v>339</v>
      </c>
      <c r="F854" s="29" t="s">
        <v>4151</v>
      </c>
      <c r="G854" s="29" t="s">
        <v>4152</v>
      </c>
      <c r="H854" s="29" t="s">
        <v>4136</v>
      </c>
      <c r="I854" s="29" t="s">
        <v>301</v>
      </c>
      <c r="J854" s="29" t="s">
        <v>201</v>
      </c>
      <c r="K854" s="30" t="s">
        <v>44</v>
      </c>
      <c r="L854" s="31"/>
      <c r="M854" s="32"/>
    </row>
    <row r="855" customFormat="false" ht="51" hidden="false" customHeight="true" outlineLevel="0" collapsed="false">
      <c r="B855" s="29" t="s">
        <v>4153</v>
      </c>
      <c r="C855" s="29" t="s">
        <v>37</v>
      </c>
      <c r="D855" s="29" t="s">
        <v>4154</v>
      </c>
      <c r="E855" s="29" t="s">
        <v>595</v>
      </c>
      <c r="F855" s="29" t="s">
        <v>4155</v>
      </c>
      <c r="G855" s="29" t="s">
        <v>4156</v>
      </c>
      <c r="H855" s="29" t="s">
        <v>4145</v>
      </c>
      <c r="I855" s="29" t="s">
        <v>467</v>
      </c>
      <c r="J855" s="29" t="s">
        <v>467</v>
      </c>
      <c r="K855" s="30" t="s">
        <v>44</v>
      </c>
      <c r="L855" s="31"/>
      <c r="M855" s="32"/>
    </row>
    <row r="856" customFormat="false" ht="51" hidden="false" customHeight="true" outlineLevel="0" collapsed="false">
      <c r="B856" s="29" t="s">
        <v>4157</v>
      </c>
      <c r="C856" s="29" t="s">
        <v>37</v>
      </c>
      <c r="D856" s="29" t="s">
        <v>4158</v>
      </c>
      <c r="E856" s="29" t="s">
        <v>356</v>
      </c>
      <c r="F856" s="29" t="s">
        <v>4159</v>
      </c>
      <c r="G856" s="29" t="s">
        <v>4160</v>
      </c>
      <c r="H856" s="29" t="s">
        <v>4136</v>
      </c>
      <c r="I856" s="29" t="s">
        <v>301</v>
      </c>
      <c r="J856" s="29" t="s">
        <v>201</v>
      </c>
      <c r="K856" s="30" t="s">
        <v>44</v>
      </c>
      <c r="L856" s="31"/>
      <c r="M856" s="32"/>
    </row>
    <row r="857" customFormat="false" ht="51" hidden="false" customHeight="true" outlineLevel="0" collapsed="false">
      <c r="B857" s="29" t="s">
        <v>4161</v>
      </c>
      <c r="C857" s="29" t="s">
        <v>37</v>
      </c>
      <c r="D857" s="29" t="s">
        <v>4162</v>
      </c>
      <c r="E857" s="29" t="s">
        <v>205</v>
      </c>
      <c r="F857" s="29" t="s">
        <v>4163</v>
      </c>
      <c r="G857" s="29" t="s">
        <v>4164</v>
      </c>
      <c r="H857" s="29" t="s">
        <v>4136</v>
      </c>
      <c r="I857" s="29" t="s">
        <v>301</v>
      </c>
      <c r="J857" s="29" t="s">
        <v>201</v>
      </c>
      <c r="K857" s="30" t="s">
        <v>44</v>
      </c>
      <c r="L857" s="31"/>
      <c r="M857" s="32"/>
    </row>
    <row r="858" customFormat="false" ht="51" hidden="false" customHeight="true" outlineLevel="0" collapsed="false">
      <c r="B858" s="29" t="s">
        <v>4165</v>
      </c>
      <c r="C858" s="29" t="s">
        <v>37</v>
      </c>
      <c r="D858" s="29" t="s">
        <v>4166</v>
      </c>
      <c r="E858" s="29" t="s">
        <v>339</v>
      </c>
      <c r="F858" s="29" t="s">
        <v>4167</v>
      </c>
      <c r="G858" s="29" t="s">
        <v>4168</v>
      </c>
      <c r="H858" s="29" t="s">
        <v>4136</v>
      </c>
      <c r="I858" s="29" t="s">
        <v>301</v>
      </c>
      <c r="J858" s="29" t="s">
        <v>201</v>
      </c>
      <c r="K858" s="30" t="s">
        <v>44</v>
      </c>
      <c r="L858" s="31"/>
      <c r="M858" s="32"/>
    </row>
    <row r="859" customFormat="false" ht="51" hidden="false" customHeight="true" outlineLevel="0" collapsed="false">
      <c r="B859" s="29" t="s">
        <v>4169</v>
      </c>
      <c r="C859" s="29" t="s">
        <v>37</v>
      </c>
      <c r="D859" s="29" t="s">
        <v>4170</v>
      </c>
      <c r="E859" s="29" t="s">
        <v>350</v>
      </c>
      <c r="F859" s="29" t="s">
        <v>4171</v>
      </c>
      <c r="G859" s="29" t="s">
        <v>4172</v>
      </c>
      <c r="H859" s="29" t="s">
        <v>4173</v>
      </c>
      <c r="I859" s="29" t="s">
        <v>301</v>
      </c>
      <c r="J859" s="29" t="s">
        <v>201</v>
      </c>
      <c r="K859" s="30" t="s">
        <v>44</v>
      </c>
      <c r="L859" s="31"/>
      <c r="M859" s="32"/>
    </row>
    <row r="860" customFormat="false" ht="51" hidden="false" customHeight="true" outlineLevel="0" collapsed="false">
      <c r="B860" s="29" t="s">
        <v>4174</v>
      </c>
      <c r="C860" s="29" t="s">
        <v>37</v>
      </c>
      <c r="D860" s="29" t="s">
        <v>4175</v>
      </c>
      <c r="E860" s="29" t="s">
        <v>350</v>
      </c>
      <c r="F860" s="29" t="s">
        <v>4176</v>
      </c>
      <c r="G860" s="29" t="s">
        <v>4177</v>
      </c>
      <c r="H860" s="29" t="s">
        <v>4173</v>
      </c>
      <c r="I860" s="29" t="s">
        <v>301</v>
      </c>
      <c r="J860" s="29" t="s">
        <v>201</v>
      </c>
      <c r="K860" s="30" t="s">
        <v>44</v>
      </c>
      <c r="L860" s="31"/>
      <c r="M860" s="32"/>
    </row>
    <row r="861" customFormat="false" ht="51" hidden="false" customHeight="true" outlineLevel="0" collapsed="false">
      <c r="B861" s="29" t="s">
        <v>4178</v>
      </c>
      <c r="C861" s="29" t="s">
        <v>37</v>
      </c>
      <c r="D861" s="29" t="s">
        <v>4179</v>
      </c>
      <c r="E861" s="29" t="s">
        <v>350</v>
      </c>
      <c r="F861" s="29" t="s">
        <v>4180</v>
      </c>
      <c r="G861" s="29" t="s">
        <v>4181</v>
      </c>
      <c r="H861" s="29" t="s">
        <v>4173</v>
      </c>
      <c r="I861" s="29" t="s">
        <v>301</v>
      </c>
      <c r="J861" s="29" t="s">
        <v>201</v>
      </c>
      <c r="K861" s="30" t="s">
        <v>44</v>
      </c>
      <c r="L861" s="31"/>
      <c r="M861" s="32"/>
    </row>
    <row r="862" customFormat="false" ht="51" hidden="false" customHeight="true" outlineLevel="0" collapsed="false">
      <c r="B862" s="29" t="s">
        <v>4182</v>
      </c>
      <c r="C862" s="29" t="s">
        <v>37</v>
      </c>
      <c r="D862" s="29" t="s">
        <v>4183</v>
      </c>
      <c r="E862" s="29" t="s">
        <v>350</v>
      </c>
      <c r="F862" s="29" t="s">
        <v>4184</v>
      </c>
      <c r="G862" s="29" t="s">
        <v>4185</v>
      </c>
      <c r="H862" s="29" t="s">
        <v>4173</v>
      </c>
      <c r="I862" s="29" t="s">
        <v>301</v>
      </c>
      <c r="J862" s="29" t="s">
        <v>201</v>
      </c>
      <c r="K862" s="30" t="s">
        <v>44</v>
      </c>
      <c r="L862" s="31"/>
      <c r="M862" s="32"/>
    </row>
    <row r="863" customFormat="false" ht="51" hidden="false" customHeight="true" outlineLevel="0" collapsed="false">
      <c r="B863" s="29" t="s">
        <v>4186</v>
      </c>
      <c r="C863" s="29" t="s">
        <v>37</v>
      </c>
      <c r="D863" s="29" t="s">
        <v>4187</v>
      </c>
      <c r="E863" s="29" t="s">
        <v>350</v>
      </c>
      <c r="F863" s="29" t="s">
        <v>4188</v>
      </c>
      <c r="G863" s="29" t="s">
        <v>4189</v>
      </c>
      <c r="H863" s="29" t="s">
        <v>4173</v>
      </c>
      <c r="I863" s="29" t="s">
        <v>301</v>
      </c>
      <c r="J863" s="29" t="s">
        <v>201</v>
      </c>
      <c r="K863" s="30" t="s">
        <v>44</v>
      </c>
      <c r="L863" s="31"/>
      <c r="M863" s="32"/>
    </row>
    <row r="864" customFormat="false" ht="51" hidden="false" customHeight="true" outlineLevel="0" collapsed="false">
      <c r="B864" s="29" t="s">
        <v>4190</v>
      </c>
      <c r="C864" s="29" t="s">
        <v>37</v>
      </c>
      <c r="D864" s="29" t="s">
        <v>4191</v>
      </c>
      <c r="E864" s="29" t="s">
        <v>350</v>
      </c>
      <c r="F864" s="29" t="s">
        <v>4192</v>
      </c>
      <c r="G864" s="29" t="s">
        <v>4193</v>
      </c>
      <c r="H864" s="29" t="s">
        <v>4173</v>
      </c>
      <c r="I864" s="29" t="s">
        <v>301</v>
      </c>
      <c r="J864" s="29" t="s">
        <v>201</v>
      </c>
      <c r="K864" s="30" t="s">
        <v>44</v>
      </c>
      <c r="L864" s="31"/>
      <c r="M864" s="32"/>
    </row>
    <row r="865" customFormat="false" ht="51" hidden="false" customHeight="true" outlineLevel="0" collapsed="false">
      <c r="B865" s="29" t="s">
        <v>4194</v>
      </c>
      <c r="C865" s="29" t="s">
        <v>37</v>
      </c>
      <c r="D865" s="29" t="s">
        <v>4195</v>
      </c>
      <c r="E865" s="29" t="s">
        <v>350</v>
      </c>
      <c r="F865" s="29" t="s">
        <v>4196</v>
      </c>
      <c r="G865" s="29" t="s">
        <v>4197</v>
      </c>
      <c r="H865" s="29" t="s">
        <v>4198</v>
      </c>
      <c r="I865" s="29" t="s">
        <v>467</v>
      </c>
      <c r="J865" s="29" t="s">
        <v>467</v>
      </c>
      <c r="K865" s="30" t="s">
        <v>44</v>
      </c>
      <c r="L865" s="31"/>
      <c r="M865" s="32"/>
    </row>
    <row r="866" customFormat="false" ht="51" hidden="false" customHeight="true" outlineLevel="0" collapsed="false">
      <c r="B866" s="29" t="s">
        <v>4199</v>
      </c>
      <c r="C866" s="29" t="s">
        <v>37</v>
      </c>
      <c r="D866" s="29" t="s">
        <v>4200</v>
      </c>
      <c r="E866" s="29" t="s">
        <v>350</v>
      </c>
      <c r="F866" s="29" t="s">
        <v>4201</v>
      </c>
      <c r="G866" s="29" t="s">
        <v>4201</v>
      </c>
      <c r="H866" s="29" t="s">
        <v>4198</v>
      </c>
      <c r="I866" s="29" t="s">
        <v>467</v>
      </c>
      <c r="J866" s="29" t="s">
        <v>467</v>
      </c>
      <c r="K866" s="30" t="s">
        <v>44</v>
      </c>
      <c r="L866" s="31"/>
      <c r="M866" s="32"/>
    </row>
    <row r="867" customFormat="false" ht="51" hidden="false" customHeight="true" outlineLevel="0" collapsed="false">
      <c r="B867" s="29" t="s">
        <v>4202</v>
      </c>
      <c r="C867" s="29" t="s">
        <v>37</v>
      </c>
      <c r="D867" s="29" t="s">
        <v>4203</v>
      </c>
      <c r="E867" s="29" t="s">
        <v>350</v>
      </c>
      <c r="F867" s="29" t="s">
        <v>4204</v>
      </c>
      <c r="G867" s="29" t="s">
        <v>4205</v>
      </c>
      <c r="H867" s="29" t="s">
        <v>4198</v>
      </c>
      <c r="I867" s="29" t="s">
        <v>467</v>
      </c>
      <c r="J867" s="29" t="s">
        <v>467</v>
      </c>
      <c r="K867" s="30" t="s">
        <v>44</v>
      </c>
      <c r="L867" s="31"/>
      <c r="M867" s="32"/>
    </row>
    <row r="868" customFormat="false" ht="51" hidden="false" customHeight="true" outlineLevel="0" collapsed="false">
      <c r="B868" s="29" t="s">
        <v>4206</v>
      </c>
      <c r="C868" s="29" t="s">
        <v>37</v>
      </c>
      <c r="D868" s="29" t="s">
        <v>4207</v>
      </c>
      <c r="E868" s="29" t="s">
        <v>350</v>
      </c>
      <c r="F868" s="29" t="s">
        <v>4208</v>
      </c>
      <c r="G868" s="29" t="s">
        <v>4209</v>
      </c>
      <c r="H868" s="29" t="s">
        <v>4173</v>
      </c>
      <c r="I868" s="29" t="s">
        <v>301</v>
      </c>
      <c r="J868" s="29" t="s">
        <v>201</v>
      </c>
      <c r="K868" s="30" t="s">
        <v>44</v>
      </c>
      <c r="L868" s="31"/>
      <c r="M868" s="32"/>
    </row>
    <row r="869" customFormat="false" ht="51" hidden="false" customHeight="true" outlineLevel="0" collapsed="false">
      <c r="B869" s="29" t="s">
        <v>4210</v>
      </c>
      <c r="C869" s="29" t="s">
        <v>37</v>
      </c>
      <c r="D869" s="29" t="s">
        <v>4211</v>
      </c>
      <c r="E869" s="29" t="s">
        <v>205</v>
      </c>
      <c r="F869" s="29" t="s">
        <v>4212</v>
      </c>
      <c r="G869" s="29" t="s">
        <v>4213</v>
      </c>
      <c r="H869" s="29" t="s">
        <v>4214</v>
      </c>
      <c r="I869" s="29" t="s">
        <v>301</v>
      </c>
      <c r="J869" s="29" t="s">
        <v>201</v>
      </c>
      <c r="K869" s="30" t="s">
        <v>44</v>
      </c>
      <c r="L869" s="31"/>
      <c r="M869" s="32"/>
    </row>
    <row r="870" customFormat="false" ht="51" hidden="false" customHeight="true" outlineLevel="0" collapsed="false">
      <c r="B870" s="29" t="s">
        <v>4215</v>
      </c>
      <c r="C870" s="29" t="s">
        <v>37</v>
      </c>
      <c r="D870" s="29" t="s">
        <v>4216</v>
      </c>
      <c r="E870" s="29" t="s">
        <v>339</v>
      </c>
      <c r="F870" s="29" t="s">
        <v>4217</v>
      </c>
      <c r="G870" s="29" t="s">
        <v>4218</v>
      </c>
      <c r="H870" s="29" t="s">
        <v>4214</v>
      </c>
      <c r="I870" s="29" t="s">
        <v>301</v>
      </c>
      <c r="J870" s="29" t="s">
        <v>201</v>
      </c>
      <c r="K870" s="30" t="s">
        <v>44</v>
      </c>
      <c r="L870" s="31"/>
      <c r="M870" s="32"/>
    </row>
    <row r="871" customFormat="false" ht="51" hidden="false" customHeight="true" outlineLevel="0" collapsed="false">
      <c r="B871" s="29" t="s">
        <v>4219</v>
      </c>
      <c r="C871" s="29" t="s">
        <v>37</v>
      </c>
      <c r="D871" s="29" t="s">
        <v>4220</v>
      </c>
      <c r="E871" s="29" t="s">
        <v>339</v>
      </c>
      <c r="F871" s="29" t="s">
        <v>4221</v>
      </c>
      <c r="G871" s="29" t="s">
        <v>4222</v>
      </c>
      <c r="H871" s="29" t="s">
        <v>4214</v>
      </c>
      <c r="I871" s="29" t="s">
        <v>301</v>
      </c>
      <c r="J871" s="29" t="s">
        <v>201</v>
      </c>
      <c r="K871" s="30" t="s">
        <v>44</v>
      </c>
      <c r="L871" s="31"/>
      <c r="M871" s="32"/>
    </row>
    <row r="872" customFormat="false" ht="51" hidden="false" customHeight="true" outlineLevel="0" collapsed="false">
      <c r="B872" s="29" t="s">
        <v>4223</v>
      </c>
      <c r="C872" s="29" t="s">
        <v>37</v>
      </c>
      <c r="D872" s="29" t="s">
        <v>4224</v>
      </c>
      <c r="E872" s="29" t="s">
        <v>356</v>
      </c>
      <c r="F872" s="29" t="s">
        <v>4225</v>
      </c>
      <c r="G872" s="29" t="s">
        <v>4226</v>
      </c>
      <c r="H872" s="29" t="s">
        <v>4227</v>
      </c>
      <c r="I872" s="29" t="s">
        <v>301</v>
      </c>
      <c r="J872" s="29" t="s">
        <v>201</v>
      </c>
      <c r="K872" s="30" t="s">
        <v>44</v>
      </c>
      <c r="L872" s="31"/>
      <c r="M872" s="32"/>
    </row>
    <row r="873" customFormat="false" ht="51" hidden="false" customHeight="true" outlineLevel="0" collapsed="false">
      <c r="B873" s="29" t="s">
        <v>4228</v>
      </c>
      <c r="C873" s="29" t="s">
        <v>37</v>
      </c>
      <c r="D873" s="29" t="s">
        <v>4229</v>
      </c>
      <c r="E873" s="29" t="s">
        <v>97</v>
      </c>
      <c r="F873" s="29" t="s">
        <v>4230</v>
      </c>
      <c r="G873" s="29" t="s">
        <v>4231</v>
      </c>
      <c r="H873" s="29" t="s">
        <v>4232</v>
      </c>
      <c r="I873" s="29" t="s">
        <v>42</v>
      </c>
      <c r="J873" s="29" t="s">
        <v>65</v>
      </c>
      <c r="K873" s="30" t="s">
        <v>44</v>
      </c>
      <c r="L873" s="31"/>
      <c r="M873" s="32"/>
    </row>
    <row r="874" customFormat="false" ht="51" hidden="false" customHeight="true" outlineLevel="0" collapsed="false">
      <c r="B874" s="29" t="s">
        <v>4233</v>
      </c>
      <c r="C874" s="29" t="s">
        <v>37</v>
      </c>
      <c r="D874" s="29" t="s">
        <v>4234</v>
      </c>
      <c r="E874" s="29" t="s">
        <v>595</v>
      </c>
      <c r="F874" s="29" t="s">
        <v>4235</v>
      </c>
      <c r="G874" s="29" t="s">
        <v>4236</v>
      </c>
      <c r="H874" s="29" t="s">
        <v>4232</v>
      </c>
      <c r="I874" s="29" t="s">
        <v>3662</v>
      </c>
      <c r="J874" s="29" t="s">
        <v>154</v>
      </c>
      <c r="K874" s="30" t="s">
        <v>44</v>
      </c>
      <c r="L874" s="31"/>
      <c r="M874" s="32"/>
    </row>
    <row r="875" customFormat="false" ht="51" hidden="false" customHeight="true" outlineLevel="0" collapsed="false">
      <c r="B875" s="29" t="s">
        <v>4237</v>
      </c>
      <c r="C875" s="29" t="s">
        <v>37</v>
      </c>
      <c r="D875" s="29" t="s">
        <v>4238</v>
      </c>
      <c r="E875" s="29" t="s">
        <v>595</v>
      </c>
      <c r="F875" s="29" t="s">
        <v>4239</v>
      </c>
      <c r="G875" s="29" t="s">
        <v>4240</v>
      </c>
      <c r="H875" s="29" t="s">
        <v>4241</v>
      </c>
      <c r="I875" s="29" t="s">
        <v>3662</v>
      </c>
      <c r="J875" s="29" t="s">
        <v>154</v>
      </c>
      <c r="K875" s="30" t="s">
        <v>44</v>
      </c>
      <c r="L875" s="31"/>
      <c r="M875" s="32"/>
    </row>
    <row r="876" customFormat="false" ht="51" hidden="false" customHeight="true" outlineLevel="0" collapsed="false">
      <c r="B876" s="29" t="s">
        <v>4242</v>
      </c>
      <c r="C876" s="29" t="s">
        <v>37</v>
      </c>
      <c r="D876" s="29" t="s">
        <v>4243</v>
      </c>
      <c r="E876" s="29" t="s">
        <v>205</v>
      </c>
      <c r="F876" s="29" t="s">
        <v>4244</v>
      </c>
      <c r="G876" s="29" t="s">
        <v>4245</v>
      </c>
      <c r="H876" s="29" t="s">
        <v>4241</v>
      </c>
      <c r="I876" s="29" t="s">
        <v>301</v>
      </c>
      <c r="J876" s="29" t="s">
        <v>201</v>
      </c>
      <c r="K876" s="30" t="s">
        <v>44</v>
      </c>
      <c r="L876" s="31"/>
      <c r="M876" s="32"/>
    </row>
    <row r="877" customFormat="false" ht="51" hidden="false" customHeight="true" outlineLevel="0" collapsed="false">
      <c r="B877" s="29" t="s">
        <v>4246</v>
      </c>
      <c r="C877" s="29" t="s">
        <v>37</v>
      </c>
      <c r="D877" s="29" t="s">
        <v>4247</v>
      </c>
      <c r="E877" s="29" t="s">
        <v>339</v>
      </c>
      <c r="F877" s="29" t="s">
        <v>4248</v>
      </c>
      <c r="G877" s="29" t="s">
        <v>4249</v>
      </c>
      <c r="H877" s="29" t="s">
        <v>4241</v>
      </c>
      <c r="I877" s="29" t="s">
        <v>301</v>
      </c>
      <c r="J877" s="29" t="s">
        <v>201</v>
      </c>
      <c r="K877" s="30" t="s">
        <v>44</v>
      </c>
      <c r="L877" s="31"/>
      <c r="M877" s="32"/>
    </row>
    <row r="878" customFormat="false" ht="51" hidden="false" customHeight="true" outlineLevel="0" collapsed="false">
      <c r="B878" s="29" t="s">
        <v>4250</v>
      </c>
      <c r="C878" s="29" t="s">
        <v>37</v>
      </c>
      <c r="D878" s="29" t="s">
        <v>4251</v>
      </c>
      <c r="E878" s="29" t="s">
        <v>538</v>
      </c>
      <c r="F878" s="29" t="s">
        <v>4252</v>
      </c>
      <c r="G878" s="29" t="s">
        <v>4253</v>
      </c>
      <c r="H878" s="29" t="s">
        <v>4254</v>
      </c>
      <c r="I878" s="29" t="s">
        <v>467</v>
      </c>
      <c r="J878" s="29" t="s">
        <v>467</v>
      </c>
      <c r="K878" s="30" t="s">
        <v>44</v>
      </c>
      <c r="L878" s="31"/>
      <c r="M878" s="32"/>
    </row>
    <row r="879" customFormat="false" ht="51" hidden="false" customHeight="true" outlineLevel="0" collapsed="false">
      <c r="B879" s="29" t="s">
        <v>4255</v>
      </c>
      <c r="C879" s="29" t="s">
        <v>37</v>
      </c>
      <c r="D879" s="29" t="s">
        <v>4256</v>
      </c>
      <c r="E879" s="29" t="s">
        <v>339</v>
      </c>
      <c r="F879" s="29" t="s">
        <v>4257</v>
      </c>
      <c r="G879" s="29" t="s">
        <v>4258</v>
      </c>
      <c r="H879" s="29" t="s">
        <v>4241</v>
      </c>
      <c r="I879" s="29" t="s">
        <v>301</v>
      </c>
      <c r="J879" s="29" t="s">
        <v>201</v>
      </c>
      <c r="K879" s="30" t="s">
        <v>44</v>
      </c>
      <c r="L879" s="31"/>
      <c r="M879" s="32"/>
    </row>
    <row r="880" customFormat="false" ht="51" hidden="false" customHeight="true" outlineLevel="0" collapsed="false">
      <c r="B880" s="29" t="s">
        <v>4259</v>
      </c>
      <c r="C880" s="29" t="s">
        <v>37</v>
      </c>
      <c r="D880" s="29" t="s">
        <v>4260</v>
      </c>
      <c r="E880" s="29" t="s">
        <v>356</v>
      </c>
      <c r="F880" s="29" t="s">
        <v>4261</v>
      </c>
      <c r="G880" s="29" t="s">
        <v>4262</v>
      </c>
      <c r="H880" s="29" t="s">
        <v>4263</v>
      </c>
      <c r="I880" s="29" t="s">
        <v>301</v>
      </c>
      <c r="J880" s="29" t="s">
        <v>201</v>
      </c>
      <c r="K880" s="30" t="s">
        <v>44</v>
      </c>
      <c r="L880" s="31"/>
      <c r="M880" s="32"/>
    </row>
    <row r="881" customFormat="false" ht="51" hidden="false" customHeight="true" outlineLevel="0" collapsed="false">
      <c r="B881" s="29" t="s">
        <v>4264</v>
      </c>
      <c r="C881" s="29" t="s">
        <v>37</v>
      </c>
      <c r="D881" s="29" t="s">
        <v>4265</v>
      </c>
      <c r="E881" s="29" t="s">
        <v>89</v>
      </c>
      <c r="F881" s="29" t="s">
        <v>4266</v>
      </c>
      <c r="G881" s="29" t="s">
        <v>4267</v>
      </c>
      <c r="H881" s="29" t="s">
        <v>4263</v>
      </c>
      <c r="I881" s="29" t="s">
        <v>42</v>
      </c>
      <c r="J881" s="29" t="s">
        <v>260</v>
      </c>
      <c r="K881" s="30" t="s">
        <v>44</v>
      </c>
      <c r="L881" s="31"/>
      <c r="M881" s="32"/>
    </row>
    <row r="882" customFormat="false" ht="51" hidden="false" customHeight="true" outlineLevel="0" collapsed="false">
      <c r="B882" s="29" t="s">
        <v>4268</v>
      </c>
      <c r="C882" s="29" t="s">
        <v>37</v>
      </c>
      <c r="D882" s="29" t="s">
        <v>4269</v>
      </c>
      <c r="E882" s="29" t="s">
        <v>356</v>
      </c>
      <c r="F882" s="29" t="s">
        <v>4270</v>
      </c>
      <c r="G882" s="29" t="s">
        <v>4270</v>
      </c>
      <c r="H882" s="29" t="s">
        <v>4263</v>
      </c>
      <c r="I882" s="29" t="s">
        <v>301</v>
      </c>
      <c r="J882" s="29" t="s">
        <v>201</v>
      </c>
      <c r="K882" s="30" t="s">
        <v>44</v>
      </c>
      <c r="L882" s="31"/>
      <c r="M882" s="32"/>
    </row>
    <row r="883" customFormat="false" ht="51" hidden="false" customHeight="true" outlineLevel="0" collapsed="false">
      <c r="B883" s="29" t="s">
        <v>4271</v>
      </c>
      <c r="C883" s="29" t="s">
        <v>37</v>
      </c>
      <c r="D883" s="29" t="s">
        <v>4272</v>
      </c>
      <c r="E883" s="29" t="s">
        <v>356</v>
      </c>
      <c r="F883" s="29" t="s">
        <v>4273</v>
      </c>
      <c r="G883" s="29" t="s">
        <v>4274</v>
      </c>
      <c r="H883" s="29" t="s">
        <v>4263</v>
      </c>
      <c r="I883" s="29" t="s">
        <v>301</v>
      </c>
      <c r="J883" s="29" t="s">
        <v>201</v>
      </c>
      <c r="K883" s="30" t="s">
        <v>44</v>
      </c>
      <c r="L883" s="31"/>
      <c r="M883" s="32"/>
    </row>
    <row r="884" customFormat="false" ht="51" hidden="false" customHeight="true" outlineLevel="0" collapsed="false">
      <c r="B884" s="29" t="s">
        <v>4275</v>
      </c>
      <c r="C884" s="29" t="s">
        <v>37</v>
      </c>
      <c r="D884" s="29" t="s">
        <v>4276</v>
      </c>
      <c r="E884" s="29" t="s">
        <v>339</v>
      </c>
      <c r="F884" s="29" t="s">
        <v>4277</v>
      </c>
      <c r="G884" s="29" t="s">
        <v>4278</v>
      </c>
      <c r="H884" s="29" t="s">
        <v>4263</v>
      </c>
      <c r="I884" s="29" t="s">
        <v>301</v>
      </c>
      <c r="J884" s="29" t="s">
        <v>201</v>
      </c>
      <c r="K884" s="30" t="s">
        <v>44</v>
      </c>
      <c r="L884" s="31"/>
      <c r="M884" s="32"/>
    </row>
    <row r="885" customFormat="false" ht="51" hidden="false" customHeight="true" outlineLevel="0" collapsed="false">
      <c r="B885" s="29" t="s">
        <v>4279</v>
      </c>
      <c r="C885" s="29" t="s">
        <v>37</v>
      </c>
      <c r="D885" s="29" t="s">
        <v>4280</v>
      </c>
      <c r="E885" s="29" t="s">
        <v>339</v>
      </c>
      <c r="F885" s="29" t="s">
        <v>4281</v>
      </c>
      <c r="G885" s="29" t="s">
        <v>4282</v>
      </c>
      <c r="H885" s="29" t="s">
        <v>4263</v>
      </c>
      <c r="I885" s="29" t="s">
        <v>301</v>
      </c>
      <c r="J885" s="29" t="s">
        <v>201</v>
      </c>
      <c r="K885" s="30" t="s">
        <v>44</v>
      </c>
      <c r="L885" s="31"/>
      <c r="M885" s="32"/>
    </row>
    <row r="886" customFormat="false" ht="51" hidden="false" customHeight="true" outlineLevel="0" collapsed="false">
      <c r="B886" s="29" t="s">
        <v>4283</v>
      </c>
      <c r="C886" s="29" t="s">
        <v>37</v>
      </c>
      <c r="D886" s="29" t="s">
        <v>4284</v>
      </c>
      <c r="E886" s="29" t="s">
        <v>356</v>
      </c>
      <c r="F886" s="29" t="s">
        <v>4285</v>
      </c>
      <c r="G886" s="29" t="s">
        <v>4286</v>
      </c>
      <c r="H886" s="29" t="s">
        <v>4263</v>
      </c>
      <c r="I886" s="29" t="s">
        <v>301</v>
      </c>
      <c r="J886" s="29" t="s">
        <v>201</v>
      </c>
      <c r="K886" s="30" t="s">
        <v>44</v>
      </c>
      <c r="L886" s="31"/>
      <c r="M886" s="32"/>
    </row>
    <row r="887" customFormat="false" ht="51" hidden="false" customHeight="true" outlineLevel="0" collapsed="false">
      <c r="B887" s="29" t="s">
        <v>4287</v>
      </c>
      <c r="C887" s="29" t="s">
        <v>37</v>
      </c>
      <c r="D887" s="29" t="s">
        <v>4288</v>
      </c>
      <c r="E887" s="29" t="s">
        <v>339</v>
      </c>
      <c r="F887" s="29" t="s">
        <v>4289</v>
      </c>
      <c r="G887" s="29" t="s">
        <v>4290</v>
      </c>
      <c r="H887" s="29" t="s">
        <v>4263</v>
      </c>
      <c r="I887" s="29" t="s">
        <v>301</v>
      </c>
      <c r="J887" s="29" t="s">
        <v>201</v>
      </c>
      <c r="K887" s="30" t="s">
        <v>44</v>
      </c>
      <c r="L887" s="31"/>
      <c r="M887" s="32"/>
    </row>
    <row r="888" customFormat="false" ht="51" hidden="false" customHeight="true" outlineLevel="0" collapsed="false">
      <c r="B888" s="29" t="s">
        <v>4291</v>
      </c>
      <c r="C888" s="29" t="s">
        <v>37</v>
      </c>
      <c r="D888" s="29" t="s">
        <v>71</v>
      </c>
      <c r="E888" s="29" t="s">
        <v>39</v>
      </c>
      <c r="F888" s="29" t="s">
        <v>4292</v>
      </c>
      <c r="G888" s="29" t="s">
        <v>4293</v>
      </c>
      <c r="H888" s="29" t="s">
        <v>4294</v>
      </c>
      <c r="I888" s="29" t="s">
        <v>42</v>
      </c>
      <c r="J888" s="29" t="s">
        <v>43</v>
      </c>
      <c r="K888" s="30" t="s">
        <v>44</v>
      </c>
      <c r="L888" s="31"/>
      <c r="M888" s="32"/>
    </row>
    <row r="889" customFormat="false" ht="51" hidden="false" customHeight="true" outlineLevel="0" collapsed="false">
      <c r="B889" s="29" t="s">
        <v>4295</v>
      </c>
      <c r="C889" s="29" t="s">
        <v>37</v>
      </c>
      <c r="D889" s="29" t="s">
        <v>4296</v>
      </c>
      <c r="E889" s="29" t="s">
        <v>150</v>
      </c>
      <c r="F889" s="29" t="s">
        <v>4297</v>
      </c>
      <c r="G889" s="29" t="s">
        <v>4298</v>
      </c>
      <c r="H889" s="29" t="s">
        <v>4299</v>
      </c>
      <c r="I889" s="29" t="s">
        <v>3662</v>
      </c>
      <c r="J889" s="29" t="s">
        <v>154</v>
      </c>
      <c r="K889" s="30" t="s">
        <v>44</v>
      </c>
      <c r="L889" s="31"/>
      <c r="M889" s="32"/>
    </row>
    <row r="890" customFormat="false" ht="51" hidden="false" customHeight="true" outlineLevel="0" collapsed="false">
      <c r="B890" s="29" t="s">
        <v>4300</v>
      </c>
      <c r="C890" s="29" t="s">
        <v>37</v>
      </c>
      <c r="D890" s="29" t="s">
        <v>4301</v>
      </c>
      <c r="E890" s="29" t="s">
        <v>595</v>
      </c>
      <c r="F890" s="29" t="s">
        <v>4302</v>
      </c>
      <c r="G890" s="29" t="s">
        <v>4303</v>
      </c>
      <c r="H890" s="29" t="s">
        <v>4299</v>
      </c>
      <c r="I890" s="29" t="s">
        <v>3662</v>
      </c>
      <c r="J890" s="29" t="s">
        <v>154</v>
      </c>
      <c r="K890" s="30" t="s">
        <v>44</v>
      </c>
      <c r="L890" s="31"/>
      <c r="M890" s="32"/>
    </row>
    <row r="891" customFormat="false" ht="51" hidden="false" customHeight="true" outlineLevel="0" collapsed="false">
      <c r="B891" s="29" t="s">
        <v>4304</v>
      </c>
      <c r="C891" s="29" t="s">
        <v>37</v>
      </c>
      <c r="D891" s="29" t="s">
        <v>4305</v>
      </c>
      <c r="E891" s="29" t="s">
        <v>538</v>
      </c>
      <c r="F891" s="29" t="s">
        <v>4306</v>
      </c>
      <c r="G891" s="29" t="s">
        <v>4307</v>
      </c>
      <c r="H891" s="29" t="s">
        <v>4308</v>
      </c>
      <c r="I891" s="29" t="s">
        <v>467</v>
      </c>
      <c r="J891" s="29" t="s">
        <v>467</v>
      </c>
      <c r="K891" s="30" t="s">
        <v>44</v>
      </c>
      <c r="L891" s="31"/>
      <c r="M891" s="32"/>
    </row>
    <row r="892" customFormat="false" ht="51" hidden="false" customHeight="true" outlineLevel="0" collapsed="false">
      <c r="B892" s="29" t="s">
        <v>4309</v>
      </c>
      <c r="C892" s="29" t="s">
        <v>37</v>
      </c>
      <c r="D892" s="29" t="s">
        <v>4310</v>
      </c>
      <c r="E892" s="29" t="s">
        <v>150</v>
      </c>
      <c r="F892" s="29" t="s">
        <v>4311</v>
      </c>
      <c r="G892" s="29" t="s">
        <v>4311</v>
      </c>
      <c r="H892" s="29" t="s">
        <v>4308</v>
      </c>
      <c r="I892" s="29" t="s">
        <v>467</v>
      </c>
      <c r="J892" s="29" t="s">
        <v>467</v>
      </c>
      <c r="K892" s="30" t="s">
        <v>44</v>
      </c>
      <c r="L892" s="31"/>
      <c r="M892" s="32"/>
    </row>
    <row r="893" customFormat="false" ht="51" hidden="false" customHeight="true" outlineLevel="0" collapsed="false">
      <c r="B893" s="29" t="s">
        <v>4312</v>
      </c>
      <c r="C893" s="29" t="s">
        <v>37</v>
      </c>
      <c r="D893" s="29" t="s">
        <v>4313</v>
      </c>
      <c r="E893" s="29" t="s">
        <v>89</v>
      </c>
      <c r="F893" s="29" t="s">
        <v>4314</v>
      </c>
      <c r="G893" s="29" t="s">
        <v>4315</v>
      </c>
      <c r="H893" s="29" t="s">
        <v>4299</v>
      </c>
      <c r="I893" s="29" t="s">
        <v>3808</v>
      </c>
      <c r="J893" s="29" t="s">
        <v>2512</v>
      </c>
      <c r="K893" s="30" t="s">
        <v>44</v>
      </c>
      <c r="L893" s="31"/>
      <c r="M893" s="32"/>
    </row>
    <row r="894" customFormat="false" ht="51" hidden="false" customHeight="true" outlineLevel="0" collapsed="false">
      <c r="B894" s="29" t="s">
        <v>4316</v>
      </c>
      <c r="C894" s="29" t="s">
        <v>37</v>
      </c>
      <c r="D894" s="29" t="s">
        <v>4317</v>
      </c>
      <c r="E894" s="29" t="s">
        <v>339</v>
      </c>
      <c r="F894" s="29" t="s">
        <v>4318</v>
      </c>
      <c r="G894" s="29" t="s">
        <v>4319</v>
      </c>
      <c r="H894" s="29" t="s">
        <v>4299</v>
      </c>
      <c r="I894" s="29" t="s">
        <v>301</v>
      </c>
      <c r="J894" s="29" t="s">
        <v>201</v>
      </c>
      <c r="K894" s="30" t="s">
        <v>44</v>
      </c>
      <c r="L894" s="31"/>
      <c r="M894" s="32"/>
    </row>
    <row r="895" customFormat="false" ht="51" hidden="false" customHeight="true" outlineLevel="0" collapsed="false">
      <c r="B895" s="29" t="s">
        <v>4320</v>
      </c>
      <c r="C895" s="29" t="s">
        <v>37</v>
      </c>
      <c r="D895" s="29" t="s">
        <v>4321</v>
      </c>
      <c r="E895" s="29" t="s">
        <v>150</v>
      </c>
      <c r="F895" s="29" t="s">
        <v>4322</v>
      </c>
      <c r="G895" s="29" t="s">
        <v>4323</v>
      </c>
      <c r="H895" s="29" t="s">
        <v>4299</v>
      </c>
      <c r="I895" s="29" t="s">
        <v>3662</v>
      </c>
      <c r="J895" s="29" t="s">
        <v>154</v>
      </c>
      <c r="K895" s="30" t="s">
        <v>44</v>
      </c>
      <c r="L895" s="31"/>
      <c r="M895" s="32"/>
    </row>
    <row r="896" customFormat="false" ht="51" hidden="false" customHeight="true" outlineLevel="0" collapsed="false">
      <c r="B896" s="29" t="s">
        <v>4324</v>
      </c>
      <c r="C896" s="29" t="s">
        <v>37</v>
      </c>
      <c r="D896" s="29" t="s">
        <v>4325</v>
      </c>
      <c r="E896" s="29" t="s">
        <v>205</v>
      </c>
      <c r="F896" s="29" t="s">
        <v>4326</v>
      </c>
      <c r="G896" s="29" t="s">
        <v>4327</v>
      </c>
      <c r="H896" s="29" t="s">
        <v>4328</v>
      </c>
      <c r="I896" s="29" t="s">
        <v>3662</v>
      </c>
      <c r="J896" s="29" t="s">
        <v>154</v>
      </c>
      <c r="K896" s="30" t="s">
        <v>44</v>
      </c>
      <c r="L896" s="31"/>
      <c r="M896" s="32"/>
    </row>
    <row r="897" customFormat="false" ht="51" hidden="false" customHeight="true" outlineLevel="0" collapsed="false">
      <c r="B897" s="29" t="s">
        <v>4329</v>
      </c>
      <c r="C897" s="29" t="s">
        <v>37</v>
      </c>
      <c r="D897" s="29" t="s">
        <v>4330</v>
      </c>
      <c r="E897" s="29" t="s">
        <v>150</v>
      </c>
      <c r="F897" s="29" t="s">
        <v>4331</v>
      </c>
      <c r="G897" s="29" t="s">
        <v>4332</v>
      </c>
      <c r="H897" s="29" t="s">
        <v>4328</v>
      </c>
      <c r="I897" s="29" t="s">
        <v>4333</v>
      </c>
      <c r="J897" s="29" t="s">
        <v>4334</v>
      </c>
      <c r="K897" s="30" t="s">
        <v>44</v>
      </c>
      <c r="L897" s="31"/>
      <c r="M897" s="32"/>
    </row>
    <row r="898" customFormat="false" ht="51" hidden="false" customHeight="true" outlineLevel="0" collapsed="false">
      <c r="B898" s="29" t="s">
        <v>4335</v>
      </c>
      <c r="C898" s="29" t="s">
        <v>37</v>
      </c>
      <c r="D898" s="29" t="s">
        <v>4336</v>
      </c>
      <c r="E898" s="29" t="s">
        <v>150</v>
      </c>
      <c r="F898" s="29" t="s">
        <v>4337</v>
      </c>
      <c r="G898" s="29" t="s">
        <v>4338</v>
      </c>
      <c r="H898" s="29" t="s">
        <v>4328</v>
      </c>
      <c r="I898" s="29" t="s">
        <v>4333</v>
      </c>
      <c r="J898" s="29" t="s">
        <v>4334</v>
      </c>
      <c r="K898" s="30" t="s">
        <v>44</v>
      </c>
      <c r="L898" s="31"/>
      <c r="M898" s="32"/>
    </row>
    <row r="899" customFormat="false" ht="51" hidden="false" customHeight="true" outlineLevel="0" collapsed="false">
      <c r="B899" s="29" t="s">
        <v>4339</v>
      </c>
      <c r="C899" s="29" t="s">
        <v>37</v>
      </c>
      <c r="D899" s="29" t="s">
        <v>4340</v>
      </c>
      <c r="E899" s="29" t="s">
        <v>356</v>
      </c>
      <c r="F899" s="29" t="s">
        <v>4341</v>
      </c>
      <c r="G899" s="29" t="s">
        <v>4342</v>
      </c>
      <c r="H899" s="29" t="s">
        <v>4328</v>
      </c>
      <c r="I899" s="29" t="s">
        <v>4333</v>
      </c>
      <c r="J899" s="29" t="s">
        <v>4334</v>
      </c>
      <c r="K899" s="30" t="s">
        <v>44</v>
      </c>
      <c r="L899" s="31"/>
      <c r="M899" s="32"/>
    </row>
    <row r="900" customFormat="false" ht="51" hidden="false" customHeight="true" outlineLevel="0" collapsed="false">
      <c r="B900" s="29" t="s">
        <v>4343</v>
      </c>
      <c r="C900" s="29" t="s">
        <v>37</v>
      </c>
      <c r="D900" s="29" t="s">
        <v>4344</v>
      </c>
      <c r="E900" s="29" t="s">
        <v>205</v>
      </c>
      <c r="F900" s="29" t="s">
        <v>4345</v>
      </c>
      <c r="G900" s="29" t="s">
        <v>4346</v>
      </c>
      <c r="H900" s="29" t="s">
        <v>4328</v>
      </c>
      <c r="I900" s="29" t="s">
        <v>4333</v>
      </c>
      <c r="J900" s="29" t="s">
        <v>4334</v>
      </c>
      <c r="K900" s="30" t="s">
        <v>44</v>
      </c>
      <c r="L900" s="31"/>
      <c r="M900" s="32"/>
    </row>
    <row r="901" customFormat="false" ht="51" hidden="false" customHeight="true" outlineLevel="0" collapsed="false">
      <c r="B901" s="29" t="s">
        <v>4347</v>
      </c>
      <c r="C901" s="29" t="s">
        <v>37</v>
      </c>
      <c r="D901" s="29" t="s">
        <v>4348</v>
      </c>
      <c r="E901" s="29" t="s">
        <v>150</v>
      </c>
      <c r="F901" s="29" t="s">
        <v>4349</v>
      </c>
      <c r="G901" s="29" t="s">
        <v>4350</v>
      </c>
      <c r="H901" s="29" t="s">
        <v>4328</v>
      </c>
      <c r="I901" s="29" t="s">
        <v>3939</v>
      </c>
      <c r="J901" s="29" t="s">
        <v>4351</v>
      </c>
      <c r="K901" s="30" t="s">
        <v>44</v>
      </c>
      <c r="L901" s="31"/>
      <c r="M901" s="32"/>
    </row>
    <row r="902" customFormat="false" ht="51" hidden="false" customHeight="true" outlineLevel="0" collapsed="false">
      <c r="B902" s="29" t="s">
        <v>4352</v>
      </c>
      <c r="C902" s="29" t="s">
        <v>37</v>
      </c>
      <c r="D902" s="29" t="s">
        <v>4353</v>
      </c>
      <c r="E902" s="29" t="s">
        <v>150</v>
      </c>
      <c r="F902" s="29" t="s">
        <v>4354</v>
      </c>
      <c r="G902" s="29" t="s">
        <v>4355</v>
      </c>
      <c r="H902" s="29" t="s">
        <v>4356</v>
      </c>
      <c r="I902" s="29" t="s">
        <v>467</v>
      </c>
      <c r="J902" s="29" t="s">
        <v>467</v>
      </c>
      <c r="K902" s="30" t="s">
        <v>44</v>
      </c>
      <c r="L902" s="31"/>
      <c r="M902" s="32"/>
    </row>
    <row r="903" customFormat="false" ht="51" hidden="false" customHeight="true" outlineLevel="0" collapsed="false">
      <c r="B903" s="29" t="s">
        <v>4357</v>
      </c>
      <c r="C903" s="29" t="s">
        <v>37</v>
      </c>
      <c r="D903" s="29" t="s">
        <v>4358</v>
      </c>
      <c r="E903" s="29" t="s">
        <v>150</v>
      </c>
      <c r="F903" s="29" t="s">
        <v>4359</v>
      </c>
      <c r="G903" s="29" t="s">
        <v>4360</v>
      </c>
      <c r="H903" s="29" t="s">
        <v>4361</v>
      </c>
      <c r="I903" s="29" t="s">
        <v>3662</v>
      </c>
      <c r="J903" s="29" t="s">
        <v>154</v>
      </c>
      <c r="K903" s="30" t="s">
        <v>44</v>
      </c>
      <c r="L903" s="31"/>
      <c r="M903" s="32"/>
    </row>
    <row r="904" customFormat="false" ht="51" hidden="false" customHeight="true" outlineLevel="0" collapsed="false">
      <c r="B904" s="29" t="s">
        <v>4362</v>
      </c>
      <c r="C904" s="29" t="s">
        <v>37</v>
      </c>
      <c r="D904" s="29" t="s">
        <v>4363</v>
      </c>
      <c r="E904" s="29" t="s">
        <v>150</v>
      </c>
      <c r="F904" s="29" t="s">
        <v>4364</v>
      </c>
      <c r="G904" s="29" t="s">
        <v>4365</v>
      </c>
      <c r="H904" s="29" t="s">
        <v>4356</v>
      </c>
      <c r="I904" s="29" t="s">
        <v>467</v>
      </c>
      <c r="J904" s="29" t="s">
        <v>467</v>
      </c>
      <c r="K904" s="30" t="s">
        <v>44</v>
      </c>
      <c r="L904" s="31"/>
      <c r="M904" s="32"/>
    </row>
    <row r="905" customFormat="false" ht="51" hidden="false" customHeight="true" outlineLevel="0" collapsed="false">
      <c r="B905" s="29" t="s">
        <v>4366</v>
      </c>
      <c r="C905" s="29" t="s">
        <v>37</v>
      </c>
      <c r="D905" s="29" t="s">
        <v>4367</v>
      </c>
      <c r="E905" s="29" t="s">
        <v>356</v>
      </c>
      <c r="F905" s="29" t="s">
        <v>4368</v>
      </c>
      <c r="G905" s="29" t="s">
        <v>4369</v>
      </c>
      <c r="H905" s="29" t="s">
        <v>4361</v>
      </c>
      <c r="I905" s="29" t="s">
        <v>301</v>
      </c>
      <c r="J905" s="29" t="s">
        <v>201</v>
      </c>
      <c r="K905" s="30" t="s">
        <v>44</v>
      </c>
      <c r="L905" s="31"/>
      <c r="M905" s="32"/>
    </row>
    <row r="906" customFormat="false" ht="51" hidden="false" customHeight="true" outlineLevel="0" collapsed="false">
      <c r="B906" s="29" t="s">
        <v>4370</v>
      </c>
      <c r="C906" s="29" t="s">
        <v>37</v>
      </c>
      <c r="D906" s="29" t="s">
        <v>4371</v>
      </c>
      <c r="E906" s="29" t="s">
        <v>150</v>
      </c>
      <c r="F906" s="29" t="s">
        <v>4372</v>
      </c>
      <c r="G906" s="29" t="s">
        <v>4373</v>
      </c>
      <c r="H906" s="29" t="s">
        <v>4356</v>
      </c>
      <c r="I906" s="29" t="s">
        <v>467</v>
      </c>
      <c r="J906" s="29" t="s">
        <v>467</v>
      </c>
      <c r="K906" s="30" t="s">
        <v>44</v>
      </c>
      <c r="L906" s="31"/>
      <c r="M906" s="32"/>
    </row>
    <row r="907" customFormat="false" ht="51" hidden="false" customHeight="true" outlineLevel="0" collapsed="false">
      <c r="B907" s="29" t="s">
        <v>4374</v>
      </c>
      <c r="C907" s="29" t="s">
        <v>37</v>
      </c>
      <c r="D907" s="29" t="s">
        <v>4375</v>
      </c>
      <c r="E907" s="29" t="s">
        <v>150</v>
      </c>
      <c r="F907" s="29" t="s">
        <v>4376</v>
      </c>
      <c r="G907" s="29" t="s">
        <v>4377</v>
      </c>
      <c r="H907" s="29" t="s">
        <v>4361</v>
      </c>
      <c r="I907" s="29" t="s">
        <v>3662</v>
      </c>
      <c r="J907" s="29" t="s">
        <v>154</v>
      </c>
      <c r="K907" s="30" t="s">
        <v>44</v>
      </c>
      <c r="L907" s="31"/>
      <c r="M907" s="32"/>
    </row>
    <row r="908" customFormat="false" ht="51" hidden="false" customHeight="true" outlineLevel="0" collapsed="false">
      <c r="B908" s="29" t="s">
        <v>4378</v>
      </c>
      <c r="C908" s="29" t="s">
        <v>37</v>
      </c>
      <c r="D908" s="29" t="s">
        <v>4379</v>
      </c>
      <c r="E908" s="29" t="s">
        <v>150</v>
      </c>
      <c r="F908" s="29" t="s">
        <v>4380</v>
      </c>
      <c r="G908" s="29" t="s">
        <v>4381</v>
      </c>
      <c r="H908" s="29" t="s">
        <v>4356</v>
      </c>
      <c r="I908" s="29" t="s">
        <v>467</v>
      </c>
      <c r="J908" s="29" t="s">
        <v>467</v>
      </c>
      <c r="K908" s="30" t="s">
        <v>44</v>
      </c>
      <c r="L908" s="31"/>
      <c r="M908" s="32"/>
    </row>
    <row r="909" customFormat="false" ht="51" hidden="false" customHeight="true" outlineLevel="0" collapsed="false">
      <c r="B909" s="29" t="s">
        <v>4382</v>
      </c>
      <c r="C909" s="29" t="s">
        <v>37</v>
      </c>
      <c r="D909" s="29" t="s">
        <v>4383</v>
      </c>
      <c r="E909" s="29" t="s">
        <v>150</v>
      </c>
      <c r="F909" s="29" t="s">
        <v>4384</v>
      </c>
      <c r="G909" s="29" t="s">
        <v>4385</v>
      </c>
      <c r="H909" s="29" t="s">
        <v>4386</v>
      </c>
      <c r="I909" s="29" t="s">
        <v>467</v>
      </c>
      <c r="J909" s="29" t="s">
        <v>467</v>
      </c>
      <c r="K909" s="30" t="s">
        <v>44</v>
      </c>
      <c r="L909" s="31"/>
      <c r="M909" s="32"/>
    </row>
    <row r="910" customFormat="false" ht="51" hidden="false" customHeight="true" outlineLevel="0" collapsed="false">
      <c r="B910" s="29" t="s">
        <v>4387</v>
      </c>
      <c r="C910" s="29" t="s">
        <v>37</v>
      </c>
      <c r="D910" s="29" t="s">
        <v>4388</v>
      </c>
      <c r="E910" s="29" t="s">
        <v>205</v>
      </c>
      <c r="F910" s="29" t="s">
        <v>4389</v>
      </c>
      <c r="G910" s="29" t="s">
        <v>4390</v>
      </c>
      <c r="H910" s="29" t="s">
        <v>4391</v>
      </c>
      <c r="I910" s="29" t="s">
        <v>301</v>
      </c>
      <c r="J910" s="29" t="s">
        <v>201</v>
      </c>
      <c r="K910" s="30" t="s">
        <v>44</v>
      </c>
      <c r="L910" s="31"/>
      <c r="M910" s="32"/>
    </row>
    <row r="911" customFormat="false" ht="51" hidden="false" customHeight="true" outlineLevel="0" collapsed="false">
      <c r="B911" s="29" t="s">
        <v>4392</v>
      </c>
      <c r="C911" s="29" t="s">
        <v>37</v>
      </c>
      <c r="D911" s="29" t="s">
        <v>4393</v>
      </c>
      <c r="E911" s="29" t="s">
        <v>150</v>
      </c>
      <c r="F911" s="29" t="s">
        <v>4394</v>
      </c>
      <c r="G911" s="29" t="s">
        <v>4395</v>
      </c>
      <c r="H911" s="29" t="s">
        <v>4386</v>
      </c>
      <c r="I911" s="29" t="s">
        <v>467</v>
      </c>
      <c r="J911" s="29" t="s">
        <v>467</v>
      </c>
      <c r="K911" s="30" t="s">
        <v>44</v>
      </c>
      <c r="L911" s="31"/>
      <c r="M911" s="32"/>
    </row>
    <row r="912" customFormat="false" ht="51" hidden="false" customHeight="true" outlineLevel="0" collapsed="false">
      <c r="B912" s="29" t="s">
        <v>4396</v>
      </c>
      <c r="C912" s="29" t="s">
        <v>37</v>
      </c>
      <c r="D912" s="29" t="s">
        <v>4397</v>
      </c>
      <c r="E912" s="29" t="s">
        <v>150</v>
      </c>
      <c r="F912" s="29" t="s">
        <v>4398</v>
      </c>
      <c r="G912" s="29" t="s">
        <v>4399</v>
      </c>
      <c r="H912" s="29" t="s">
        <v>4386</v>
      </c>
      <c r="I912" s="29" t="s">
        <v>467</v>
      </c>
      <c r="J912" s="29" t="s">
        <v>467</v>
      </c>
      <c r="K912" s="30" t="s">
        <v>44</v>
      </c>
      <c r="L912" s="31"/>
      <c r="M912" s="32"/>
    </row>
    <row r="913" customFormat="false" ht="51" hidden="false" customHeight="true" outlineLevel="0" collapsed="false">
      <c r="B913" s="29" t="s">
        <v>4400</v>
      </c>
      <c r="C913" s="29" t="s">
        <v>37</v>
      </c>
      <c r="D913" s="29" t="s">
        <v>4401</v>
      </c>
      <c r="E913" s="29" t="s">
        <v>150</v>
      </c>
      <c r="F913" s="29" t="s">
        <v>4402</v>
      </c>
      <c r="G913" s="29" t="s">
        <v>4403</v>
      </c>
      <c r="H913" s="29" t="s">
        <v>4386</v>
      </c>
      <c r="I913" s="29" t="s">
        <v>467</v>
      </c>
      <c r="J913" s="29" t="s">
        <v>467</v>
      </c>
      <c r="K913" s="30" t="s">
        <v>44</v>
      </c>
      <c r="L913" s="31"/>
      <c r="M913" s="32"/>
    </row>
    <row r="914" customFormat="false" ht="51" hidden="false" customHeight="true" outlineLevel="0" collapsed="false">
      <c r="B914" s="29" t="s">
        <v>4404</v>
      </c>
      <c r="C914" s="29" t="s">
        <v>37</v>
      </c>
      <c r="D914" s="29" t="s">
        <v>4405</v>
      </c>
      <c r="E914" s="29" t="s">
        <v>150</v>
      </c>
      <c r="F914" s="29" t="s">
        <v>4406</v>
      </c>
      <c r="G914" s="29" t="s">
        <v>4407</v>
      </c>
      <c r="H914" s="29" t="s">
        <v>4386</v>
      </c>
      <c r="I914" s="29" t="s">
        <v>467</v>
      </c>
      <c r="J914" s="29" t="s">
        <v>467</v>
      </c>
      <c r="K914" s="30" t="s">
        <v>44</v>
      </c>
      <c r="L914" s="31"/>
      <c r="M914" s="32"/>
    </row>
    <row r="915" customFormat="false" ht="51" hidden="false" customHeight="true" outlineLevel="0" collapsed="false">
      <c r="B915" s="29" t="s">
        <v>4408</v>
      </c>
      <c r="C915" s="29" t="s">
        <v>37</v>
      </c>
      <c r="D915" s="29" t="s">
        <v>4409</v>
      </c>
      <c r="E915" s="29" t="s">
        <v>150</v>
      </c>
      <c r="F915" s="29" t="s">
        <v>4410</v>
      </c>
      <c r="G915" s="29" t="s">
        <v>4411</v>
      </c>
      <c r="H915" s="29" t="s">
        <v>4391</v>
      </c>
      <c r="I915" s="29" t="s">
        <v>3662</v>
      </c>
      <c r="J915" s="29" t="s">
        <v>154</v>
      </c>
      <c r="K915" s="30" t="s">
        <v>44</v>
      </c>
      <c r="L915" s="31"/>
      <c r="M915" s="32"/>
    </row>
    <row r="916" customFormat="false" ht="51" hidden="false" customHeight="true" outlineLevel="0" collapsed="false">
      <c r="B916" s="29" t="s">
        <v>4412</v>
      </c>
      <c r="C916" s="29" t="s">
        <v>37</v>
      </c>
      <c r="D916" s="29" t="s">
        <v>4413</v>
      </c>
      <c r="E916" s="29" t="s">
        <v>150</v>
      </c>
      <c r="F916" s="29" t="s">
        <v>4414</v>
      </c>
      <c r="G916" s="29" t="s">
        <v>4415</v>
      </c>
      <c r="H916" s="29" t="s">
        <v>4386</v>
      </c>
      <c r="I916" s="29" t="s">
        <v>467</v>
      </c>
      <c r="J916" s="29" t="s">
        <v>467</v>
      </c>
      <c r="K916" s="30" t="s">
        <v>44</v>
      </c>
      <c r="L916" s="31"/>
      <c r="M916" s="32"/>
    </row>
    <row r="917" customFormat="false" ht="51" hidden="false" customHeight="true" outlineLevel="0" collapsed="false">
      <c r="B917" s="29" t="s">
        <v>4416</v>
      </c>
      <c r="C917" s="29" t="s">
        <v>37</v>
      </c>
      <c r="D917" s="29" t="s">
        <v>4417</v>
      </c>
      <c r="E917" s="29" t="s">
        <v>150</v>
      </c>
      <c r="F917" s="29" t="s">
        <v>4418</v>
      </c>
      <c r="G917" s="29" t="s">
        <v>4419</v>
      </c>
      <c r="H917" s="29" t="s">
        <v>4386</v>
      </c>
      <c r="I917" s="29" t="s">
        <v>467</v>
      </c>
      <c r="J917" s="29" t="s">
        <v>467</v>
      </c>
      <c r="K917" s="30" t="s">
        <v>44</v>
      </c>
      <c r="L917" s="31"/>
      <c r="M917" s="32"/>
    </row>
    <row r="918" customFormat="false" ht="51" hidden="false" customHeight="true" outlineLevel="0" collapsed="false">
      <c r="B918" s="29" t="s">
        <v>4420</v>
      </c>
      <c r="C918" s="29" t="s">
        <v>37</v>
      </c>
      <c r="D918" s="29" t="s">
        <v>4421</v>
      </c>
      <c r="E918" s="29" t="s">
        <v>150</v>
      </c>
      <c r="F918" s="29" t="s">
        <v>4422</v>
      </c>
      <c r="G918" s="29" t="s">
        <v>4423</v>
      </c>
      <c r="H918" s="29" t="s">
        <v>4386</v>
      </c>
      <c r="I918" s="29" t="s">
        <v>467</v>
      </c>
      <c r="J918" s="29" t="s">
        <v>467</v>
      </c>
      <c r="K918" s="30" t="s">
        <v>44</v>
      </c>
      <c r="L918" s="31"/>
      <c r="M918" s="32"/>
    </row>
    <row r="919" customFormat="false" ht="51" hidden="false" customHeight="true" outlineLevel="0" collapsed="false">
      <c r="B919" s="29" t="s">
        <v>4424</v>
      </c>
      <c r="C919" s="29" t="s">
        <v>37</v>
      </c>
      <c r="D919" s="29" t="s">
        <v>4425</v>
      </c>
      <c r="E919" s="29" t="s">
        <v>356</v>
      </c>
      <c r="F919" s="29" t="s">
        <v>4426</v>
      </c>
      <c r="G919" s="29" t="s">
        <v>4427</v>
      </c>
      <c r="H919" s="29" t="s">
        <v>4391</v>
      </c>
      <c r="I919" s="29" t="s">
        <v>3662</v>
      </c>
      <c r="J919" s="29" t="s">
        <v>154</v>
      </c>
      <c r="K919" s="30" t="s">
        <v>44</v>
      </c>
      <c r="L919" s="31"/>
      <c r="M919" s="32"/>
    </row>
    <row r="920" customFormat="false" ht="51" hidden="false" customHeight="true" outlineLevel="0" collapsed="false">
      <c r="B920" s="29" t="s">
        <v>4428</v>
      </c>
      <c r="C920" s="29" t="s">
        <v>37</v>
      </c>
      <c r="D920" s="29" t="s">
        <v>4429</v>
      </c>
      <c r="E920" s="29" t="s">
        <v>356</v>
      </c>
      <c r="F920" s="29" t="s">
        <v>4430</v>
      </c>
      <c r="G920" s="29" t="s">
        <v>4431</v>
      </c>
      <c r="H920" s="29" t="s">
        <v>4432</v>
      </c>
      <c r="I920" s="29" t="s">
        <v>301</v>
      </c>
      <c r="J920" s="29" t="s">
        <v>201</v>
      </c>
      <c r="K920" s="30" t="s">
        <v>44</v>
      </c>
      <c r="L920" s="31"/>
      <c r="M920" s="32"/>
    </row>
    <row r="921" customFormat="false" ht="51" hidden="false" customHeight="true" outlineLevel="0" collapsed="false">
      <c r="B921" s="29" t="s">
        <v>4433</v>
      </c>
      <c r="C921" s="29" t="s">
        <v>37</v>
      </c>
      <c r="D921" s="29" t="s">
        <v>4434</v>
      </c>
      <c r="E921" s="29" t="s">
        <v>89</v>
      </c>
      <c r="F921" s="29" t="s">
        <v>4435</v>
      </c>
      <c r="G921" s="29" t="s">
        <v>4436</v>
      </c>
      <c r="H921" s="29" t="s">
        <v>4432</v>
      </c>
      <c r="I921" s="29" t="s">
        <v>42</v>
      </c>
      <c r="J921" s="29" t="s">
        <v>592</v>
      </c>
      <c r="K921" s="30" t="s">
        <v>44</v>
      </c>
      <c r="L921" s="31"/>
      <c r="M921" s="32"/>
    </row>
    <row r="922" customFormat="false" ht="51" hidden="false" customHeight="true" outlineLevel="0" collapsed="false">
      <c r="B922" s="29" t="s">
        <v>4437</v>
      </c>
      <c r="C922" s="29" t="s">
        <v>37</v>
      </c>
      <c r="D922" s="29" t="s">
        <v>4438</v>
      </c>
      <c r="E922" s="29" t="s">
        <v>97</v>
      </c>
      <c r="F922" s="29" t="s">
        <v>4439</v>
      </c>
      <c r="G922" s="29" t="s">
        <v>4440</v>
      </c>
      <c r="H922" s="29" t="s">
        <v>4432</v>
      </c>
      <c r="I922" s="29" t="s">
        <v>42</v>
      </c>
      <c r="J922" s="29" t="s">
        <v>65</v>
      </c>
      <c r="K922" s="30" t="s">
        <v>44</v>
      </c>
      <c r="L922" s="31"/>
      <c r="M922" s="32"/>
    </row>
    <row r="923" customFormat="false" ht="51" hidden="false" customHeight="true" outlineLevel="0" collapsed="false">
      <c r="B923" s="29" t="s">
        <v>4441</v>
      </c>
      <c r="C923" s="29" t="s">
        <v>37</v>
      </c>
      <c r="D923" s="29" t="s">
        <v>4442</v>
      </c>
      <c r="E923" s="29" t="s">
        <v>89</v>
      </c>
      <c r="F923" s="29" t="s">
        <v>4443</v>
      </c>
      <c r="G923" s="29" t="s">
        <v>4444</v>
      </c>
      <c r="H923" s="29" t="s">
        <v>4445</v>
      </c>
      <c r="I923" s="29" t="s">
        <v>42</v>
      </c>
      <c r="J923" s="29" t="s">
        <v>260</v>
      </c>
      <c r="K923" s="30" t="s">
        <v>44</v>
      </c>
      <c r="L923" s="31"/>
      <c r="M923" s="32"/>
    </row>
    <row r="924" customFormat="false" ht="51" hidden="false" customHeight="true" outlineLevel="0" collapsed="false">
      <c r="B924" s="29" t="s">
        <v>4446</v>
      </c>
      <c r="C924" s="29" t="s">
        <v>37</v>
      </c>
      <c r="D924" s="29" t="s">
        <v>4447</v>
      </c>
      <c r="E924" s="29" t="s">
        <v>89</v>
      </c>
      <c r="F924" s="29" t="s">
        <v>4448</v>
      </c>
      <c r="G924" s="29" t="s">
        <v>4449</v>
      </c>
      <c r="H924" s="29" t="s">
        <v>4445</v>
      </c>
      <c r="I924" s="29" t="s">
        <v>3808</v>
      </c>
      <c r="J924" s="29" t="s">
        <v>2512</v>
      </c>
      <c r="K924" s="30" t="s">
        <v>44</v>
      </c>
      <c r="L924" s="31"/>
      <c r="M924" s="32"/>
    </row>
    <row r="925" customFormat="false" ht="51" hidden="false" customHeight="true" outlineLevel="0" collapsed="false">
      <c r="B925" s="29" t="s">
        <v>4450</v>
      </c>
      <c r="C925" s="29" t="s">
        <v>37</v>
      </c>
      <c r="D925" s="29" t="s">
        <v>4451</v>
      </c>
      <c r="E925" s="29" t="s">
        <v>89</v>
      </c>
      <c r="F925" s="29" t="s">
        <v>4452</v>
      </c>
      <c r="G925" s="29" t="s">
        <v>4453</v>
      </c>
      <c r="H925" s="29" t="s">
        <v>4445</v>
      </c>
      <c r="I925" s="29" t="s">
        <v>3808</v>
      </c>
      <c r="J925" s="29" t="s">
        <v>4454</v>
      </c>
      <c r="K925" s="30" t="s">
        <v>44</v>
      </c>
      <c r="L925" s="31"/>
      <c r="M925" s="32"/>
    </row>
    <row r="926" customFormat="false" ht="51" hidden="false" customHeight="true" outlineLevel="0" collapsed="false">
      <c r="B926" s="29" t="s">
        <v>4455</v>
      </c>
      <c r="C926" s="29" t="s">
        <v>37</v>
      </c>
      <c r="D926" s="29" t="s">
        <v>4456</v>
      </c>
      <c r="E926" s="29" t="s">
        <v>97</v>
      </c>
      <c r="F926" s="29" t="s">
        <v>4457</v>
      </c>
      <c r="G926" s="29" t="s">
        <v>4458</v>
      </c>
      <c r="H926" s="29" t="s">
        <v>4459</v>
      </c>
      <c r="I926" s="29" t="s">
        <v>42</v>
      </c>
      <c r="J926" s="29" t="s">
        <v>65</v>
      </c>
      <c r="K926" s="30" t="s">
        <v>44</v>
      </c>
      <c r="L926" s="31"/>
      <c r="M926" s="32"/>
    </row>
    <row r="927" customFormat="false" ht="51" hidden="false" customHeight="true" outlineLevel="0" collapsed="false">
      <c r="B927" s="29" t="s">
        <v>4460</v>
      </c>
      <c r="C927" s="29" t="s">
        <v>37</v>
      </c>
      <c r="D927" s="29" t="s">
        <v>4461</v>
      </c>
      <c r="E927" s="29" t="s">
        <v>97</v>
      </c>
      <c r="F927" s="29" t="s">
        <v>4462</v>
      </c>
      <c r="G927" s="29" t="s">
        <v>4463</v>
      </c>
      <c r="H927" s="29" t="s">
        <v>4459</v>
      </c>
      <c r="I927" s="29" t="s">
        <v>42</v>
      </c>
      <c r="J927" s="29" t="s">
        <v>65</v>
      </c>
      <c r="K927" s="30" t="s">
        <v>44</v>
      </c>
      <c r="L927" s="31"/>
      <c r="M927" s="32"/>
    </row>
    <row r="928" customFormat="false" ht="51" hidden="false" customHeight="true" outlineLevel="0" collapsed="false">
      <c r="B928" s="29" t="s">
        <v>4464</v>
      </c>
      <c r="C928" s="29" t="s">
        <v>37</v>
      </c>
      <c r="D928" s="29" t="s">
        <v>4465</v>
      </c>
      <c r="E928" s="29" t="s">
        <v>97</v>
      </c>
      <c r="F928" s="29" t="s">
        <v>4466</v>
      </c>
      <c r="G928" s="29" t="s">
        <v>4466</v>
      </c>
      <c r="H928" s="29" t="s">
        <v>4459</v>
      </c>
      <c r="I928" s="29" t="s">
        <v>42</v>
      </c>
      <c r="J928" s="29" t="s">
        <v>65</v>
      </c>
      <c r="K928" s="30" t="s">
        <v>44</v>
      </c>
      <c r="L928" s="31"/>
      <c r="M928" s="32"/>
    </row>
    <row r="929" customFormat="false" ht="51" hidden="false" customHeight="true" outlineLevel="0" collapsed="false">
      <c r="B929" s="29" t="s">
        <v>4467</v>
      </c>
      <c r="C929" s="29" t="s">
        <v>37</v>
      </c>
      <c r="D929" s="29" t="s">
        <v>4468</v>
      </c>
      <c r="E929" s="29" t="s">
        <v>97</v>
      </c>
      <c r="F929" s="29" t="s">
        <v>4469</v>
      </c>
      <c r="G929" s="29" t="s">
        <v>4470</v>
      </c>
      <c r="H929" s="29" t="s">
        <v>4459</v>
      </c>
      <c r="I929" s="29" t="s">
        <v>42</v>
      </c>
      <c r="J929" s="29" t="s">
        <v>65</v>
      </c>
      <c r="K929" s="30" t="s">
        <v>44</v>
      </c>
      <c r="L929" s="31"/>
      <c r="M929" s="32"/>
    </row>
    <row r="930" customFormat="false" ht="51" hidden="false" customHeight="true" outlineLevel="0" collapsed="false">
      <c r="B930" s="29" t="s">
        <v>4471</v>
      </c>
      <c r="C930" s="29" t="s">
        <v>37</v>
      </c>
      <c r="D930" s="29" t="s">
        <v>4472</v>
      </c>
      <c r="E930" s="29" t="s">
        <v>97</v>
      </c>
      <c r="F930" s="29" t="s">
        <v>4473</v>
      </c>
      <c r="G930" s="29" t="s">
        <v>4474</v>
      </c>
      <c r="H930" s="29" t="s">
        <v>4459</v>
      </c>
      <c r="I930" s="29" t="s">
        <v>42</v>
      </c>
      <c r="J930" s="29" t="s">
        <v>65</v>
      </c>
      <c r="K930" s="30" t="s">
        <v>44</v>
      </c>
      <c r="L930" s="31"/>
      <c r="M930" s="32"/>
    </row>
    <row r="931" customFormat="false" ht="51" hidden="false" customHeight="true" outlineLevel="0" collapsed="false">
      <c r="B931" s="29" t="s">
        <v>4475</v>
      </c>
      <c r="C931" s="29" t="s">
        <v>37</v>
      </c>
      <c r="D931" s="29" t="s">
        <v>4476</v>
      </c>
      <c r="E931" s="29" t="s">
        <v>97</v>
      </c>
      <c r="F931" s="29" t="s">
        <v>4477</v>
      </c>
      <c r="G931" s="29" t="s">
        <v>4478</v>
      </c>
      <c r="H931" s="29" t="s">
        <v>4459</v>
      </c>
      <c r="I931" s="29" t="s">
        <v>42</v>
      </c>
      <c r="J931" s="29" t="s">
        <v>65</v>
      </c>
      <c r="K931" s="30" t="s">
        <v>44</v>
      </c>
      <c r="L931" s="31"/>
      <c r="M931" s="32"/>
    </row>
    <row r="932" customFormat="false" ht="51" hidden="false" customHeight="true" outlineLevel="0" collapsed="false">
      <c r="B932" s="29" t="s">
        <v>4479</v>
      </c>
      <c r="C932" s="29" t="s">
        <v>37</v>
      </c>
      <c r="D932" s="29" t="s">
        <v>4480</v>
      </c>
      <c r="E932" s="29" t="s">
        <v>97</v>
      </c>
      <c r="F932" s="29" t="s">
        <v>4481</v>
      </c>
      <c r="G932" s="29" t="s">
        <v>4482</v>
      </c>
      <c r="H932" s="29" t="s">
        <v>4459</v>
      </c>
      <c r="I932" s="29" t="s">
        <v>42</v>
      </c>
      <c r="J932" s="29" t="s">
        <v>65</v>
      </c>
      <c r="K932" s="30" t="s">
        <v>44</v>
      </c>
      <c r="L932" s="31"/>
      <c r="M932" s="32"/>
    </row>
    <row r="933" customFormat="false" ht="51" hidden="false" customHeight="true" outlineLevel="0" collapsed="false">
      <c r="B933" s="29" t="s">
        <v>4483</v>
      </c>
      <c r="C933" s="29" t="s">
        <v>37</v>
      </c>
      <c r="D933" s="29" t="s">
        <v>4484</v>
      </c>
      <c r="E933" s="29" t="s">
        <v>339</v>
      </c>
      <c r="F933" s="29" t="s">
        <v>4485</v>
      </c>
      <c r="G933" s="29" t="s">
        <v>4486</v>
      </c>
      <c r="H933" s="29" t="s">
        <v>4487</v>
      </c>
      <c r="I933" s="29" t="s">
        <v>301</v>
      </c>
      <c r="J933" s="29" t="s">
        <v>201</v>
      </c>
      <c r="K933" s="30" t="s">
        <v>44</v>
      </c>
      <c r="L933" s="31"/>
      <c r="M933" s="32"/>
    </row>
    <row r="934" customFormat="false" ht="51" hidden="false" customHeight="true" outlineLevel="0" collapsed="false">
      <c r="B934" s="29" t="s">
        <v>4488</v>
      </c>
      <c r="C934" s="29" t="s">
        <v>37</v>
      </c>
      <c r="D934" s="29" t="s">
        <v>4489</v>
      </c>
      <c r="E934" s="29" t="s">
        <v>356</v>
      </c>
      <c r="F934" s="29" t="s">
        <v>4490</v>
      </c>
      <c r="G934" s="29" t="s">
        <v>4491</v>
      </c>
      <c r="H934" s="29" t="s">
        <v>4487</v>
      </c>
      <c r="I934" s="29" t="s">
        <v>42</v>
      </c>
      <c r="J934" s="29" t="s">
        <v>43</v>
      </c>
      <c r="K934" s="30" t="s">
        <v>44</v>
      </c>
      <c r="L934" s="31"/>
      <c r="M934" s="32"/>
    </row>
    <row r="935" customFormat="false" ht="51" hidden="false" customHeight="true" outlineLevel="0" collapsed="false">
      <c r="B935" s="29" t="s">
        <v>4492</v>
      </c>
      <c r="C935" s="29" t="s">
        <v>37</v>
      </c>
      <c r="D935" s="29" t="s">
        <v>4493</v>
      </c>
      <c r="E935" s="29" t="s">
        <v>339</v>
      </c>
      <c r="F935" s="29" t="s">
        <v>4494</v>
      </c>
      <c r="G935" s="29" t="s">
        <v>4495</v>
      </c>
      <c r="H935" s="29" t="s">
        <v>4487</v>
      </c>
      <c r="I935" s="29" t="s">
        <v>301</v>
      </c>
      <c r="J935" s="29" t="s">
        <v>201</v>
      </c>
      <c r="K935" s="30" t="s">
        <v>44</v>
      </c>
      <c r="L935" s="31"/>
      <c r="M935" s="32"/>
    </row>
    <row r="936" customFormat="false" ht="51" hidden="false" customHeight="true" outlineLevel="0" collapsed="false">
      <c r="B936" s="29" t="s">
        <v>4496</v>
      </c>
      <c r="C936" s="29" t="s">
        <v>37</v>
      </c>
      <c r="D936" s="29" t="s">
        <v>4497</v>
      </c>
      <c r="E936" s="29" t="s">
        <v>356</v>
      </c>
      <c r="F936" s="29" t="s">
        <v>4498</v>
      </c>
      <c r="G936" s="29" t="s">
        <v>4499</v>
      </c>
      <c r="H936" s="29" t="s">
        <v>4487</v>
      </c>
      <c r="I936" s="29" t="s">
        <v>301</v>
      </c>
      <c r="J936" s="29" t="s">
        <v>201</v>
      </c>
      <c r="K936" s="30" t="s">
        <v>44</v>
      </c>
      <c r="L936" s="31"/>
      <c r="M936" s="32"/>
    </row>
    <row r="937" customFormat="false" ht="51" hidden="false" customHeight="true" outlineLevel="0" collapsed="false">
      <c r="B937" s="29" t="s">
        <v>4500</v>
      </c>
      <c r="C937" s="29" t="s">
        <v>37</v>
      </c>
      <c r="D937" s="29" t="s">
        <v>4501</v>
      </c>
      <c r="E937" s="29" t="s">
        <v>339</v>
      </c>
      <c r="F937" s="29" t="s">
        <v>4502</v>
      </c>
      <c r="G937" s="29" t="s">
        <v>4503</v>
      </c>
      <c r="H937" s="29" t="s">
        <v>4487</v>
      </c>
      <c r="I937" s="29" t="s">
        <v>301</v>
      </c>
      <c r="J937" s="29" t="s">
        <v>201</v>
      </c>
      <c r="K937" s="30" t="s">
        <v>44</v>
      </c>
      <c r="L937" s="31"/>
      <c r="M937" s="32"/>
    </row>
    <row r="938" customFormat="false" ht="51" hidden="false" customHeight="true" outlineLevel="0" collapsed="false">
      <c r="B938" s="29" t="s">
        <v>4504</v>
      </c>
      <c r="C938" s="29" t="s">
        <v>37</v>
      </c>
      <c r="D938" s="29" t="s">
        <v>4505</v>
      </c>
      <c r="E938" s="29" t="s">
        <v>356</v>
      </c>
      <c r="F938" s="29" t="s">
        <v>4506</v>
      </c>
      <c r="G938" s="29" t="s">
        <v>4507</v>
      </c>
      <c r="H938" s="29" t="s">
        <v>4508</v>
      </c>
      <c r="I938" s="29" t="s">
        <v>301</v>
      </c>
      <c r="J938" s="29" t="s">
        <v>201</v>
      </c>
      <c r="K938" s="30" t="s">
        <v>44</v>
      </c>
      <c r="L938" s="31"/>
      <c r="M938" s="32"/>
    </row>
    <row r="939" customFormat="false" ht="51" hidden="false" customHeight="true" outlineLevel="0" collapsed="false">
      <c r="B939" s="29" t="s">
        <v>4509</v>
      </c>
      <c r="C939" s="29" t="s">
        <v>37</v>
      </c>
      <c r="D939" s="29" t="s">
        <v>4510</v>
      </c>
      <c r="E939" s="29" t="s">
        <v>356</v>
      </c>
      <c r="F939" s="29" t="s">
        <v>4511</v>
      </c>
      <c r="G939" s="29" t="s">
        <v>4512</v>
      </c>
      <c r="H939" s="29" t="s">
        <v>4508</v>
      </c>
      <c r="I939" s="29" t="s">
        <v>301</v>
      </c>
      <c r="J939" s="29" t="s">
        <v>201</v>
      </c>
      <c r="K939" s="30" t="s">
        <v>44</v>
      </c>
      <c r="L939" s="31"/>
      <c r="M939" s="32"/>
    </row>
    <row r="940" customFormat="false" ht="51" hidden="false" customHeight="true" outlineLevel="0" collapsed="false">
      <c r="B940" s="29" t="s">
        <v>4513</v>
      </c>
      <c r="C940" s="29" t="s">
        <v>37</v>
      </c>
      <c r="D940" s="29" t="s">
        <v>4514</v>
      </c>
      <c r="E940" s="29" t="s">
        <v>356</v>
      </c>
      <c r="F940" s="29" t="s">
        <v>4515</v>
      </c>
      <c r="G940" s="29" t="s">
        <v>4516</v>
      </c>
      <c r="H940" s="29" t="s">
        <v>4508</v>
      </c>
      <c r="I940" s="29" t="s">
        <v>301</v>
      </c>
      <c r="J940" s="29" t="s">
        <v>201</v>
      </c>
      <c r="K940" s="30" t="s">
        <v>44</v>
      </c>
      <c r="L940" s="31"/>
      <c r="M940" s="32"/>
    </row>
    <row r="941" customFormat="false" ht="51" hidden="false" customHeight="true" outlineLevel="0" collapsed="false">
      <c r="B941" s="29" t="s">
        <v>4517</v>
      </c>
      <c r="C941" s="29" t="s">
        <v>37</v>
      </c>
      <c r="D941" s="29" t="s">
        <v>4518</v>
      </c>
      <c r="E941" s="29" t="s">
        <v>356</v>
      </c>
      <c r="F941" s="29" t="s">
        <v>4519</v>
      </c>
      <c r="G941" s="29" t="s">
        <v>4520</v>
      </c>
      <c r="H941" s="29" t="s">
        <v>4508</v>
      </c>
      <c r="I941" s="29" t="s">
        <v>301</v>
      </c>
      <c r="J941" s="29" t="s">
        <v>201</v>
      </c>
      <c r="K941" s="30" t="s">
        <v>44</v>
      </c>
      <c r="L941" s="31"/>
      <c r="M941" s="32"/>
    </row>
    <row r="942" customFormat="false" ht="51" hidden="false" customHeight="true" outlineLevel="0" collapsed="false">
      <c r="B942" s="29" t="s">
        <v>4521</v>
      </c>
      <c r="C942" s="29" t="s">
        <v>37</v>
      </c>
      <c r="D942" s="29" t="s">
        <v>4522</v>
      </c>
      <c r="E942" s="29" t="s">
        <v>356</v>
      </c>
      <c r="F942" s="29" t="s">
        <v>4523</v>
      </c>
      <c r="G942" s="29" t="s">
        <v>4524</v>
      </c>
      <c r="H942" s="29" t="s">
        <v>4508</v>
      </c>
      <c r="I942" s="29" t="s">
        <v>301</v>
      </c>
      <c r="J942" s="29" t="s">
        <v>201</v>
      </c>
      <c r="K942" s="30" t="s">
        <v>44</v>
      </c>
      <c r="L942" s="31"/>
      <c r="M942" s="32"/>
    </row>
    <row r="943" customFormat="false" ht="51" hidden="false" customHeight="true" outlineLevel="0" collapsed="false">
      <c r="B943" s="29" t="s">
        <v>4525</v>
      </c>
      <c r="C943" s="29" t="s">
        <v>37</v>
      </c>
      <c r="D943" s="29" t="s">
        <v>4526</v>
      </c>
      <c r="E943" s="29" t="s">
        <v>89</v>
      </c>
      <c r="F943" s="29" t="s">
        <v>4527</v>
      </c>
      <c r="G943" s="29" t="s">
        <v>4528</v>
      </c>
      <c r="H943" s="29" t="s">
        <v>4529</v>
      </c>
      <c r="I943" s="29" t="s">
        <v>42</v>
      </c>
      <c r="J943" s="29" t="s">
        <v>592</v>
      </c>
      <c r="K943" s="30" t="s">
        <v>44</v>
      </c>
      <c r="L943" s="31"/>
      <c r="M943" s="32"/>
    </row>
    <row r="944" customFormat="false" ht="51" hidden="false" customHeight="true" outlineLevel="0" collapsed="false">
      <c r="B944" s="29" t="s">
        <v>4530</v>
      </c>
      <c r="C944" s="29" t="s">
        <v>37</v>
      </c>
      <c r="D944" s="29" t="s">
        <v>4531</v>
      </c>
      <c r="E944" s="29" t="s">
        <v>89</v>
      </c>
      <c r="F944" s="29" t="s">
        <v>4532</v>
      </c>
      <c r="G944" s="29" t="s">
        <v>4533</v>
      </c>
      <c r="H944" s="29" t="s">
        <v>4529</v>
      </c>
      <c r="I944" s="29" t="s">
        <v>42</v>
      </c>
      <c r="J944" s="29" t="s">
        <v>592</v>
      </c>
      <c r="K944" s="30" t="s">
        <v>44</v>
      </c>
      <c r="L944" s="31"/>
      <c r="M944" s="32"/>
    </row>
    <row r="945" customFormat="false" ht="51" hidden="false" customHeight="true" outlineLevel="0" collapsed="false">
      <c r="B945" s="29" t="s">
        <v>4534</v>
      </c>
      <c r="C945" s="29" t="s">
        <v>37</v>
      </c>
      <c r="D945" s="29" t="s">
        <v>4535</v>
      </c>
      <c r="E945" s="29" t="s">
        <v>89</v>
      </c>
      <c r="F945" s="29" t="s">
        <v>4536</v>
      </c>
      <c r="G945" s="29" t="s">
        <v>4536</v>
      </c>
      <c r="H945" s="29" t="s">
        <v>4529</v>
      </c>
      <c r="I945" s="29" t="s">
        <v>42</v>
      </c>
      <c r="J945" s="29" t="s">
        <v>592</v>
      </c>
      <c r="K945" s="30" t="s">
        <v>44</v>
      </c>
      <c r="L945" s="31"/>
      <c r="M945" s="32"/>
    </row>
    <row r="946" customFormat="false" ht="51" hidden="false" customHeight="true" outlineLevel="0" collapsed="false">
      <c r="B946" s="29" t="s">
        <v>4537</v>
      </c>
      <c r="C946" s="29" t="s">
        <v>37</v>
      </c>
      <c r="D946" s="29" t="s">
        <v>4538</v>
      </c>
      <c r="E946" s="29" t="s">
        <v>89</v>
      </c>
      <c r="F946" s="29" t="s">
        <v>4539</v>
      </c>
      <c r="G946" s="29" t="s">
        <v>4540</v>
      </c>
      <c r="H946" s="29" t="s">
        <v>4529</v>
      </c>
      <c r="I946" s="29" t="s">
        <v>42</v>
      </c>
      <c r="J946" s="29" t="s">
        <v>592</v>
      </c>
      <c r="K946" s="30" t="s">
        <v>44</v>
      </c>
      <c r="L946" s="31"/>
      <c r="M946" s="32"/>
    </row>
    <row r="947" customFormat="false" ht="51" hidden="false" customHeight="true" outlineLevel="0" collapsed="false">
      <c r="B947" s="29" t="s">
        <v>4541</v>
      </c>
      <c r="C947" s="29" t="s">
        <v>37</v>
      </c>
      <c r="D947" s="29" t="s">
        <v>4542</v>
      </c>
      <c r="E947" s="29" t="s">
        <v>89</v>
      </c>
      <c r="F947" s="29" t="s">
        <v>4543</v>
      </c>
      <c r="G947" s="29" t="s">
        <v>4544</v>
      </c>
      <c r="H947" s="29" t="s">
        <v>4529</v>
      </c>
      <c r="I947" s="29" t="s">
        <v>3808</v>
      </c>
      <c r="J947" s="29" t="s">
        <v>2130</v>
      </c>
      <c r="K947" s="30" t="s">
        <v>44</v>
      </c>
      <c r="L947" s="31"/>
      <c r="M947" s="32"/>
    </row>
    <row r="948" customFormat="false" ht="51" hidden="false" customHeight="true" outlineLevel="0" collapsed="false">
      <c r="B948" s="29" t="s">
        <v>4545</v>
      </c>
      <c r="C948" s="29" t="s">
        <v>37</v>
      </c>
      <c r="D948" s="29" t="s">
        <v>4546</v>
      </c>
      <c r="E948" s="29" t="s">
        <v>89</v>
      </c>
      <c r="F948" s="29" t="s">
        <v>4547</v>
      </c>
      <c r="G948" s="29" t="s">
        <v>4548</v>
      </c>
      <c r="H948" s="29" t="s">
        <v>4529</v>
      </c>
      <c r="I948" s="29" t="s">
        <v>42</v>
      </c>
      <c r="J948" s="29" t="s">
        <v>592</v>
      </c>
      <c r="K948" s="30" t="s">
        <v>44</v>
      </c>
      <c r="L948" s="31"/>
      <c r="M948" s="32"/>
    </row>
    <row r="949" customFormat="false" ht="51" hidden="false" customHeight="true" outlineLevel="0" collapsed="false">
      <c r="B949" s="29" t="s">
        <v>4549</v>
      </c>
      <c r="C949" s="29" t="s">
        <v>37</v>
      </c>
      <c r="D949" s="29" t="s">
        <v>4550</v>
      </c>
      <c r="E949" s="29" t="s">
        <v>89</v>
      </c>
      <c r="F949" s="29" t="s">
        <v>4551</v>
      </c>
      <c r="G949" s="29" t="s">
        <v>4552</v>
      </c>
      <c r="H949" s="29" t="s">
        <v>4529</v>
      </c>
      <c r="I949" s="29" t="s">
        <v>3808</v>
      </c>
      <c r="J949" s="29" t="s">
        <v>2130</v>
      </c>
      <c r="K949" s="30" t="s">
        <v>44</v>
      </c>
      <c r="L949" s="31"/>
      <c r="M949" s="32"/>
    </row>
    <row r="950" customFormat="false" ht="51" hidden="false" customHeight="true" outlineLevel="0" collapsed="false">
      <c r="B950" s="29" t="s">
        <v>4553</v>
      </c>
      <c r="C950" s="29" t="s">
        <v>37</v>
      </c>
      <c r="D950" s="29" t="s">
        <v>4554</v>
      </c>
      <c r="E950" s="29" t="s">
        <v>89</v>
      </c>
      <c r="F950" s="29" t="s">
        <v>4555</v>
      </c>
      <c r="G950" s="29" t="s">
        <v>4555</v>
      </c>
      <c r="H950" s="29" t="s">
        <v>4529</v>
      </c>
      <c r="I950" s="29" t="s">
        <v>42</v>
      </c>
      <c r="J950" s="29" t="s">
        <v>592</v>
      </c>
      <c r="K950" s="30" t="s">
        <v>44</v>
      </c>
      <c r="L950" s="31"/>
      <c r="M950" s="32"/>
    </row>
    <row r="951" customFormat="false" ht="51" hidden="false" customHeight="true" outlineLevel="0" collapsed="false">
      <c r="B951" s="29" t="s">
        <v>4556</v>
      </c>
      <c r="C951" s="29" t="s">
        <v>37</v>
      </c>
      <c r="D951" s="29" t="s">
        <v>4557</v>
      </c>
      <c r="E951" s="29" t="s">
        <v>538</v>
      </c>
      <c r="F951" s="29" t="s">
        <v>4558</v>
      </c>
      <c r="G951" s="29" t="s">
        <v>4558</v>
      </c>
      <c r="H951" s="29" t="s">
        <v>4559</v>
      </c>
      <c r="I951" s="29" t="s">
        <v>467</v>
      </c>
      <c r="J951" s="29" t="s">
        <v>467</v>
      </c>
      <c r="K951" s="30" t="s">
        <v>44</v>
      </c>
      <c r="L951" s="31"/>
      <c r="M951" s="32"/>
    </row>
    <row r="952" customFormat="false" ht="51" hidden="false" customHeight="true" outlineLevel="0" collapsed="false">
      <c r="B952" s="29" t="s">
        <v>4560</v>
      </c>
      <c r="C952" s="29" t="s">
        <v>37</v>
      </c>
      <c r="D952" s="29" t="s">
        <v>4561</v>
      </c>
      <c r="E952" s="29" t="s">
        <v>97</v>
      </c>
      <c r="F952" s="29" t="s">
        <v>4562</v>
      </c>
      <c r="G952" s="29" t="s">
        <v>4563</v>
      </c>
      <c r="H952" s="29" t="s">
        <v>4564</v>
      </c>
      <c r="I952" s="29" t="s">
        <v>42</v>
      </c>
      <c r="J952" s="29" t="s">
        <v>65</v>
      </c>
      <c r="K952" s="30" t="s">
        <v>44</v>
      </c>
      <c r="L952" s="31"/>
      <c r="M952" s="32"/>
    </row>
    <row r="953" customFormat="false" ht="51" hidden="false" customHeight="true" outlineLevel="0" collapsed="false">
      <c r="B953" s="29" t="s">
        <v>4565</v>
      </c>
      <c r="C953" s="29" t="s">
        <v>37</v>
      </c>
      <c r="D953" s="29" t="s">
        <v>4566</v>
      </c>
      <c r="E953" s="29" t="s">
        <v>150</v>
      </c>
      <c r="F953" s="29" t="s">
        <v>4567</v>
      </c>
      <c r="G953" s="29" t="s">
        <v>4568</v>
      </c>
      <c r="H953" s="29" t="s">
        <v>4564</v>
      </c>
      <c r="I953" s="29" t="s">
        <v>42</v>
      </c>
      <c r="J953" s="29" t="s">
        <v>1369</v>
      </c>
      <c r="K953" s="30" t="s">
        <v>44</v>
      </c>
      <c r="L953" s="31"/>
      <c r="M953" s="32"/>
    </row>
    <row r="954" customFormat="false" ht="51" hidden="false" customHeight="true" outlineLevel="0" collapsed="false">
      <c r="B954" s="29" t="s">
        <v>4569</v>
      </c>
      <c r="C954" s="29" t="s">
        <v>37</v>
      </c>
      <c r="D954" s="29" t="s">
        <v>4570</v>
      </c>
      <c r="E954" s="29" t="s">
        <v>538</v>
      </c>
      <c r="F954" s="29" t="s">
        <v>4571</v>
      </c>
      <c r="G954" s="29" t="s">
        <v>4572</v>
      </c>
      <c r="H954" s="29" t="s">
        <v>4559</v>
      </c>
      <c r="I954" s="29" t="s">
        <v>467</v>
      </c>
      <c r="J954" s="29" t="s">
        <v>467</v>
      </c>
      <c r="K954" s="30" t="s">
        <v>44</v>
      </c>
      <c r="L954" s="31"/>
      <c r="M954" s="32"/>
    </row>
    <row r="955" customFormat="false" ht="51" hidden="false" customHeight="true" outlineLevel="0" collapsed="false">
      <c r="B955" s="29" t="s">
        <v>4573</v>
      </c>
      <c r="C955" s="29" t="s">
        <v>37</v>
      </c>
      <c r="D955" s="29" t="s">
        <v>4574</v>
      </c>
      <c r="E955" s="29" t="s">
        <v>339</v>
      </c>
      <c r="F955" s="29" t="s">
        <v>4575</v>
      </c>
      <c r="G955" s="29" t="s">
        <v>4576</v>
      </c>
      <c r="H955" s="29" t="s">
        <v>4564</v>
      </c>
      <c r="I955" s="29" t="s">
        <v>42</v>
      </c>
      <c r="J955" s="29" t="s">
        <v>269</v>
      </c>
      <c r="K955" s="30" t="s">
        <v>44</v>
      </c>
      <c r="L955" s="31"/>
      <c r="M955" s="32"/>
    </row>
    <row r="956" customFormat="false" ht="51" hidden="false" customHeight="true" outlineLevel="0" collapsed="false">
      <c r="B956" s="29" t="s">
        <v>4577</v>
      </c>
      <c r="C956" s="29" t="s">
        <v>37</v>
      </c>
      <c r="D956" s="29" t="s">
        <v>4578</v>
      </c>
      <c r="E956" s="29" t="s">
        <v>356</v>
      </c>
      <c r="F956" s="29" t="s">
        <v>4579</v>
      </c>
      <c r="G956" s="29" t="s">
        <v>4580</v>
      </c>
      <c r="H956" s="29" t="s">
        <v>4581</v>
      </c>
      <c r="I956" s="29" t="s">
        <v>301</v>
      </c>
      <c r="J956" s="29" t="s">
        <v>201</v>
      </c>
      <c r="K956" s="30" t="s">
        <v>44</v>
      </c>
      <c r="L956" s="31"/>
      <c r="M956" s="32"/>
    </row>
    <row r="957" customFormat="false" ht="51" hidden="false" customHeight="true" outlineLevel="0" collapsed="false">
      <c r="B957" s="29" t="s">
        <v>4582</v>
      </c>
      <c r="C957" s="29" t="s">
        <v>37</v>
      </c>
      <c r="D957" s="29" t="s">
        <v>4583</v>
      </c>
      <c r="E957" s="29" t="s">
        <v>339</v>
      </c>
      <c r="F957" s="29" t="s">
        <v>4584</v>
      </c>
      <c r="G957" s="29" t="s">
        <v>4584</v>
      </c>
      <c r="H957" s="29" t="s">
        <v>4581</v>
      </c>
      <c r="I957" s="29" t="s">
        <v>301</v>
      </c>
      <c r="J957" s="29" t="s">
        <v>201</v>
      </c>
      <c r="K957" s="30" t="s">
        <v>44</v>
      </c>
      <c r="L957" s="31"/>
      <c r="M957" s="32"/>
    </row>
    <row r="958" customFormat="false" ht="51" hidden="false" customHeight="true" outlineLevel="0" collapsed="false">
      <c r="B958" s="29" t="s">
        <v>4585</v>
      </c>
      <c r="C958" s="29" t="s">
        <v>37</v>
      </c>
      <c r="D958" s="29" t="s">
        <v>4586</v>
      </c>
      <c r="E958" s="29" t="s">
        <v>356</v>
      </c>
      <c r="F958" s="29" t="s">
        <v>4587</v>
      </c>
      <c r="G958" s="29" t="s">
        <v>4587</v>
      </c>
      <c r="H958" s="29" t="s">
        <v>4581</v>
      </c>
      <c r="I958" s="29" t="s">
        <v>301</v>
      </c>
      <c r="J958" s="29" t="s">
        <v>201</v>
      </c>
      <c r="K958" s="30" t="s">
        <v>44</v>
      </c>
      <c r="L958" s="31"/>
      <c r="M958" s="32"/>
    </row>
    <row r="959" customFormat="false" ht="51" hidden="false" customHeight="true" outlineLevel="0" collapsed="false">
      <c r="B959" s="29" t="s">
        <v>4588</v>
      </c>
      <c r="C959" s="29" t="s">
        <v>37</v>
      </c>
      <c r="D959" s="29" t="s">
        <v>4589</v>
      </c>
      <c r="E959" s="29" t="s">
        <v>356</v>
      </c>
      <c r="F959" s="29" t="s">
        <v>4590</v>
      </c>
      <c r="G959" s="29" t="s">
        <v>4590</v>
      </c>
      <c r="H959" s="29" t="s">
        <v>4581</v>
      </c>
      <c r="I959" s="29" t="s">
        <v>301</v>
      </c>
      <c r="J959" s="29" t="s">
        <v>201</v>
      </c>
      <c r="K959" s="30" t="s">
        <v>44</v>
      </c>
      <c r="L959" s="31"/>
      <c r="M959" s="32"/>
    </row>
    <row r="960" customFormat="false" ht="51" hidden="false" customHeight="true" outlineLevel="0" collapsed="false">
      <c r="B960" s="29" t="s">
        <v>4591</v>
      </c>
      <c r="C960" s="29" t="s">
        <v>37</v>
      </c>
      <c r="D960" s="29" t="s">
        <v>4592</v>
      </c>
      <c r="E960" s="29" t="s">
        <v>339</v>
      </c>
      <c r="F960" s="29" t="s">
        <v>4593</v>
      </c>
      <c r="G960" s="29" t="s">
        <v>4594</v>
      </c>
      <c r="H960" s="29" t="s">
        <v>4581</v>
      </c>
      <c r="I960" s="29" t="s">
        <v>301</v>
      </c>
      <c r="J960" s="29" t="s">
        <v>201</v>
      </c>
      <c r="K960" s="30" t="s">
        <v>44</v>
      </c>
      <c r="L960" s="31"/>
      <c r="M960" s="32"/>
    </row>
    <row r="961" customFormat="false" ht="51" hidden="false" customHeight="true" outlineLevel="0" collapsed="false">
      <c r="B961" s="29" t="s">
        <v>4595</v>
      </c>
      <c r="C961" s="29" t="s">
        <v>37</v>
      </c>
      <c r="D961" s="29" t="s">
        <v>4596</v>
      </c>
      <c r="E961" s="29" t="s">
        <v>97</v>
      </c>
      <c r="F961" s="29" t="s">
        <v>4597</v>
      </c>
      <c r="G961" s="29" t="s">
        <v>4598</v>
      </c>
      <c r="H961" s="29" t="s">
        <v>4581</v>
      </c>
      <c r="I961" s="29" t="s">
        <v>42</v>
      </c>
      <c r="J961" s="29" t="s">
        <v>65</v>
      </c>
      <c r="K961" s="30" t="s">
        <v>44</v>
      </c>
      <c r="L961" s="31"/>
      <c r="M961" s="32"/>
    </row>
    <row r="962" customFormat="false" ht="51" hidden="false" customHeight="true" outlineLevel="0" collapsed="false">
      <c r="B962" s="29" t="s">
        <v>4599</v>
      </c>
      <c r="C962" s="29" t="s">
        <v>37</v>
      </c>
      <c r="D962" s="29" t="s">
        <v>4600</v>
      </c>
      <c r="E962" s="29" t="s">
        <v>356</v>
      </c>
      <c r="F962" s="29" t="s">
        <v>4601</v>
      </c>
      <c r="G962" s="29" t="s">
        <v>4602</v>
      </c>
      <c r="H962" s="29" t="s">
        <v>4581</v>
      </c>
      <c r="I962" s="29" t="s">
        <v>301</v>
      </c>
      <c r="J962" s="29" t="s">
        <v>201</v>
      </c>
      <c r="K962" s="30" t="s">
        <v>44</v>
      </c>
      <c r="L962" s="31"/>
      <c r="M962" s="32"/>
    </row>
    <row r="963" customFormat="false" ht="51" hidden="false" customHeight="true" outlineLevel="0" collapsed="false">
      <c r="B963" s="29" t="s">
        <v>4603</v>
      </c>
      <c r="C963" s="29" t="s">
        <v>37</v>
      </c>
      <c r="D963" s="29" t="s">
        <v>4604</v>
      </c>
      <c r="E963" s="29" t="s">
        <v>339</v>
      </c>
      <c r="F963" s="29" t="s">
        <v>4605</v>
      </c>
      <c r="G963" s="29" t="s">
        <v>4606</v>
      </c>
      <c r="H963" s="29" t="s">
        <v>4581</v>
      </c>
      <c r="I963" s="29" t="s">
        <v>301</v>
      </c>
      <c r="J963" s="29" t="s">
        <v>201</v>
      </c>
      <c r="K963" s="30" t="s">
        <v>44</v>
      </c>
      <c r="L963" s="31"/>
      <c r="M963" s="32"/>
    </row>
    <row r="964" customFormat="false" ht="51" hidden="false" customHeight="true" outlineLevel="0" collapsed="false">
      <c r="B964" s="29" t="s">
        <v>4607</v>
      </c>
      <c r="C964" s="29" t="s">
        <v>37</v>
      </c>
      <c r="D964" s="29" t="s">
        <v>4608</v>
      </c>
      <c r="E964" s="29" t="s">
        <v>339</v>
      </c>
      <c r="F964" s="29" t="s">
        <v>4609</v>
      </c>
      <c r="G964" s="29" t="s">
        <v>4609</v>
      </c>
      <c r="H964" s="29" t="s">
        <v>4581</v>
      </c>
      <c r="I964" s="29" t="s">
        <v>301</v>
      </c>
      <c r="J964" s="29" t="s">
        <v>201</v>
      </c>
      <c r="K964" s="30" t="s">
        <v>44</v>
      </c>
      <c r="L964" s="31"/>
      <c r="M964" s="32"/>
    </row>
    <row r="965" customFormat="false" ht="51" hidden="false" customHeight="true" outlineLevel="0" collapsed="false">
      <c r="B965" s="29" t="s">
        <v>4610</v>
      </c>
      <c r="C965" s="29" t="s">
        <v>37</v>
      </c>
      <c r="D965" s="29" t="s">
        <v>4611</v>
      </c>
      <c r="E965" s="29" t="s">
        <v>356</v>
      </c>
      <c r="F965" s="29" t="s">
        <v>4612</v>
      </c>
      <c r="G965" s="29" t="s">
        <v>4613</v>
      </c>
      <c r="H965" s="29" t="s">
        <v>4581</v>
      </c>
      <c r="I965" s="29" t="s">
        <v>301</v>
      </c>
      <c r="J965" s="29" t="s">
        <v>201</v>
      </c>
      <c r="K965" s="30" t="s">
        <v>44</v>
      </c>
      <c r="L965" s="31"/>
      <c r="M965" s="32"/>
    </row>
    <row r="966" customFormat="false" ht="51" hidden="false" customHeight="true" outlineLevel="0" collapsed="false">
      <c r="B966" s="29" t="s">
        <v>4614</v>
      </c>
      <c r="C966" s="29" t="s">
        <v>37</v>
      </c>
      <c r="D966" s="29" t="s">
        <v>4615</v>
      </c>
      <c r="E966" s="29" t="s">
        <v>595</v>
      </c>
      <c r="F966" s="29" t="s">
        <v>4616</v>
      </c>
      <c r="G966" s="29" t="s">
        <v>4617</v>
      </c>
      <c r="H966" s="29" t="s">
        <v>4618</v>
      </c>
      <c r="I966" s="29" t="s">
        <v>467</v>
      </c>
      <c r="J966" s="29" t="s">
        <v>467</v>
      </c>
      <c r="K966" s="30" t="s">
        <v>44</v>
      </c>
      <c r="L966" s="31"/>
      <c r="M966" s="32"/>
    </row>
    <row r="967" customFormat="false" ht="51" hidden="false" customHeight="true" outlineLevel="0" collapsed="false">
      <c r="B967" s="29" t="s">
        <v>4619</v>
      </c>
      <c r="C967" s="29" t="s">
        <v>37</v>
      </c>
      <c r="D967" s="29" t="s">
        <v>4620</v>
      </c>
      <c r="E967" s="29" t="s">
        <v>595</v>
      </c>
      <c r="F967" s="29" t="s">
        <v>4621</v>
      </c>
      <c r="G967" s="29" t="s">
        <v>4622</v>
      </c>
      <c r="H967" s="29" t="s">
        <v>4618</v>
      </c>
      <c r="I967" s="29" t="s">
        <v>467</v>
      </c>
      <c r="J967" s="29" t="s">
        <v>467</v>
      </c>
      <c r="K967" s="30" t="s">
        <v>44</v>
      </c>
      <c r="L967" s="31"/>
      <c r="M967" s="32"/>
    </row>
    <row r="968" customFormat="false" ht="51" hidden="false" customHeight="true" outlineLevel="0" collapsed="false">
      <c r="B968" s="29" t="s">
        <v>4623</v>
      </c>
      <c r="C968" s="29" t="s">
        <v>37</v>
      </c>
      <c r="D968" s="29" t="s">
        <v>4624</v>
      </c>
      <c r="E968" s="29" t="s">
        <v>595</v>
      </c>
      <c r="F968" s="29" t="s">
        <v>4625</v>
      </c>
      <c r="G968" s="29" t="s">
        <v>4626</v>
      </c>
      <c r="H968" s="29" t="s">
        <v>4618</v>
      </c>
      <c r="I968" s="29" t="s">
        <v>467</v>
      </c>
      <c r="J968" s="29" t="s">
        <v>467</v>
      </c>
      <c r="K968" s="30" t="s">
        <v>44</v>
      </c>
      <c r="L968" s="31"/>
      <c r="M968" s="32"/>
    </row>
    <row r="969" customFormat="false" ht="51" hidden="false" customHeight="true" outlineLevel="0" collapsed="false">
      <c r="B969" s="29" t="s">
        <v>4627</v>
      </c>
      <c r="C969" s="29" t="s">
        <v>37</v>
      </c>
      <c r="D969" s="29" t="s">
        <v>4628</v>
      </c>
      <c r="E969" s="29" t="s">
        <v>595</v>
      </c>
      <c r="F969" s="29" t="s">
        <v>4629</v>
      </c>
      <c r="G969" s="29" t="s">
        <v>4630</v>
      </c>
      <c r="H969" s="29" t="s">
        <v>4618</v>
      </c>
      <c r="I969" s="29" t="s">
        <v>467</v>
      </c>
      <c r="J969" s="29" t="s">
        <v>467</v>
      </c>
      <c r="K969" s="30" t="s">
        <v>44</v>
      </c>
      <c r="L969" s="31"/>
      <c r="M969" s="32"/>
    </row>
    <row r="970" customFormat="false" ht="51" hidden="false" customHeight="true" outlineLevel="0" collapsed="false">
      <c r="B970" s="29" t="s">
        <v>4631</v>
      </c>
      <c r="C970" s="29" t="s">
        <v>37</v>
      </c>
      <c r="D970" s="29" t="s">
        <v>4632</v>
      </c>
      <c r="E970" s="29" t="s">
        <v>595</v>
      </c>
      <c r="F970" s="29" t="s">
        <v>4633</v>
      </c>
      <c r="G970" s="29" t="s">
        <v>4634</v>
      </c>
      <c r="H970" s="29" t="s">
        <v>4635</v>
      </c>
      <c r="I970" s="29" t="s">
        <v>3662</v>
      </c>
      <c r="J970" s="29" t="s">
        <v>154</v>
      </c>
      <c r="K970" s="30" t="s">
        <v>44</v>
      </c>
      <c r="L970" s="31"/>
      <c r="M970" s="32"/>
    </row>
    <row r="971" customFormat="false" ht="51" hidden="false" customHeight="true" outlineLevel="0" collapsed="false">
      <c r="B971" s="29" t="s">
        <v>4636</v>
      </c>
      <c r="C971" s="29" t="s">
        <v>37</v>
      </c>
      <c r="D971" s="29" t="s">
        <v>4637</v>
      </c>
      <c r="E971" s="29" t="s">
        <v>356</v>
      </c>
      <c r="F971" s="29" t="s">
        <v>4638</v>
      </c>
      <c r="G971" s="29" t="s">
        <v>4639</v>
      </c>
      <c r="H971" s="29" t="s">
        <v>4640</v>
      </c>
      <c r="I971" s="29" t="s">
        <v>301</v>
      </c>
      <c r="J971" s="29" t="s">
        <v>201</v>
      </c>
      <c r="K971" s="30" t="s">
        <v>44</v>
      </c>
      <c r="L971" s="31"/>
      <c r="M971" s="32"/>
    </row>
    <row r="972" customFormat="false" ht="51" hidden="false" customHeight="true" outlineLevel="0" collapsed="false">
      <c r="B972" s="29" t="s">
        <v>4641</v>
      </c>
      <c r="C972" s="29" t="s">
        <v>37</v>
      </c>
      <c r="D972" s="29" t="s">
        <v>4642</v>
      </c>
      <c r="E972" s="29" t="s">
        <v>339</v>
      </c>
      <c r="F972" s="29" t="s">
        <v>4643</v>
      </c>
      <c r="G972" s="29" t="s">
        <v>4644</v>
      </c>
      <c r="H972" s="29" t="s">
        <v>4640</v>
      </c>
      <c r="I972" s="29" t="s">
        <v>301</v>
      </c>
      <c r="J972" s="29" t="s">
        <v>201</v>
      </c>
      <c r="K972" s="30" t="s">
        <v>44</v>
      </c>
      <c r="L972" s="31"/>
      <c r="M972" s="32"/>
    </row>
    <row r="973" customFormat="false" ht="51" hidden="false" customHeight="true" outlineLevel="0" collapsed="false">
      <c r="B973" s="29" t="s">
        <v>4645</v>
      </c>
      <c r="C973" s="29" t="s">
        <v>37</v>
      </c>
      <c r="D973" s="29" t="s">
        <v>4646</v>
      </c>
      <c r="E973" s="29" t="s">
        <v>326</v>
      </c>
      <c r="F973" s="29" t="s">
        <v>4647</v>
      </c>
      <c r="G973" s="29" t="s">
        <v>4648</v>
      </c>
      <c r="H973" s="29" t="s">
        <v>4640</v>
      </c>
      <c r="I973" s="29" t="s">
        <v>301</v>
      </c>
      <c r="J973" s="29" t="s">
        <v>201</v>
      </c>
      <c r="K973" s="30" t="s">
        <v>44</v>
      </c>
      <c r="L973" s="31"/>
      <c r="M973" s="32"/>
    </row>
    <row r="974" customFormat="false" ht="51" hidden="false" customHeight="true" outlineLevel="0" collapsed="false">
      <c r="B974" s="29" t="s">
        <v>4649</v>
      </c>
      <c r="C974" s="29" t="s">
        <v>37</v>
      </c>
      <c r="D974" s="29" t="s">
        <v>4650</v>
      </c>
      <c r="E974" s="29" t="s">
        <v>339</v>
      </c>
      <c r="F974" s="29" t="s">
        <v>4651</v>
      </c>
      <c r="G974" s="29" t="s">
        <v>4652</v>
      </c>
      <c r="H974" s="29" t="s">
        <v>4640</v>
      </c>
      <c r="I974" s="29" t="s">
        <v>301</v>
      </c>
      <c r="J974" s="29" t="s">
        <v>201</v>
      </c>
      <c r="K974" s="30" t="s">
        <v>44</v>
      </c>
      <c r="L974" s="31"/>
      <c r="M974" s="32"/>
    </row>
    <row r="975" customFormat="false" ht="51" hidden="false" customHeight="true" outlineLevel="0" collapsed="false">
      <c r="B975" s="29" t="s">
        <v>4653</v>
      </c>
      <c r="C975" s="29" t="s">
        <v>37</v>
      </c>
      <c r="D975" s="29" t="s">
        <v>4654</v>
      </c>
      <c r="E975" s="29" t="s">
        <v>538</v>
      </c>
      <c r="F975" s="29" t="s">
        <v>4655</v>
      </c>
      <c r="G975" s="29" t="s">
        <v>4656</v>
      </c>
      <c r="H975" s="29" t="s">
        <v>4657</v>
      </c>
      <c r="I975" s="29" t="s">
        <v>467</v>
      </c>
      <c r="J975" s="29" t="s">
        <v>467</v>
      </c>
      <c r="K975" s="30" t="s">
        <v>44</v>
      </c>
      <c r="L975" s="31"/>
      <c r="M975" s="32"/>
    </row>
    <row r="976" customFormat="false" ht="51" hidden="false" customHeight="true" outlineLevel="0" collapsed="false">
      <c r="B976" s="29" t="s">
        <v>4658</v>
      </c>
      <c r="C976" s="29" t="s">
        <v>37</v>
      </c>
      <c r="D976" s="29" t="s">
        <v>4659</v>
      </c>
      <c r="E976" s="29" t="s">
        <v>339</v>
      </c>
      <c r="F976" s="29" t="s">
        <v>4660</v>
      </c>
      <c r="G976" s="29" t="s">
        <v>4661</v>
      </c>
      <c r="H976" s="29" t="s">
        <v>4662</v>
      </c>
      <c r="I976" s="29" t="s">
        <v>301</v>
      </c>
      <c r="J976" s="29" t="s">
        <v>201</v>
      </c>
      <c r="K976" s="30" t="s">
        <v>44</v>
      </c>
      <c r="L976" s="31"/>
      <c r="M976" s="32"/>
    </row>
    <row r="977" customFormat="false" ht="51" hidden="false" customHeight="true" outlineLevel="0" collapsed="false">
      <c r="B977" s="29" t="s">
        <v>4663</v>
      </c>
      <c r="C977" s="29" t="s">
        <v>37</v>
      </c>
      <c r="D977" s="29" t="s">
        <v>4664</v>
      </c>
      <c r="E977" s="29" t="s">
        <v>339</v>
      </c>
      <c r="F977" s="29" t="s">
        <v>4665</v>
      </c>
      <c r="G977" s="29" t="s">
        <v>4666</v>
      </c>
      <c r="H977" s="29" t="s">
        <v>4662</v>
      </c>
      <c r="I977" s="29" t="s">
        <v>301</v>
      </c>
      <c r="J977" s="29" t="s">
        <v>201</v>
      </c>
      <c r="K977" s="30" t="s">
        <v>44</v>
      </c>
      <c r="L977" s="31"/>
      <c r="M977" s="32"/>
    </row>
    <row r="978" customFormat="false" ht="51" hidden="false" customHeight="true" outlineLevel="0" collapsed="false">
      <c r="B978" s="29" t="s">
        <v>4667</v>
      </c>
      <c r="C978" s="29" t="s">
        <v>37</v>
      </c>
      <c r="D978" s="29" t="s">
        <v>4668</v>
      </c>
      <c r="E978" s="29" t="s">
        <v>39</v>
      </c>
      <c r="F978" s="29" t="s">
        <v>4669</v>
      </c>
      <c r="G978" s="29" t="s">
        <v>4670</v>
      </c>
      <c r="H978" s="29" t="s">
        <v>4671</v>
      </c>
      <c r="I978" s="29" t="s">
        <v>93</v>
      </c>
      <c r="J978" s="29" t="s">
        <v>4672</v>
      </c>
      <c r="K978" s="30" t="s">
        <v>44</v>
      </c>
      <c r="L978" s="31"/>
      <c r="M978" s="32"/>
    </row>
    <row r="979" customFormat="false" ht="51" hidden="false" customHeight="true" outlineLevel="0" collapsed="false">
      <c r="B979" s="29" t="s">
        <v>4673</v>
      </c>
      <c r="C979" s="29" t="s">
        <v>37</v>
      </c>
      <c r="D979" s="29" t="s">
        <v>4674</v>
      </c>
      <c r="E979" s="29" t="s">
        <v>538</v>
      </c>
      <c r="F979" s="29" t="s">
        <v>4675</v>
      </c>
      <c r="G979" s="29" t="s">
        <v>4675</v>
      </c>
      <c r="H979" s="29" t="s">
        <v>4676</v>
      </c>
      <c r="I979" s="29" t="s">
        <v>467</v>
      </c>
      <c r="J979" s="29" t="s">
        <v>467</v>
      </c>
      <c r="K979" s="30" t="s">
        <v>44</v>
      </c>
      <c r="L979" s="31"/>
      <c r="M979" s="32"/>
    </row>
    <row r="980" customFormat="false" ht="51" hidden="false" customHeight="true" outlineLevel="0" collapsed="false">
      <c r="B980" s="29" t="s">
        <v>4677</v>
      </c>
      <c r="C980" s="29" t="s">
        <v>37</v>
      </c>
      <c r="D980" s="29" t="s">
        <v>4678</v>
      </c>
      <c r="E980" s="29" t="s">
        <v>339</v>
      </c>
      <c r="F980" s="29" t="s">
        <v>4679</v>
      </c>
      <c r="G980" s="29" t="s">
        <v>4680</v>
      </c>
      <c r="H980" s="29" t="s">
        <v>4671</v>
      </c>
      <c r="I980" s="29" t="s">
        <v>301</v>
      </c>
      <c r="J980" s="29" t="s">
        <v>201</v>
      </c>
      <c r="K980" s="30" t="s">
        <v>44</v>
      </c>
      <c r="L980" s="31"/>
      <c r="M980" s="32"/>
    </row>
    <row r="981" customFormat="false" ht="51" hidden="false" customHeight="true" outlineLevel="0" collapsed="false">
      <c r="B981" s="29" t="s">
        <v>4681</v>
      </c>
      <c r="C981" s="29" t="s">
        <v>37</v>
      </c>
      <c r="D981" s="29" t="s">
        <v>4682</v>
      </c>
      <c r="E981" s="29" t="s">
        <v>595</v>
      </c>
      <c r="F981" s="29" t="s">
        <v>4683</v>
      </c>
      <c r="G981" s="29" t="s">
        <v>4684</v>
      </c>
      <c r="H981" s="29" t="s">
        <v>4671</v>
      </c>
      <c r="I981" s="29" t="s">
        <v>3662</v>
      </c>
      <c r="J981" s="29" t="s">
        <v>154</v>
      </c>
      <c r="K981" s="30" t="s">
        <v>44</v>
      </c>
      <c r="L981" s="31"/>
      <c r="M981" s="32"/>
    </row>
    <row r="982" customFormat="false" ht="51" hidden="false" customHeight="true" outlineLevel="0" collapsed="false">
      <c r="B982" s="29" t="s">
        <v>4685</v>
      </c>
      <c r="C982" s="29" t="s">
        <v>37</v>
      </c>
      <c r="D982" s="29" t="s">
        <v>4686</v>
      </c>
      <c r="E982" s="29" t="s">
        <v>339</v>
      </c>
      <c r="F982" s="29" t="s">
        <v>4687</v>
      </c>
      <c r="G982" s="29" t="s">
        <v>4688</v>
      </c>
      <c r="H982" s="29" t="s">
        <v>4671</v>
      </c>
      <c r="I982" s="29" t="s">
        <v>301</v>
      </c>
      <c r="J982" s="29" t="s">
        <v>201</v>
      </c>
      <c r="K982" s="30" t="s">
        <v>44</v>
      </c>
      <c r="L982" s="31"/>
      <c r="M982" s="32"/>
    </row>
    <row r="983" customFormat="false" ht="51" hidden="false" customHeight="true" outlineLevel="0" collapsed="false">
      <c r="B983" s="29" t="s">
        <v>4689</v>
      </c>
      <c r="C983" s="29" t="s">
        <v>37</v>
      </c>
      <c r="D983" s="29" t="s">
        <v>4690</v>
      </c>
      <c r="E983" s="29" t="s">
        <v>339</v>
      </c>
      <c r="F983" s="29" t="s">
        <v>4691</v>
      </c>
      <c r="G983" s="29" t="s">
        <v>4691</v>
      </c>
      <c r="H983" s="29" t="s">
        <v>4692</v>
      </c>
      <c r="I983" s="29" t="s">
        <v>301</v>
      </c>
      <c r="J983" s="29" t="s">
        <v>201</v>
      </c>
      <c r="K983" s="30" t="s">
        <v>44</v>
      </c>
      <c r="L983" s="31"/>
      <c r="M983" s="32"/>
    </row>
    <row r="984" customFormat="false" ht="51" hidden="false" customHeight="true" outlineLevel="0" collapsed="false">
      <c r="B984" s="29" t="s">
        <v>4693</v>
      </c>
      <c r="C984" s="29" t="s">
        <v>37</v>
      </c>
      <c r="D984" s="29" t="s">
        <v>4694</v>
      </c>
      <c r="E984" s="29" t="s">
        <v>339</v>
      </c>
      <c r="F984" s="29" t="s">
        <v>4695</v>
      </c>
      <c r="G984" s="29" t="s">
        <v>4695</v>
      </c>
      <c r="H984" s="29" t="s">
        <v>4692</v>
      </c>
      <c r="I984" s="29" t="s">
        <v>301</v>
      </c>
      <c r="J984" s="29" t="s">
        <v>201</v>
      </c>
      <c r="K984" s="30" t="s">
        <v>44</v>
      </c>
      <c r="L984" s="31"/>
      <c r="M984" s="32"/>
    </row>
    <row r="985" customFormat="false" ht="51" hidden="false" customHeight="true" outlineLevel="0" collapsed="false">
      <c r="B985" s="29" t="s">
        <v>4696</v>
      </c>
      <c r="C985" s="29" t="s">
        <v>37</v>
      </c>
      <c r="D985" s="29" t="s">
        <v>4697</v>
      </c>
      <c r="E985" s="29" t="s">
        <v>339</v>
      </c>
      <c r="F985" s="29" t="s">
        <v>4698</v>
      </c>
      <c r="G985" s="29" t="s">
        <v>4698</v>
      </c>
      <c r="H985" s="29" t="s">
        <v>4692</v>
      </c>
      <c r="I985" s="29" t="s">
        <v>301</v>
      </c>
      <c r="J985" s="29" t="s">
        <v>201</v>
      </c>
      <c r="K985" s="30" t="s">
        <v>44</v>
      </c>
      <c r="L985" s="31"/>
      <c r="M985" s="32"/>
    </row>
    <row r="986" customFormat="false" ht="51" hidden="false" customHeight="true" outlineLevel="0" collapsed="false">
      <c r="B986" s="29" t="s">
        <v>4699</v>
      </c>
      <c r="C986" s="29" t="s">
        <v>37</v>
      </c>
      <c r="D986" s="29" t="s">
        <v>4700</v>
      </c>
      <c r="E986" s="29" t="s">
        <v>339</v>
      </c>
      <c r="F986" s="29" t="s">
        <v>4701</v>
      </c>
      <c r="G986" s="29" t="s">
        <v>4701</v>
      </c>
      <c r="H986" s="29" t="s">
        <v>4692</v>
      </c>
      <c r="I986" s="29" t="s">
        <v>301</v>
      </c>
      <c r="J986" s="29" t="s">
        <v>201</v>
      </c>
      <c r="K986" s="30" t="s">
        <v>44</v>
      </c>
      <c r="L986" s="31"/>
      <c r="M986" s="32"/>
    </row>
    <row r="987" customFormat="false" ht="51" hidden="false" customHeight="true" outlineLevel="0" collapsed="false">
      <c r="B987" s="29" t="s">
        <v>4702</v>
      </c>
      <c r="C987" s="29" t="s">
        <v>37</v>
      </c>
      <c r="D987" s="29" t="s">
        <v>4703</v>
      </c>
      <c r="E987" s="29" t="s">
        <v>205</v>
      </c>
      <c r="F987" s="29" t="s">
        <v>4704</v>
      </c>
      <c r="G987" s="29" t="s">
        <v>4705</v>
      </c>
      <c r="H987" s="29" t="s">
        <v>4706</v>
      </c>
      <c r="I987" s="29" t="s">
        <v>301</v>
      </c>
      <c r="J987" s="29" t="s">
        <v>201</v>
      </c>
      <c r="K987" s="30" t="s">
        <v>44</v>
      </c>
      <c r="L987" s="31"/>
      <c r="M987" s="32"/>
    </row>
    <row r="988" customFormat="false" ht="51" hidden="false" customHeight="true" outlineLevel="0" collapsed="false">
      <c r="B988" s="29" t="s">
        <v>4707</v>
      </c>
      <c r="C988" s="29" t="s">
        <v>37</v>
      </c>
      <c r="D988" s="29" t="s">
        <v>4708</v>
      </c>
      <c r="E988" s="29" t="s">
        <v>339</v>
      </c>
      <c r="F988" s="29" t="s">
        <v>4709</v>
      </c>
      <c r="G988" s="29" t="s">
        <v>4710</v>
      </c>
      <c r="H988" s="29" t="s">
        <v>4706</v>
      </c>
      <c r="I988" s="29" t="s">
        <v>301</v>
      </c>
      <c r="J988" s="29" t="s">
        <v>201</v>
      </c>
      <c r="K988" s="30" t="s">
        <v>44</v>
      </c>
      <c r="L988" s="31"/>
      <c r="M988" s="32"/>
    </row>
    <row r="989" customFormat="false" ht="51" hidden="false" customHeight="true" outlineLevel="0" collapsed="false">
      <c r="B989" s="29" t="s">
        <v>4711</v>
      </c>
      <c r="C989" s="29" t="s">
        <v>37</v>
      </c>
      <c r="D989" s="29" t="s">
        <v>4712</v>
      </c>
      <c r="E989" s="29" t="s">
        <v>339</v>
      </c>
      <c r="F989" s="29" t="s">
        <v>4713</v>
      </c>
      <c r="G989" s="29" t="s">
        <v>4714</v>
      </c>
      <c r="H989" s="29" t="s">
        <v>4706</v>
      </c>
      <c r="I989" s="29" t="s">
        <v>301</v>
      </c>
      <c r="J989" s="29" t="s">
        <v>201</v>
      </c>
      <c r="K989" s="30" t="s">
        <v>44</v>
      </c>
      <c r="L989" s="31"/>
      <c r="M989" s="32"/>
    </row>
    <row r="990" customFormat="false" ht="51" hidden="false" customHeight="true" outlineLevel="0" collapsed="false">
      <c r="B990" s="29" t="s">
        <v>4715</v>
      </c>
      <c r="C990" s="29" t="s">
        <v>37</v>
      </c>
      <c r="D990" s="29" t="s">
        <v>4716</v>
      </c>
      <c r="E990" s="29" t="s">
        <v>205</v>
      </c>
      <c r="F990" s="29" t="s">
        <v>4717</v>
      </c>
      <c r="G990" s="29" t="s">
        <v>4717</v>
      </c>
      <c r="H990" s="29" t="s">
        <v>4706</v>
      </c>
      <c r="I990" s="29" t="s">
        <v>301</v>
      </c>
      <c r="J990" s="29" t="s">
        <v>201</v>
      </c>
      <c r="K990" s="30" t="s">
        <v>44</v>
      </c>
      <c r="L990" s="31"/>
      <c r="M990" s="32"/>
    </row>
    <row r="991" customFormat="false" ht="51" hidden="false" customHeight="true" outlineLevel="0" collapsed="false">
      <c r="B991" s="29" t="s">
        <v>4718</v>
      </c>
      <c r="C991" s="29" t="s">
        <v>37</v>
      </c>
      <c r="D991" s="29" t="s">
        <v>4719</v>
      </c>
      <c r="E991" s="29" t="s">
        <v>339</v>
      </c>
      <c r="F991" s="29" t="s">
        <v>4720</v>
      </c>
      <c r="G991" s="29" t="s">
        <v>4721</v>
      </c>
      <c r="H991" s="29" t="s">
        <v>4706</v>
      </c>
      <c r="I991" s="29" t="s">
        <v>301</v>
      </c>
      <c r="J991" s="29" t="s">
        <v>201</v>
      </c>
      <c r="K991" s="30" t="s">
        <v>44</v>
      </c>
      <c r="L991" s="31"/>
      <c r="M991" s="32"/>
    </row>
    <row r="992" customFormat="false" ht="51" hidden="false" customHeight="true" outlineLevel="0" collapsed="false">
      <c r="B992" s="29" t="s">
        <v>4722</v>
      </c>
      <c r="C992" s="29" t="s">
        <v>37</v>
      </c>
      <c r="D992" s="29" t="s">
        <v>4723</v>
      </c>
      <c r="E992" s="29" t="s">
        <v>339</v>
      </c>
      <c r="F992" s="29" t="s">
        <v>4724</v>
      </c>
      <c r="G992" s="29" t="s">
        <v>4725</v>
      </c>
      <c r="H992" s="29" t="s">
        <v>4706</v>
      </c>
      <c r="I992" s="29" t="s">
        <v>301</v>
      </c>
      <c r="J992" s="29" t="s">
        <v>201</v>
      </c>
      <c r="K992" s="30" t="s">
        <v>44</v>
      </c>
      <c r="L992" s="31"/>
      <c r="M992" s="32"/>
    </row>
    <row r="993" customFormat="false" ht="51" hidden="false" customHeight="true" outlineLevel="0" collapsed="false">
      <c r="B993" s="29" t="s">
        <v>4726</v>
      </c>
      <c r="C993" s="29" t="s">
        <v>37</v>
      </c>
      <c r="D993" s="29" t="s">
        <v>4727</v>
      </c>
      <c r="E993" s="29" t="s">
        <v>205</v>
      </c>
      <c r="F993" s="29" t="s">
        <v>4728</v>
      </c>
      <c r="G993" s="29" t="s">
        <v>4728</v>
      </c>
      <c r="H993" s="29" t="s">
        <v>4706</v>
      </c>
      <c r="I993" s="29" t="s">
        <v>301</v>
      </c>
      <c r="J993" s="29" t="s">
        <v>201</v>
      </c>
      <c r="K993" s="30" t="s">
        <v>44</v>
      </c>
      <c r="L993" s="31"/>
      <c r="M993" s="32"/>
    </row>
    <row r="994" customFormat="false" ht="51" hidden="false" customHeight="true" outlineLevel="0" collapsed="false">
      <c r="B994" s="29" t="s">
        <v>4729</v>
      </c>
      <c r="C994" s="29" t="s">
        <v>37</v>
      </c>
      <c r="D994" s="29" t="s">
        <v>4730</v>
      </c>
      <c r="E994" s="29" t="s">
        <v>205</v>
      </c>
      <c r="F994" s="29" t="s">
        <v>4731</v>
      </c>
      <c r="G994" s="29" t="s">
        <v>4732</v>
      </c>
      <c r="H994" s="29" t="s">
        <v>4706</v>
      </c>
      <c r="I994" s="29" t="s">
        <v>301</v>
      </c>
      <c r="J994" s="29" t="s">
        <v>201</v>
      </c>
      <c r="K994" s="30" t="s">
        <v>44</v>
      </c>
      <c r="L994" s="31"/>
      <c r="M994" s="32"/>
    </row>
    <row r="995" customFormat="false" ht="51" hidden="false" customHeight="true" outlineLevel="0" collapsed="false">
      <c r="B995" s="29" t="s">
        <v>4733</v>
      </c>
      <c r="C995" s="29" t="s">
        <v>37</v>
      </c>
      <c r="D995" s="29" t="s">
        <v>4734</v>
      </c>
      <c r="E995" s="29" t="s">
        <v>595</v>
      </c>
      <c r="F995" s="29" t="s">
        <v>4735</v>
      </c>
      <c r="G995" s="29" t="s">
        <v>4736</v>
      </c>
      <c r="H995" s="29" t="s">
        <v>4706</v>
      </c>
      <c r="I995" s="29" t="s">
        <v>3662</v>
      </c>
      <c r="J995" s="29" t="s">
        <v>154</v>
      </c>
      <c r="K995" s="30" t="s">
        <v>44</v>
      </c>
      <c r="L995" s="31"/>
      <c r="M995" s="32"/>
    </row>
    <row r="996" customFormat="false" ht="51" hidden="false" customHeight="true" outlineLevel="0" collapsed="false">
      <c r="B996" s="29" t="s">
        <v>4737</v>
      </c>
      <c r="C996" s="29" t="s">
        <v>37</v>
      </c>
      <c r="D996" s="29" t="s">
        <v>4738</v>
      </c>
      <c r="E996" s="29" t="s">
        <v>339</v>
      </c>
      <c r="F996" s="29" t="s">
        <v>4739</v>
      </c>
      <c r="G996" s="29" t="s">
        <v>4740</v>
      </c>
      <c r="H996" s="29" t="s">
        <v>4706</v>
      </c>
      <c r="I996" s="29" t="s">
        <v>301</v>
      </c>
      <c r="J996" s="29" t="s">
        <v>201</v>
      </c>
      <c r="K996" s="30" t="s">
        <v>44</v>
      </c>
      <c r="L996" s="31"/>
      <c r="M996" s="32"/>
    </row>
    <row r="997" customFormat="false" ht="51" hidden="false" customHeight="true" outlineLevel="0" collapsed="false">
      <c r="B997" s="29" t="s">
        <v>4741</v>
      </c>
      <c r="C997" s="29" t="s">
        <v>37</v>
      </c>
      <c r="D997" s="29" t="s">
        <v>4742</v>
      </c>
      <c r="E997" s="29" t="s">
        <v>356</v>
      </c>
      <c r="F997" s="29" t="s">
        <v>4743</v>
      </c>
      <c r="G997" s="29" t="s">
        <v>4744</v>
      </c>
      <c r="H997" s="29" t="s">
        <v>4706</v>
      </c>
      <c r="I997" s="29" t="s">
        <v>3662</v>
      </c>
      <c r="J997" s="29" t="s">
        <v>154</v>
      </c>
      <c r="K997" s="30" t="s">
        <v>44</v>
      </c>
      <c r="L997" s="31"/>
      <c r="M997" s="32"/>
    </row>
    <row r="998" customFormat="false" ht="51" hidden="false" customHeight="true" outlineLevel="0" collapsed="false">
      <c r="B998" s="29" t="s">
        <v>4745</v>
      </c>
      <c r="C998" s="29" t="s">
        <v>37</v>
      </c>
      <c r="D998" s="29" t="s">
        <v>4746</v>
      </c>
      <c r="E998" s="29" t="s">
        <v>339</v>
      </c>
      <c r="F998" s="29" t="s">
        <v>4747</v>
      </c>
      <c r="G998" s="29" t="s">
        <v>4747</v>
      </c>
      <c r="H998" s="29" t="s">
        <v>4706</v>
      </c>
      <c r="I998" s="29" t="s">
        <v>301</v>
      </c>
      <c r="J998" s="29" t="s">
        <v>201</v>
      </c>
      <c r="K998" s="30" t="s">
        <v>44</v>
      </c>
      <c r="L998" s="31"/>
      <c r="M998" s="32"/>
    </row>
    <row r="999" customFormat="false" ht="51" hidden="false" customHeight="true" outlineLevel="0" collapsed="false">
      <c r="B999" s="29" t="s">
        <v>4748</v>
      </c>
      <c r="C999" s="29" t="s">
        <v>37</v>
      </c>
      <c r="D999" s="29" t="s">
        <v>4749</v>
      </c>
      <c r="E999" s="29" t="s">
        <v>339</v>
      </c>
      <c r="F999" s="29" t="s">
        <v>4750</v>
      </c>
      <c r="G999" s="29" t="s">
        <v>4750</v>
      </c>
      <c r="H999" s="29" t="s">
        <v>4706</v>
      </c>
      <c r="I999" s="29" t="s">
        <v>301</v>
      </c>
      <c r="J999" s="29" t="s">
        <v>201</v>
      </c>
      <c r="K999" s="30" t="s">
        <v>44</v>
      </c>
      <c r="L999" s="31"/>
      <c r="M999" s="32"/>
    </row>
    <row r="1000" customFormat="false" ht="51" hidden="false" customHeight="true" outlineLevel="0" collapsed="false">
      <c r="B1000" s="29" t="s">
        <v>4751</v>
      </c>
      <c r="C1000" s="29" t="s">
        <v>37</v>
      </c>
      <c r="D1000" s="29" t="s">
        <v>4752</v>
      </c>
      <c r="E1000" s="29" t="s">
        <v>339</v>
      </c>
      <c r="F1000" s="29" t="s">
        <v>4753</v>
      </c>
      <c r="G1000" s="29" t="s">
        <v>4754</v>
      </c>
      <c r="H1000" s="29" t="s">
        <v>4706</v>
      </c>
      <c r="I1000" s="29" t="s">
        <v>301</v>
      </c>
      <c r="J1000" s="29" t="s">
        <v>201</v>
      </c>
      <c r="K1000" s="30" t="s">
        <v>44</v>
      </c>
      <c r="L1000" s="31"/>
      <c r="M1000" s="32"/>
    </row>
    <row r="1001" customFormat="false" ht="51" hidden="false" customHeight="true" outlineLevel="0" collapsed="false">
      <c r="B1001" s="29" t="s">
        <v>4755</v>
      </c>
      <c r="C1001" s="29" t="s">
        <v>37</v>
      </c>
      <c r="D1001" s="29" t="s">
        <v>4756</v>
      </c>
      <c r="E1001" s="29" t="s">
        <v>339</v>
      </c>
      <c r="F1001" s="29" t="s">
        <v>4757</v>
      </c>
      <c r="G1001" s="29" t="s">
        <v>4758</v>
      </c>
      <c r="H1001" s="29" t="s">
        <v>4706</v>
      </c>
      <c r="I1001" s="29" t="s">
        <v>301</v>
      </c>
      <c r="J1001" s="29" t="s">
        <v>201</v>
      </c>
      <c r="K1001" s="30" t="s">
        <v>44</v>
      </c>
      <c r="L1001" s="31"/>
      <c r="M1001" s="32"/>
    </row>
    <row r="1002" customFormat="false" ht="51" hidden="false" customHeight="true" outlineLevel="0" collapsed="false">
      <c r="B1002" s="29" t="s">
        <v>4759</v>
      </c>
      <c r="C1002" s="29" t="s">
        <v>37</v>
      </c>
      <c r="D1002" s="29" t="s">
        <v>4760</v>
      </c>
      <c r="E1002" s="29" t="s">
        <v>205</v>
      </c>
      <c r="F1002" s="29" t="s">
        <v>4761</v>
      </c>
      <c r="G1002" s="29" t="s">
        <v>4762</v>
      </c>
      <c r="H1002" s="29" t="s">
        <v>4763</v>
      </c>
      <c r="I1002" s="29" t="s">
        <v>301</v>
      </c>
      <c r="J1002" s="29" t="s">
        <v>201</v>
      </c>
      <c r="K1002" s="30" t="s">
        <v>44</v>
      </c>
      <c r="L1002" s="31"/>
      <c r="M1002" s="32"/>
    </row>
    <row r="1003" customFormat="false" ht="51" hidden="false" customHeight="true" outlineLevel="0" collapsed="false">
      <c r="B1003" s="29" t="s">
        <v>4764</v>
      </c>
      <c r="C1003" s="29" t="s">
        <v>37</v>
      </c>
      <c r="D1003" s="29" t="s">
        <v>4765</v>
      </c>
      <c r="E1003" s="29" t="s">
        <v>595</v>
      </c>
      <c r="F1003" s="29" t="s">
        <v>4766</v>
      </c>
      <c r="G1003" s="29" t="s">
        <v>4767</v>
      </c>
      <c r="H1003" s="29" t="s">
        <v>4768</v>
      </c>
      <c r="I1003" s="29" t="s">
        <v>467</v>
      </c>
      <c r="J1003" s="29" t="s">
        <v>467</v>
      </c>
      <c r="K1003" s="30" t="s">
        <v>44</v>
      </c>
      <c r="L1003" s="31"/>
      <c r="M1003" s="32"/>
    </row>
    <row r="1004" customFormat="false" ht="51" hidden="false" customHeight="true" outlineLevel="0" collapsed="false">
      <c r="B1004" s="29" t="s">
        <v>4769</v>
      </c>
      <c r="C1004" s="29" t="s">
        <v>37</v>
      </c>
      <c r="D1004" s="29" t="s">
        <v>4770</v>
      </c>
      <c r="E1004" s="29" t="s">
        <v>595</v>
      </c>
      <c r="F1004" s="29" t="s">
        <v>4771</v>
      </c>
      <c r="G1004" s="29" t="s">
        <v>4772</v>
      </c>
      <c r="H1004" s="29" t="s">
        <v>4768</v>
      </c>
      <c r="I1004" s="29" t="s">
        <v>467</v>
      </c>
      <c r="J1004" s="29" t="s">
        <v>467</v>
      </c>
      <c r="K1004" s="30" t="s">
        <v>44</v>
      </c>
      <c r="L1004" s="31"/>
      <c r="M1004" s="32"/>
    </row>
    <row r="1005" customFormat="false" ht="51" hidden="false" customHeight="true" outlineLevel="0" collapsed="false">
      <c r="B1005" s="29" t="s">
        <v>4773</v>
      </c>
      <c r="C1005" s="29" t="s">
        <v>37</v>
      </c>
      <c r="D1005" s="29" t="s">
        <v>4774</v>
      </c>
      <c r="E1005" s="29" t="s">
        <v>205</v>
      </c>
      <c r="F1005" s="29" t="s">
        <v>4775</v>
      </c>
      <c r="G1005" s="29" t="s">
        <v>4776</v>
      </c>
      <c r="H1005" s="29" t="s">
        <v>4763</v>
      </c>
      <c r="I1005" s="29" t="s">
        <v>301</v>
      </c>
      <c r="J1005" s="29" t="s">
        <v>201</v>
      </c>
      <c r="K1005" s="30" t="s">
        <v>44</v>
      </c>
      <c r="L1005" s="31"/>
      <c r="M1005" s="32"/>
    </row>
    <row r="1006" customFormat="false" ht="51" hidden="false" customHeight="true" outlineLevel="0" collapsed="false">
      <c r="B1006" s="29" t="s">
        <v>4777</v>
      </c>
      <c r="C1006" s="29" t="s">
        <v>37</v>
      </c>
      <c r="D1006" s="29" t="s">
        <v>4778</v>
      </c>
      <c r="E1006" s="29" t="s">
        <v>339</v>
      </c>
      <c r="F1006" s="29" t="s">
        <v>4779</v>
      </c>
      <c r="G1006" s="29" t="s">
        <v>4780</v>
      </c>
      <c r="H1006" s="29" t="s">
        <v>4763</v>
      </c>
      <c r="I1006" s="29" t="s">
        <v>301</v>
      </c>
      <c r="J1006" s="29" t="s">
        <v>201</v>
      </c>
      <c r="K1006" s="30" t="s">
        <v>44</v>
      </c>
      <c r="L1006" s="31"/>
      <c r="M1006" s="32"/>
    </row>
    <row r="1007" customFormat="false" ht="51" hidden="false" customHeight="true" outlineLevel="0" collapsed="false">
      <c r="B1007" s="29" t="s">
        <v>4781</v>
      </c>
      <c r="C1007" s="29" t="s">
        <v>37</v>
      </c>
      <c r="D1007" s="29" t="s">
        <v>4782</v>
      </c>
      <c r="E1007" s="29" t="s">
        <v>339</v>
      </c>
      <c r="F1007" s="29" t="s">
        <v>4783</v>
      </c>
      <c r="G1007" s="29" t="s">
        <v>4784</v>
      </c>
      <c r="H1007" s="29" t="s">
        <v>4763</v>
      </c>
      <c r="I1007" s="29" t="s">
        <v>301</v>
      </c>
      <c r="J1007" s="29" t="s">
        <v>201</v>
      </c>
      <c r="K1007" s="30" t="s">
        <v>44</v>
      </c>
      <c r="L1007" s="31"/>
      <c r="M1007" s="32"/>
    </row>
    <row r="1008" customFormat="false" ht="51" hidden="false" customHeight="true" outlineLevel="0" collapsed="false">
      <c r="B1008" s="29" t="s">
        <v>4785</v>
      </c>
      <c r="C1008" s="29" t="s">
        <v>37</v>
      </c>
      <c r="D1008" s="29" t="s">
        <v>4786</v>
      </c>
      <c r="E1008" s="29" t="s">
        <v>205</v>
      </c>
      <c r="F1008" s="29" t="s">
        <v>4787</v>
      </c>
      <c r="G1008" s="29" t="s">
        <v>4788</v>
      </c>
      <c r="H1008" s="29" t="s">
        <v>4763</v>
      </c>
      <c r="I1008" s="29" t="s">
        <v>301</v>
      </c>
      <c r="J1008" s="29" t="s">
        <v>201</v>
      </c>
      <c r="K1008" s="30" t="s">
        <v>44</v>
      </c>
      <c r="L1008" s="31"/>
      <c r="M1008" s="32"/>
    </row>
    <row r="1009" customFormat="false" ht="51" hidden="false" customHeight="true" outlineLevel="0" collapsed="false">
      <c r="B1009" s="29" t="s">
        <v>4789</v>
      </c>
      <c r="C1009" s="29" t="s">
        <v>37</v>
      </c>
      <c r="D1009" s="29" t="s">
        <v>4790</v>
      </c>
      <c r="E1009" s="29" t="s">
        <v>339</v>
      </c>
      <c r="F1009" s="29" t="s">
        <v>4791</v>
      </c>
      <c r="G1009" s="29" t="s">
        <v>4792</v>
      </c>
      <c r="H1009" s="29" t="s">
        <v>4763</v>
      </c>
      <c r="I1009" s="29" t="s">
        <v>301</v>
      </c>
      <c r="J1009" s="29" t="s">
        <v>201</v>
      </c>
      <c r="K1009" s="30" t="s">
        <v>44</v>
      </c>
      <c r="L1009" s="31"/>
      <c r="M1009" s="32"/>
    </row>
    <row r="1010" customFormat="false" ht="51" hidden="false" customHeight="true" outlineLevel="0" collapsed="false">
      <c r="B1010" s="29" t="s">
        <v>4793</v>
      </c>
      <c r="C1010" s="29" t="s">
        <v>37</v>
      </c>
      <c r="D1010" s="29" t="s">
        <v>4794</v>
      </c>
      <c r="E1010" s="29" t="s">
        <v>339</v>
      </c>
      <c r="F1010" s="29" t="s">
        <v>4795</v>
      </c>
      <c r="G1010" s="29" t="s">
        <v>4796</v>
      </c>
      <c r="H1010" s="29" t="s">
        <v>4763</v>
      </c>
      <c r="I1010" s="29" t="s">
        <v>301</v>
      </c>
      <c r="J1010" s="29" t="s">
        <v>201</v>
      </c>
      <c r="K1010" s="30" t="s">
        <v>44</v>
      </c>
      <c r="L1010" s="31"/>
      <c r="M1010" s="32"/>
    </row>
    <row r="1011" customFormat="false" ht="51" hidden="false" customHeight="true" outlineLevel="0" collapsed="false">
      <c r="B1011" s="29" t="s">
        <v>4797</v>
      </c>
      <c r="C1011" s="29" t="s">
        <v>37</v>
      </c>
      <c r="D1011" s="29" t="s">
        <v>4798</v>
      </c>
      <c r="E1011" s="29" t="s">
        <v>89</v>
      </c>
      <c r="F1011" s="29" t="s">
        <v>4799</v>
      </c>
      <c r="G1011" s="29" t="s">
        <v>4800</v>
      </c>
      <c r="H1011" s="29" t="s">
        <v>4801</v>
      </c>
      <c r="I1011" s="29" t="s">
        <v>42</v>
      </c>
      <c r="J1011" s="29" t="s">
        <v>973</v>
      </c>
      <c r="K1011" s="30" t="s">
        <v>44</v>
      </c>
      <c r="L1011" s="31"/>
      <c r="M1011" s="32"/>
    </row>
    <row r="1012" customFormat="false" ht="51" hidden="false" customHeight="true" outlineLevel="0" collapsed="false">
      <c r="B1012" s="29" t="s">
        <v>4802</v>
      </c>
      <c r="C1012" s="29" t="s">
        <v>37</v>
      </c>
      <c r="D1012" s="29" t="s">
        <v>4803</v>
      </c>
      <c r="E1012" s="29" t="s">
        <v>356</v>
      </c>
      <c r="F1012" s="29" t="s">
        <v>4804</v>
      </c>
      <c r="G1012" s="29" t="s">
        <v>4805</v>
      </c>
      <c r="H1012" s="29" t="s">
        <v>4801</v>
      </c>
      <c r="I1012" s="29" t="s">
        <v>301</v>
      </c>
      <c r="J1012" s="29" t="s">
        <v>201</v>
      </c>
      <c r="K1012" s="30" t="s">
        <v>44</v>
      </c>
      <c r="L1012" s="31"/>
      <c r="M1012" s="32"/>
    </row>
    <row r="1013" customFormat="false" ht="51" hidden="false" customHeight="true" outlineLevel="0" collapsed="false">
      <c r="B1013" s="29" t="s">
        <v>4806</v>
      </c>
      <c r="C1013" s="29" t="s">
        <v>37</v>
      </c>
      <c r="D1013" s="29" t="s">
        <v>4807</v>
      </c>
      <c r="E1013" s="29" t="s">
        <v>339</v>
      </c>
      <c r="F1013" s="29" t="s">
        <v>4808</v>
      </c>
      <c r="G1013" s="29" t="s">
        <v>4809</v>
      </c>
      <c r="H1013" s="29" t="s">
        <v>4801</v>
      </c>
      <c r="I1013" s="29" t="s">
        <v>301</v>
      </c>
      <c r="J1013" s="29" t="s">
        <v>201</v>
      </c>
      <c r="K1013" s="30" t="s">
        <v>44</v>
      </c>
      <c r="L1013" s="31"/>
      <c r="M1013" s="32"/>
    </row>
    <row r="1014" customFormat="false" ht="51" hidden="false" customHeight="true" outlineLevel="0" collapsed="false">
      <c r="B1014" s="29" t="s">
        <v>4810</v>
      </c>
      <c r="C1014" s="29" t="s">
        <v>37</v>
      </c>
      <c r="D1014" s="29" t="s">
        <v>4811</v>
      </c>
      <c r="E1014" s="29" t="s">
        <v>339</v>
      </c>
      <c r="F1014" s="29" t="s">
        <v>4812</v>
      </c>
      <c r="G1014" s="29" t="s">
        <v>4813</v>
      </c>
      <c r="H1014" s="29" t="s">
        <v>4801</v>
      </c>
      <c r="I1014" s="29" t="s">
        <v>301</v>
      </c>
      <c r="J1014" s="29" t="s">
        <v>201</v>
      </c>
      <c r="K1014" s="30" t="s">
        <v>44</v>
      </c>
      <c r="L1014" s="31"/>
      <c r="M1014" s="32"/>
    </row>
    <row r="1015" customFormat="false" ht="51" hidden="false" customHeight="true" outlineLevel="0" collapsed="false">
      <c r="B1015" s="29" t="s">
        <v>4814</v>
      </c>
      <c r="C1015" s="29" t="s">
        <v>37</v>
      </c>
      <c r="D1015" s="29" t="s">
        <v>4815</v>
      </c>
      <c r="E1015" s="29" t="s">
        <v>89</v>
      </c>
      <c r="F1015" s="29" t="s">
        <v>4816</v>
      </c>
      <c r="G1015" s="29" t="s">
        <v>4817</v>
      </c>
      <c r="H1015" s="29" t="s">
        <v>4801</v>
      </c>
      <c r="I1015" s="29" t="s">
        <v>42</v>
      </c>
      <c r="J1015" s="29" t="s">
        <v>973</v>
      </c>
      <c r="K1015" s="30" t="s">
        <v>44</v>
      </c>
      <c r="L1015" s="31"/>
      <c r="M1015" s="32"/>
    </row>
    <row r="1016" customFormat="false" ht="51" hidden="false" customHeight="true" outlineLevel="0" collapsed="false">
      <c r="B1016" s="29" t="s">
        <v>4818</v>
      </c>
      <c r="C1016" s="29" t="s">
        <v>37</v>
      </c>
      <c r="D1016" s="29" t="s">
        <v>4819</v>
      </c>
      <c r="E1016" s="29" t="s">
        <v>595</v>
      </c>
      <c r="F1016" s="29" t="s">
        <v>4820</v>
      </c>
      <c r="G1016" s="29" t="s">
        <v>4821</v>
      </c>
      <c r="H1016" s="29" t="s">
        <v>4822</v>
      </c>
      <c r="I1016" s="29" t="s">
        <v>467</v>
      </c>
      <c r="J1016" s="29" t="s">
        <v>467</v>
      </c>
      <c r="K1016" s="30" t="s">
        <v>44</v>
      </c>
      <c r="L1016" s="31"/>
      <c r="M1016" s="32"/>
    </row>
    <row r="1017" customFormat="false" ht="51" hidden="false" customHeight="true" outlineLevel="0" collapsed="false">
      <c r="B1017" s="29" t="s">
        <v>4823</v>
      </c>
      <c r="C1017" s="29" t="s">
        <v>37</v>
      </c>
      <c r="D1017" s="29" t="s">
        <v>4824</v>
      </c>
      <c r="E1017" s="29" t="s">
        <v>356</v>
      </c>
      <c r="F1017" s="29" t="s">
        <v>4825</v>
      </c>
      <c r="G1017" s="29" t="s">
        <v>4826</v>
      </c>
      <c r="H1017" s="29" t="s">
        <v>4827</v>
      </c>
      <c r="I1017" s="29" t="s">
        <v>301</v>
      </c>
      <c r="J1017" s="29" t="s">
        <v>201</v>
      </c>
      <c r="K1017" s="30" t="s">
        <v>44</v>
      </c>
      <c r="L1017" s="31"/>
      <c r="M1017" s="32"/>
    </row>
    <row r="1018" customFormat="false" ht="51" hidden="false" customHeight="true" outlineLevel="0" collapsed="false">
      <c r="B1018" s="29" t="s">
        <v>4828</v>
      </c>
      <c r="C1018" s="29" t="s">
        <v>37</v>
      </c>
      <c r="D1018" s="29" t="s">
        <v>4829</v>
      </c>
      <c r="E1018" s="29" t="s">
        <v>356</v>
      </c>
      <c r="F1018" s="29" t="s">
        <v>4830</v>
      </c>
      <c r="G1018" s="29" t="s">
        <v>4831</v>
      </c>
      <c r="H1018" s="29" t="s">
        <v>4827</v>
      </c>
      <c r="I1018" s="29" t="s">
        <v>301</v>
      </c>
      <c r="J1018" s="29" t="s">
        <v>201</v>
      </c>
      <c r="K1018" s="30" t="s">
        <v>44</v>
      </c>
      <c r="L1018" s="31"/>
      <c r="M1018" s="32"/>
    </row>
    <row r="1019" customFormat="false" ht="51" hidden="false" customHeight="true" outlineLevel="0" collapsed="false">
      <c r="B1019" s="29" t="s">
        <v>4832</v>
      </c>
      <c r="C1019" s="29" t="s">
        <v>37</v>
      </c>
      <c r="D1019" s="29" t="s">
        <v>4833</v>
      </c>
      <c r="E1019" s="29" t="s">
        <v>356</v>
      </c>
      <c r="F1019" s="29" t="s">
        <v>4834</v>
      </c>
      <c r="G1019" s="29" t="s">
        <v>4835</v>
      </c>
      <c r="H1019" s="29" t="s">
        <v>4827</v>
      </c>
      <c r="I1019" s="29" t="s">
        <v>301</v>
      </c>
      <c r="J1019" s="29" t="s">
        <v>201</v>
      </c>
      <c r="K1019" s="30" t="s">
        <v>44</v>
      </c>
      <c r="L1019" s="31"/>
      <c r="M1019" s="32"/>
    </row>
    <row r="1020" customFormat="false" ht="51" hidden="false" customHeight="true" outlineLevel="0" collapsed="false">
      <c r="B1020" s="29" t="s">
        <v>4836</v>
      </c>
      <c r="C1020" s="29" t="s">
        <v>37</v>
      </c>
      <c r="D1020" s="29" t="s">
        <v>4837</v>
      </c>
      <c r="E1020" s="29" t="s">
        <v>356</v>
      </c>
      <c r="F1020" s="29" t="s">
        <v>4838</v>
      </c>
      <c r="G1020" s="29" t="s">
        <v>4839</v>
      </c>
      <c r="H1020" s="29" t="s">
        <v>4840</v>
      </c>
      <c r="I1020" s="29" t="s">
        <v>301</v>
      </c>
      <c r="J1020" s="29" t="s">
        <v>201</v>
      </c>
      <c r="K1020" s="30" t="s">
        <v>44</v>
      </c>
      <c r="L1020" s="31"/>
      <c r="M1020" s="32"/>
    </row>
    <row r="1021" customFormat="false" ht="51" hidden="false" customHeight="true" outlineLevel="0" collapsed="false">
      <c r="B1021" s="29" t="s">
        <v>4841</v>
      </c>
      <c r="C1021" s="29" t="s">
        <v>37</v>
      </c>
      <c r="D1021" s="29" t="s">
        <v>4842</v>
      </c>
      <c r="E1021" s="29" t="s">
        <v>356</v>
      </c>
      <c r="F1021" s="29" t="s">
        <v>4843</v>
      </c>
      <c r="G1021" s="29" t="s">
        <v>4844</v>
      </c>
      <c r="H1021" s="29" t="s">
        <v>4840</v>
      </c>
      <c r="I1021" s="29" t="s">
        <v>301</v>
      </c>
      <c r="J1021" s="29" t="s">
        <v>201</v>
      </c>
      <c r="K1021" s="30" t="s">
        <v>44</v>
      </c>
      <c r="L1021" s="31"/>
      <c r="M1021" s="32"/>
    </row>
    <row r="1022" customFormat="false" ht="51" hidden="false" customHeight="true" outlineLevel="0" collapsed="false">
      <c r="B1022" s="29" t="s">
        <v>4845</v>
      </c>
      <c r="C1022" s="29" t="s">
        <v>37</v>
      </c>
      <c r="D1022" s="29" t="s">
        <v>4846</v>
      </c>
      <c r="E1022" s="29" t="s">
        <v>356</v>
      </c>
      <c r="F1022" s="29" t="s">
        <v>4847</v>
      </c>
      <c r="G1022" s="29" t="s">
        <v>4848</v>
      </c>
      <c r="H1022" s="29" t="s">
        <v>4840</v>
      </c>
      <c r="I1022" s="29" t="s">
        <v>301</v>
      </c>
      <c r="J1022" s="29" t="s">
        <v>201</v>
      </c>
      <c r="K1022" s="30" t="s">
        <v>44</v>
      </c>
      <c r="L1022" s="31"/>
      <c r="M1022" s="32"/>
    </row>
    <row r="1023" customFormat="false" ht="51" hidden="false" customHeight="true" outlineLevel="0" collapsed="false">
      <c r="B1023" s="29" t="s">
        <v>4849</v>
      </c>
      <c r="C1023" s="29" t="s">
        <v>37</v>
      </c>
      <c r="D1023" s="29" t="s">
        <v>4850</v>
      </c>
      <c r="E1023" s="29" t="s">
        <v>356</v>
      </c>
      <c r="F1023" s="29" t="s">
        <v>4851</v>
      </c>
      <c r="G1023" s="29" t="s">
        <v>4852</v>
      </c>
      <c r="H1023" s="29" t="s">
        <v>4840</v>
      </c>
      <c r="I1023" s="29" t="s">
        <v>301</v>
      </c>
      <c r="J1023" s="29" t="s">
        <v>201</v>
      </c>
      <c r="K1023" s="30" t="s">
        <v>44</v>
      </c>
      <c r="L1023" s="31"/>
      <c r="M1023" s="32"/>
    </row>
    <row r="1024" customFormat="false" ht="51" hidden="false" customHeight="true" outlineLevel="0" collapsed="false">
      <c r="B1024" s="29" t="s">
        <v>4853</v>
      </c>
      <c r="C1024" s="29" t="s">
        <v>37</v>
      </c>
      <c r="D1024" s="29" t="s">
        <v>4854</v>
      </c>
      <c r="E1024" s="29" t="s">
        <v>595</v>
      </c>
      <c r="F1024" s="29" t="s">
        <v>4855</v>
      </c>
      <c r="G1024" s="29" t="s">
        <v>4856</v>
      </c>
      <c r="H1024" s="29" t="s">
        <v>4857</v>
      </c>
      <c r="I1024" s="29" t="s">
        <v>467</v>
      </c>
      <c r="J1024" s="29" t="s">
        <v>467</v>
      </c>
      <c r="K1024" s="30" t="s">
        <v>44</v>
      </c>
      <c r="L1024" s="31"/>
      <c r="M1024" s="32"/>
    </row>
    <row r="1025" customFormat="false" ht="51" hidden="false" customHeight="true" outlineLevel="0" collapsed="false">
      <c r="B1025" s="29" t="s">
        <v>4858</v>
      </c>
      <c r="C1025" s="29" t="s">
        <v>37</v>
      </c>
      <c r="D1025" s="29" t="s">
        <v>4859</v>
      </c>
      <c r="E1025" s="29" t="s">
        <v>595</v>
      </c>
      <c r="F1025" s="29" t="s">
        <v>4860</v>
      </c>
      <c r="G1025" s="29" t="s">
        <v>4861</v>
      </c>
      <c r="H1025" s="29" t="s">
        <v>4857</v>
      </c>
      <c r="I1025" s="29" t="s">
        <v>467</v>
      </c>
      <c r="J1025" s="29" t="s">
        <v>467</v>
      </c>
      <c r="K1025" s="30" t="s">
        <v>44</v>
      </c>
      <c r="L1025" s="31"/>
      <c r="M1025" s="32"/>
    </row>
    <row r="1026" customFormat="false" ht="51" hidden="false" customHeight="true" outlineLevel="0" collapsed="false">
      <c r="B1026" s="29" t="s">
        <v>4862</v>
      </c>
      <c r="C1026" s="29" t="s">
        <v>37</v>
      </c>
      <c r="D1026" s="29" t="s">
        <v>4863</v>
      </c>
      <c r="E1026" s="29" t="s">
        <v>339</v>
      </c>
      <c r="F1026" s="29" t="s">
        <v>4864</v>
      </c>
      <c r="G1026" s="29" t="s">
        <v>4865</v>
      </c>
      <c r="H1026" s="29" t="s">
        <v>4866</v>
      </c>
      <c r="I1026" s="29" t="s">
        <v>301</v>
      </c>
      <c r="J1026" s="29" t="s">
        <v>201</v>
      </c>
      <c r="K1026" s="30" t="s">
        <v>44</v>
      </c>
      <c r="L1026" s="31"/>
      <c r="M1026" s="32"/>
    </row>
    <row r="1027" customFormat="false" ht="51" hidden="false" customHeight="true" outlineLevel="0" collapsed="false">
      <c r="B1027" s="29" t="s">
        <v>4867</v>
      </c>
      <c r="C1027" s="29" t="s">
        <v>37</v>
      </c>
      <c r="D1027" s="29" t="s">
        <v>4868</v>
      </c>
      <c r="E1027" s="29" t="s">
        <v>595</v>
      </c>
      <c r="F1027" s="29" t="s">
        <v>4869</v>
      </c>
      <c r="G1027" s="29" t="s">
        <v>4870</v>
      </c>
      <c r="H1027" s="29" t="s">
        <v>4857</v>
      </c>
      <c r="I1027" s="29" t="s">
        <v>467</v>
      </c>
      <c r="J1027" s="29" t="s">
        <v>467</v>
      </c>
      <c r="K1027" s="30" t="s">
        <v>44</v>
      </c>
      <c r="L1027" s="31"/>
      <c r="M1027" s="32"/>
    </row>
    <row r="1028" customFormat="false" ht="51" hidden="false" customHeight="true" outlineLevel="0" collapsed="false">
      <c r="B1028" s="29" t="s">
        <v>4871</v>
      </c>
      <c r="C1028" s="29" t="s">
        <v>37</v>
      </c>
      <c r="D1028" s="29" t="s">
        <v>4872</v>
      </c>
      <c r="E1028" s="29" t="s">
        <v>595</v>
      </c>
      <c r="F1028" s="29" t="s">
        <v>4873</v>
      </c>
      <c r="G1028" s="29" t="s">
        <v>4874</v>
      </c>
      <c r="H1028" s="29" t="s">
        <v>4857</v>
      </c>
      <c r="I1028" s="29" t="s">
        <v>467</v>
      </c>
      <c r="J1028" s="29" t="s">
        <v>467</v>
      </c>
      <c r="K1028" s="30" t="s">
        <v>44</v>
      </c>
      <c r="L1028" s="31"/>
      <c r="M1028" s="32"/>
    </row>
    <row r="1029" customFormat="false" ht="51" hidden="false" customHeight="true" outlineLevel="0" collapsed="false">
      <c r="B1029" s="29" t="s">
        <v>4875</v>
      </c>
      <c r="C1029" s="29" t="s">
        <v>37</v>
      </c>
      <c r="D1029" s="29" t="s">
        <v>4876</v>
      </c>
      <c r="E1029" s="29" t="s">
        <v>595</v>
      </c>
      <c r="F1029" s="29" t="s">
        <v>4877</v>
      </c>
      <c r="G1029" s="29" t="s">
        <v>4878</v>
      </c>
      <c r="H1029" s="29" t="s">
        <v>4857</v>
      </c>
      <c r="I1029" s="29" t="s">
        <v>467</v>
      </c>
      <c r="J1029" s="29" t="s">
        <v>467</v>
      </c>
      <c r="K1029" s="30" t="s">
        <v>44</v>
      </c>
      <c r="L1029" s="31"/>
      <c r="M1029" s="32"/>
    </row>
    <row r="1030" customFormat="false" ht="51" hidden="false" customHeight="true" outlineLevel="0" collapsed="false">
      <c r="B1030" s="29" t="s">
        <v>4879</v>
      </c>
      <c r="C1030" s="29" t="s">
        <v>37</v>
      </c>
      <c r="D1030" s="29" t="s">
        <v>4880</v>
      </c>
      <c r="E1030" s="29" t="s">
        <v>538</v>
      </c>
      <c r="F1030" s="29" t="s">
        <v>4881</v>
      </c>
      <c r="G1030" s="29" t="s">
        <v>4882</v>
      </c>
      <c r="H1030" s="29" t="s">
        <v>4857</v>
      </c>
      <c r="I1030" s="29" t="s">
        <v>467</v>
      </c>
      <c r="J1030" s="29" t="s">
        <v>467</v>
      </c>
      <c r="K1030" s="30" t="s">
        <v>44</v>
      </c>
      <c r="L1030" s="31"/>
      <c r="M1030" s="32"/>
    </row>
    <row r="1031" customFormat="false" ht="51" hidden="false" customHeight="true" outlineLevel="0" collapsed="false">
      <c r="B1031" s="29" t="s">
        <v>4883</v>
      </c>
      <c r="C1031" s="29" t="s">
        <v>37</v>
      </c>
      <c r="D1031" s="29" t="s">
        <v>4884</v>
      </c>
      <c r="E1031" s="29" t="s">
        <v>538</v>
      </c>
      <c r="F1031" s="29" t="s">
        <v>4885</v>
      </c>
      <c r="G1031" s="29" t="s">
        <v>4885</v>
      </c>
      <c r="H1031" s="29" t="s">
        <v>4857</v>
      </c>
      <c r="I1031" s="29" t="s">
        <v>467</v>
      </c>
      <c r="J1031" s="29" t="s">
        <v>467</v>
      </c>
      <c r="K1031" s="30" t="s">
        <v>44</v>
      </c>
      <c r="L1031" s="31"/>
      <c r="M1031" s="32"/>
    </row>
    <row r="1032" customFormat="false" ht="51" hidden="false" customHeight="true" outlineLevel="0" collapsed="false">
      <c r="B1032" s="29" t="s">
        <v>4886</v>
      </c>
      <c r="C1032" s="29" t="s">
        <v>37</v>
      </c>
      <c r="D1032" s="29" t="s">
        <v>4887</v>
      </c>
      <c r="E1032" s="29" t="s">
        <v>339</v>
      </c>
      <c r="F1032" s="29" t="s">
        <v>4888</v>
      </c>
      <c r="G1032" s="29" t="s">
        <v>4889</v>
      </c>
      <c r="H1032" s="29" t="s">
        <v>4890</v>
      </c>
      <c r="I1032" s="29" t="s">
        <v>301</v>
      </c>
      <c r="J1032" s="29" t="s">
        <v>201</v>
      </c>
      <c r="K1032" s="30" t="s">
        <v>44</v>
      </c>
      <c r="L1032" s="31"/>
      <c r="M1032" s="32"/>
    </row>
    <row r="1033" customFormat="false" ht="51" hidden="false" customHeight="true" outlineLevel="0" collapsed="false">
      <c r="B1033" s="29" t="s">
        <v>4891</v>
      </c>
      <c r="C1033" s="29" t="s">
        <v>37</v>
      </c>
      <c r="D1033" s="29" t="s">
        <v>4892</v>
      </c>
      <c r="E1033" s="29" t="s">
        <v>339</v>
      </c>
      <c r="F1033" s="29" t="s">
        <v>4893</v>
      </c>
      <c r="G1033" s="29" t="s">
        <v>4893</v>
      </c>
      <c r="H1033" s="29" t="s">
        <v>4890</v>
      </c>
      <c r="I1033" s="29" t="s">
        <v>301</v>
      </c>
      <c r="J1033" s="29" t="s">
        <v>201</v>
      </c>
      <c r="K1033" s="30" t="s">
        <v>44</v>
      </c>
      <c r="L1033" s="31"/>
      <c r="M1033" s="32"/>
    </row>
    <row r="1034" customFormat="false" ht="51" hidden="false" customHeight="true" outlineLevel="0" collapsed="false">
      <c r="B1034" s="29" t="s">
        <v>4894</v>
      </c>
      <c r="C1034" s="29" t="s">
        <v>37</v>
      </c>
      <c r="D1034" s="29" t="s">
        <v>4895</v>
      </c>
      <c r="E1034" s="29" t="s">
        <v>339</v>
      </c>
      <c r="F1034" s="29" t="s">
        <v>4896</v>
      </c>
      <c r="G1034" s="29" t="s">
        <v>4896</v>
      </c>
      <c r="H1034" s="29" t="s">
        <v>4890</v>
      </c>
      <c r="I1034" s="29" t="s">
        <v>301</v>
      </c>
      <c r="J1034" s="29" t="s">
        <v>201</v>
      </c>
      <c r="K1034" s="30" t="s">
        <v>44</v>
      </c>
      <c r="L1034" s="31"/>
      <c r="M1034" s="32"/>
    </row>
    <row r="1035" customFormat="false" ht="51" hidden="false" customHeight="true" outlineLevel="0" collapsed="false">
      <c r="B1035" s="29" t="s">
        <v>4897</v>
      </c>
      <c r="C1035" s="29" t="s">
        <v>37</v>
      </c>
      <c r="D1035" s="29" t="s">
        <v>4898</v>
      </c>
      <c r="E1035" s="29" t="s">
        <v>339</v>
      </c>
      <c r="F1035" s="29" t="s">
        <v>4899</v>
      </c>
      <c r="G1035" s="29" t="s">
        <v>4900</v>
      </c>
      <c r="H1035" s="29" t="s">
        <v>4890</v>
      </c>
      <c r="I1035" s="29" t="s">
        <v>301</v>
      </c>
      <c r="J1035" s="29" t="s">
        <v>201</v>
      </c>
      <c r="K1035" s="30" t="s">
        <v>44</v>
      </c>
      <c r="L1035" s="31"/>
      <c r="M1035" s="32"/>
    </row>
    <row r="1036" customFormat="false" ht="51" hidden="false" customHeight="true" outlineLevel="0" collapsed="false">
      <c r="B1036" s="29" t="s">
        <v>4901</v>
      </c>
      <c r="C1036" s="29" t="s">
        <v>37</v>
      </c>
      <c r="D1036" s="29" t="s">
        <v>4902</v>
      </c>
      <c r="E1036" s="29" t="s">
        <v>339</v>
      </c>
      <c r="F1036" s="29" t="s">
        <v>4903</v>
      </c>
      <c r="G1036" s="29" t="s">
        <v>4903</v>
      </c>
      <c r="H1036" s="29" t="s">
        <v>4890</v>
      </c>
      <c r="I1036" s="29" t="s">
        <v>301</v>
      </c>
      <c r="J1036" s="29" t="s">
        <v>201</v>
      </c>
      <c r="K1036" s="30" t="s">
        <v>44</v>
      </c>
      <c r="L1036" s="31"/>
      <c r="M1036" s="32"/>
    </row>
    <row r="1037" customFormat="false" ht="51" hidden="false" customHeight="true" outlineLevel="0" collapsed="false">
      <c r="B1037" s="29" t="s">
        <v>4904</v>
      </c>
      <c r="C1037" s="29" t="s">
        <v>37</v>
      </c>
      <c r="D1037" s="29" t="s">
        <v>4905</v>
      </c>
      <c r="E1037" s="29" t="s">
        <v>538</v>
      </c>
      <c r="F1037" s="29" t="s">
        <v>4906</v>
      </c>
      <c r="G1037" s="29" t="s">
        <v>4907</v>
      </c>
      <c r="H1037" s="29" t="s">
        <v>4908</v>
      </c>
      <c r="I1037" s="29" t="s">
        <v>467</v>
      </c>
      <c r="J1037" s="29" t="s">
        <v>467</v>
      </c>
      <c r="K1037" s="30" t="s">
        <v>44</v>
      </c>
      <c r="L1037" s="31"/>
      <c r="M1037" s="32"/>
    </row>
    <row r="1038" customFormat="false" ht="51" hidden="false" customHeight="true" outlineLevel="0" collapsed="false">
      <c r="B1038" s="29" t="s">
        <v>4909</v>
      </c>
      <c r="C1038" s="29" t="s">
        <v>37</v>
      </c>
      <c r="D1038" s="29" t="s">
        <v>4910</v>
      </c>
      <c r="E1038" s="29" t="s">
        <v>538</v>
      </c>
      <c r="F1038" s="29" t="s">
        <v>4911</v>
      </c>
      <c r="G1038" s="29" t="s">
        <v>4912</v>
      </c>
      <c r="H1038" s="29" t="s">
        <v>4908</v>
      </c>
      <c r="I1038" s="29" t="s">
        <v>467</v>
      </c>
      <c r="J1038" s="29" t="s">
        <v>467</v>
      </c>
      <c r="K1038" s="30" t="s">
        <v>44</v>
      </c>
      <c r="L1038" s="31"/>
      <c r="M1038" s="32"/>
    </row>
    <row r="1039" customFormat="false" ht="51" hidden="false" customHeight="true" outlineLevel="0" collapsed="false">
      <c r="B1039" s="29" t="s">
        <v>4913</v>
      </c>
      <c r="C1039" s="29" t="s">
        <v>37</v>
      </c>
      <c r="D1039" s="29" t="s">
        <v>4914</v>
      </c>
      <c r="E1039" s="29" t="s">
        <v>339</v>
      </c>
      <c r="F1039" s="29" t="s">
        <v>4915</v>
      </c>
      <c r="G1039" s="29" t="s">
        <v>4916</v>
      </c>
      <c r="H1039" s="29" t="s">
        <v>4890</v>
      </c>
      <c r="I1039" s="29" t="s">
        <v>301</v>
      </c>
      <c r="J1039" s="29" t="s">
        <v>201</v>
      </c>
      <c r="K1039" s="30" t="s">
        <v>44</v>
      </c>
      <c r="L1039" s="31"/>
      <c r="M1039" s="32"/>
    </row>
    <row r="1040" customFormat="false" ht="51" hidden="false" customHeight="true" outlineLevel="0" collapsed="false">
      <c r="B1040" s="29" t="s">
        <v>4917</v>
      </c>
      <c r="C1040" s="29" t="s">
        <v>37</v>
      </c>
      <c r="D1040" s="29" t="s">
        <v>4918</v>
      </c>
      <c r="E1040" s="29" t="s">
        <v>205</v>
      </c>
      <c r="F1040" s="29" t="s">
        <v>4919</v>
      </c>
      <c r="G1040" s="29" t="s">
        <v>4919</v>
      </c>
      <c r="H1040" s="29" t="s">
        <v>4920</v>
      </c>
      <c r="I1040" s="29" t="s">
        <v>301</v>
      </c>
      <c r="J1040" s="29" t="s">
        <v>201</v>
      </c>
      <c r="K1040" s="30" t="s">
        <v>44</v>
      </c>
      <c r="L1040" s="31"/>
      <c r="M1040" s="32"/>
    </row>
    <row r="1041" customFormat="false" ht="51" hidden="false" customHeight="true" outlineLevel="0" collapsed="false">
      <c r="B1041" s="29" t="s">
        <v>4921</v>
      </c>
      <c r="C1041" s="29" t="s">
        <v>37</v>
      </c>
      <c r="D1041" s="29" t="s">
        <v>4922</v>
      </c>
      <c r="E1041" s="29" t="s">
        <v>39</v>
      </c>
      <c r="F1041" s="29" t="s">
        <v>4923</v>
      </c>
      <c r="G1041" s="29" t="s">
        <v>4924</v>
      </c>
      <c r="H1041" s="29" t="s">
        <v>4920</v>
      </c>
      <c r="I1041" s="29" t="s">
        <v>42</v>
      </c>
      <c r="J1041" s="29" t="s">
        <v>43</v>
      </c>
      <c r="K1041" s="30" t="s">
        <v>44</v>
      </c>
      <c r="L1041" s="31"/>
      <c r="M1041" s="32"/>
    </row>
    <row r="1042" customFormat="false" ht="51" hidden="false" customHeight="true" outlineLevel="0" collapsed="false">
      <c r="B1042" s="29" t="s">
        <v>4925</v>
      </c>
      <c r="C1042" s="29" t="s">
        <v>37</v>
      </c>
      <c r="D1042" s="29" t="s">
        <v>4926</v>
      </c>
      <c r="E1042" s="29" t="s">
        <v>339</v>
      </c>
      <c r="F1042" s="29" t="s">
        <v>4927</v>
      </c>
      <c r="G1042" s="29" t="s">
        <v>4928</v>
      </c>
      <c r="H1042" s="29" t="s">
        <v>4920</v>
      </c>
      <c r="I1042" s="29" t="s">
        <v>301</v>
      </c>
      <c r="J1042" s="29" t="s">
        <v>201</v>
      </c>
      <c r="K1042" s="30" t="s">
        <v>44</v>
      </c>
      <c r="L1042" s="31"/>
      <c r="M1042" s="32"/>
    </row>
    <row r="1043" customFormat="false" ht="51" hidden="false" customHeight="true" outlineLevel="0" collapsed="false">
      <c r="B1043" s="29" t="s">
        <v>4929</v>
      </c>
      <c r="C1043" s="29" t="s">
        <v>37</v>
      </c>
      <c r="D1043" s="29" t="s">
        <v>4930</v>
      </c>
      <c r="E1043" s="29" t="s">
        <v>339</v>
      </c>
      <c r="F1043" s="29" t="s">
        <v>4931</v>
      </c>
      <c r="G1043" s="29" t="s">
        <v>4932</v>
      </c>
      <c r="H1043" s="29" t="s">
        <v>4920</v>
      </c>
      <c r="I1043" s="29" t="s">
        <v>301</v>
      </c>
      <c r="J1043" s="29" t="s">
        <v>201</v>
      </c>
      <c r="K1043" s="30" t="s">
        <v>44</v>
      </c>
      <c r="L1043" s="31"/>
      <c r="M1043" s="32"/>
    </row>
    <row r="1044" customFormat="false" ht="51" hidden="false" customHeight="true" outlineLevel="0" collapsed="false">
      <c r="B1044" s="29" t="s">
        <v>4933</v>
      </c>
      <c r="C1044" s="29" t="s">
        <v>37</v>
      </c>
      <c r="D1044" s="29" t="s">
        <v>4934</v>
      </c>
      <c r="E1044" s="29" t="s">
        <v>339</v>
      </c>
      <c r="F1044" s="29" t="s">
        <v>4935</v>
      </c>
      <c r="G1044" s="29" t="s">
        <v>4936</v>
      </c>
      <c r="H1044" s="29" t="s">
        <v>4920</v>
      </c>
      <c r="I1044" s="29" t="s">
        <v>301</v>
      </c>
      <c r="J1044" s="29" t="s">
        <v>201</v>
      </c>
      <c r="K1044" s="30" t="s">
        <v>44</v>
      </c>
      <c r="L1044" s="31"/>
      <c r="M1044" s="32"/>
    </row>
    <row r="1045" customFormat="false" ht="51" hidden="false" customHeight="true" outlineLevel="0" collapsed="false">
      <c r="B1045" s="29" t="s">
        <v>4937</v>
      </c>
      <c r="C1045" s="29" t="s">
        <v>37</v>
      </c>
      <c r="D1045" s="29" t="s">
        <v>4938</v>
      </c>
      <c r="E1045" s="29" t="s">
        <v>339</v>
      </c>
      <c r="F1045" s="29" t="s">
        <v>4939</v>
      </c>
      <c r="G1045" s="29" t="s">
        <v>4940</v>
      </c>
      <c r="H1045" s="29" t="s">
        <v>4920</v>
      </c>
      <c r="I1045" s="29" t="s">
        <v>301</v>
      </c>
      <c r="J1045" s="29" t="s">
        <v>201</v>
      </c>
      <c r="K1045" s="30" t="s">
        <v>44</v>
      </c>
      <c r="L1045" s="31"/>
      <c r="M1045" s="32"/>
    </row>
    <row r="1046" customFormat="false" ht="51" hidden="false" customHeight="true" outlineLevel="0" collapsed="false">
      <c r="B1046" s="29" t="s">
        <v>4941</v>
      </c>
      <c r="C1046" s="29" t="s">
        <v>37</v>
      </c>
      <c r="D1046" s="29" t="s">
        <v>4942</v>
      </c>
      <c r="E1046" s="29" t="s">
        <v>265</v>
      </c>
      <c r="F1046" s="29" t="s">
        <v>4943</v>
      </c>
      <c r="G1046" s="29" t="s">
        <v>4944</v>
      </c>
      <c r="H1046" s="29" t="s">
        <v>4920</v>
      </c>
      <c r="I1046" s="29" t="s">
        <v>42</v>
      </c>
      <c r="J1046" s="29" t="s">
        <v>269</v>
      </c>
      <c r="K1046" s="30" t="s">
        <v>44</v>
      </c>
      <c r="L1046" s="31"/>
      <c r="M1046" s="32"/>
    </row>
    <row r="1047" customFormat="false" ht="51" hidden="false" customHeight="true" outlineLevel="0" collapsed="false">
      <c r="B1047" s="29" t="s">
        <v>4945</v>
      </c>
      <c r="C1047" s="29" t="s">
        <v>37</v>
      </c>
      <c r="D1047" s="29" t="s">
        <v>4946</v>
      </c>
      <c r="E1047" s="29" t="s">
        <v>339</v>
      </c>
      <c r="F1047" s="29" t="s">
        <v>4947</v>
      </c>
      <c r="G1047" s="29" t="s">
        <v>4948</v>
      </c>
      <c r="H1047" s="29" t="s">
        <v>4920</v>
      </c>
      <c r="I1047" s="29" t="s">
        <v>301</v>
      </c>
      <c r="J1047" s="29" t="s">
        <v>201</v>
      </c>
      <c r="K1047" s="30" t="s">
        <v>44</v>
      </c>
      <c r="L1047" s="31"/>
      <c r="M1047" s="32"/>
    </row>
    <row r="1048" customFormat="false" ht="51" hidden="false" customHeight="true" outlineLevel="0" collapsed="false">
      <c r="B1048" s="29" t="s">
        <v>4949</v>
      </c>
      <c r="C1048" s="29" t="s">
        <v>37</v>
      </c>
      <c r="D1048" s="29" t="s">
        <v>4950</v>
      </c>
      <c r="E1048" s="29" t="s">
        <v>339</v>
      </c>
      <c r="F1048" s="29" t="s">
        <v>4951</v>
      </c>
      <c r="G1048" s="29" t="s">
        <v>4951</v>
      </c>
      <c r="H1048" s="29" t="s">
        <v>4920</v>
      </c>
      <c r="I1048" s="29" t="s">
        <v>301</v>
      </c>
      <c r="J1048" s="29" t="s">
        <v>201</v>
      </c>
      <c r="K1048" s="30" t="s">
        <v>44</v>
      </c>
      <c r="L1048" s="31"/>
      <c r="M1048" s="32"/>
    </row>
    <row r="1049" customFormat="false" ht="51" hidden="false" customHeight="true" outlineLevel="0" collapsed="false">
      <c r="B1049" s="29" t="s">
        <v>4952</v>
      </c>
      <c r="C1049" s="29" t="s">
        <v>37</v>
      </c>
      <c r="D1049" s="29" t="s">
        <v>4953</v>
      </c>
      <c r="E1049" s="29" t="s">
        <v>339</v>
      </c>
      <c r="F1049" s="29" t="s">
        <v>4954</v>
      </c>
      <c r="G1049" s="29" t="s">
        <v>4955</v>
      </c>
      <c r="H1049" s="29" t="s">
        <v>4956</v>
      </c>
      <c r="I1049" s="29" t="s">
        <v>301</v>
      </c>
      <c r="J1049" s="29" t="s">
        <v>201</v>
      </c>
      <c r="K1049" s="30" t="s">
        <v>44</v>
      </c>
      <c r="L1049" s="31"/>
      <c r="M1049" s="32"/>
    </row>
    <row r="1050" customFormat="false" ht="51" hidden="false" customHeight="true" outlineLevel="0" collapsed="false">
      <c r="B1050" s="29" t="s">
        <v>4957</v>
      </c>
      <c r="C1050" s="29" t="s">
        <v>37</v>
      </c>
      <c r="D1050" s="29" t="s">
        <v>4958</v>
      </c>
      <c r="E1050" s="29" t="s">
        <v>339</v>
      </c>
      <c r="F1050" s="29" t="s">
        <v>4959</v>
      </c>
      <c r="G1050" s="29" t="s">
        <v>4960</v>
      </c>
      <c r="H1050" s="29" t="s">
        <v>4956</v>
      </c>
      <c r="I1050" s="29" t="s">
        <v>301</v>
      </c>
      <c r="J1050" s="29" t="s">
        <v>201</v>
      </c>
      <c r="K1050" s="30" t="s">
        <v>44</v>
      </c>
      <c r="L1050" s="31"/>
      <c r="M1050" s="32"/>
    </row>
    <row r="1051" customFormat="false" ht="51" hidden="false" customHeight="true" outlineLevel="0" collapsed="false">
      <c r="B1051" s="29" t="s">
        <v>4961</v>
      </c>
      <c r="C1051" s="29" t="s">
        <v>37</v>
      </c>
      <c r="D1051" s="29" t="s">
        <v>4962</v>
      </c>
      <c r="E1051" s="29" t="s">
        <v>205</v>
      </c>
      <c r="F1051" s="29" t="s">
        <v>4963</v>
      </c>
      <c r="G1051" s="29" t="s">
        <v>4964</v>
      </c>
      <c r="H1051" s="29" t="s">
        <v>4956</v>
      </c>
      <c r="I1051" s="29" t="s">
        <v>301</v>
      </c>
      <c r="J1051" s="29" t="s">
        <v>201</v>
      </c>
      <c r="K1051" s="30" t="s">
        <v>44</v>
      </c>
      <c r="L1051" s="31"/>
      <c r="M1051" s="32"/>
    </row>
    <row r="1052" customFormat="false" ht="51" hidden="false" customHeight="true" outlineLevel="0" collapsed="false">
      <c r="B1052" s="29" t="s">
        <v>4965</v>
      </c>
      <c r="C1052" s="29" t="s">
        <v>37</v>
      </c>
      <c r="D1052" s="29" t="s">
        <v>4966</v>
      </c>
      <c r="E1052" s="29" t="s">
        <v>205</v>
      </c>
      <c r="F1052" s="29" t="s">
        <v>4967</v>
      </c>
      <c r="G1052" s="29" t="s">
        <v>4968</v>
      </c>
      <c r="H1052" s="29" t="s">
        <v>4956</v>
      </c>
      <c r="I1052" s="29" t="s">
        <v>3662</v>
      </c>
      <c r="J1052" s="29" t="s">
        <v>154</v>
      </c>
      <c r="K1052" s="30" t="s">
        <v>44</v>
      </c>
      <c r="L1052" s="31"/>
      <c r="M1052" s="32"/>
    </row>
    <row r="1053" customFormat="false" ht="51" hidden="false" customHeight="true" outlineLevel="0" collapsed="false">
      <c r="B1053" s="29" t="s">
        <v>4969</v>
      </c>
      <c r="C1053" s="29" t="s">
        <v>37</v>
      </c>
      <c r="D1053" s="29" t="s">
        <v>4970</v>
      </c>
      <c r="E1053" s="29" t="s">
        <v>339</v>
      </c>
      <c r="F1053" s="29" t="s">
        <v>4971</v>
      </c>
      <c r="G1053" s="29" t="s">
        <v>4972</v>
      </c>
      <c r="H1053" s="29" t="s">
        <v>4956</v>
      </c>
      <c r="I1053" s="29" t="s">
        <v>301</v>
      </c>
      <c r="J1053" s="29" t="s">
        <v>201</v>
      </c>
      <c r="K1053" s="30" t="s">
        <v>44</v>
      </c>
      <c r="L1053" s="31"/>
      <c r="M1053" s="32"/>
    </row>
    <row r="1054" customFormat="false" ht="51" hidden="false" customHeight="true" outlineLevel="0" collapsed="false">
      <c r="B1054" s="29" t="s">
        <v>4973</v>
      </c>
      <c r="C1054" s="29" t="s">
        <v>37</v>
      </c>
      <c r="D1054" s="29" t="s">
        <v>4974</v>
      </c>
      <c r="E1054" s="29" t="s">
        <v>339</v>
      </c>
      <c r="F1054" s="29" t="s">
        <v>4975</v>
      </c>
      <c r="G1054" s="29" t="s">
        <v>4975</v>
      </c>
      <c r="H1054" s="29" t="s">
        <v>4956</v>
      </c>
      <c r="I1054" s="29" t="s">
        <v>301</v>
      </c>
      <c r="J1054" s="29" t="s">
        <v>201</v>
      </c>
      <c r="K1054" s="30" t="s">
        <v>44</v>
      </c>
      <c r="L1054" s="31"/>
      <c r="M1054" s="32"/>
    </row>
    <row r="1055" customFormat="false" ht="51" hidden="false" customHeight="true" outlineLevel="0" collapsed="false">
      <c r="B1055" s="29" t="s">
        <v>4976</v>
      </c>
      <c r="C1055" s="29" t="s">
        <v>37</v>
      </c>
      <c r="D1055" s="29" t="s">
        <v>4977</v>
      </c>
      <c r="E1055" s="29" t="s">
        <v>339</v>
      </c>
      <c r="F1055" s="29" t="s">
        <v>4978</v>
      </c>
      <c r="G1055" s="29" t="s">
        <v>4979</v>
      </c>
      <c r="H1055" s="29" t="s">
        <v>4956</v>
      </c>
      <c r="I1055" s="29" t="s">
        <v>301</v>
      </c>
      <c r="J1055" s="29" t="s">
        <v>201</v>
      </c>
      <c r="K1055" s="30" t="s">
        <v>44</v>
      </c>
      <c r="L1055" s="31"/>
      <c r="M1055" s="32"/>
    </row>
    <row r="1056" customFormat="false" ht="51" hidden="false" customHeight="true" outlineLevel="0" collapsed="false">
      <c r="B1056" s="29" t="s">
        <v>4980</v>
      </c>
      <c r="C1056" s="29" t="s">
        <v>37</v>
      </c>
      <c r="D1056" s="29" t="s">
        <v>4981</v>
      </c>
      <c r="E1056" s="29" t="s">
        <v>339</v>
      </c>
      <c r="F1056" s="29" t="s">
        <v>4982</v>
      </c>
      <c r="G1056" s="29" t="s">
        <v>4983</v>
      </c>
      <c r="H1056" s="29" t="s">
        <v>4984</v>
      </c>
      <c r="I1056" s="29" t="s">
        <v>301</v>
      </c>
      <c r="J1056" s="29" t="s">
        <v>201</v>
      </c>
      <c r="K1056" s="30" t="s">
        <v>44</v>
      </c>
      <c r="L1056" s="31"/>
      <c r="M1056" s="32"/>
    </row>
    <row r="1057" customFormat="false" ht="51" hidden="false" customHeight="true" outlineLevel="0" collapsed="false">
      <c r="B1057" s="29" t="s">
        <v>4985</v>
      </c>
      <c r="C1057" s="29" t="s">
        <v>37</v>
      </c>
      <c r="D1057" s="29" t="s">
        <v>4986</v>
      </c>
      <c r="E1057" s="29" t="s">
        <v>339</v>
      </c>
      <c r="F1057" s="29" t="s">
        <v>4987</v>
      </c>
      <c r="G1057" s="29" t="s">
        <v>4987</v>
      </c>
      <c r="H1057" s="29" t="s">
        <v>4984</v>
      </c>
      <c r="I1057" s="29" t="s">
        <v>301</v>
      </c>
      <c r="J1057" s="29" t="s">
        <v>201</v>
      </c>
      <c r="K1057" s="30" t="s">
        <v>44</v>
      </c>
      <c r="L1057" s="31"/>
      <c r="M1057" s="32"/>
    </row>
    <row r="1058" customFormat="false" ht="51" hidden="false" customHeight="true" outlineLevel="0" collapsed="false">
      <c r="B1058" s="29" t="s">
        <v>4988</v>
      </c>
      <c r="C1058" s="29" t="s">
        <v>37</v>
      </c>
      <c r="D1058" s="29" t="s">
        <v>4989</v>
      </c>
      <c r="E1058" s="29" t="s">
        <v>339</v>
      </c>
      <c r="F1058" s="29" t="s">
        <v>4990</v>
      </c>
      <c r="G1058" s="29" t="s">
        <v>4990</v>
      </c>
      <c r="H1058" s="29" t="s">
        <v>4984</v>
      </c>
      <c r="I1058" s="29" t="s">
        <v>301</v>
      </c>
      <c r="J1058" s="29" t="s">
        <v>201</v>
      </c>
      <c r="K1058" s="30" t="s">
        <v>44</v>
      </c>
      <c r="L1058" s="31"/>
      <c r="M1058" s="32"/>
    </row>
    <row r="1059" customFormat="false" ht="51" hidden="false" customHeight="true" outlineLevel="0" collapsed="false">
      <c r="B1059" s="29" t="s">
        <v>4991</v>
      </c>
      <c r="C1059" s="29" t="s">
        <v>37</v>
      </c>
      <c r="D1059" s="29" t="s">
        <v>4992</v>
      </c>
      <c r="E1059" s="29" t="s">
        <v>339</v>
      </c>
      <c r="F1059" s="29" t="s">
        <v>4993</v>
      </c>
      <c r="G1059" s="29" t="s">
        <v>4993</v>
      </c>
      <c r="H1059" s="29" t="s">
        <v>4984</v>
      </c>
      <c r="I1059" s="29" t="s">
        <v>301</v>
      </c>
      <c r="J1059" s="29" t="s">
        <v>201</v>
      </c>
      <c r="K1059" s="30" t="s">
        <v>44</v>
      </c>
      <c r="L1059" s="31"/>
      <c r="M1059" s="32"/>
    </row>
    <row r="1060" customFormat="false" ht="51" hidden="false" customHeight="true" outlineLevel="0" collapsed="false">
      <c r="B1060" s="29" t="s">
        <v>4994</v>
      </c>
      <c r="C1060" s="29" t="s">
        <v>37</v>
      </c>
      <c r="D1060" s="29" t="s">
        <v>4995</v>
      </c>
      <c r="E1060" s="29" t="s">
        <v>350</v>
      </c>
      <c r="F1060" s="29" t="s">
        <v>4996</v>
      </c>
      <c r="G1060" s="29" t="s">
        <v>4997</v>
      </c>
      <c r="H1060" s="29" t="s">
        <v>4984</v>
      </c>
      <c r="I1060" s="29" t="s">
        <v>301</v>
      </c>
      <c r="J1060" s="29" t="s">
        <v>201</v>
      </c>
      <c r="K1060" s="30" t="s">
        <v>44</v>
      </c>
      <c r="L1060" s="31"/>
      <c r="M1060" s="32"/>
    </row>
    <row r="1061" customFormat="false" ht="51" hidden="false" customHeight="true" outlineLevel="0" collapsed="false">
      <c r="B1061" s="29" t="s">
        <v>4998</v>
      </c>
      <c r="C1061" s="29" t="s">
        <v>37</v>
      </c>
      <c r="D1061" s="29" t="s">
        <v>4999</v>
      </c>
      <c r="E1061" s="29" t="s">
        <v>205</v>
      </c>
      <c r="F1061" s="29" t="s">
        <v>5000</v>
      </c>
      <c r="G1061" s="29" t="s">
        <v>5001</v>
      </c>
      <c r="H1061" s="29" t="s">
        <v>4984</v>
      </c>
      <c r="I1061" s="29" t="s">
        <v>301</v>
      </c>
      <c r="J1061" s="29" t="s">
        <v>201</v>
      </c>
      <c r="K1061" s="30" t="s">
        <v>44</v>
      </c>
      <c r="L1061" s="31"/>
      <c r="M1061" s="32"/>
    </row>
    <row r="1062" customFormat="false" ht="51" hidden="false" customHeight="true" outlineLevel="0" collapsed="false">
      <c r="B1062" s="29" t="s">
        <v>5002</v>
      </c>
      <c r="C1062" s="29" t="s">
        <v>37</v>
      </c>
      <c r="D1062" s="29" t="s">
        <v>5003</v>
      </c>
      <c r="E1062" s="29" t="s">
        <v>356</v>
      </c>
      <c r="F1062" s="29" t="s">
        <v>5004</v>
      </c>
      <c r="G1062" s="29" t="s">
        <v>5005</v>
      </c>
      <c r="H1062" s="29" t="s">
        <v>5006</v>
      </c>
      <c r="I1062" s="29" t="s">
        <v>3662</v>
      </c>
      <c r="J1062" s="29" t="s">
        <v>154</v>
      </c>
      <c r="K1062" s="30" t="s">
        <v>44</v>
      </c>
      <c r="L1062" s="31"/>
      <c r="M1062" s="32"/>
    </row>
    <row r="1063" customFormat="false" ht="51" hidden="false" customHeight="true" outlineLevel="0" collapsed="false">
      <c r="B1063" s="29" t="s">
        <v>5007</v>
      </c>
      <c r="C1063" s="29" t="s">
        <v>37</v>
      </c>
      <c r="D1063" s="29" t="s">
        <v>5008</v>
      </c>
      <c r="E1063" s="29" t="s">
        <v>356</v>
      </c>
      <c r="F1063" s="29" t="s">
        <v>5009</v>
      </c>
      <c r="G1063" s="29" t="s">
        <v>5010</v>
      </c>
      <c r="H1063" s="29" t="s">
        <v>5006</v>
      </c>
      <c r="I1063" s="29" t="s">
        <v>301</v>
      </c>
      <c r="J1063" s="29" t="s">
        <v>201</v>
      </c>
      <c r="K1063" s="30" t="s">
        <v>44</v>
      </c>
      <c r="L1063" s="31"/>
      <c r="M1063" s="32"/>
    </row>
    <row r="1064" customFormat="false" ht="51" hidden="false" customHeight="true" outlineLevel="0" collapsed="false">
      <c r="B1064" s="29" t="s">
        <v>5011</v>
      </c>
      <c r="C1064" s="29" t="s">
        <v>37</v>
      </c>
      <c r="D1064" s="29" t="s">
        <v>5012</v>
      </c>
      <c r="E1064" s="29" t="s">
        <v>339</v>
      </c>
      <c r="F1064" s="29" t="s">
        <v>5013</v>
      </c>
      <c r="G1064" s="29" t="s">
        <v>5014</v>
      </c>
      <c r="H1064" s="29" t="s">
        <v>5006</v>
      </c>
      <c r="I1064" s="29" t="s">
        <v>301</v>
      </c>
      <c r="J1064" s="29" t="s">
        <v>201</v>
      </c>
      <c r="K1064" s="30" t="s">
        <v>44</v>
      </c>
      <c r="L1064" s="31"/>
      <c r="M1064" s="32"/>
    </row>
    <row r="1065" customFormat="false" ht="51" hidden="false" customHeight="true" outlineLevel="0" collapsed="false">
      <c r="B1065" s="29" t="s">
        <v>5015</v>
      </c>
      <c r="C1065" s="29" t="s">
        <v>37</v>
      </c>
      <c r="D1065" s="29" t="s">
        <v>5016</v>
      </c>
      <c r="E1065" s="29" t="s">
        <v>205</v>
      </c>
      <c r="F1065" s="29" t="s">
        <v>5017</v>
      </c>
      <c r="G1065" s="29" t="s">
        <v>5018</v>
      </c>
      <c r="H1065" s="29" t="s">
        <v>5006</v>
      </c>
      <c r="I1065" s="29" t="s">
        <v>3662</v>
      </c>
      <c r="J1065" s="29" t="s">
        <v>154</v>
      </c>
      <c r="K1065" s="30" t="s">
        <v>44</v>
      </c>
      <c r="L1065" s="31"/>
      <c r="M1065" s="32"/>
    </row>
    <row r="1066" customFormat="false" ht="51" hidden="false" customHeight="true" outlineLevel="0" collapsed="false">
      <c r="B1066" s="29" t="s">
        <v>5019</v>
      </c>
      <c r="C1066" s="29" t="s">
        <v>37</v>
      </c>
      <c r="D1066" s="29" t="s">
        <v>5020</v>
      </c>
      <c r="E1066" s="29" t="s">
        <v>339</v>
      </c>
      <c r="F1066" s="29" t="s">
        <v>5021</v>
      </c>
      <c r="G1066" s="29" t="s">
        <v>5021</v>
      </c>
      <c r="H1066" s="29" t="s">
        <v>5006</v>
      </c>
      <c r="I1066" s="29" t="s">
        <v>301</v>
      </c>
      <c r="J1066" s="29" t="s">
        <v>201</v>
      </c>
      <c r="K1066" s="30" t="s">
        <v>44</v>
      </c>
      <c r="L1066" s="31"/>
      <c r="M1066" s="32"/>
    </row>
    <row r="1067" customFormat="false" ht="51" hidden="false" customHeight="true" outlineLevel="0" collapsed="false">
      <c r="B1067" s="29" t="s">
        <v>5022</v>
      </c>
      <c r="C1067" s="29" t="s">
        <v>37</v>
      </c>
      <c r="D1067" s="29" t="s">
        <v>5023</v>
      </c>
      <c r="E1067" s="29" t="s">
        <v>595</v>
      </c>
      <c r="F1067" s="29" t="s">
        <v>5024</v>
      </c>
      <c r="G1067" s="29" t="s">
        <v>5025</v>
      </c>
      <c r="H1067" s="29" t="s">
        <v>5006</v>
      </c>
      <c r="I1067" s="29" t="s">
        <v>3662</v>
      </c>
      <c r="J1067" s="29" t="s">
        <v>154</v>
      </c>
      <c r="K1067" s="30" t="s">
        <v>44</v>
      </c>
      <c r="L1067" s="31"/>
      <c r="M1067" s="32"/>
    </row>
    <row r="1068" customFormat="false" ht="51" hidden="false" customHeight="true" outlineLevel="0" collapsed="false">
      <c r="B1068" s="29" t="s">
        <v>5026</v>
      </c>
      <c r="C1068" s="29" t="s">
        <v>37</v>
      </c>
      <c r="D1068" s="29" t="s">
        <v>5027</v>
      </c>
      <c r="E1068" s="29" t="s">
        <v>339</v>
      </c>
      <c r="F1068" s="29" t="s">
        <v>5028</v>
      </c>
      <c r="G1068" s="29" t="s">
        <v>5029</v>
      </c>
      <c r="H1068" s="29" t="s">
        <v>5006</v>
      </c>
      <c r="I1068" s="29" t="s">
        <v>301</v>
      </c>
      <c r="J1068" s="29" t="s">
        <v>201</v>
      </c>
      <c r="K1068" s="30" t="s">
        <v>44</v>
      </c>
      <c r="L1068" s="31"/>
      <c r="M1068" s="32"/>
    </row>
    <row r="1069" customFormat="false" ht="51" hidden="false" customHeight="true" outlineLevel="0" collapsed="false">
      <c r="B1069" s="29" t="s">
        <v>5030</v>
      </c>
      <c r="C1069" s="29" t="s">
        <v>37</v>
      </c>
      <c r="D1069" s="29" t="s">
        <v>5031</v>
      </c>
      <c r="E1069" s="29" t="s">
        <v>339</v>
      </c>
      <c r="F1069" s="29" t="s">
        <v>5032</v>
      </c>
      <c r="G1069" s="29" t="s">
        <v>5033</v>
      </c>
      <c r="H1069" s="29" t="s">
        <v>5006</v>
      </c>
      <c r="I1069" s="29" t="s">
        <v>301</v>
      </c>
      <c r="J1069" s="29" t="s">
        <v>201</v>
      </c>
      <c r="K1069" s="30" t="s">
        <v>44</v>
      </c>
      <c r="L1069" s="31"/>
      <c r="M1069" s="32"/>
    </row>
    <row r="1070" customFormat="false" ht="51" hidden="false" customHeight="true" outlineLevel="0" collapsed="false">
      <c r="B1070" s="29" t="s">
        <v>5034</v>
      </c>
      <c r="C1070" s="29" t="s">
        <v>37</v>
      </c>
      <c r="D1070" s="29" t="s">
        <v>5035</v>
      </c>
      <c r="E1070" s="29" t="s">
        <v>339</v>
      </c>
      <c r="F1070" s="29" t="s">
        <v>5036</v>
      </c>
      <c r="G1070" s="29" t="s">
        <v>5037</v>
      </c>
      <c r="H1070" s="29" t="s">
        <v>5006</v>
      </c>
      <c r="I1070" s="29" t="s">
        <v>301</v>
      </c>
      <c r="J1070" s="29" t="s">
        <v>201</v>
      </c>
      <c r="K1070" s="30" t="s">
        <v>44</v>
      </c>
      <c r="L1070" s="31"/>
      <c r="M1070" s="32"/>
    </row>
    <row r="1071" customFormat="false" ht="51" hidden="false" customHeight="true" outlineLevel="0" collapsed="false">
      <c r="B1071" s="29" t="s">
        <v>5038</v>
      </c>
      <c r="C1071" s="29" t="s">
        <v>37</v>
      </c>
      <c r="D1071" s="29" t="s">
        <v>5039</v>
      </c>
      <c r="E1071" s="29" t="s">
        <v>339</v>
      </c>
      <c r="F1071" s="29" t="s">
        <v>5040</v>
      </c>
      <c r="G1071" s="29" t="s">
        <v>5041</v>
      </c>
      <c r="H1071" s="29" t="s">
        <v>5006</v>
      </c>
      <c r="I1071" s="29" t="s">
        <v>301</v>
      </c>
      <c r="J1071" s="29" t="s">
        <v>201</v>
      </c>
      <c r="K1071" s="30" t="s">
        <v>44</v>
      </c>
      <c r="L1071" s="31"/>
      <c r="M1071" s="32"/>
    </row>
    <row r="1072" customFormat="false" ht="51" hidden="false" customHeight="true" outlineLevel="0" collapsed="false">
      <c r="B1072" s="29" t="s">
        <v>5042</v>
      </c>
      <c r="C1072" s="29" t="s">
        <v>37</v>
      </c>
      <c r="D1072" s="29" t="s">
        <v>5043</v>
      </c>
      <c r="E1072" s="29" t="s">
        <v>356</v>
      </c>
      <c r="F1072" s="29" t="s">
        <v>5044</v>
      </c>
      <c r="G1072" s="29" t="s">
        <v>5045</v>
      </c>
      <c r="H1072" s="29" t="s">
        <v>5006</v>
      </c>
      <c r="I1072" s="29" t="s">
        <v>301</v>
      </c>
      <c r="J1072" s="29" t="s">
        <v>201</v>
      </c>
      <c r="K1072" s="30" t="s">
        <v>44</v>
      </c>
      <c r="L1072" s="31"/>
      <c r="M1072" s="32"/>
    </row>
    <row r="1073" customFormat="false" ht="51" hidden="false" customHeight="true" outlineLevel="0" collapsed="false">
      <c r="B1073" s="29" t="s">
        <v>5046</v>
      </c>
      <c r="C1073" s="29" t="s">
        <v>37</v>
      </c>
      <c r="D1073" s="29" t="s">
        <v>5047</v>
      </c>
      <c r="E1073" s="29" t="s">
        <v>339</v>
      </c>
      <c r="F1073" s="29" t="s">
        <v>5048</v>
      </c>
      <c r="G1073" s="29" t="s">
        <v>5049</v>
      </c>
      <c r="H1073" s="29" t="s">
        <v>5006</v>
      </c>
      <c r="I1073" s="29" t="s">
        <v>301</v>
      </c>
      <c r="J1073" s="29" t="s">
        <v>201</v>
      </c>
      <c r="K1073" s="30" t="s">
        <v>44</v>
      </c>
      <c r="L1073" s="31"/>
      <c r="M1073" s="32"/>
    </row>
    <row r="1074" customFormat="false" ht="51" hidden="false" customHeight="true" outlineLevel="0" collapsed="false">
      <c r="B1074" s="29" t="s">
        <v>5050</v>
      </c>
      <c r="C1074" s="29" t="s">
        <v>37</v>
      </c>
      <c r="D1074" s="29" t="s">
        <v>5051</v>
      </c>
      <c r="E1074" s="29" t="s">
        <v>150</v>
      </c>
      <c r="F1074" s="29" t="s">
        <v>5052</v>
      </c>
      <c r="G1074" s="29" t="s">
        <v>5053</v>
      </c>
      <c r="H1074" s="29" t="s">
        <v>5006</v>
      </c>
      <c r="I1074" s="29" t="s">
        <v>3662</v>
      </c>
      <c r="J1074" s="29" t="s">
        <v>154</v>
      </c>
      <c r="K1074" s="30" t="s">
        <v>44</v>
      </c>
      <c r="L1074" s="31"/>
      <c r="M1074" s="32"/>
    </row>
    <row r="1075" customFormat="false" ht="51" hidden="false" customHeight="true" outlineLevel="0" collapsed="false">
      <c r="B1075" s="29" t="s">
        <v>5054</v>
      </c>
      <c r="C1075" s="29" t="s">
        <v>37</v>
      </c>
      <c r="D1075" s="29" t="s">
        <v>5055</v>
      </c>
      <c r="E1075" s="29" t="s">
        <v>339</v>
      </c>
      <c r="F1075" s="29" t="s">
        <v>5056</v>
      </c>
      <c r="G1075" s="29" t="s">
        <v>5056</v>
      </c>
      <c r="H1075" s="29" t="s">
        <v>5006</v>
      </c>
      <c r="I1075" s="29" t="s">
        <v>301</v>
      </c>
      <c r="J1075" s="29" t="s">
        <v>201</v>
      </c>
      <c r="K1075" s="30" t="s">
        <v>44</v>
      </c>
      <c r="L1075" s="31"/>
      <c r="M1075" s="32"/>
    </row>
    <row r="1076" customFormat="false" ht="51" hidden="false" customHeight="true" outlineLevel="0" collapsed="false">
      <c r="B1076" s="29" t="s">
        <v>5057</v>
      </c>
      <c r="C1076" s="29" t="s">
        <v>37</v>
      </c>
      <c r="D1076" s="29" t="s">
        <v>5058</v>
      </c>
      <c r="E1076" s="29" t="s">
        <v>339</v>
      </c>
      <c r="F1076" s="29" t="s">
        <v>5059</v>
      </c>
      <c r="G1076" s="29" t="s">
        <v>5060</v>
      </c>
      <c r="H1076" s="29" t="s">
        <v>5006</v>
      </c>
      <c r="I1076" s="29" t="s">
        <v>301</v>
      </c>
      <c r="J1076" s="29" t="s">
        <v>201</v>
      </c>
      <c r="K1076" s="30" t="s">
        <v>44</v>
      </c>
      <c r="L1076" s="31"/>
      <c r="M1076" s="32"/>
    </row>
    <row r="1077" customFormat="false" ht="51" hidden="false" customHeight="true" outlineLevel="0" collapsed="false">
      <c r="B1077" s="29" t="s">
        <v>5061</v>
      </c>
      <c r="C1077" s="29" t="s">
        <v>37</v>
      </c>
      <c r="D1077" s="29" t="s">
        <v>5062</v>
      </c>
      <c r="E1077" s="29" t="s">
        <v>339</v>
      </c>
      <c r="F1077" s="29" t="s">
        <v>5063</v>
      </c>
      <c r="G1077" s="29" t="s">
        <v>5064</v>
      </c>
      <c r="H1077" s="29" t="s">
        <v>5006</v>
      </c>
      <c r="I1077" s="29" t="s">
        <v>301</v>
      </c>
      <c r="J1077" s="29" t="s">
        <v>201</v>
      </c>
      <c r="K1077" s="30" t="s">
        <v>44</v>
      </c>
      <c r="L1077" s="31"/>
      <c r="M1077" s="32"/>
    </row>
    <row r="1078" customFormat="false" ht="51" hidden="false" customHeight="true" outlineLevel="0" collapsed="false">
      <c r="B1078" s="29" t="s">
        <v>5065</v>
      </c>
      <c r="C1078" s="29" t="s">
        <v>37</v>
      </c>
      <c r="D1078" s="29" t="s">
        <v>5066</v>
      </c>
      <c r="E1078" s="29" t="s">
        <v>339</v>
      </c>
      <c r="F1078" s="29" t="s">
        <v>5067</v>
      </c>
      <c r="G1078" s="29" t="s">
        <v>5068</v>
      </c>
      <c r="H1078" s="29" t="s">
        <v>5006</v>
      </c>
      <c r="I1078" s="29" t="s">
        <v>301</v>
      </c>
      <c r="J1078" s="29" t="s">
        <v>201</v>
      </c>
      <c r="K1078" s="30" t="s">
        <v>44</v>
      </c>
      <c r="L1078" s="31"/>
      <c r="M1078" s="32"/>
    </row>
    <row r="1079" customFormat="false" ht="51" hidden="false" customHeight="true" outlineLevel="0" collapsed="false">
      <c r="B1079" s="29" t="s">
        <v>5069</v>
      </c>
      <c r="C1079" s="29" t="s">
        <v>37</v>
      </c>
      <c r="D1079" s="29" t="s">
        <v>5070</v>
      </c>
      <c r="E1079" s="29" t="s">
        <v>339</v>
      </c>
      <c r="F1079" s="29" t="s">
        <v>5071</v>
      </c>
      <c r="G1079" s="29" t="s">
        <v>5072</v>
      </c>
      <c r="H1079" s="29" t="s">
        <v>5006</v>
      </c>
      <c r="I1079" s="29" t="s">
        <v>301</v>
      </c>
      <c r="J1079" s="29" t="s">
        <v>201</v>
      </c>
      <c r="K1079" s="30" t="s">
        <v>44</v>
      </c>
      <c r="L1079" s="31"/>
      <c r="M1079" s="32"/>
    </row>
    <row r="1080" customFormat="false" ht="51" hidden="false" customHeight="true" outlineLevel="0" collapsed="false">
      <c r="B1080" s="29" t="s">
        <v>5073</v>
      </c>
      <c r="C1080" s="29" t="s">
        <v>37</v>
      </c>
      <c r="D1080" s="29" t="s">
        <v>5074</v>
      </c>
      <c r="E1080" s="29" t="s">
        <v>339</v>
      </c>
      <c r="F1080" s="29" t="s">
        <v>5075</v>
      </c>
      <c r="G1080" s="29" t="s">
        <v>5076</v>
      </c>
      <c r="H1080" s="29" t="s">
        <v>5006</v>
      </c>
      <c r="I1080" s="29" t="s">
        <v>301</v>
      </c>
      <c r="J1080" s="29" t="s">
        <v>201</v>
      </c>
      <c r="K1080" s="30" t="s">
        <v>44</v>
      </c>
      <c r="L1080" s="31"/>
      <c r="M1080" s="32"/>
    </row>
    <row r="1081" customFormat="false" ht="51" hidden="false" customHeight="true" outlineLevel="0" collapsed="false">
      <c r="B1081" s="29" t="s">
        <v>5077</v>
      </c>
      <c r="C1081" s="29" t="s">
        <v>37</v>
      </c>
      <c r="D1081" s="29" t="s">
        <v>5078</v>
      </c>
      <c r="E1081" s="29" t="s">
        <v>339</v>
      </c>
      <c r="F1081" s="29" t="s">
        <v>5079</v>
      </c>
      <c r="G1081" s="29" t="s">
        <v>5080</v>
      </c>
      <c r="H1081" s="29" t="s">
        <v>5006</v>
      </c>
      <c r="I1081" s="29" t="s">
        <v>301</v>
      </c>
      <c r="J1081" s="29" t="s">
        <v>201</v>
      </c>
      <c r="K1081" s="30" t="s">
        <v>44</v>
      </c>
      <c r="L1081" s="31"/>
      <c r="M1081" s="32"/>
    </row>
    <row r="1082" customFormat="false" ht="51" hidden="false" customHeight="true" outlineLevel="0" collapsed="false">
      <c r="B1082" s="29" t="s">
        <v>5081</v>
      </c>
      <c r="C1082" s="29" t="s">
        <v>37</v>
      </c>
      <c r="D1082" s="29" t="s">
        <v>5082</v>
      </c>
      <c r="E1082" s="29" t="s">
        <v>350</v>
      </c>
      <c r="F1082" s="29" t="s">
        <v>5083</v>
      </c>
      <c r="G1082" s="29" t="s">
        <v>5084</v>
      </c>
      <c r="H1082" s="29" t="s">
        <v>5085</v>
      </c>
      <c r="I1082" s="29" t="s">
        <v>301</v>
      </c>
      <c r="J1082" s="29" t="s">
        <v>201</v>
      </c>
      <c r="K1082" s="30" t="s">
        <v>44</v>
      </c>
      <c r="L1082" s="31"/>
      <c r="M1082" s="32"/>
    </row>
    <row r="1083" customFormat="false" ht="51" hidden="false" customHeight="true" outlineLevel="0" collapsed="false">
      <c r="B1083" s="29" t="s">
        <v>5086</v>
      </c>
      <c r="C1083" s="29" t="s">
        <v>37</v>
      </c>
      <c r="D1083" s="29" t="s">
        <v>5087</v>
      </c>
      <c r="E1083" s="29" t="s">
        <v>339</v>
      </c>
      <c r="F1083" s="29" t="s">
        <v>5088</v>
      </c>
      <c r="G1083" s="29" t="s">
        <v>5088</v>
      </c>
      <c r="H1083" s="29" t="s">
        <v>5085</v>
      </c>
      <c r="I1083" s="29" t="s">
        <v>301</v>
      </c>
      <c r="J1083" s="29" t="s">
        <v>201</v>
      </c>
      <c r="K1083" s="30" t="s">
        <v>44</v>
      </c>
      <c r="L1083" s="31"/>
      <c r="M1083" s="32"/>
    </row>
    <row r="1084" customFormat="false" ht="51" hidden="false" customHeight="true" outlineLevel="0" collapsed="false">
      <c r="B1084" s="29" t="s">
        <v>5089</v>
      </c>
      <c r="C1084" s="29" t="s">
        <v>37</v>
      </c>
      <c r="D1084" s="29" t="s">
        <v>5090</v>
      </c>
      <c r="E1084" s="29" t="s">
        <v>339</v>
      </c>
      <c r="F1084" s="29" t="s">
        <v>5091</v>
      </c>
      <c r="G1084" s="29" t="s">
        <v>5091</v>
      </c>
      <c r="H1084" s="29" t="s">
        <v>5085</v>
      </c>
      <c r="I1084" s="29" t="s">
        <v>301</v>
      </c>
      <c r="J1084" s="29" t="s">
        <v>201</v>
      </c>
      <c r="K1084" s="30" t="s">
        <v>44</v>
      </c>
      <c r="L1084" s="31"/>
      <c r="M1084" s="32"/>
    </row>
    <row r="1085" customFormat="false" ht="51" hidden="false" customHeight="true" outlineLevel="0" collapsed="false">
      <c r="B1085" s="29" t="s">
        <v>5092</v>
      </c>
      <c r="C1085" s="29" t="s">
        <v>37</v>
      </c>
      <c r="D1085" s="29" t="s">
        <v>5093</v>
      </c>
      <c r="E1085" s="29" t="s">
        <v>339</v>
      </c>
      <c r="F1085" s="29" t="s">
        <v>5094</v>
      </c>
      <c r="G1085" s="29" t="s">
        <v>5095</v>
      </c>
      <c r="H1085" s="29" t="s">
        <v>5085</v>
      </c>
      <c r="I1085" s="29" t="s">
        <v>301</v>
      </c>
      <c r="J1085" s="29" t="s">
        <v>201</v>
      </c>
      <c r="K1085" s="30" t="s">
        <v>44</v>
      </c>
      <c r="L1085" s="31"/>
      <c r="M1085" s="32"/>
    </row>
    <row r="1086" customFormat="false" ht="51" hidden="false" customHeight="true" outlineLevel="0" collapsed="false">
      <c r="B1086" s="29" t="s">
        <v>5096</v>
      </c>
      <c r="C1086" s="29" t="s">
        <v>37</v>
      </c>
      <c r="D1086" s="29" t="s">
        <v>5097</v>
      </c>
      <c r="E1086" s="29" t="s">
        <v>339</v>
      </c>
      <c r="F1086" s="29" t="s">
        <v>5098</v>
      </c>
      <c r="G1086" s="29" t="s">
        <v>5099</v>
      </c>
      <c r="H1086" s="29" t="s">
        <v>5085</v>
      </c>
      <c r="I1086" s="29" t="s">
        <v>301</v>
      </c>
      <c r="J1086" s="29" t="s">
        <v>201</v>
      </c>
      <c r="K1086" s="30" t="s">
        <v>44</v>
      </c>
      <c r="L1086" s="31"/>
      <c r="M1086" s="32"/>
    </row>
    <row r="1087" customFormat="false" ht="51" hidden="false" customHeight="true" outlineLevel="0" collapsed="false">
      <c r="B1087" s="29" t="s">
        <v>5100</v>
      </c>
      <c r="C1087" s="29" t="s">
        <v>37</v>
      </c>
      <c r="D1087" s="29" t="s">
        <v>5101</v>
      </c>
      <c r="E1087" s="29" t="s">
        <v>205</v>
      </c>
      <c r="F1087" s="29" t="s">
        <v>5102</v>
      </c>
      <c r="G1087" s="29" t="s">
        <v>5103</v>
      </c>
      <c r="H1087" s="29" t="s">
        <v>5085</v>
      </c>
      <c r="I1087" s="29" t="s">
        <v>301</v>
      </c>
      <c r="J1087" s="29" t="s">
        <v>201</v>
      </c>
      <c r="K1087" s="30" t="s">
        <v>44</v>
      </c>
      <c r="L1087" s="31"/>
      <c r="M1087" s="32"/>
    </row>
    <row r="1088" customFormat="false" ht="51" hidden="false" customHeight="true" outlineLevel="0" collapsed="false">
      <c r="B1088" s="29" t="s">
        <v>5104</v>
      </c>
      <c r="C1088" s="29" t="s">
        <v>37</v>
      </c>
      <c r="D1088" s="29" t="s">
        <v>5105</v>
      </c>
      <c r="E1088" s="29" t="s">
        <v>595</v>
      </c>
      <c r="F1088" s="29" t="s">
        <v>5106</v>
      </c>
      <c r="G1088" s="29" t="s">
        <v>5107</v>
      </c>
      <c r="H1088" s="29" t="s">
        <v>5085</v>
      </c>
      <c r="I1088" s="29" t="s">
        <v>285</v>
      </c>
      <c r="J1088" s="29" t="s">
        <v>795</v>
      </c>
      <c r="K1088" s="30" t="s">
        <v>44</v>
      </c>
      <c r="L1088" s="31"/>
      <c r="M1088" s="32"/>
    </row>
    <row r="1089" customFormat="false" ht="51" hidden="false" customHeight="true" outlineLevel="0" collapsed="false">
      <c r="B1089" s="29" t="s">
        <v>5108</v>
      </c>
      <c r="C1089" s="29" t="s">
        <v>37</v>
      </c>
      <c r="D1089" s="29" t="s">
        <v>5109</v>
      </c>
      <c r="E1089" s="29" t="s">
        <v>339</v>
      </c>
      <c r="F1089" s="29" t="s">
        <v>5110</v>
      </c>
      <c r="G1089" s="29" t="s">
        <v>5110</v>
      </c>
      <c r="H1089" s="29" t="s">
        <v>5085</v>
      </c>
      <c r="I1089" s="29" t="s">
        <v>301</v>
      </c>
      <c r="J1089" s="29" t="s">
        <v>201</v>
      </c>
      <c r="K1089" s="30" t="s">
        <v>44</v>
      </c>
      <c r="L1089" s="31"/>
      <c r="M1089" s="32"/>
    </row>
    <row r="1090" customFormat="false" ht="51" hidden="false" customHeight="true" outlineLevel="0" collapsed="false">
      <c r="B1090" s="29" t="s">
        <v>5111</v>
      </c>
      <c r="C1090" s="29" t="s">
        <v>37</v>
      </c>
      <c r="D1090" s="29" t="s">
        <v>5112</v>
      </c>
      <c r="E1090" s="29" t="s">
        <v>150</v>
      </c>
      <c r="F1090" s="29" t="s">
        <v>5113</v>
      </c>
      <c r="G1090" s="29" t="s">
        <v>5114</v>
      </c>
      <c r="H1090" s="29" t="s">
        <v>5085</v>
      </c>
      <c r="I1090" s="29" t="s">
        <v>4333</v>
      </c>
      <c r="J1090" s="29" t="s">
        <v>4334</v>
      </c>
      <c r="K1090" s="30" t="s">
        <v>44</v>
      </c>
      <c r="L1090" s="31"/>
      <c r="M1090" s="32"/>
    </row>
    <row r="1091" customFormat="false" ht="51" hidden="false" customHeight="true" outlineLevel="0" collapsed="false">
      <c r="B1091" s="29" t="s">
        <v>5115</v>
      </c>
      <c r="C1091" s="29" t="s">
        <v>37</v>
      </c>
      <c r="D1091" s="29" t="s">
        <v>5116</v>
      </c>
      <c r="E1091" s="29" t="s">
        <v>339</v>
      </c>
      <c r="F1091" s="29" t="s">
        <v>5117</v>
      </c>
      <c r="G1091" s="29" t="s">
        <v>5117</v>
      </c>
      <c r="H1091" s="29" t="s">
        <v>5085</v>
      </c>
      <c r="I1091" s="29" t="s">
        <v>301</v>
      </c>
      <c r="J1091" s="29" t="s">
        <v>201</v>
      </c>
      <c r="K1091" s="30" t="s">
        <v>44</v>
      </c>
      <c r="L1091" s="31"/>
      <c r="M1091" s="32"/>
    </row>
    <row r="1092" customFormat="false" ht="51" hidden="false" customHeight="true" outlineLevel="0" collapsed="false">
      <c r="B1092" s="29" t="s">
        <v>5118</v>
      </c>
      <c r="C1092" s="29" t="s">
        <v>37</v>
      </c>
      <c r="D1092" s="29" t="s">
        <v>5119</v>
      </c>
      <c r="E1092" s="29" t="s">
        <v>339</v>
      </c>
      <c r="F1092" s="29" t="s">
        <v>5120</v>
      </c>
      <c r="G1092" s="29" t="s">
        <v>5121</v>
      </c>
      <c r="H1092" s="29" t="s">
        <v>5122</v>
      </c>
      <c r="I1092" s="29" t="s">
        <v>301</v>
      </c>
      <c r="J1092" s="29" t="s">
        <v>201</v>
      </c>
      <c r="K1092" s="30" t="s">
        <v>44</v>
      </c>
      <c r="L1092" s="31"/>
      <c r="M1092" s="32"/>
    </row>
    <row r="1093" customFormat="false" ht="51" hidden="false" customHeight="true" outlineLevel="0" collapsed="false">
      <c r="B1093" s="29" t="s">
        <v>5123</v>
      </c>
      <c r="C1093" s="29" t="s">
        <v>37</v>
      </c>
      <c r="D1093" s="29" t="s">
        <v>5124</v>
      </c>
      <c r="E1093" s="29" t="s">
        <v>339</v>
      </c>
      <c r="F1093" s="29" t="s">
        <v>5125</v>
      </c>
      <c r="G1093" s="29" t="s">
        <v>5126</v>
      </c>
      <c r="H1093" s="29" t="s">
        <v>5127</v>
      </c>
      <c r="I1093" s="29" t="s">
        <v>301</v>
      </c>
      <c r="J1093" s="29" t="s">
        <v>201</v>
      </c>
      <c r="K1093" s="30" t="s">
        <v>44</v>
      </c>
      <c r="L1093" s="31"/>
      <c r="M1093" s="32"/>
    </row>
    <row r="1094" customFormat="false" ht="51" hidden="false" customHeight="true" outlineLevel="0" collapsed="false">
      <c r="B1094" s="29" t="s">
        <v>5128</v>
      </c>
      <c r="C1094" s="29" t="s">
        <v>37</v>
      </c>
      <c r="D1094" s="29" t="s">
        <v>5129</v>
      </c>
      <c r="E1094" s="29" t="s">
        <v>339</v>
      </c>
      <c r="F1094" s="29" t="s">
        <v>5130</v>
      </c>
      <c r="G1094" s="29" t="s">
        <v>5131</v>
      </c>
      <c r="H1094" s="29" t="s">
        <v>5127</v>
      </c>
      <c r="I1094" s="29" t="s">
        <v>285</v>
      </c>
      <c r="J1094" s="29" t="s">
        <v>795</v>
      </c>
      <c r="K1094" s="30" t="s">
        <v>44</v>
      </c>
      <c r="L1094" s="31"/>
      <c r="M1094" s="32"/>
    </row>
    <row r="1095" customFormat="false" ht="51" hidden="false" customHeight="true" outlineLevel="0" collapsed="false">
      <c r="B1095" s="29" t="s">
        <v>5132</v>
      </c>
      <c r="C1095" s="29" t="s">
        <v>37</v>
      </c>
      <c r="D1095" s="29" t="s">
        <v>5133</v>
      </c>
      <c r="E1095" s="29" t="s">
        <v>339</v>
      </c>
      <c r="F1095" s="29" t="s">
        <v>5134</v>
      </c>
      <c r="G1095" s="29" t="s">
        <v>5135</v>
      </c>
      <c r="H1095" s="29" t="s">
        <v>5127</v>
      </c>
      <c r="I1095" s="29" t="s">
        <v>301</v>
      </c>
      <c r="J1095" s="29" t="s">
        <v>201</v>
      </c>
      <c r="K1095" s="30" t="s">
        <v>44</v>
      </c>
      <c r="L1095" s="31"/>
      <c r="M1095" s="32"/>
    </row>
    <row r="1096" customFormat="false" ht="51" hidden="false" customHeight="true" outlineLevel="0" collapsed="false">
      <c r="B1096" s="29" t="s">
        <v>5136</v>
      </c>
      <c r="C1096" s="29" t="s">
        <v>37</v>
      </c>
      <c r="D1096" s="29" t="s">
        <v>5137</v>
      </c>
      <c r="E1096" s="29" t="s">
        <v>339</v>
      </c>
      <c r="F1096" s="29" t="s">
        <v>5138</v>
      </c>
      <c r="G1096" s="29" t="s">
        <v>5138</v>
      </c>
      <c r="H1096" s="29" t="s">
        <v>5127</v>
      </c>
      <c r="I1096" s="29" t="s">
        <v>301</v>
      </c>
      <c r="J1096" s="29" t="s">
        <v>201</v>
      </c>
      <c r="K1096" s="30" t="s">
        <v>44</v>
      </c>
      <c r="L1096" s="31"/>
      <c r="M1096" s="32"/>
    </row>
    <row r="1097" customFormat="false" ht="51" hidden="false" customHeight="true" outlineLevel="0" collapsed="false">
      <c r="B1097" s="29" t="s">
        <v>5139</v>
      </c>
      <c r="C1097" s="29" t="s">
        <v>37</v>
      </c>
      <c r="D1097" s="29" t="s">
        <v>5140</v>
      </c>
      <c r="E1097" s="29" t="s">
        <v>339</v>
      </c>
      <c r="F1097" s="29" t="s">
        <v>5141</v>
      </c>
      <c r="G1097" s="29" t="s">
        <v>5142</v>
      </c>
      <c r="H1097" s="29" t="s">
        <v>5127</v>
      </c>
      <c r="I1097" s="29" t="s">
        <v>301</v>
      </c>
      <c r="J1097" s="29" t="s">
        <v>201</v>
      </c>
      <c r="K1097" s="30" t="s">
        <v>44</v>
      </c>
      <c r="L1097" s="31"/>
      <c r="M1097" s="32"/>
    </row>
    <row r="1098" customFormat="false" ht="51" hidden="false" customHeight="true" outlineLevel="0" collapsed="false">
      <c r="B1098" s="29" t="s">
        <v>5143</v>
      </c>
      <c r="C1098" s="29" t="s">
        <v>37</v>
      </c>
      <c r="D1098" s="29" t="s">
        <v>5144</v>
      </c>
      <c r="E1098" s="29" t="s">
        <v>339</v>
      </c>
      <c r="F1098" s="29" t="s">
        <v>5145</v>
      </c>
      <c r="G1098" s="29" t="s">
        <v>5146</v>
      </c>
      <c r="H1098" s="29" t="s">
        <v>5127</v>
      </c>
      <c r="I1098" s="29" t="s">
        <v>301</v>
      </c>
      <c r="J1098" s="29" t="s">
        <v>201</v>
      </c>
      <c r="K1098" s="30" t="s">
        <v>44</v>
      </c>
      <c r="L1098" s="31"/>
      <c r="M1098" s="32"/>
    </row>
    <row r="1099" customFormat="false" ht="51" hidden="false" customHeight="true" outlineLevel="0" collapsed="false">
      <c r="B1099" s="29" t="s">
        <v>5147</v>
      </c>
      <c r="C1099" s="29" t="s">
        <v>37</v>
      </c>
      <c r="D1099" s="29" t="s">
        <v>5148</v>
      </c>
      <c r="E1099" s="29" t="s">
        <v>339</v>
      </c>
      <c r="F1099" s="29" t="s">
        <v>5149</v>
      </c>
      <c r="G1099" s="29" t="s">
        <v>5150</v>
      </c>
      <c r="H1099" s="29" t="s">
        <v>5127</v>
      </c>
      <c r="I1099" s="29" t="s">
        <v>301</v>
      </c>
      <c r="J1099" s="29" t="s">
        <v>201</v>
      </c>
      <c r="K1099" s="30" t="s">
        <v>44</v>
      </c>
      <c r="L1099" s="31"/>
      <c r="M1099" s="32"/>
    </row>
    <row r="1100" customFormat="false" ht="51" hidden="false" customHeight="true" outlineLevel="0" collapsed="false">
      <c r="B1100" s="29" t="s">
        <v>5151</v>
      </c>
      <c r="C1100" s="29" t="s">
        <v>37</v>
      </c>
      <c r="D1100" s="29" t="s">
        <v>5152</v>
      </c>
      <c r="E1100" s="29" t="s">
        <v>339</v>
      </c>
      <c r="F1100" s="29" t="s">
        <v>5153</v>
      </c>
      <c r="G1100" s="29" t="s">
        <v>5154</v>
      </c>
      <c r="H1100" s="29" t="s">
        <v>5127</v>
      </c>
      <c r="I1100" s="29" t="s">
        <v>301</v>
      </c>
      <c r="J1100" s="29" t="s">
        <v>201</v>
      </c>
      <c r="K1100" s="30" t="s">
        <v>44</v>
      </c>
      <c r="L1100" s="31"/>
      <c r="M1100" s="32"/>
    </row>
    <row r="1101" customFormat="false" ht="51" hidden="false" customHeight="true" outlineLevel="0" collapsed="false">
      <c r="B1101" s="29" t="s">
        <v>5155</v>
      </c>
      <c r="C1101" s="29" t="s">
        <v>37</v>
      </c>
      <c r="D1101" s="29" t="s">
        <v>5156</v>
      </c>
      <c r="E1101" s="29" t="s">
        <v>339</v>
      </c>
      <c r="F1101" s="29" t="s">
        <v>5157</v>
      </c>
      <c r="G1101" s="29" t="s">
        <v>5158</v>
      </c>
      <c r="H1101" s="29" t="s">
        <v>5159</v>
      </c>
      <c r="I1101" s="29" t="s">
        <v>301</v>
      </c>
      <c r="J1101" s="29" t="s">
        <v>201</v>
      </c>
      <c r="K1101" s="30" t="s">
        <v>44</v>
      </c>
      <c r="L1101" s="31"/>
      <c r="M1101" s="32"/>
    </row>
    <row r="1102" customFormat="false" ht="51" hidden="false" customHeight="true" outlineLevel="0" collapsed="false">
      <c r="B1102" s="29" t="s">
        <v>5160</v>
      </c>
      <c r="C1102" s="29" t="s">
        <v>37</v>
      </c>
      <c r="D1102" s="29" t="s">
        <v>5161</v>
      </c>
      <c r="E1102" s="29" t="s">
        <v>339</v>
      </c>
      <c r="F1102" s="29" t="s">
        <v>5162</v>
      </c>
      <c r="G1102" s="29" t="s">
        <v>5163</v>
      </c>
      <c r="H1102" s="29" t="s">
        <v>5159</v>
      </c>
      <c r="I1102" s="29" t="s">
        <v>301</v>
      </c>
      <c r="J1102" s="29" t="s">
        <v>201</v>
      </c>
      <c r="K1102" s="30" t="s">
        <v>44</v>
      </c>
      <c r="L1102" s="31"/>
      <c r="M1102" s="32"/>
    </row>
    <row r="1103" customFormat="false" ht="51" hidden="false" customHeight="true" outlineLevel="0" collapsed="false">
      <c r="B1103" s="29" t="s">
        <v>5164</v>
      </c>
      <c r="C1103" s="29" t="s">
        <v>37</v>
      </c>
      <c r="D1103" s="29" t="s">
        <v>5165</v>
      </c>
      <c r="E1103" s="29" t="s">
        <v>339</v>
      </c>
      <c r="F1103" s="29" t="s">
        <v>5166</v>
      </c>
      <c r="G1103" s="29" t="s">
        <v>5167</v>
      </c>
      <c r="H1103" s="29" t="s">
        <v>5159</v>
      </c>
      <c r="I1103" s="29" t="s">
        <v>301</v>
      </c>
      <c r="J1103" s="29" t="s">
        <v>201</v>
      </c>
      <c r="K1103" s="30" t="s">
        <v>44</v>
      </c>
      <c r="L1103" s="31"/>
      <c r="M1103" s="32"/>
    </row>
    <row r="1104" customFormat="false" ht="51" hidden="false" customHeight="true" outlineLevel="0" collapsed="false">
      <c r="B1104" s="29" t="s">
        <v>5168</v>
      </c>
      <c r="C1104" s="29" t="s">
        <v>37</v>
      </c>
      <c r="D1104" s="29" t="s">
        <v>5169</v>
      </c>
      <c r="E1104" s="29" t="s">
        <v>339</v>
      </c>
      <c r="F1104" s="29" t="s">
        <v>5170</v>
      </c>
      <c r="G1104" s="29" t="s">
        <v>5171</v>
      </c>
      <c r="H1104" s="29" t="s">
        <v>5172</v>
      </c>
      <c r="I1104" s="29" t="s">
        <v>301</v>
      </c>
      <c r="J1104" s="29" t="s">
        <v>201</v>
      </c>
      <c r="K1104" s="30" t="s">
        <v>44</v>
      </c>
      <c r="L1104" s="31"/>
      <c r="M1104" s="32"/>
    </row>
    <row r="1105" customFormat="false" ht="51" hidden="false" customHeight="true" outlineLevel="0" collapsed="false">
      <c r="B1105" s="29" t="s">
        <v>5173</v>
      </c>
      <c r="C1105" s="29" t="s">
        <v>37</v>
      </c>
      <c r="D1105" s="29" t="s">
        <v>5174</v>
      </c>
      <c r="E1105" s="29" t="s">
        <v>339</v>
      </c>
      <c r="F1105" s="29" t="s">
        <v>5175</v>
      </c>
      <c r="G1105" s="29" t="s">
        <v>5176</v>
      </c>
      <c r="H1105" s="29" t="s">
        <v>5177</v>
      </c>
      <c r="I1105" s="29" t="s">
        <v>301</v>
      </c>
      <c r="J1105" s="29" t="s">
        <v>201</v>
      </c>
      <c r="K1105" s="30" t="s">
        <v>44</v>
      </c>
      <c r="L1105" s="31"/>
      <c r="M1105" s="32"/>
    </row>
    <row r="1106" customFormat="false" ht="51" hidden="false" customHeight="true" outlineLevel="0" collapsed="false">
      <c r="B1106" s="29" t="s">
        <v>5178</v>
      </c>
      <c r="C1106" s="29" t="s">
        <v>37</v>
      </c>
      <c r="D1106" s="29" t="s">
        <v>5179</v>
      </c>
      <c r="E1106" s="29" t="s">
        <v>339</v>
      </c>
      <c r="F1106" s="29" t="s">
        <v>5180</v>
      </c>
      <c r="G1106" s="29" t="s">
        <v>5181</v>
      </c>
      <c r="H1106" s="29" t="s">
        <v>5177</v>
      </c>
      <c r="I1106" s="29" t="s">
        <v>301</v>
      </c>
      <c r="J1106" s="29" t="s">
        <v>201</v>
      </c>
      <c r="K1106" s="30" t="s">
        <v>44</v>
      </c>
      <c r="L1106" s="31"/>
      <c r="M1106" s="32"/>
    </row>
    <row r="1107" customFormat="false" ht="51" hidden="false" customHeight="true" outlineLevel="0" collapsed="false">
      <c r="B1107" s="29" t="s">
        <v>5182</v>
      </c>
      <c r="C1107" s="29" t="s">
        <v>37</v>
      </c>
      <c r="D1107" s="29" t="s">
        <v>5183</v>
      </c>
      <c r="E1107" s="29" t="s">
        <v>339</v>
      </c>
      <c r="F1107" s="29" t="s">
        <v>5184</v>
      </c>
      <c r="G1107" s="29" t="s">
        <v>5185</v>
      </c>
      <c r="H1107" s="29" t="s">
        <v>5177</v>
      </c>
      <c r="I1107" s="29" t="s">
        <v>301</v>
      </c>
      <c r="J1107" s="29" t="s">
        <v>201</v>
      </c>
      <c r="K1107" s="30" t="s">
        <v>44</v>
      </c>
      <c r="L1107" s="31"/>
      <c r="M1107" s="32"/>
    </row>
    <row r="1108" customFormat="false" ht="51" hidden="false" customHeight="true" outlineLevel="0" collapsed="false">
      <c r="B1108" s="29" t="s">
        <v>5186</v>
      </c>
      <c r="C1108" s="29" t="s">
        <v>37</v>
      </c>
      <c r="D1108" s="29" t="s">
        <v>5187</v>
      </c>
      <c r="E1108" s="29" t="s">
        <v>339</v>
      </c>
      <c r="F1108" s="29" t="s">
        <v>5188</v>
      </c>
      <c r="G1108" s="29" t="s">
        <v>5189</v>
      </c>
      <c r="H1108" s="29" t="s">
        <v>5177</v>
      </c>
      <c r="I1108" s="29" t="s">
        <v>301</v>
      </c>
      <c r="J1108" s="29" t="s">
        <v>201</v>
      </c>
      <c r="K1108" s="30" t="s">
        <v>44</v>
      </c>
      <c r="L1108" s="31"/>
      <c r="M1108" s="32"/>
    </row>
    <row r="1109" customFormat="false" ht="51" hidden="false" customHeight="true" outlineLevel="0" collapsed="false">
      <c r="B1109" s="29" t="s">
        <v>5190</v>
      </c>
      <c r="C1109" s="29" t="s">
        <v>37</v>
      </c>
      <c r="D1109" s="29" t="s">
        <v>5191</v>
      </c>
      <c r="E1109" s="29" t="s">
        <v>339</v>
      </c>
      <c r="F1109" s="29" t="s">
        <v>5192</v>
      </c>
      <c r="G1109" s="29" t="s">
        <v>5192</v>
      </c>
      <c r="H1109" s="29" t="s">
        <v>5177</v>
      </c>
      <c r="I1109" s="29" t="s">
        <v>301</v>
      </c>
      <c r="J1109" s="29" t="s">
        <v>201</v>
      </c>
      <c r="K1109" s="30" t="s">
        <v>44</v>
      </c>
      <c r="L1109" s="31"/>
      <c r="M1109" s="32"/>
    </row>
    <row r="1110" customFormat="false" ht="51" hidden="false" customHeight="true" outlineLevel="0" collapsed="false">
      <c r="B1110" s="29" t="s">
        <v>5193</v>
      </c>
      <c r="C1110" s="29" t="s">
        <v>37</v>
      </c>
      <c r="D1110" s="29" t="s">
        <v>5194</v>
      </c>
      <c r="E1110" s="29" t="s">
        <v>339</v>
      </c>
      <c r="F1110" s="29" t="s">
        <v>5195</v>
      </c>
      <c r="G1110" s="29" t="s">
        <v>5196</v>
      </c>
      <c r="H1110" s="29" t="s">
        <v>5177</v>
      </c>
      <c r="I1110" s="29" t="s">
        <v>301</v>
      </c>
      <c r="J1110" s="29" t="s">
        <v>201</v>
      </c>
      <c r="K1110" s="30" t="s">
        <v>44</v>
      </c>
      <c r="L1110" s="31"/>
      <c r="M1110" s="32"/>
    </row>
    <row r="1111" customFormat="false" ht="51" hidden="false" customHeight="true" outlineLevel="0" collapsed="false">
      <c r="B1111" s="29" t="s">
        <v>5197</v>
      </c>
      <c r="C1111" s="29" t="s">
        <v>37</v>
      </c>
      <c r="D1111" s="29" t="s">
        <v>5198</v>
      </c>
      <c r="E1111" s="29" t="s">
        <v>339</v>
      </c>
      <c r="F1111" s="29" t="s">
        <v>5199</v>
      </c>
      <c r="G1111" s="29" t="s">
        <v>5200</v>
      </c>
      <c r="H1111" s="29" t="s">
        <v>5201</v>
      </c>
      <c r="I1111" s="29" t="s">
        <v>301</v>
      </c>
      <c r="J1111" s="29" t="s">
        <v>201</v>
      </c>
      <c r="K1111" s="30" t="s">
        <v>44</v>
      </c>
      <c r="L1111" s="31"/>
      <c r="M1111" s="32"/>
    </row>
    <row r="1112" customFormat="false" ht="51" hidden="false" customHeight="true" outlineLevel="0" collapsed="false">
      <c r="B1112" s="29" t="s">
        <v>5202</v>
      </c>
      <c r="C1112" s="29" t="s">
        <v>37</v>
      </c>
      <c r="D1112" s="29" t="s">
        <v>5203</v>
      </c>
      <c r="E1112" s="29" t="s">
        <v>595</v>
      </c>
      <c r="F1112" s="29" t="s">
        <v>5204</v>
      </c>
      <c r="G1112" s="29" t="s">
        <v>5205</v>
      </c>
      <c r="H1112" s="29" t="s">
        <v>5201</v>
      </c>
      <c r="I1112" s="29" t="s">
        <v>3662</v>
      </c>
      <c r="J1112" s="29" t="s">
        <v>154</v>
      </c>
      <c r="K1112" s="30" t="s">
        <v>44</v>
      </c>
      <c r="L1112" s="31"/>
      <c r="M1112" s="32"/>
    </row>
    <row r="1113" customFormat="false" ht="51" hidden="false" customHeight="true" outlineLevel="0" collapsed="false">
      <c r="B1113" s="29" t="s">
        <v>5206</v>
      </c>
      <c r="C1113" s="29" t="s">
        <v>37</v>
      </c>
      <c r="D1113" s="29" t="s">
        <v>5207</v>
      </c>
      <c r="E1113" s="29" t="s">
        <v>339</v>
      </c>
      <c r="F1113" s="29" t="s">
        <v>5208</v>
      </c>
      <c r="G1113" s="29" t="s">
        <v>5208</v>
      </c>
      <c r="H1113" s="29" t="s">
        <v>5201</v>
      </c>
      <c r="I1113" s="29" t="s">
        <v>301</v>
      </c>
      <c r="J1113" s="29" t="s">
        <v>201</v>
      </c>
      <c r="K1113" s="30" t="s">
        <v>44</v>
      </c>
      <c r="L1113" s="31"/>
      <c r="M1113" s="32"/>
    </row>
    <row r="1114" customFormat="false" ht="51" hidden="false" customHeight="true" outlineLevel="0" collapsed="false">
      <c r="B1114" s="29" t="s">
        <v>5209</v>
      </c>
      <c r="C1114" s="29" t="s">
        <v>37</v>
      </c>
      <c r="D1114" s="29" t="s">
        <v>5210</v>
      </c>
      <c r="E1114" s="29" t="s">
        <v>339</v>
      </c>
      <c r="F1114" s="29" t="s">
        <v>5211</v>
      </c>
      <c r="G1114" s="29" t="s">
        <v>5212</v>
      </c>
      <c r="H1114" s="29" t="s">
        <v>5201</v>
      </c>
      <c r="I1114" s="29" t="s">
        <v>301</v>
      </c>
      <c r="J1114" s="29" t="s">
        <v>201</v>
      </c>
      <c r="K1114" s="30" t="s">
        <v>44</v>
      </c>
      <c r="L1114" s="31"/>
      <c r="M1114" s="32"/>
    </row>
    <row r="1115" customFormat="false" ht="51" hidden="false" customHeight="true" outlineLevel="0" collapsed="false">
      <c r="B1115" s="29" t="s">
        <v>5213</v>
      </c>
      <c r="C1115" s="29" t="s">
        <v>37</v>
      </c>
      <c r="D1115" s="29" t="s">
        <v>5214</v>
      </c>
      <c r="E1115" s="29" t="s">
        <v>339</v>
      </c>
      <c r="F1115" s="29" t="s">
        <v>5215</v>
      </c>
      <c r="G1115" s="29" t="s">
        <v>5215</v>
      </c>
      <c r="H1115" s="29" t="s">
        <v>5201</v>
      </c>
      <c r="I1115" s="29" t="s">
        <v>301</v>
      </c>
      <c r="J1115" s="29" t="s">
        <v>201</v>
      </c>
      <c r="K1115" s="30" t="s">
        <v>44</v>
      </c>
      <c r="L1115" s="31"/>
      <c r="M1115" s="32"/>
    </row>
    <row r="1116" customFormat="false" ht="51" hidden="false" customHeight="true" outlineLevel="0" collapsed="false">
      <c r="B1116" s="29" t="s">
        <v>5216</v>
      </c>
      <c r="C1116" s="29" t="s">
        <v>37</v>
      </c>
      <c r="D1116" s="29" t="s">
        <v>5217</v>
      </c>
      <c r="E1116" s="29" t="s">
        <v>339</v>
      </c>
      <c r="F1116" s="29" t="s">
        <v>5218</v>
      </c>
      <c r="G1116" s="29" t="s">
        <v>5218</v>
      </c>
      <c r="H1116" s="29" t="s">
        <v>5201</v>
      </c>
      <c r="I1116" s="29" t="s">
        <v>301</v>
      </c>
      <c r="J1116" s="29" t="s">
        <v>201</v>
      </c>
      <c r="K1116" s="30" t="s">
        <v>44</v>
      </c>
      <c r="L1116" s="31"/>
      <c r="M1116" s="32"/>
    </row>
    <row r="1117" customFormat="false" ht="51" hidden="false" customHeight="true" outlineLevel="0" collapsed="false">
      <c r="B1117" s="29" t="s">
        <v>5219</v>
      </c>
      <c r="C1117" s="29" t="s">
        <v>37</v>
      </c>
      <c r="D1117" s="29" t="s">
        <v>5220</v>
      </c>
      <c r="E1117" s="29" t="s">
        <v>350</v>
      </c>
      <c r="F1117" s="29" t="s">
        <v>5221</v>
      </c>
      <c r="G1117" s="29" t="s">
        <v>5222</v>
      </c>
      <c r="H1117" s="29" t="s">
        <v>5201</v>
      </c>
      <c r="I1117" s="29" t="s">
        <v>301</v>
      </c>
      <c r="J1117" s="29" t="s">
        <v>201</v>
      </c>
      <c r="K1117" s="30" t="s">
        <v>44</v>
      </c>
      <c r="L1117" s="31"/>
      <c r="M1117" s="32"/>
    </row>
    <row r="1118" customFormat="false" ht="51" hidden="false" customHeight="true" outlineLevel="0" collapsed="false">
      <c r="B1118" s="29" t="s">
        <v>5223</v>
      </c>
      <c r="C1118" s="29" t="s">
        <v>37</v>
      </c>
      <c r="D1118" s="29" t="s">
        <v>5224</v>
      </c>
      <c r="E1118" s="29" t="s">
        <v>339</v>
      </c>
      <c r="F1118" s="29" t="s">
        <v>5225</v>
      </c>
      <c r="G1118" s="29" t="s">
        <v>5225</v>
      </c>
      <c r="H1118" s="29" t="s">
        <v>5201</v>
      </c>
      <c r="I1118" s="29" t="s">
        <v>301</v>
      </c>
      <c r="J1118" s="29" t="s">
        <v>201</v>
      </c>
      <c r="K1118" s="30" t="s">
        <v>44</v>
      </c>
      <c r="L1118" s="31"/>
      <c r="M1118" s="32"/>
    </row>
    <row r="1119" customFormat="false" ht="51" hidden="false" customHeight="true" outlineLevel="0" collapsed="false">
      <c r="B1119" s="29" t="s">
        <v>5226</v>
      </c>
      <c r="C1119" s="29" t="s">
        <v>37</v>
      </c>
      <c r="D1119" s="29" t="s">
        <v>5227</v>
      </c>
      <c r="E1119" s="29" t="s">
        <v>356</v>
      </c>
      <c r="F1119" s="29" t="s">
        <v>5228</v>
      </c>
      <c r="G1119" s="29" t="s">
        <v>5229</v>
      </c>
      <c r="H1119" s="29" t="s">
        <v>5230</v>
      </c>
      <c r="I1119" s="29" t="s">
        <v>301</v>
      </c>
      <c r="J1119" s="29" t="s">
        <v>201</v>
      </c>
      <c r="K1119" s="30" t="s">
        <v>44</v>
      </c>
      <c r="L1119" s="31"/>
      <c r="M1119" s="32"/>
    </row>
    <row r="1120" customFormat="false" ht="51" hidden="false" customHeight="true" outlineLevel="0" collapsed="false">
      <c r="B1120" s="29" t="s">
        <v>5231</v>
      </c>
      <c r="C1120" s="29" t="s">
        <v>37</v>
      </c>
      <c r="D1120" s="29" t="s">
        <v>5232</v>
      </c>
      <c r="E1120" s="29" t="s">
        <v>339</v>
      </c>
      <c r="F1120" s="29" t="s">
        <v>5233</v>
      </c>
      <c r="G1120" s="29" t="s">
        <v>5234</v>
      </c>
      <c r="H1120" s="29" t="s">
        <v>5230</v>
      </c>
      <c r="I1120" s="29" t="s">
        <v>301</v>
      </c>
      <c r="J1120" s="29" t="s">
        <v>201</v>
      </c>
      <c r="K1120" s="30" t="s">
        <v>44</v>
      </c>
      <c r="L1120" s="31"/>
      <c r="M1120" s="32"/>
    </row>
    <row r="1121" customFormat="false" ht="51" hidden="false" customHeight="true" outlineLevel="0" collapsed="false">
      <c r="B1121" s="29" t="s">
        <v>5235</v>
      </c>
      <c r="C1121" s="29" t="s">
        <v>37</v>
      </c>
      <c r="D1121" s="29" t="s">
        <v>5236</v>
      </c>
      <c r="E1121" s="29" t="s">
        <v>538</v>
      </c>
      <c r="F1121" s="29" t="s">
        <v>5237</v>
      </c>
      <c r="G1121" s="29" t="s">
        <v>5237</v>
      </c>
      <c r="H1121" s="29" t="s">
        <v>5238</v>
      </c>
      <c r="I1121" s="29" t="s">
        <v>467</v>
      </c>
      <c r="J1121" s="29" t="s">
        <v>467</v>
      </c>
      <c r="K1121" s="30" t="s">
        <v>44</v>
      </c>
      <c r="L1121" s="31"/>
      <c r="M1121" s="32"/>
    </row>
    <row r="1122" customFormat="false" ht="51" hidden="false" customHeight="true" outlineLevel="0" collapsed="false">
      <c r="B1122" s="29" t="s">
        <v>5239</v>
      </c>
      <c r="C1122" s="29" t="s">
        <v>37</v>
      </c>
      <c r="D1122" s="29" t="s">
        <v>5240</v>
      </c>
      <c r="E1122" s="29" t="s">
        <v>595</v>
      </c>
      <c r="F1122" s="29" t="s">
        <v>5241</v>
      </c>
      <c r="G1122" s="29" t="s">
        <v>5242</v>
      </c>
      <c r="H1122" s="29" t="s">
        <v>5243</v>
      </c>
      <c r="I1122" s="29" t="s">
        <v>3662</v>
      </c>
      <c r="J1122" s="29" t="s">
        <v>154</v>
      </c>
      <c r="K1122" s="30" t="s">
        <v>44</v>
      </c>
      <c r="L1122" s="31"/>
      <c r="M1122" s="32"/>
    </row>
    <row r="1123" customFormat="false" ht="51" hidden="false" customHeight="true" outlineLevel="0" collapsed="false">
      <c r="B1123" s="29" t="s">
        <v>5244</v>
      </c>
      <c r="C1123" s="29" t="s">
        <v>37</v>
      </c>
      <c r="D1123" s="29" t="s">
        <v>5245</v>
      </c>
      <c r="E1123" s="29" t="s">
        <v>339</v>
      </c>
      <c r="F1123" s="29" t="s">
        <v>5246</v>
      </c>
      <c r="G1123" s="29" t="s">
        <v>5247</v>
      </c>
      <c r="H1123" s="29" t="s">
        <v>5243</v>
      </c>
      <c r="I1123" s="29" t="s">
        <v>301</v>
      </c>
      <c r="J1123" s="29" t="s">
        <v>201</v>
      </c>
      <c r="K1123" s="30" t="s">
        <v>44</v>
      </c>
      <c r="L1123" s="31"/>
      <c r="M1123" s="32"/>
    </row>
    <row r="1124" customFormat="false" ht="51" hidden="false" customHeight="true" outlineLevel="0" collapsed="false">
      <c r="B1124" s="29" t="s">
        <v>5248</v>
      </c>
      <c r="C1124" s="29" t="s">
        <v>37</v>
      </c>
      <c r="D1124" s="29" t="s">
        <v>5249</v>
      </c>
      <c r="E1124" s="29" t="s">
        <v>339</v>
      </c>
      <c r="F1124" s="29" t="s">
        <v>5250</v>
      </c>
      <c r="G1124" s="29" t="s">
        <v>5251</v>
      </c>
      <c r="H1124" s="29" t="s">
        <v>5243</v>
      </c>
      <c r="I1124" s="29" t="s">
        <v>301</v>
      </c>
      <c r="J1124" s="29" t="s">
        <v>201</v>
      </c>
      <c r="K1124" s="30" t="s">
        <v>44</v>
      </c>
      <c r="L1124" s="31"/>
      <c r="M1124" s="32"/>
    </row>
    <row r="1125" customFormat="false" ht="51" hidden="false" customHeight="true" outlineLevel="0" collapsed="false">
      <c r="B1125" s="29" t="s">
        <v>5252</v>
      </c>
      <c r="C1125" s="29" t="s">
        <v>37</v>
      </c>
      <c r="D1125" s="29" t="s">
        <v>5253</v>
      </c>
      <c r="E1125" s="29" t="s">
        <v>339</v>
      </c>
      <c r="F1125" s="29" t="s">
        <v>5254</v>
      </c>
      <c r="G1125" s="29" t="s">
        <v>5254</v>
      </c>
      <c r="H1125" s="29" t="s">
        <v>5255</v>
      </c>
      <c r="I1125" s="29" t="s">
        <v>301</v>
      </c>
      <c r="J1125" s="29" t="s">
        <v>201</v>
      </c>
      <c r="K1125" s="30" t="s">
        <v>44</v>
      </c>
      <c r="L1125" s="31"/>
      <c r="M1125" s="32"/>
    </row>
    <row r="1126" customFormat="false" ht="51" hidden="false" customHeight="true" outlineLevel="0" collapsed="false">
      <c r="B1126" s="29" t="s">
        <v>5256</v>
      </c>
      <c r="C1126" s="29" t="s">
        <v>37</v>
      </c>
      <c r="D1126" s="29" t="s">
        <v>5257</v>
      </c>
      <c r="E1126" s="29" t="s">
        <v>538</v>
      </c>
      <c r="F1126" s="29" t="s">
        <v>5258</v>
      </c>
      <c r="G1126" s="29" t="s">
        <v>5259</v>
      </c>
      <c r="H1126" s="29" t="s">
        <v>5260</v>
      </c>
      <c r="I1126" s="29" t="s">
        <v>467</v>
      </c>
      <c r="J1126" s="29" t="s">
        <v>467</v>
      </c>
      <c r="K1126" s="30" t="s">
        <v>44</v>
      </c>
      <c r="L1126" s="31"/>
      <c r="M1126" s="32"/>
    </row>
    <row r="1127" customFormat="false" ht="51" hidden="false" customHeight="true" outlineLevel="0" collapsed="false">
      <c r="B1127" s="29" t="s">
        <v>5261</v>
      </c>
      <c r="C1127" s="29" t="s">
        <v>37</v>
      </c>
      <c r="D1127" s="29" t="s">
        <v>5262</v>
      </c>
      <c r="E1127" s="29" t="s">
        <v>339</v>
      </c>
      <c r="F1127" s="29" t="s">
        <v>5263</v>
      </c>
      <c r="G1127" s="29" t="s">
        <v>5264</v>
      </c>
      <c r="H1127" s="29" t="s">
        <v>5255</v>
      </c>
      <c r="I1127" s="29" t="s">
        <v>301</v>
      </c>
      <c r="J1127" s="29" t="s">
        <v>201</v>
      </c>
      <c r="K1127" s="30" t="s">
        <v>44</v>
      </c>
      <c r="L1127" s="31"/>
      <c r="M1127" s="32"/>
    </row>
    <row r="1128" customFormat="false" ht="51" hidden="false" customHeight="true" outlineLevel="0" collapsed="false">
      <c r="B1128" s="29" t="s">
        <v>5265</v>
      </c>
      <c r="C1128" s="29" t="s">
        <v>37</v>
      </c>
      <c r="D1128" s="29" t="s">
        <v>5266</v>
      </c>
      <c r="E1128" s="29" t="s">
        <v>595</v>
      </c>
      <c r="F1128" s="29" t="s">
        <v>5267</v>
      </c>
      <c r="G1128" s="29" t="s">
        <v>5268</v>
      </c>
      <c r="H1128" s="29" t="s">
        <v>5269</v>
      </c>
      <c r="I1128" s="29" t="s">
        <v>3662</v>
      </c>
      <c r="J1128" s="29" t="s">
        <v>154</v>
      </c>
      <c r="K1128" s="30" t="s">
        <v>44</v>
      </c>
      <c r="L1128" s="31"/>
      <c r="M1128" s="32"/>
    </row>
    <row r="1129" customFormat="false" ht="51" hidden="false" customHeight="true" outlineLevel="0" collapsed="false">
      <c r="B1129" s="29" t="s">
        <v>5270</v>
      </c>
      <c r="C1129" s="29" t="s">
        <v>37</v>
      </c>
      <c r="D1129" s="29" t="s">
        <v>5271</v>
      </c>
      <c r="E1129" s="29" t="s">
        <v>538</v>
      </c>
      <c r="F1129" s="29" t="s">
        <v>5272</v>
      </c>
      <c r="G1129" s="29" t="s">
        <v>5273</v>
      </c>
      <c r="H1129" s="29" t="s">
        <v>5274</v>
      </c>
      <c r="I1129" s="29" t="s">
        <v>467</v>
      </c>
      <c r="J1129" s="29" t="s">
        <v>467</v>
      </c>
      <c r="K1129" s="30" t="s">
        <v>44</v>
      </c>
      <c r="L1129" s="31"/>
      <c r="M1129" s="32"/>
    </row>
    <row r="1130" customFormat="false" ht="51" hidden="false" customHeight="true" outlineLevel="0" collapsed="false">
      <c r="B1130" s="29" t="s">
        <v>5275</v>
      </c>
      <c r="C1130" s="29" t="s">
        <v>37</v>
      </c>
      <c r="D1130" s="29" t="s">
        <v>5276</v>
      </c>
      <c r="E1130" s="29" t="s">
        <v>538</v>
      </c>
      <c r="F1130" s="29" t="s">
        <v>5277</v>
      </c>
      <c r="G1130" s="29" t="s">
        <v>5278</v>
      </c>
      <c r="H1130" s="29" t="s">
        <v>5274</v>
      </c>
      <c r="I1130" s="29" t="s">
        <v>467</v>
      </c>
      <c r="J1130" s="29" t="s">
        <v>467</v>
      </c>
      <c r="K1130" s="30" t="s">
        <v>44</v>
      </c>
      <c r="L1130" s="31"/>
      <c r="M1130" s="32"/>
    </row>
    <row r="1131" customFormat="false" ht="51" hidden="false" customHeight="true" outlineLevel="0" collapsed="false">
      <c r="B1131" s="29" t="s">
        <v>5279</v>
      </c>
      <c r="C1131" s="29" t="s">
        <v>37</v>
      </c>
      <c r="D1131" s="29" t="s">
        <v>5280</v>
      </c>
      <c r="E1131" s="29" t="s">
        <v>538</v>
      </c>
      <c r="F1131" s="29" t="s">
        <v>5281</v>
      </c>
      <c r="G1131" s="29" t="s">
        <v>5281</v>
      </c>
      <c r="H1131" s="29" t="s">
        <v>5274</v>
      </c>
      <c r="I1131" s="29" t="s">
        <v>467</v>
      </c>
      <c r="J1131" s="29" t="s">
        <v>467</v>
      </c>
      <c r="K1131" s="30" t="s">
        <v>44</v>
      </c>
      <c r="L1131" s="31"/>
      <c r="M1131" s="32"/>
    </row>
    <row r="1132" customFormat="false" ht="51" hidden="false" customHeight="true" outlineLevel="0" collapsed="false">
      <c r="B1132" s="29" t="s">
        <v>5282</v>
      </c>
      <c r="C1132" s="29" t="s">
        <v>37</v>
      </c>
      <c r="D1132" s="29" t="s">
        <v>5283</v>
      </c>
      <c r="E1132" s="29" t="s">
        <v>339</v>
      </c>
      <c r="F1132" s="29" t="s">
        <v>5284</v>
      </c>
      <c r="G1132" s="29" t="s">
        <v>5285</v>
      </c>
      <c r="H1132" s="29" t="s">
        <v>5269</v>
      </c>
      <c r="I1132" s="29" t="s">
        <v>301</v>
      </c>
      <c r="J1132" s="29" t="s">
        <v>201</v>
      </c>
      <c r="K1132" s="30" t="s">
        <v>44</v>
      </c>
      <c r="L1132" s="31"/>
      <c r="M1132" s="32"/>
    </row>
    <row r="1133" customFormat="false" ht="51" hidden="false" customHeight="true" outlineLevel="0" collapsed="false">
      <c r="B1133" s="29" t="s">
        <v>5286</v>
      </c>
      <c r="C1133" s="29" t="s">
        <v>37</v>
      </c>
      <c r="D1133" s="29" t="s">
        <v>5287</v>
      </c>
      <c r="E1133" s="29" t="s">
        <v>339</v>
      </c>
      <c r="F1133" s="29" t="s">
        <v>5288</v>
      </c>
      <c r="G1133" s="29" t="s">
        <v>5289</v>
      </c>
      <c r="H1133" s="29" t="s">
        <v>5269</v>
      </c>
      <c r="I1133" s="29" t="s">
        <v>301</v>
      </c>
      <c r="J1133" s="29" t="s">
        <v>201</v>
      </c>
      <c r="K1133" s="30" t="s">
        <v>44</v>
      </c>
      <c r="L1133" s="31"/>
      <c r="M1133" s="32"/>
    </row>
    <row r="1134" customFormat="false" ht="51" hidden="false" customHeight="true" outlineLevel="0" collapsed="false">
      <c r="B1134" s="29" t="s">
        <v>5290</v>
      </c>
      <c r="C1134" s="29" t="s">
        <v>37</v>
      </c>
      <c r="D1134" s="29" t="s">
        <v>5291</v>
      </c>
      <c r="E1134" s="29" t="s">
        <v>339</v>
      </c>
      <c r="F1134" s="29" t="s">
        <v>5292</v>
      </c>
      <c r="G1134" s="29" t="s">
        <v>5293</v>
      </c>
      <c r="H1134" s="29" t="s">
        <v>5294</v>
      </c>
      <c r="I1134" s="29" t="s">
        <v>301</v>
      </c>
      <c r="J1134" s="29" t="s">
        <v>201</v>
      </c>
      <c r="K1134" s="30" t="s">
        <v>44</v>
      </c>
      <c r="L1134" s="31"/>
      <c r="M1134" s="32"/>
    </row>
    <row r="1135" customFormat="false" ht="51" hidden="false" customHeight="true" outlineLevel="0" collapsed="false">
      <c r="B1135" s="29" t="s">
        <v>5295</v>
      </c>
      <c r="C1135" s="29" t="s">
        <v>37</v>
      </c>
      <c r="D1135" s="29" t="s">
        <v>5296</v>
      </c>
      <c r="E1135" s="29" t="s">
        <v>339</v>
      </c>
      <c r="F1135" s="29" t="s">
        <v>5297</v>
      </c>
      <c r="G1135" s="29" t="s">
        <v>5298</v>
      </c>
      <c r="H1135" s="29" t="s">
        <v>5294</v>
      </c>
      <c r="I1135" s="29" t="s">
        <v>301</v>
      </c>
      <c r="J1135" s="29" t="s">
        <v>201</v>
      </c>
      <c r="K1135" s="30" t="s">
        <v>44</v>
      </c>
      <c r="L1135" s="31"/>
      <c r="M1135" s="32"/>
    </row>
    <row r="1136" customFormat="false" ht="51" hidden="false" customHeight="true" outlineLevel="0" collapsed="false">
      <c r="B1136" s="29" t="s">
        <v>5299</v>
      </c>
      <c r="C1136" s="29" t="s">
        <v>37</v>
      </c>
      <c r="D1136" s="29" t="s">
        <v>5300</v>
      </c>
      <c r="E1136" s="29" t="s">
        <v>339</v>
      </c>
      <c r="F1136" s="29" t="s">
        <v>5301</v>
      </c>
      <c r="G1136" s="29" t="s">
        <v>5302</v>
      </c>
      <c r="H1136" s="29" t="s">
        <v>5294</v>
      </c>
      <c r="I1136" s="29" t="s">
        <v>301</v>
      </c>
      <c r="J1136" s="29" t="s">
        <v>201</v>
      </c>
      <c r="K1136" s="30" t="s">
        <v>44</v>
      </c>
      <c r="L1136" s="31"/>
      <c r="M1136" s="32"/>
    </row>
    <row r="1137" customFormat="false" ht="51" hidden="false" customHeight="true" outlineLevel="0" collapsed="false">
      <c r="B1137" s="29" t="s">
        <v>5303</v>
      </c>
      <c r="C1137" s="29" t="s">
        <v>37</v>
      </c>
      <c r="D1137" s="29" t="s">
        <v>5304</v>
      </c>
      <c r="E1137" s="29" t="s">
        <v>339</v>
      </c>
      <c r="F1137" s="29" t="s">
        <v>5305</v>
      </c>
      <c r="G1137" s="29" t="s">
        <v>5306</v>
      </c>
      <c r="H1137" s="29" t="s">
        <v>5307</v>
      </c>
      <c r="I1137" s="29" t="s">
        <v>301</v>
      </c>
      <c r="J1137" s="29" t="s">
        <v>201</v>
      </c>
      <c r="K1137" s="30" t="s">
        <v>44</v>
      </c>
      <c r="L1137" s="31"/>
      <c r="M1137" s="32"/>
    </row>
    <row r="1138" customFormat="false" ht="51" hidden="false" customHeight="true" outlineLevel="0" collapsed="false">
      <c r="B1138" s="29" t="s">
        <v>5308</v>
      </c>
      <c r="C1138" s="29" t="s">
        <v>37</v>
      </c>
      <c r="D1138" s="29" t="s">
        <v>5309</v>
      </c>
      <c r="E1138" s="29" t="s">
        <v>339</v>
      </c>
      <c r="F1138" s="29" t="s">
        <v>5310</v>
      </c>
      <c r="G1138" s="29" t="s">
        <v>5311</v>
      </c>
      <c r="H1138" s="29" t="s">
        <v>5307</v>
      </c>
      <c r="I1138" s="29" t="s">
        <v>301</v>
      </c>
      <c r="J1138" s="29" t="s">
        <v>201</v>
      </c>
      <c r="K1138" s="30" t="s">
        <v>44</v>
      </c>
      <c r="L1138" s="31"/>
      <c r="M1138" s="32"/>
    </row>
    <row r="1139" customFormat="false" ht="51" hidden="false" customHeight="true" outlineLevel="0" collapsed="false">
      <c r="B1139" s="29" t="s">
        <v>5312</v>
      </c>
      <c r="C1139" s="29" t="s">
        <v>37</v>
      </c>
      <c r="D1139" s="29" t="s">
        <v>5313</v>
      </c>
      <c r="E1139" s="29" t="s">
        <v>339</v>
      </c>
      <c r="F1139" s="29" t="s">
        <v>5314</v>
      </c>
      <c r="G1139" s="29" t="s">
        <v>5315</v>
      </c>
      <c r="H1139" s="29" t="s">
        <v>5307</v>
      </c>
      <c r="I1139" s="29" t="s">
        <v>301</v>
      </c>
      <c r="J1139" s="29" t="s">
        <v>201</v>
      </c>
      <c r="K1139" s="30" t="s">
        <v>44</v>
      </c>
      <c r="L1139" s="31"/>
      <c r="M1139" s="32"/>
    </row>
    <row r="1140" customFormat="false" ht="51" hidden="false" customHeight="true" outlineLevel="0" collapsed="false">
      <c r="B1140" s="29" t="s">
        <v>5316</v>
      </c>
      <c r="C1140" s="29" t="s">
        <v>37</v>
      </c>
      <c r="D1140" s="29" t="s">
        <v>5317</v>
      </c>
      <c r="E1140" s="29" t="s">
        <v>339</v>
      </c>
      <c r="F1140" s="29" t="s">
        <v>5318</v>
      </c>
      <c r="G1140" s="29" t="s">
        <v>5319</v>
      </c>
      <c r="H1140" s="29" t="s">
        <v>5320</v>
      </c>
      <c r="I1140" s="29" t="s">
        <v>301</v>
      </c>
      <c r="J1140" s="29" t="s">
        <v>201</v>
      </c>
      <c r="K1140" s="30" t="s">
        <v>44</v>
      </c>
      <c r="L1140" s="31"/>
      <c r="M1140" s="32"/>
    </row>
    <row r="1141" customFormat="false" ht="51" hidden="false" customHeight="true" outlineLevel="0" collapsed="false">
      <c r="B1141" s="29" t="s">
        <v>5321</v>
      </c>
      <c r="C1141" s="29" t="s">
        <v>37</v>
      </c>
      <c r="D1141" s="29" t="s">
        <v>5322</v>
      </c>
      <c r="E1141" s="29" t="s">
        <v>339</v>
      </c>
      <c r="F1141" s="29" t="s">
        <v>5323</v>
      </c>
      <c r="G1141" s="29" t="s">
        <v>5324</v>
      </c>
      <c r="H1141" s="29" t="s">
        <v>5320</v>
      </c>
      <c r="I1141" s="29" t="s">
        <v>301</v>
      </c>
      <c r="J1141" s="29" t="s">
        <v>201</v>
      </c>
      <c r="K1141" s="30" t="s">
        <v>44</v>
      </c>
      <c r="L1141" s="31"/>
      <c r="M1141" s="32"/>
    </row>
    <row r="1142" customFormat="false" ht="51" hidden="false" customHeight="true" outlineLevel="0" collapsed="false">
      <c r="B1142" s="29" t="s">
        <v>5325</v>
      </c>
      <c r="C1142" s="29" t="s">
        <v>37</v>
      </c>
      <c r="D1142" s="29" t="s">
        <v>5326</v>
      </c>
      <c r="E1142" s="29" t="s">
        <v>339</v>
      </c>
      <c r="F1142" s="29" t="s">
        <v>5327</v>
      </c>
      <c r="G1142" s="29" t="s">
        <v>5327</v>
      </c>
      <c r="H1142" s="29" t="s">
        <v>5320</v>
      </c>
      <c r="I1142" s="29" t="s">
        <v>301</v>
      </c>
      <c r="J1142" s="29" t="s">
        <v>201</v>
      </c>
      <c r="K1142" s="30" t="s">
        <v>44</v>
      </c>
      <c r="L1142" s="31"/>
      <c r="M1142" s="32"/>
    </row>
    <row r="1143" customFormat="false" ht="51" hidden="false" customHeight="true" outlineLevel="0" collapsed="false">
      <c r="B1143" s="29" t="s">
        <v>5328</v>
      </c>
      <c r="C1143" s="29" t="s">
        <v>37</v>
      </c>
      <c r="D1143" s="29" t="s">
        <v>5329</v>
      </c>
      <c r="E1143" s="29" t="s">
        <v>339</v>
      </c>
      <c r="F1143" s="29" t="s">
        <v>5330</v>
      </c>
      <c r="G1143" s="29" t="s">
        <v>5331</v>
      </c>
      <c r="H1143" s="29" t="s">
        <v>5332</v>
      </c>
      <c r="I1143" s="29" t="s">
        <v>301</v>
      </c>
      <c r="J1143" s="29" t="s">
        <v>201</v>
      </c>
      <c r="K1143" s="30" t="s">
        <v>44</v>
      </c>
      <c r="L1143" s="31"/>
      <c r="M1143" s="32"/>
    </row>
    <row r="1144" customFormat="false" ht="51" hidden="false" customHeight="true" outlineLevel="0" collapsed="false">
      <c r="B1144" s="29" t="s">
        <v>5333</v>
      </c>
      <c r="C1144" s="29" t="s">
        <v>37</v>
      </c>
      <c r="D1144" s="29" t="s">
        <v>5334</v>
      </c>
      <c r="E1144" s="29" t="s">
        <v>538</v>
      </c>
      <c r="F1144" s="29" t="s">
        <v>5335</v>
      </c>
      <c r="G1144" s="29" t="s">
        <v>5336</v>
      </c>
      <c r="H1144" s="29" t="s">
        <v>5337</v>
      </c>
      <c r="I1144" s="29" t="s">
        <v>467</v>
      </c>
      <c r="J1144" s="29" t="s">
        <v>467</v>
      </c>
      <c r="K1144" s="30" t="s">
        <v>44</v>
      </c>
      <c r="L1144" s="31"/>
      <c r="M1144" s="32"/>
    </row>
    <row r="1145" customFormat="false" ht="51" hidden="false" customHeight="true" outlineLevel="0" collapsed="false">
      <c r="B1145" s="29" t="s">
        <v>5338</v>
      </c>
      <c r="C1145" s="29" t="s">
        <v>37</v>
      </c>
      <c r="D1145" s="29" t="s">
        <v>5339</v>
      </c>
      <c r="E1145" s="29" t="s">
        <v>339</v>
      </c>
      <c r="F1145" s="29" t="s">
        <v>5340</v>
      </c>
      <c r="G1145" s="29" t="s">
        <v>5340</v>
      </c>
      <c r="H1145" s="29" t="s">
        <v>5332</v>
      </c>
      <c r="I1145" s="29" t="s">
        <v>301</v>
      </c>
      <c r="J1145" s="29" t="s">
        <v>201</v>
      </c>
      <c r="K1145" s="30" t="s">
        <v>44</v>
      </c>
      <c r="L1145" s="31"/>
      <c r="M1145" s="32"/>
    </row>
    <row r="1146" customFormat="false" ht="51" hidden="false" customHeight="true" outlineLevel="0" collapsed="false">
      <c r="B1146" s="29" t="s">
        <v>5341</v>
      </c>
      <c r="C1146" s="29" t="s">
        <v>37</v>
      </c>
      <c r="D1146" s="29" t="s">
        <v>5342</v>
      </c>
      <c r="E1146" s="29" t="s">
        <v>339</v>
      </c>
      <c r="F1146" s="29" t="s">
        <v>5343</v>
      </c>
      <c r="G1146" s="29" t="s">
        <v>5343</v>
      </c>
      <c r="H1146" s="29" t="s">
        <v>5332</v>
      </c>
      <c r="I1146" s="29" t="s">
        <v>301</v>
      </c>
      <c r="J1146" s="29" t="s">
        <v>201</v>
      </c>
      <c r="K1146" s="30" t="s">
        <v>44</v>
      </c>
      <c r="L1146" s="31"/>
      <c r="M1146" s="32"/>
    </row>
    <row r="1147" customFormat="false" ht="51" hidden="false" customHeight="true" outlineLevel="0" collapsed="false">
      <c r="B1147" s="29" t="s">
        <v>5344</v>
      </c>
      <c r="C1147" s="29" t="s">
        <v>37</v>
      </c>
      <c r="D1147" s="29" t="s">
        <v>5345</v>
      </c>
      <c r="E1147" s="29" t="s">
        <v>538</v>
      </c>
      <c r="F1147" s="29" t="s">
        <v>5346</v>
      </c>
      <c r="G1147" s="29" t="s">
        <v>5347</v>
      </c>
      <c r="H1147" s="29" t="s">
        <v>5337</v>
      </c>
      <c r="I1147" s="29" t="s">
        <v>467</v>
      </c>
      <c r="J1147" s="29" t="s">
        <v>467</v>
      </c>
      <c r="K1147" s="30" t="s">
        <v>44</v>
      </c>
      <c r="L1147" s="31"/>
      <c r="M1147" s="32"/>
    </row>
    <row r="1148" customFormat="false" ht="51" hidden="false" customHeight="true" outlineLevel="0" collapsed="false">
      <c r="B1148" s="29" t="s">
        <v>5348</v>
      </c>
      <c r="C1148" s="29" t="s">
        <v>37</v>
      </c>
      <c r="D1148" s="29" t="s">
        <v>5349</v>
      </c>
      <c r="E1148" s="29" t="s">
        <v>538</v>
      </c>
      <c r="F1148" s="29" t="s">
        <v>5350</v>
      </c>
      <c r="G1148" s="29" t="s">
        <v>5351</v>
      </c>
      <c r="H1148" s="29" t="s">
        <v>5337</v>
      </c>
      <c r="I1148" s="29" t="s">
        <v>467</v>
      </c>
      <c r="J1148" s="29" t="s">
        <v>467</v>
      </c>
      <c r="K1148" s="30" t="s">
        <v>44</v>
      </c>
      <c r="L1148" s="31"/>
      <c r="M1148" s="32"/>
    </row>
    <row r="1149" customFormat="false" ht="51" hidden="false" customHeight="true" outlineLevel="0" collapsed="false">
      <c r="B1149" s="29" t="s">
        <v>5352</v>
      </c>
      <c r="C1149" s="29" t="s">
        <v>37</v>
      </c>
      <c r="D1149" s="29" t="s">
        <v>5353</v>
      </c>
      <c r="E1149" s="29" t="s">
        <v>538</v>
      </c>
      <c r="F1149" s="29" t="s">
        <v>5354</v>
      </c>
      <c r="G1149" s="29" t="s">
        <v>5355</v>
      </c>
      <c r="H1149" s="29" t="s">
        <v>5337</v>
      </c>
      <c r="I1149" s="29" t="s">
        <v>467</v>
      </c>
      <c r="J1149" s="29" t="s">
        <v>467</v>
      </c>
      <c r="K1149" s="30" t="s">
        <v>44</v>
      </c>
      <c r="L1149" s="31"/>
      <c r="M1149" s="32"/>
    </row>
    <row r="1150" customFormat="false" ht="51" hidden="false" customHeight="true" outlineLevel="0" collapsed="false">
      <c r="B1150" s="29" t="s">
        <v>5356</v>
      </c>
      <c r="C1150" s="29" t="s">
        <v>37</v>
      </c>
      <c r="D1150" s="29" t="s">
        <v>5357</v>
      </c>
      <c r="E1150" s="29" t="s">
        <v>339</v>
      </c>
      <c r="F1150" s="29" t="s">
        <v>5358</v>
      </c>
      <c r="G1150" s="29" t="s">
        <v>5358</v>
      </c>
      <c r="H1150" s="29" t="s">
        <v>5359</v>
      </c>
      <c r="I1150" s="29" t="s">
        <v>301</v>
      </c>
      <c r="J1150" s="29" t="s">
        <v>201</v>
      </c>
      <c r="K1150" s="30" t="s">
        <v>44</v>
      </c>
      <c r="L1150" s="31"/>
      <c r="M1150" s="32"/>
    </row>
    <row r="1151" customFormat="false" ht="51" hidden="false" customHeight="true" outlineLevel="0" collapsed="false">
      <c r="B1151" s="29" t="s">
        <v>5360</v>
      </c>
      <c r="C1151" s="29" t="s">
        <v>37</v>
      </c>
      <c r="D1151" s="29" t="s">
        <v>5361</v>
      </c>
      <c r="E1151" s="29" t="s">
        <v>538</v>
      </c>
      <c r="F1151" s="29" t="s">
        <v>5362</v>
      </c>
      <c r="G1151" s="29" t="s">
        <v>5363</v>
      </c>
      <c r="H1151" s="29" t="s">
        <v>5364</v>
      </c>
      <c r="I1151" s="29" t="s">
        <v>467</v>
      </c>
      <c r="J1151" s="29" t="s">
        <v>467</v>
      </c>
      <c r="K1151" s="30" t="s">
        <v>44</v>
      </c>
      <c r="L1151" s="31"/>
      <c r="M1151" s="32"/>
    </row>
    <row r="1152" customFormat="false" ht="51" hidden="false" customHeight="true" outlineLevel="0" collapsed="false">
      <c r="B1152" s="29" t="s">
        <v>5365</v>
      </c>
      <c r="C1152" s="29" t="s">
        <v>37</v>
      </c>
      <c r="D1152" s="29" t="s">
        <v>5366</v>
      </c>
      <c r="E1152" s="29" t="s">
        <v>339</v>
      </c>
      <c r="F1152" s="29" t="s">
        <v>5367</v>
      </c>
      <c r="G1152" s="29" t="s">
        <v>5368</v>
      </c>
      <c r="H1152" s="29" t="s">
        <v>5359</v>
      </c>
      <c r="I1152" s="29" t="s">
        <v>301</v>
      </c>
      <c r="J1152" s="29" t="s">
        <v>201</v>
      </c>
      <c r="K1152" s="30" t="s">
        <v>44</v>
      </c>
      <c r="L1152" s="31"/>
      <c r="M1152" s="32"/>
    </row>
    <row r="1153" customFormat="false" ht="51" hidden="false" customHeight="true" outlineLevel="0" collapsed="false">
      <c r="B1153" s="29" t="s">
        <v>5369</v>
      </c>
      <c r="C1153" s="29" t="s">
        <v>37</v>
      </c>
      <c r="D1153" s="29" t="s">
        <v>5370</v>
      </c>
      <c r="E1153" s="29" t="s">
        <v>339</v>
      </c>
      <c r="F1153" s="29" t="s">
        <v>5371</v>
      </c>
      <c r="G1153" s="29" t="s">
        <v>5371</v>
      </c>
      <c r="H1153" s="29" t="s">
        <v>5359</v>
      </c>
      <c r="I1153" s="29" t="s">
        <v>301</v>
      </c>
      <c r="J1153" s="29" t="s">
        <v>201</v>
      </c>
      <c r="K1153" s="30" t="s">
        <v>44</v>
      </c>
      <c r="L1153" s="31"/>
      <c r="M1153" s="32"/>
    </row>
    <row r="1154" customFormat="false" ht="51" hidden="false" customHeight="true" outlineLevel="0" collapsed="false">
      <c r="B1154" s="29" t="s">
        <v>5372</v>
      </c>
      <c r="C1154" s="29" t="s">
        <v>37</v>
      </c>
      <c r="D1154" s="29" t="s">
        <v>5373</v>
      </c>
      <c r="E1154" s="29" t="s">
        <v>339</v>
      </c>
      <c r="F1154" s="29" t="s">
        <v>5374</v>
      </c>
      <c r="G1154" s="29" t="s">
        <v>5374</v>
      </c>
      <c r="H1154" s="29" t="s">
        <v>5375</v>
      </c>
      <c r="I1154" s="29" t="s">
        <v>301</v>
      </c>
      <c r="J1154" s="29" t="s">
        <v>201</v>
      </c>
      <c r="K1154" s="30" t="s">
        <v>44</v>
      </c>
      <c r="L1154" s="31"/>
      <c r="M1154" s="32"/>
    </row>
    <row r="1155" customFormat="false" ht="51" hidden="false" customHeight="true" outlineLevel="0" collapsed="false">
      <c r="B1155" s="29" t="s">
        <v>5376</v>
      </c>
      <c r="C1155" s="29" t="s">
        <v>37</v>
      </c>
      <c r="D1155" s="29" t="s">
        <v>5377</v>
      </c>
      <c r="E1155" s="29" t="s">
        <v>339</v>
      </c>
      <c r="F1155" s="29" t="s">
        <v>5378</v>
      </c>
      <c r="G1155" s="29" t="s">
        <v>5379</v>
      </c>
      <c r="H1155" s="29" t="s">
        <v>5375</v>
      </c>
      <c r="I1155" s="29" t="s">
        <v>301</v>
      </c>
      <c r="J1155" s="29" t="s">
        <v>201</v>
      </c>
      <c r="K1155" s="30" t="s">
        <v>44</v>
      </c>
      <c r="L1155" s="31"/>
      <c r="M1155" s="32"/>
    </row>
    <row r="1156" customFormat="false" ht="51" hidden="false" customHeight="true" outlineLevel="0" collapsed="false">
      <c r="B1156" s="29" t="s">
        <v>5380</v>
      </c>
      <c r="C1156" s="29" t="s">
        <v>37</v>
      </c>
      <c r="D1156" s="29" t="s">
        <v>5381</v>
      </c>
      <c r="E1156" s="29" t="s">
        <v>339</v>
      </c>
      <c r="F1156" s="29" t="s">
        <v>5382</v>
      </c>
      <c r="G1156" s="29" t="s">
        <v>5382</v>
      </c>
      <c r="H1156" s="29" t="s">
        <v>5375</v>
      </c>
      <c r="I1156" s="29" t="s">
        <v>301</v>
      </c>
      <c r="J1156" s="29" t="s">
        <v>201</v>
      </c>
      <c r="K1156" s="30" t="s">
        <v>44</v>
      </c>
      <c r="L1156" s="31"/>
      <c r="M1156" s="32"/>
    </row>
    <row r="1157" customFormat="false" ht="51" hidden="false" customHeight="true" outlineLevel="0" collapsed="false">
      <c r="B1157" s="29" t="s">
        <v>5383</v>
      </c>
      <c r="C1157" s="29" t="s">
        <v>37</v>
      </c>
      <c r="D1157" s="29" t="s">
        <v>5384</v>
      </c>
      <c r="E1157" s="29" t="s">
        <v>339</v>
      </c>
      <c r="F1157" s="29" t="s">
        <v>5385</v>
      </c>
      <c r="G1157" s="29" t="s">
        <v>5386</v>
      </c>
      <c r="H1157" s="29" t="s">
        <v>5375</v>
      </c>
      <c r="I1157" s="29" t="s">
        <v>301</v>
      </c>
      <c r="J1157" s="29" t="s">
        <v>201</v>
      </c>
      <c r="K1157" s="30" t="s">
        <v>44</v>
      </c>
      <c r="L1157" s="31"/>
      <c r="M1157" s="32"/>
    </row>
    <row r="1158" customFormat="false" ht="51" hidden="false" customHeight="true" outlineLevel="0" collapsed="false">
      <c r="B1158" s="29" t="s">
        <v>5387</v>
      </c>
      <c r="C1158" s="29" t="s">
        <v>37</v>
      </c>
      <c r="D1158" s="29" t="s">
        <v>5388</v>
      </c>
      <c r="E1158" s="29" t="s">
        <v>356</v>
      </c>
      <c r="F1158" s="29" t="s">
        <v>5389</v>
      </c>
      <c r="G1158" s="29" t="s">
        <v>5390</v>
      </c>
      <c r="H1158" s="29" t="s">
        <v>5375</v>
      </c>
      <c r="I1158" s="29" t="s">
        <v>301</v>
      </c>
      <c r="J1158" s="29" t="s">
        <v>201</v>
      </c>
      <c r="K1158" s="30" t="s">
        <v>44</v>
      </c>
      <c r="L1158" s="31"/>
      <c r="M1158" s="32"/>
    </row>
    <row r="1159" customFormat="false" ht="51" hidden="false" customHeight="true" outlineLevel="0" collapsed="false">
      <c r="B1159" s="29" t="s">
        <v>5391</v>
      </c>
      <c r="C1159" s="29" t="s">
        <v>213</v>
      </c>
      <c r="D1159" s="29" t="s">
        <v>3610</v>
      </c>
      <c r="E1159" s="29" t="s">
        <v>538</v>
      </c>
      <c r="F1159" s="29" t="s">
        <v>5392</v>
      </c>
      <c r="G1159" s="29" t="s">
        <v>5392</v>
      </c>
      <c r="H1159" s="29" t="s">
        <v>5393</v>
      </c>
      <c r="I1159" s="29" t="s">
        <v>467</v>
      </c>
      <c r="J1159" s="29" t="s">
        <v>467</v>
      </c>
      <c r="K1159" s="30" t="s">
        <v>44</v>
      </c>
      <c r="L1159" s="31"/>
      <c r="M1159" s="32"/>
    </row>
    <row r="1160" customFormat="false" ht="51" hidden="false" customHeight="true" outlineLevel="0" collapsed="false">
      <c r="B1160" s="29" t="s">
        <v>5394</v>
      </c>
      <c r="C1160" s="29" t="s">
        <v>213</v>
      </c>
      <c r="D1160" s="29" t="s">
        <v>3624</v>
      </c>
      <c r="E1160" s="29" t="s">
        <v>538</v>
      </c>
      <c r="F1160" s="29" t="s">
        <v>5395</v>
      </c>
      <c r="G1160" s="29" t="s">
        <v>5395</v>
      </c>
      <c r="H1160" s="29" t="s">
        <v>5396</v>
      </c>
      <c r="I1160" s="29" t="s">
        <v>3662</v>
      </c>
      <c r="J1160" s="29" t="s">
        <v>154</v>
      </c>
      <c r="K1160" s="30" t="s">
        <v>44</v>
      </c>
      <c r="L1160" s="31"/>
      <c r="M1160" s="32"/>
    </row>
    <row r="1161" customFormat="false" ht="51" hidden="false" customHeight="true" outlineLevel="0" collapsed="false">
      <c r="B1161" s="29" t="s">
        <v>5397</v>
      </c>
      <c r="C1161" s="29" t="s">
        <v>213</v>
      </c>
      <c r="D1161" s="29" t="s">
        <v>5398</v>
      </c>
      <c r="E1161" s="29" t="s">
        <v>595</v>
      </c>
      <c r="F1161" s="29" t="s">
        <v>5399</v>
      </c>
      <c r="G1161" s="29" t="s">
        <v>5399</v>
      </c>
      <c r="H1161" s="29" t="s">
        <v>5396</v>
      </c>
      <c r="I1161" s="29" t="s">
        <v>3662</v>
      </c>
      <c r="J1161" s="29" t="s">
        <v>154</v>
      </c>
      <c r="K1161" s="30" t="s">
        <v>44</v>
      </c>
      <c r="L1161" s="31"/>
      <c r="M1161" s="32"/>
    </row>
    <row r="1162" customFormat="false" ht="51" hidden="false" customHeight="true" outlineLevel="0" collapsed="false">
      <c r="B1162" s="29" t="s">
        <v>5400</v>
      </c>
      <c r="C1162" s="29" t="s">
        <v>213</v>
      </c>
      <c r="D1162" s="29" t="s">
        <v>5401</v>
      </c>
      <c r="E1162" s="29" t="s">
        <v>595</v>
      </c>
      <c r="F1162" s="29" t="s">
        <v>5402</v>
      </c>
      <c r="G1162" s="29" t="s">
        <v>5403</v>
      </c>
      <c r="H1162" s="29" t="s">
        <v>5396</v>
      </c>
      <c r="I1162" s="29" t="s">
        <v>3662</v>
      </c>
      <c r="J1162" s="29" t="s">
        <v>154</v>
      </c>
      <c r="K1162" s="30" t="s">
        <v>44</v>
      </c>
      <c r="L1162" s="31"/>
      <c r="M1162" s="32"/>
    </row>
    <row r="1163" customFormat="false" ht="51" hidden="false" customHeight="true" outlineLevel="0" collapsed="false">
      <c r="B1163" s="29" t="s">
        <v>5404</v>
      </c>
      <c r="C1163" s="29" t="s">
        <v>213</v>
      </c>
      <c r="D1163" s="29" t="s">
        <v>5405</v>
      </c>
      <c r="E1163" s="29" t="s">
        <v>89</v>
      </c>
      <c r="F1163" s="29" t="s">
        <v>5406</v>
      </c>
      <c r="G1163" s="29" t="s">
        <v>5406</v>
      </c>
      <c r="H1163" s="29" t="s">
        <v>5396</v>
      </c>
      <c r="I1163" s="29" t="s">
        <v>3808</v>
      </c>
      <c r="J1163" s="29" t="s">
        <v>2512</v>
      </c>
      <c r="K1163" s="30" t="s">
        <v>44</v>
      </c>
      <c r="L1163" s="31"/>
      <c r="M1163" s="32"/>
    </row>
    <row r="1164" customFormat="false" ht="51" hidden="false" customHeight="true" outlineLevel="0" collapsed="false">
      <c r="B1164" s="29" t="s">
        <v>5407</v>
      </c>
      <c r="C1164" s="29" t="s">
        <v>213</v>
      </c>
      <c r="D1164" s="29" t="s">
        <v>5408</v>
      </c>
      <c r="E1164" s="29" t="s">
        <v>595</v>
      </c>
      <c r="F1164" s="29" t="s">
        <v>5409</v>
      </c>
      <c r="G1164" s="29" t="s">
        <v>5409</v>
      </c>
      <c r="H1164" s="29" t="s">
        <v>5396</v>
      </c>
      <c r="I1164" s="29" t="s">
        <v>3808</v>
      </c>
      <c r="J1164" s="29" t="s">
        <v>2089</v>
      </c>
      <c r="K1164" s="30" t="s">
        <v>44</v>
      </c>
      <c r="L1164" s="31"/>
      <c r="M1164" s="32"/>
    </row>
    <row r="1165" customFormat="false" ht="51" hidden="false" customHeight="true" outlineLevel="0" collapsed="false">
      <c r="B1165" s="29" t="s">
        <v>5410</v>
      </c>
      <c r="C1165" s="29" t="s">
        <v>213</v>
      </c>
      <c r="D1165" s="29" t="s">
        <v>5411</v>
      </c>
      <c r="E1165" s="29" t="s">
        <v>538</v>
      </c>
      <c r="F1165" s="29" t="s">
        <v>5412</v>
      </c>
      <c r="G1165" s="29" t="s">
        <v>5412</v>
      </c>
      <c r="H1165" s="29" t="s">
        <v>5393</v>
      </c>
      <c r="I1165" s="29" t="s">
        <v>467</v>
      </c>
      <c r="J1165" s="29" t="s">
        <v>467</v>
      </c>
      <c r="K1165" s="30" t="s">
        <v>44</v>
      </c>
      <c r="L1165" s="31"/>
      <c r="M1165" s="32"/>
    </row>
    <row r="1166" customFormat="false" ht="51" hidden="false" customHeight="true" outlineLevel="0" collapsed="false">
      <c r="B1166" s="29" t="s">
        <v>5413</v>
      </c>
      <c r="C1166" s="29" t="s">
        <v>213</v>
      </c>
      <c r="D1166" s="29" t="s">
        <v>5414</v>
      </c>
      <c r="E1166" s="29" t="s">
        <v>97</v>
      </c>
      <c r="F1166" s="29" t="s">
        <v>5415</v>
      </c>
      <c r="G1166" s="29" t="s">
        <v>5416</v>
      </c>
      <c r="H1166" s="29" t="s">
        <v>5396</v>
      </c>
      <c r="I1166" s="29" t="s">
        <v>42</v>
      </c>
      <c r="J1166" s="29" t="s">
        <v>65</v>
      </c>
      <c r="K1166" s="30" t="s">
        <v>44</v>
      </c>
      <c r="L1166" s="31"/>
      <c r="M1166" s="32"/>
    </row>
    <row r="1167" customFormat="false" ht="51" hidden="false" customHeight="true" outlineLevel="0" collapsed="false">
      <c r="B1167" s="29" t="s">
        <v>5417</v>
      </c>
      <c r="C1167" s="29" t="s">
        <v>213</v>
      </c>
      <c r="D1167" s="29" t="s">
        <v>5418</v>
      </c>
      <c r="E1167" s="29" t="s">
        <v>97</v>
      </c>
      <c r="F1167" s="29" t="s">
        <v>5419</v>
      </c>
      <c r="G1167" s="29" t="s">
        <v>5419</v>
      </c>
      <c r="H1167" s="29" t="s">
        <v>5420</v>
      </c>
      <c r="I1167" s="29" t="s">
        <v>42</v>
      </c>
      <c r="J1167" s="29" t="s">
        <v>65</v>
      </c>
      <c r="K1167" s="30" t="s">
        <v>44</v>
      </c>
      <c r="L1167" s="31"/>
      <c r="M1167" s="32"/>
    </row>
    <row r="1168" customFormat="false" ht="51" hidden="false" customHeight="true" outlineLevel="0" collapsed="false">
      <c r="B1168" s="29" t="s">
        <v>5421</v>
      </c>
      <c r="C1168" s="29" t="s">
        <v>213</v>
      </c>
      <c r="D1168" s="29" t="s">
        <v>5422</v>
      </c>
      <c r="E1168" s="29" t="s">
        <v>97</v>
      </c>
      <c r="F1168" s="29" t="s">
        <v>5423</v>
      </c>
      <c r="G1168" s="29" t="s">
        <v>5423</v>
      </c>
      <c r="H1168" s="29" t="s">
        <v>5420</v>
      </c>
      <c r="I1168" s="29" t="s">
        <v>42</v>
      </c>
      <c r="J1168" s="29" t="s">
        <v>65</v>
      </c>
      <c r="K1168" s="30" t="s">
        <v>44</v>
      </c>
      <c r="L1168" s="31"/>
      <c r="M1168" s="32"/>
    </row>
    <row r="1169" customFormat="false" ht="51" hidden="false" customHeight="true" outlineLevel="0" collapsed="false">
      <c r="B1169" s="29" t="s">
        <v>5424</v>
      </c>
      <c r="C1169" s="29" t="s">
        <v>213</v>
      </c>
      <c r="D1169" s="29" t="s">
        <v>5425</v>
      </c>
      <c r="E1169" s="29" t="s">
        <v>595</v>
      </c>
      <c r="F1169" s="29" t="s">
        <v>5426</v>
      </c>
      <c r="G1169" s="29" t="s">
        <v>5426</v>
      </c>
      <c r="H1169" s="29" t="s">
        <v>5427</v>
      </c>
      <c r="I1169" s="29" t="s">
        <v>3662</v>
      </c>
      <c r="J1169" s="29" t="s">
        <v>154</v>
      </c>
      <c r="K1169" s="30" t="s">
        <v>44</v>
      </c>
      <c r="L1169" s="31"/>
      <c r="M1169" s="32"/>
    </row>
    <row r="1170" customFormat="false" ht="51" hidden="false" customHeight="true" outlineLevel="0" collapsed="false">
      <c r="B1170" s="29" t="s">
        <v>5428</v>
      </c>
      <c r="C1170" s="29" t="s">
        <v>213</v>
      </c>
      <c r="D1170" s="29" t="s">
        <v>5429</v>
      </c>
      <c r="E1170" s="29" t="s">
        <v>538</v>
      </c>
      <c r="F1170" s="29" t="s">
        <v>5430</v>
      </c>
      <c r="G1170" s="29" t="s">
        <v>5430</v>
      </c>
      <c r="H1170" s="29" t="s">
        <v>5431</v>
      </c>
      <c r="I1170" s="29" t="s">
        <v>467</v>
      </c>
      <c r="J1170" s="29" t="s">
        <v>467</v>
      </c>
      <c r="K1170" s="30" t="s">
        <v>44</v>
      </c>
      <c r="L1170" s="31"/>
      <c r="M1170" s="32"/>
    </row>
    <row r="1171" customFormat="false" ht="51" hidden="false" customHeight="true" outlineLevel="0" collapsed="false">
      <c r="B1171" s="29" t="s">
        <v>5432</v>
      </c>
      <c r="C1171" s="29" t="s">
        <v>213</v>
      </c>
      <c r="D1171" s="29" t="s">
        <v>5433</v>
      </c>
      <c r="E1171" s="29" t="s">
        <v>595</v>
      </c>
      <c r="F1171" s="29" t="s">
        <v>5434</v>
      </c>
      <c r="G1171" s="29" t="s">
        <v>5434</v>
      </c>
      <c r="H1171" s="29" t="s">
        <v>5427</v>
      </c>
      <c r="I1171" s="29" t="s">
        <v>3662</v>
      </c>
      <c r="J1171" s="29" t="s">
        <v>154</v>
      </c>
      <c r="K1171" s="30" t="s">
        <v>44</v>
      </c>
      <c r="L1171" s="31"/>
      <c r="M1171" s="32"/>
    </row>
    <row r="1172" customFormat="false" ht="51" hidden="false" customHeight="true" outlineLevel="0" collapsed="false">
      <c r="B1172" s="29" t="s">
        <v>5435</v>
      </c>
      <c r="C1172" s="29" t="s">
        <v>213</v>
      </c>
      <c r="D1172" s="29" t="s">
        <v>5436</v>
      </c>
      <c r="E1172" s="29" t="s">
        <v>350</v>
      </c>
      <c r="F1172" s="29" t="s">
        <v>5437</v>
      </c>
      <c r="G1172" s="29" t="s">
        <v>5437</v>
      </c>
      <c r="H1172" s="29" t="s">
        <v>5427</v>
      </c>
      <c r="I1172" s="29" t="s">
        <v>301</v>
      </c>
      <c r="J1172" s="29" t="s">
        <v>201</v>
      </c>
      <c r="K1172" s="30" t="s">
        <v>44</v>
      </c>
      <c r="L1172" s="31"/>
      <c r="M1172" s="32"/>
    </row>
    <row r="1173" customFormat="false" ht="51" hidden="false" customHeight="true" outlineLevel="0" collapsed="false">
      <c r="B1173" s="29" t="s">
        <v>5438</v>
      </c>
      <c r="C1173" s="29" t="s">
        <v>213</v>
      </c>
      <c r="D1173" s="29" t="s">
        <v>5439</v>
      </c>
      <c r="E1173" s="29" t="s">
        <v>595</v>
      </c>
      <c r="F1173" s="29" t="s">
        <v>5440</v>
      </c>
      <c r="G1173" s="29" t="s">
        <v>5441</v>
      </c>
      <c r="H1173" s="29" t="s">
        <v>5442</v>
      </c>
      <c r="I1173" s="29" t="s">
        <v>3662</v>
      </c>
      <c r="J1173" s="29" t="s">
        <v>154</v>
      </c>
      <c r="K1173" s="30" t="s">
        <v>44</v>
      </c>
      <c r="L1173" s="31"/>
      <c r="M1173" s="32"/>
    </row>
    <row r="1174" customFormat="false" ht="51" hidden="false" customHeight="true" outlineLevel="0" collapsed="false">
      <c r="B1174" s="29" t="s">
        <v>5443</v>
      </c>
      <c r="C1174" s="29" t="s">
        <v>213</v>
      </c>
      <c r="D1174" s="29" t="s">
        <v>5444</v>
      </c>
      <c r="E1174" s="29" t="s">
        <v>595</v>
      </c>
      <c r="F1174" s="29" t="s">
        <v>5445</v>
      </c>
      <c r="G1174" s="29" t="s">
        <v>5445</v>
      </c>
      <c r="H1174" s="29" t="s">
        <v>5446</v>
      </c>
      <c r="I1174" s="29" t="s">
        <v>467</v>
      </c>
      <c r="J1174" s="29" t="s">
        <v>467</v>
      </c>
      <c r="K1174" s="30" t="s">
        <v>44</v>
      </c>
      <c r="L1174" s="31"/>
      <c r="M1174" s="32"/>
    </row>
    <row r="1175" customFormat="false" ht="51" hidden="false" customHeight="true" outlineLevel="0" collapsed="false">
      <c r="B1175" s="29" t="s">
        <v>5447</v>
      </c>
      <c r="C1175" s="29" t="s">
        <v>213</v>
      </c>
      <c r="D1175" s="29" t="s">
        <v>5448</v>
      </c>
      <c r="E1175" s="29" t="s">
        <v>595</v>
      </c>
      <c r="F1175" s="29" t="s">
        <v>5449</v>
      </c>
      <c r="G1175" s="29" t="s">
        <v>5450</v>
      </c>
      <c r="H1175" s="29" t="s">
        <v>5442</v>
      </c>
      <c r="I1175" s="29" t="s">
        <v>3662</v>
      </c>
      <c r="J1175" s="29" t="s">
        <v>154</v>
      </c>
      <c r="K1175" s="30" t="s">
        <v>44</v>
      </c>
      <c r="L1175" s="31"/>
      <c r="M1175" s="32"/>
    </row>
    <row r="1176" customFormat="false" ht="51" hidden="false" customHeight="true" outlineLevel="0" collapsed="false">
      <c r="B1176" s="29" t="s">
        <v>5451</v>
      </c>
      <c r="C1176" s="29" t="s">
        <v>213</v>
      </c>
      <c r="D1176" s="29" t="s">
        <v>5452</v>
      </c>
      <c r="E1176" s="29" t="s">
        <v>595</v>
      </c>
      <c r="F1176" s="29" t="s">
        <v>5453</v>
      </c>
      <c r="G1176" s="29" t="s">
        <v>5454</v>
      </c>
      <c r="H1176" s="29" t="s">
        <v>5442</v>
      </c>
      <c r="I1176" s="29" t="s">
        <v>3662</v>
      </c>
      <c r="J1176" s="29" t="s">
        <v>154</v>
      </c>
      <c r="K1176" s="30" t="s">
        <v>44</v>
      </c>
      <c r="L1176" s="31"/>
      <c r="M1176" s="32"/>
    </row>
    <row r="1177" customFormat="false" ht="51" hidden="false" customHeight="true" outlineLevel="0" collapsed="false">
      <c r="B1177" s="29" t="s">
        <v>5455</v>
      </c>
      <c r="C1177" s="29" t="s">
        <v>213</v>
      </c>
      <c r="D1177" s="29" t="s">
        <v>5456</v>
      </c>
      <c r="E1177" s="29" t="s">
        <v>595</v>
      </c>
      <c r="F1177" s="29" t="s">
        <v>5457</v>
      </c>
      <c r="G1177" s="29" t="s">
        <v>5457</v>
      </c>
      <c r="H1177" s="29" t="s">
        <v>5442</v>
      </c>
      <c r="I1177" s="29" t="s">
        <v>3662</v>
      </c>
      <c r="J1177" s="29" t="s">
        <v>154</v>
      </c>
      <c r="K1177" s="30" t="s">
        <v>44</v>
      </c>
      <c r="L1177" s="31"/>
      <c r="M1177" s="32"/>
    </row>
    <row r="1178" customFormat="false" ht="51" hidden="false" customHeight="true" outlineLevel="0" collapsed="false">
      <c r="B1178" s="29" t="s">
        <v>5458</v>
      </c>
      <c r="C1178" s="29" t="s">
        <v>213</v>
      </c>
      <c r="D1178" s="29" t="s">
        <v>5459</v>
      </c>
      <c r="E1178" s="29" t="s">
        <v>595</v>
      </c>
      <c r="F1178" s="29" t="s">
        <v>5460</v>
      </c>
      <c r="G1178" s="29" t="s">
        <v>5460</v>
      </c>
      <c r="H1178" s="29" t="s">
        <v>5461</v>
      </c>
      <c r="I1178" s="29" t="s">
        <v>467</v>
      </c>
      <c r="J1178" s="29" t="s">
        <v>467</v>
      </c>
      <c r="K1178" s="30" t="s">
        <v>44</v>
      </c>
      <c r="L1178" s="31"/>
      <c r="M1178" s="32"/>
    </row>
    <row r="1179" customFormat="false" ht="51" hidden="false" customHeight="true" outlineLevel="0" collapsed="false">
      <c r="B1179" s="29" t="s">
        <v>5462</v>
      </c>
      <c r="C1179" s="29" t="s">
        <v>213</v>
      </c>
      <c r="D1179" s="29" t="s">
        <v>5463</v>
      </c>
      <c r="E1179" s="29" t="s">
        <v>595</v>
      </c>
      <c r="F1179" s="29" t="s">
        <v>5464</v>
      </c>
      <c r="G1179" s="29" t="s">
        <v>5464</v>
      </c>
      <c r="H1179" s="29" t="s">
        <v>5465</v>
      </c>
      <c r="I1179" s="29" t="s">
        <v>467</v>
      </c>
      <c r="J1179" s="29" t="s">
        <v>467</v>
      </c>
      <c r="K1179" s="30" t="s">
        <v>44</v>
      </c>
      <c r="L1179" s="31"/>
      <c r="M1179" s="32"/>
    </row>
    <row r="1180" customFormat="false" ht="51" hidden="false" customHeight="true" outlineLevel="0" collapsed="false">
      <c r="B1180" s="29" t="s">
        <v>5466</v>
      </c>
      <c r="C1180" s="29" t="s">
        <v>213</v>
      </c>
      <c r="D1180" s="29" t="s">
        <v>5467</v>
      </c>
      <c r="E1180" s="29" t="s">
        <v>595</v>
      </c>
      <c r="F1180" s="29" t="s">
        <v>5468</v>
      </c>
      <c r="G1180" s="29" t="s">
        <v>5469</v>
      </c>
      <c r="H1180" s="29" t="s">
        <v>5470</v>
      </c>
      <c r="I1180" s="29" t="s">
        <v>3662</v>
      </c>
      <c r="J1180" s="29" t="s">
        <v>154</v>
      </c>
      <c r="K1180" s="30" t="s">
        <v>44</v>
      </c>
      <c r="L1180" s="31"/>
      <c r="M1180" s="32"/>
    </row>
    <row r="1181" customFormat="false" ht="51" hidden="false" customHeight="true" outlineLevel="0" collapsed="false">
      <c r="B1181" s="29" t="s">
        <v>5471</v>
      </c>
      <c r="C1181" s="29" t="s">
        <v>213</v>
      </c>
      <c r="D1181" s="29" t="s">
        <v>5472</v>
      </c>
      <c r="E1181" s="29" t="s">
        <v>595</v>
      </c>
      <c r="F1181" s="29" t="s">
        <v>5473</v>
      </c>
      <c r="G1181" s="29" t="s">
        <v>5473</v>
      </c>
      <c r="H1181" s="29" t="s">
        <v>5465</v>
      </c>
      <c r="I1181" s="29" t="s">
        <v>467</v>
      </c>
      <c r="J1181" s="29" t="s">
        <v>467</v>
      </c>
      <c r="K1181" s="30" t="s">
        <v>44</v>
      </c>
      <c r="L1181" s="31"/>
      <c r="M1181" s="32"/>
    </row>
    <row r="1182" customFormat="false" ht="51" hidden="false" customHeight="true" outlineLevel="0" collapsed="false">
      <c r="B1182" s="29" t="s">
        <v>5474</v>
      </c>
      <c r="C1182" s="29" t="s">
        <v>213</v>
      </c>
      <c r="D1182" s="29" t="s">
        <v>5475</v>
      </c>
      <c r="E1182" s="29" t="s">
        <v>595</v>
      </c>
      <c r="F1182" s="29" t="s">
        <v>5476</v>
      </c>
      <c r="G1182" s="29" t="s">
        <v>5476</v>
      </c>
      <c r="H1182" s="29" t="s">
        <v>5465</v>
      </c>
      <c r="I1182" s="29" t="s">
        <v>467</v>
      </c>
      <c r="J1182" s="29" t="s">
        <v>467</v>
      </c>
      <c r="K1182" s="30" t="s">
        <v>44</v>
      </c>
      <c r="L1182" s="31"/>
      <c r="M1182" s="32"/>
    </row>
    <row r="1183" customFormat="false" ht="51" hidden="false" customHeight="true" outlineLevel="0" collapsed="false">
      <c r="B1183" s="29" t="s">
        <v>5477</v>
      </c>
      <c r="C1183" s="29" t="s">
        <v>213</v>
      </c>
      <c r="D1183" s="29" t="s">
        <v>5478</v>
      </c>
      <c r="E1183" s="29" t="s">
        <v>595</v>
      </c>
      <c r="F1183" s="29" t="s">
        <v>5479</v>
      </c>
      <c r="G1183" s="29" t="s">
        <v>5479</v>
      </c>
      <c r="H1183" s="29" t="s">
        <v>5480</v>
      </c>
      <c r="I1183" s="29" t="s">
        <v>467</v>
      </c>
      <c r="J1183" s="29" t="s">
        <v>467</v>
      </c>
      <c r="K1183" s="30" t="s">
        <v>44</v>
      </c>
      <c r="L1183" s="31"/>
      <c r="M1183" s="32"/>
    </row>
    <row r="1184" customFormat="false" ht="51" hidden="false" customHeight="true" outlineLevel="0" collapsed="false">
      <c r="B1184" s="29" t="s">
        <v>5481</v>
      </c>
      <c r="C1184" s="29" t="s">
        <v>213</v>
      </c>
      <c r="D1184" s="29" t="s">
        <v>5482</v>
      </c>
      <c r="E1184" s="29" t="s">
        <v>595</v>
      </c>
      <c r="F1184" s="29" t="s">
        <v>5483</v>
      </c>
      <c r="G1184" s="29" t="s">
        <v>5483</v>
      </c>
      <c r="H1184" s="29" t="s">
        <v>5480</v>
      </c>
      <c r="I1184" s="29" t="s">
        <v>467</v>
      </c>
      <c r="J1184" s="29" t="s">
        <v>467</v>
      </c>
      <c r="K1184" s="30" t="s">
        <v>44</v>
      </c>
      <c r="L1184" s="31"/>
      <c r="M1184" s="32"/>
    </row>
    <row r="1185" customFormat="false" ht="51" hidden="false" customHeight="true" outlineLevel="0" collapsed="false">
      <c r="B1185" s="29" t="s">
        <v>5484</v>
      </c>
      <c r="C1185" s="29" t="s">
        <v>213</v>
      </c>
      <c r="D1185" s="29" t="s">
        <v>5485</v>
      </c>
      <c r="E1185" s="29" t="s">
        <v>595</v>
      </c>
      <c r="F1185" s="29" t="s">
        <v>5486</v>
      </c>
      <c r="G1185" s="29" t="s">
        <v>5486</v>
      </c>
      <c r="H1185" s="29" t="s">
        <v>5487</v>
      </c>
      <c r="I1185" s="29" t="s">
        <v>3662</v>
      </c>
      <c r="J1185" s="29" t="s">
        <v>154</v>
      </c>
      <c r="K1185" s="30" t="s">
        <v>44</v>
      </c>
      <c r="L1185" s="31"/>
      <c r="M1185" s="32"/>
    </row>
    <row r="1186" customFormat="false" ht="51" hidden="false" customHeight="true" outlineLevel="0" collapsed="false">
      <c r="B1186" s="29" t="s">
        <v>5488</v>
      </c>
      <c r="C1186" s="29" t="s">
        <v>213</v>
      </c>
      <c r="D1186" s="29" t="s">
        <v>5489</v>
      </c>
      <c r="E1186" s="29" t="s">
        <v>595</v>
      </c>
      <c r="F1186" s="29" t="s">
        <v>5490</v>
      </c>
      <c r="G1186" s="29" t="s">
        <v>5490</v>
      </c>
      <c r="H1186" s="29" t="s">
        <v>5487</v>
      </c>
      <c r="I1186" s="29" t="s">
        <v>3662</v>
      </c>
      <c r="J1186" s="29" t="s">
        <v>154</v>
      </c>
      <c r="K1186" s="30" t="s">
        <v>44</v>
      </c>
      <c r="L1186" s="31"/>
      <c r="M1186" s="32"/>
    </row>
    <row r="1187" customFormat="false" ht="51" hidden="false" customHeight="true" outlineLevel="0" collapsed="false">
      <c r="B1187" s="29" t="s">
        <v>5491</v>
      </c>
      <c r="C1187" s="29" t="s">
        <v>213</v>
      </c>
      <c r="D1187" s="29" t="s">
        <v>5492</v>
      </c>
      <c r="E1187" s="29" t="s">
        <v>595</v>
      </c>
      <c r="F1187" s="29" t="s">
        <v>5493</v>
      </c>
      <c r="G1187" s="29" t="s">
        <v>5494</v>
      </c>
      <c r="H1187" s="29" t="s">
        <v>5495</v>
      </c>
      <c r="I1187" s="29" t="s">
        <v>467</v>
      </c>
      <c r="J1187" s="29" t="s">
        <v>467</v>
      </c>
      <c r="K1187" s="30" t="s">
        <v>44</v>
      </c>
      <c r="L1187" s="31"/>
      <c r="M1187" s="32"/>
    </row>
    <row r="1188" customFormat="false" ht="51" hidden="false" customHeight="true" outlineLevel="0" collapsed="false">
      <c r="B1188" s="29" t="s">
        <v>5496</v>
      </c>
      <c r="C1188" s="29" t="s">
        <v>213</v>
      </c>
      <c r="D1188" s="29" t="s">
        <v>5497</v>
      </c>
      <c r="E1188" s="29" t="s">
        <v>595</v>
      </c>
      <c r="F1188" s="29" t="s">
        <v>5498</v>
      </c>
      <c r="G1188" s="29" t="s">
        <v>5499</v>
      </c>
      <c r="H1188" s="29" t="s">
        <v>5500</v>
      </c>
      <c r="I1188" s="29" t="s">
        <v>3662</v>
      </c>
      <c r="J1188" s="29" t="s">
        <v>154</v>
      </c>
      <c r="K1188" s="30" t="s">
        <v>44</v>
      </c>
      <c r="L1188" s="31"/>
      <c r="M1188" s="32"/>
    </row>
    <row r="1189" customFormat="false" ht="51" hidden="false" customHeight="true" outlineLevel="0" collapsed="false">
      <c r="B1189" s="29" t="s">
        <v>5501</v>
      </c>
      <c r="C1189" s="29" t="s">
        <v>213</v>
      </c>
      <c r="D1189" s="29" t="s">
        <v>5502</v>
      </c>
      <c r="E1189" s="29" t="s">
        <v>538</v>
      </c>
      <c r="F1189" s="29" t="s">
        <v>5503</v>
      </c>
      <c r="G1189" s="29" t="s">
        <v>5503</v>
      </c>
      <c r="H1189" s="29" t="s">
        <v>5500</v>
      </c>
      <c r="I1189" s="29" t="s">
        <v>42</v>
      </c>
      <c r="J1189" s="29" t="s">
        <v>43</v>
      </c>
      <c r="K1189" s="30" t="s">
        <v>44</v>
      </c>
      <c r="L1189" s="31"/>
      <c r="M1189" s="32"/>
    </row>
    <row r="1190" customFormat="false" ht="51" hidden="false" customHeight="true" outlineLevel="0" collapsed="false">
      <c r="B1190" s="29" t="s">
        <v>5504</v>
      </c>
      <c r="C1190" s="29" t="s">
        <v>213</v>
      </c>
      <c r="D1190" s="29" t="s">
        <v>5505</v>
      </c>
      <c r="E1190" s="29" t="s">
        <v>356</v>
      </c>
      <c r="F1190" s="29" t="s">
        <v>5506</v>
      </c>
      <c r="G1190" s="29" t="s">
        <v>5507</v>
      </c>
      <c r="H1190" s="29" t="s">
        <v>5500</v>
      </c>
      <c r="I1190" s="29" t="s">
        <v>301</v>
      </c>
      <c r="J1190" s="29" t="s">
        <v>201</v>
      </c>
      <c r="K1190" s="30" t="s">
        <v>44</v>
      </c>
      <c r="L1190" s="31"/>
      <c r="M1190" s="32"/>
    </row>
    <row r="1191" customFormat="false" ht="51" hidden="false" customHeight="true" outlineLevel="0" collapsed="false">
      <c r="B1191" s="29" t="s">
        <v>5508</v>
      </c>
      <c r="C1191" s="29" t="s">
        <v>213</v>
      </c>
      <c r="D1191" s="29" t="s">
        <v>5509</v>
      </c>
      <c r="E1191" s="29" t="s">
        <v>538</v>
      </c>
      <c r="F1191" s="29" t="s">
        <v>5510</v>
      </c>
      <c r="G1191" s="29" t="s">
        <v>5510</v>
      </c>
      <c r="H1191" s="29" t="s">
        <v>5495</v>
      </c>
      <c r="I1191" s="29" t="s">
        <v>467</v>
      </c>
      <c r="J1191" s="29" t="s">
        <v>467</v>
      </c>
      <c r="K1191" s="30" t="s">
        <v>44</v>
      </c>
      <c r="L1191" s="31"/>
      <c r="M1191" s="32"/>
    </row>
    <row r="1192" customFormat="false" ht="51" hidden="false" customHeight="true" outlineLevel="0" collapsed="false">
      <c r="B1192" s="29" t="s">
        <v>5511</v>
      </c>
      <c r="C1192" s="29" t="s">
        <v>213</v>
      </c>
      <c r="D1192" s="29" t="s">
        <v>5512</v>
      </c>
      <c r="E1192" s="29" t="s">
        <v>356</v>
      </c>
      <c r="F1192" s="29" t="s">
        <v>5513</v>
      </c>
      <c r="G1192" s="29" t="s">
        <v>5514</v>
      </c>
      <c r="H1192" s="29" t="s">
        <v>5500</v>
      </c>
      <c r="I1192" s="29" t="s">
        <v>301</v>
      </c>
      <c r="J1192" s="29" t="s">
        <v>201</v>
      </c>
      <c r="K1192" s="30" t="s">
        <v>44</v>
      </c>
      <c r="L1192" s="31"/>
      <c r="M1192" s="32"/>
    </row>
    <row r="1193" customFormat="false" ht="51" hidden="false" customHeight="true" outlineLevel="0" collapsed="false">
      <c r="B1193" s="29" t="s">
        <v>5515</v>
      </c>
      <c r="C1193" s="29" t="s">
        <v>213</v>
      </c>
      <c r="D1193" s="29" t="s">
        <v>3633</v>
      </c>
      <c r="E1193" s="29" t="s">
        <v>595</v>
      </c>
      <c r="F1193" s="29" t="s">
        <v>5516</v>
      </c>
      <c r="G1193" s="29" t="s">
        <v>5516</v>
      </c>
      <c r="H1193" s="29" t="s">
        <v>5517</v>
      </c>
      <c r="I1193" s="29" t="s">
        <v>3662</v>
      </c>
      <c r="J1193" s="29" t="s">
        <v>154</v>
      </c>
      <c r="K1193" s="30" t="s">
        <v>44</v>
      </c>
      <c r="L1193" s="31"/>
      <c r="M1193" s="32"/>
    </row>
    <row r="1194" customFormat="false" ht="51" hidden="false" customHeight="true" outlineLevel="0" collapsed="false">
      <c r="B1194" s="29" t="s">
        <v>5518</v>
      </c>
      <c r="C1194" s="29" t="s">
        <v>213</v>
      </c>
      <c r="D1194" s="29" t="s">
        <v>3655</v>
      </c>
      <c r="E1194" s="29" t="s">
        <v>595</v>
      </c>
      <c r="F1194" s="29" t="s">
        <v>5519</v>
      </c>
      <c r="G1194" s="29" t="s">
        <v>5519</v>
      </c>
      <c r="H1194" s="29" t="s">
        <v>5517</v>
      </c>
      <c r="I1194" s="29" t="s">
        <v>3662</v>
      </c>
      <c r="J1194" s="29" t="s">
        <v>154</v>
      </c>
      <c r="K1194" s="30" t="s">
        <v>44</v>
      </c>
      <c r="L1194" s="31"/>
      <c r="M1194" s="32"/>
    </row>
    <row r="1195" customFormat="false" ht="51" hidden="false" customHeight="true" outlineLevel="0" collapsed="false">
      <c r="B1195" s="29" t="s">
        <v>5520</v>
      </c>
      <c r="C1195" s="29" t="s">
        <v>213</v>
      </c>
      <c r="D1195" s="29" t="s">
        <v>5521</v>
      </c>
      <c r="E1195" s="29" t="s">
        <v>595</v>
      </c>
      <c r="F1195" s="29" t="s">
        <v>5522</v>
      </c>
      <c r="G1195" s="29" t="s">
        <v>5522</v>
      </c>
      <c r="H1195" s="29" t="s">
        <v>5523</v>
      </c>
      <c r="I1195" s="29" t="s">
        <v>3662</v>
      </c>
      <c r="J1195" s="29" t="s">
        <v>154</v>
      </c>
      <c r="K1195" s="30" t="s">
        <v>44</v>
      </c>
      <c r="L1195" s="31"/>
      <c r="M1195" s="32"/>
    </row>
    <row r="1196" customFormat="false" ht="51" hidden="false" customHeight="true" outlineLevel="0" collapsed="false">
      <c r="B1196" s="29" t="s">
        <v>5524</v>
      </c>
      <c r="C1196" s="29" t="s">
        <v>213</v>
      </c>
      <c r="D1196" s="29" t="s">
        <v>5525</v>
      </c>
      <c r="E1196" s="29" t="s">
        <v>595</v>
      </c>
      <c r="F1196" s="29" t="s">
        <v>5526</v>
      </c>
      <c r="G1196" s="29" t="s">
        <v>5526</v>
      </c>
      <c r="H1196" s="29" t="s">
        <v>5523</v>
      </c>
      <c r="I1196" s="29" t="s">
        <v>3662</v>
      </c>
      <c r="J1196" s="29" t="s">
        <v>154</v>
      </c>
      <c r="K1196" s="30" t="s">
        <v>44</v>
      </c>
      <c r="L1196" s="31"/>
      <c r="M1196" s="32"/>
    </row>
    <row r="1197" customFormat="false" ht="51" hidden="false" customHeight="true" outlineLevel="0" collapsed="false">
      <c r="B1197" s="29" t="s">
        <v>5527</v>
      </c>
      <c r="C1197" s="29" t="s">
        <v>213</v>
      </c>
      <c r="D1197" s="29" t="s">
        <v>5528</v>
      </c>
      <c r="E1197" s="29" t="s">
        <v>595</v>
      </c>
      <c r="F1197" s="29" t="s">
        <v>5529</v>
      </c>
      <c r="G1197" s="29" t="s">
        <v>5529</v>
      </c>
      <c r="H1197" s="29" t="s">
        <v>5530</v>
      </c>
      <c r="I1197" s="29" t="s">
        <v>3662</v>
      </c>
      <c r="J1197" s="29" t="s">
        <v>154</v>
      </c>
      <c r="K1197" s="30" t="s">
        <v>44</v>
      </c>
      <c r="L1197" s="31"/>
      <c r="M1197" s="32"/>
    </row>
    <row r="1198" customFormat="false" ht="51" hidden="false" customHeight="true" outlineLevel="0" collapsed="false">
      <c r="B1198" s="29" t="s">
        <v>5531</v>
      </c>
      <c r="C1198" s="29" t="s">
        <v>213</v>
      </c>
      <c r="D1198" s="29" t="s">
        <v>5532</v>
      </c>
      <c r="E1198" s="29" t="s">
        <v>595</v>
      </c>
      <c r="F1198" s="29" t="s">
        <v>5533</v>
      </c>
      <c r="G1198" s="29" t="s">
        <v>5533</v>
      </c>
      <c r="H1198" s="29" t="s">
        <v>5530</v>
      </c>
      <c r="I1198" s="29" t="s">
        <v>3662</v>
      </c>
      <c r="J1198" s="29" t="s">
        <v>154</v>
      </c>
      <c r="K1198" s="30" t="s">
        <v>44</v>
      </c>
      <c r="L1198" s="31"/>
      <c r="M1198" s="32"/>
    </row>
    <row r="1199" customFormat="false" ht="51" hidden="false" customHeight="true" outlineLevel="0" collapsed="false">
      <c r="B1199" s="29" t="s">
        <v>5534</v>
      </c>
      <c r="C1199" s="29" t="s">
        <v>213</v>
      </c>
      <c r="D1199" s="29" t="s">
        <v>5535</v>
      </c>
      <c r="E1199" s="29" t="s">
        <v>595</v>
      </c>
      <c r="F1199" s="29" t="s">
        <v>5536</v>
      </c>
      <c r="G1199" s="29" t="s">
        <v>5537</v>
      </c>
      <c r="H1199" s="29" t="s">
        <v>5530</v>
      </c>
      <c r="I1199" s="29" t="s">
        <v>3662</v>
      </c>
      <c r="J1199" s="29" t="s">
        <v>154</v>
      </c>
      <c r="K1199" s="30" t="s">
        <v>44</v>
      </c>
      <c r="L1199" s="31"/>
      <c r="M1199" s="32"/>
    </row>
    <row r="1200" customFormat="false" ht="51" hidden="false" customHeight="true" outlineLevel="0" collapsed="false">
      <c r="B1200" s="29" t="s">
        <v>5538</v>
      </c>
      <c r="C1200" s="29" t="s">
        <v>213</v>
      </c>
      <c r="D1200" s="29" t="s">
        <v>5539</v>
      </c>
      <c r="E1200" s="29" t="s">
        <v>595</v>
      </c>
      <c r="F1200" s="29" t="s">
        <v>5540</v>
      </c>
      <c r="G1200" s="29" t="s">
        <v>5540</v>
      </c>
      <c r="H1200" s="29" t="s">
        <v>5530</v>
      </c>
      <c r="I1200" s="29" t="s">
        <v>3662</v>
      </c>
      <c r="J1200" s="29" t="s">
        <v>154</v>
      </c>
      <c r="K1200" s="30" t="s">
        <v>44</v>
      </c>
      <c r="L1200" s="31"/>
      <c r="M1200" s="32"/>
    </row>
    <row r="1201" customFormat="false" ht="51" hidden="false" customHeight="true" outlineLevel="0" collapsed="false">
      <c r="B1201" s="29" t="s">
        <v>5541</v>
      </c>
      <c r="C1201" s="29" t="s">
        <v>213</v>
      </c>
      <c r="D1201" s="29" t="s">
        <v>5542</v>
      </c>
      <c r="E1201" s="29" t="s">
        <v>220</v>
      </c>
      <c r="F1201" s="29" t="s">
        <v>5543</v>
      </c>
      <c r="G1201" s="29" t="s">
        <v>5543</v>
      </c>
      <c r="H1201" s="29" t="s">
        <v>5530</v>
      </c>
      <c r="I1201" s="29" t="s">
        <v>4333</v>
      </c>
      <c r="J1201" s="29" t="s">
        <v>5544</v>
      </c>
      <c r="K1201" s="30" t="s">
        <v>44</v>
      </c>
      <c r="L1201" s="31"/>
      <c r="M1201" s="32"/>
    </row>
    <row r="1202" customFormat="false" ht="51" hidden="false" customHeight="true" outlineLevel="0" collapsed="false">
      <c r="B1202" s="29" t="s">
        <v>5545</v>
      </c>
      <c r="C1202" s="29" t="s">
        <v>213</v>
      </c>
      <c r="D1202" s="29" t="s">
        <v>3664</v>
      </c>
      <c r="E1202" s="29" t="s">
        <v>538</v>
      </c>
      <c r="F1202" s="29" t="s">
        <v>5546</v>
      </c>
      <c r="G1202" s="29" t="s">
        <v>5546</v>
      </c>
      <c r="H1202" s="29" t="s">
        <v>5547</v>
      </c>
      <c r="I1202" s="29" t="s">
        <v>285</v>
      </c>
      <c r="J1202" s="29" t="s">
        <v>189</v>
      </c>
      <c r="K1202" s="30" t="s">
        <v>44</v>
      </c>
      <c r="L1202" s="31"/>
      <c r="M1202" s="32"/>
    </row>
    <row r="1203" customFormat="false" ht="51" hidden="false" customHeight="true" outlineLevel="0" collapsed="false">
      <c r="B1203" s="29" t="s">
        <v>5548</v>
      </c>
      <c r="C1203" s="29" t="s">
        <v>213</v>
      </c>
      <c r="D1203" s="29" t="s">
        <v>3668</v>
      </c>
      <c r="E1203" s="29" t="s">
        <v>538</v>
      </c>
      <c r="F1203" s="29" t="s">
        <v>5549</v>
      </c>
      <c r="G1203" s="29" t="s">
        <v>5549</v>
      </c>
      <c r="H1203" s="29" t="s">
        <v>5550</v>
      </c>
      <c r="I1203" s="29" t="s">
        <v>467</v>
      </c>
      <c r="J1203" s="29" t="s">
        <v>467</v>
      </c>
      <c r="K1203" s="30" t="s">
        <v>44</v>
      </c>
      <c r="L1203" s="31"/>
      <c r="M1203" s="32"/>
    </row>
    <row r="1204" customFormat="false" ht="51" hidden="false" customHeight="true" outlineLevel="0" collapsed="false">
      <c r="B1204" s="29" t="s">
        <v>5551</v>
      </c>
      <c r="C1204" s="29" t="s">
        <v>213</v>
      </c>
      <c r="D1204" s="29" t="s">
        <v>3671</v>
      </c>
      <c r="E1204" s="29" t="s">
        <v>89</v>
      </c>
      <c r="F1204" s="29" t="s">
        <v>5552</v>
      </c>
      <c r="G1204" s="29" t="s">
        <v>5553</v>
      </c>
      <c r="H1204" s="29" t="s">
        <v>5547</v>
      </c>
      <c r="I1204" s="29" t="s">
        <v>42</v>
      </c>
      <c r="J1204" s="29" t="s">
        <v>260</v>
      </c>
      <c r="K1204" s="30" t="s">
        <v>44</v>
      </c>
      <c r="L1204" s="31"/>
      <c r="M1204" s="32"/>
    </row>
    <row r="1205" customFormat="false" ht="51" hidden="false" customHeight="true" outlineLevel="0" collapsed="false">
      <c r="B1205" s="29" t="s">
        <v>5554</v>
      </c>
      <c r="C1205" s="29" t="s">
        <v>213</v>
      </c>
      <c r="D1205" s="29" t="s">
        <v>3678</v>
      </c>
      <c r="E1205" s="29" t="s">
        <v>89</v>
      </c>
      <c r="F1205" s="29" t="s">
        <v>5555</v>
      </c>
      <c r="G1205" s="29" t="s">
        <v>5556</v>
      </c>
      <c r="H1205" s="29" t="s">
        <v>5547</v>
      </c>
      <c r="I1205" s="29" t="s">
        <v>3808</v>
      </c>
      <c r="J1205" s="29" t="s">
        <v>2512</v>
      </c>
      <c r="K1205" s="30" t="s">
        <v>44</v>
      </c>
      <c r="L1205" s="31"/>
      <c r="M1205" s="32"/>
    </row>
    <row r="1206" customFormat="false" ht="51" hidden="false" customHeight="true" outlineLevel="0" collapsed="false">
      <c r="B1206" s="29" t="s">
        <v>5557</v>
      </c>
      <c r="C1206" s="29" t="s">
        <v>213</v>
      </c>
      <c r="D1206" s="29" t="s">
        <v>5558</v>
      </c>
      <c r="E1206" s="29" t="s">
        <v>89</v>
      </c>
      <c r="F1206" s="29" t="s">
        <v>5559</v>
      </c>
      <c r="G1206" s="29" t="s">
        <v>5559</v>
      </c>
      <c r="H1206" s="29" t="s">
        <v>5560</v>
      </c>
      <c r="I1206" s="29" t="s">
        <v>3808</v>
      </c>
      <c r="J1206" s="29" t="s">
        <v>2512</v>
      </c>
      <c r="K1206" s="30" t="s">
        <v>44</v>
      </c>
      <c r="L1206" s="31"/>
      <c r="M1206" s="32"/>
    </row>
    <row r="1207" customFormat="false" ht="51" hidden="false" customHeight="true" outlineLevel="0" collapsed="false">
      <c r="B1207" s="29" t="s">
        <v>5561</v>
      </c>
      <c r="C1207" s="29" t="s">
        <v>213</v>
      </c>
      <c r="D1207" s="29" t="s">
        <v>5562</v>
      </c>
      <c r="E1207" s="29" t="s">
        <v>89</v>
      </c>
      <c r="F1207" s="29" t="s">
        <v>5563</v>
      </c>
      <c r="G1207" s="29" t="s">
        <v>5564</v>
      </c>
      <c r="H1207" s="29" t="s">
        <v>5560</v>
      </c>
      <c r="I1207" s="29" t="s">
        <v>42</v>
      </c>
      <c r="J1207" s="29" t="s">
        <v>260</v>
      </c>
      <c r="K1207" s="30" t="s">
        <v>44</v>
      </c>
      <c r="L1207" s="31"/>
      <c r="M1207" s="32"/>
    </row>
    <row r="1208" customFormat="false" ht="51" hidden="false" customHeight="true" outlineLevel="0" collapsed="false">
      <c r="B1208" s="29" t="s">
        <v>5565</v>
      </c>
      <c r="C1208" s="29" t="s">
        <v>213</v>
      </c>
      <c r="D1208" s="29" t="s">
        <v>5566</v>
      </c>
      <c r="E1208" s="29" t="s">
        <v>89</v>
      </c>
      <c r="F1208" s="29" t="s">
        <v>5567</v>
      </c>
      <c r="G1208" s="29" t="s">
        <v>5567</v>
      </c>
      <c r="H1208" s="29" t="s">
        <v>5560</v>
      </c>
      <c r="I1208" s="29" t="s">
        <v>3808</v>
      </c>
      <c r="J1208" s="29" t="s">
        <v>2512</v>
      </c>
      <c r="K1208" s="30" t="s">
        <v>44</v>
      </c>
      <c r="L1208" s="31"/>
      <c r="M1208" s="32"/>
    </row>
    <row r="1209" customFormat="false" ht="51" hidden="false" customHeight="true" outlineLevel="0" collapsed="false">
      <c r="B1209" s="29" t="s">
        <v>5568</v>
      </c>
      <c r="C1209" s="29" t="s">
        <v>213</v>
      </c>
      <c r="D1209" s="29" t="s">
        <v>5569</v>
      </c>
      <c r="E1209" s="29" t="s">
        <v>89</v>
      </c>
      <c r="F1209" s="29" t="s">
        <v>5570</v>
      </c>
      <c r="G1209" s="29" t="s">
        <v>5571</v>
      </c>
      <c r="H1209" s="29" t="s">
        <v>5560</v>
      </c>
      <c r="I1209" s="29" t="s">
        <v>3808</v>
      </c>
      <c r="J1209" s="29" t="s">
        <v>2512</v>
      </c>
      <c r="K1209" s="30" t="s">
        <v>44</v>
      </c>
      <c r="L1209" s="31"/>
      <c r="M1209" s="32"/>
    </row>
    <row r="1210" customFormat="false" ht="51" hidden="false" customHeight="true" outlineLevel="0" collapsed="false">
      <c r="B1210" s="29" t="s">
        <v>5572</v>
      </c>
      <c r="C1210" s="29" t="s">
        <v>213</v>
      </c>
      <c r="D1210" s="29" t="s">
        <v>3852</v>
      </c>
      <c r="E1210" s="29" t="s">
        <v>595</v>
      </c>
      <c r="F1210" s="29" t="s">
        <v>5573</v>
      </c>
      <c r="G1210" s="29" t="s">
        <v>5573</v>
      </c>
      <c r="H1210" s="29" t="s">
        <v>5574</v>
      </c>
      <c r="I1210" s="29" t="s">
        <v>3808</v>
      </c>
      <c r="J1210" s="29" t="s">
        <v>2089</v>
      </c>
      <c r="K1210" s="30" t="s">
        <v>44</v>
      </c>
      <c r="L1210" s="31"/>
      <c r="M1210" s="32"/>
    </row>
    <row r="1211" customFormat="false" ht="51" hidden="false" customHeight="true" outlineLevel="0" collapsed="false">
      <c r="B1211" s="29" t="s">
        <v>5575</v>
      </c>
      <c r="C1211" s="29" t="s">
        <v>213</v>
      </c>
      <c r="D1211" s="29" t="s">
        <v>3856</v>
      </c>
      <c r="E1211" s="29" t="s">
        <v>39</v>
      </c>
      <c r="F1211" s="29" t="s">
        <v>5576</v>
      </c>
      <c r="G1211" s="29" t="s">
        <v>5576</v>
      </c>
      <c r="H1211" s="29" t="s">
        <v>5574</v>
      </c>
      <c r="I1211" s="29" t="s">
        <v>42</v>
      </c>
      <c r="J1211" s="29" t="s">
        <v>43</v>
      </c>
      <c r="K1211" s="30" t="s">
        <v>44</v>
      </c>
      <c r="L1211" s="31"/>
      <c r="M1211" s="32"/>
    </row>
    <row r="1212" customFormat="false" ht="51" hidden="false" customHeight="true" outlineLevel="0" collapsed="false">
      <c r="B1212" s="29" t="s">
        <v>5577</v>
      </c>
      <c r="C1212" s="29" t="s">
        <v>213</v>
      </c>
      <c r="D1212" s="29" t="s">
        <v>3860</v>
      </c>
      <c r="E1212" s="29" t="s">
        <v>595</v>
      </c>
      <c r="F1212" s="29" t="s">
        <v>5578</v>
      </c>
      <c r="G1212" s="29" t="s">
        <v>5578</v>
      </c>
      <c r="H1212" s="29" t="s">
        <v>5574</v>
      </c>
      <c r="I1212" s="29" t="s">
        <v>3662</v>
      </c>
      <c r="J1212" s="29" t="s">
        <v>154</v>
      </c>
      <c r="K1212" s="30" t="s">
        <v>44</v>
      </c>
      <c r="L1212" s="31"/>
      <c r="M1212" s="32"/>
    </row>
    <row r="1213" customFormat="false" ht="51" hidden="false" customHeight="true" outlineLevel="0" collapsed="false">
      <c r="B1213" s="29" t="s">
        <v>5579</v>
      </c>
      <c r="C1213" s="29" t="s">
        <v>213</v>
      </c>
      <c r="D1213" s="29" t="s">
        <v>3864</v>
      </c>
      <c r="E1213" s="29" t="s">
        <v>595</v>
      </c>
      <c r="F1213" s="29" t="s">
        <v>5580</v>
      </c>
      <c r="G1213" s="29" t="s">
        <v>5581</v>
      </c>
      <c r="H1213" s="29" t="s">
        <v>5574</v>
      </c>
      <c r="I1213" s="29" t="s">
        <v>3662</v>
      </c>
      <c r="J1213" s="29" t="s">
        <v>154</v>
      </c>
      <c r="K1213" s="30" t="s">
        <v>44</v>
      </c>
      <c r="L1213" s="31"/>
      <c r="M1213" s="32"/>
    </row>
    <row r="1214" customFormat="false" ht="51" hidden="false" customHeight="true" outlineLevel="0" collapsed="false">
      <c r="B1214" s="29" t="s">
        <v>5582</v>
      </c>
      <c r="C1214" s="29" t="s">
        <v>213</v>
      </c>
      <c r="D1214" s="29" t="s">
        <v>3868</v>
      </c>
      <c r="E1214" s="29" t="s">
        <v>595</v>
      </c>
      <c r="F1214" s="29" t="s">
        <v>5583</v>
      </c>
      <c r="G1214" s="29" t="s">
        <v>5583</v>
      </c>
      <c r="H1214" s="29" t="s">
        <v>5574</v>
      </c>
      <c r="I1214" s="29" t="s">
        <v>3662</v>
      </c>
      <c r="J1214" s="29" t="s">
        <v>154</v>
      </c>
      <c r="K1214" s="30" t="s">
        <v>44</v>
      </c>
      <c r="L1214" s="31"/>
      <c r="M1214" s="32"/>
    </row>
    <row r="1215" customFormat="false" ht="51" hidden="false" customHeight="true" outlineLevel="0" collapsed="false">
      <c r="B1215" s="29" t="s">
        <v>5584</v>
      </c>
      <c r="C1215" s="29" t="s">
        <v>213</v>
      </c>
      <c r="D1215" s="29" t="s">
        <v>5585</v>
      </c>
      <c r="E1215" s="29" t="s">
        <v>265</v>
      </c>
      <c r="F1215" s="29" t="s">
        <v>5586</v>
      </c>
      <c r="G1215" s="29" t="s">
        <v>5586</v>
      </c>
      <c r="H1215" s="29" t="s">
        <v>5574</v>
      </c>
      <c r="I1215" s="29" t="s">
        <v>42</v>
      </c>
      <c r="J1215" s="29" t="s">
        <v>269</v>
      </c>
      <c r="K1215" s="30" t="s">
        <v>44</v>
      </c>
      <c r="L1215" s="31"/>
      <c r="M1215" s="32"/>
    </row>
    <row r="1216" customFormat="false" ht="51" hidden="false" customHeight="true" outlineLevel="0" collapsed="false">
      <c r="B1216" s="29" t="s">
        <v>5587</v>
      </c>
      <c r="C1216" s="29" t="s">
        <v>213</v>
      </c>
      <c r="D1216" s="29" t="s">
        <v>5588</v>
      </c>
      <c r="E1216" s="29" t="s">
        <v>595</v>
      </c>
      <c r="F1216" s="29" t="s">
        <v>5589</v>
      </c>
      <c r="G1216" s="29" t="s">
        <v>5589</v>
      </c>
      <c r="H1216" s="29" t="s">
        <v>5590</v>
      </c>
      <c r="I1216" s="29" t="s">
        <v>467</v>
      </c>
      <c r="J1216" s="29" t="s">
        <v>467</v>
      </c>
      <c r="K1216" s="30" t="s">
        <v>44</v>
      </c>
      <c r="L1216" s="31"/>
      <c r="M1216" s="32"/>
    </row>
    <row r="1217" customFormat="false" ht="51" hidden="false" customHeight="true" outlineLevel="0" collapsed="false">
      <c r="B1217" s="29" t="s">
        <v>5591</v>
      </c>
      <c r="C1217" s="29" t="s">
        <v>213</v>
      </c>
      <c r="D1217" s="29" t="s">
        <v>5592</v>
      </c>
      <c r="E1217" s="29" t="s">
        <v>538</v>
      </c>
      <c r="F1217" s="29" t="s">
        <v>5593</v>
      </c>
      <c r="G1217" s="29" t="s">
        <v>5593</v>
      </c>
      <c r="H1217" s="29" t="s">
        <v>5590</v>
      </c>
      <c r="I1217" s="29" t="s">
        <v>467</v>
      </c>
      <c r="J1217" s="29" t="s">
        <v>467</v>
      </c>
      <c r="K1217" s="30" t="s">
        <v>44</v>
      </c>
      <c r="L1217" s="31"/>
      <c r="M1217" s="32"/>
    </row>
    <row r="1218" customFormat="false" ht="51" hidden="false" customHeight="true" outlineLevel="0" collapsed="false">
      <c r="B1218" s="29" t="s">
        <v>5594</v>
      </c>
      <c r="C1218" s="29" t="s">
        <v>213</v>
      </c>
      <c r="D1218" s="29" t="s">
        <v>5595</v>
      </c>
      <c r="E1218" s="29" t="s">
        <v>356</v>
      </c>
      <c r="F1218" s="29" t="s">
        <v>5596</v>
      </c>
      <c r="G1218" s="29" t="s">
        <v>5597</v>
      </c>
      <c r="H1218" s="29" t="s">
        <v>5574</v>
      </c>
      <c r="I1218" s="29" t="s">
        <v>301</v>
      </c>
      <c r="J1218" s="29" t="s">
        <v>201</v>
      </c>
      <c r="K1218" s="30" t="s">
        <v>44</v>
      </c>
      <c r="L1218" s="31"/>
      <c r="M1218" s="32"/>
    </row>
    <row r="1219" customFormat="false" ht="51" hidden="false" customHeight="true" outlineLevel="0" collapsed="false">
      <c r="B1219" s="29" t="s">
        <v>5598</v>
      </c>
      <c r="C1219" s="29" t="s">
        <v>213</v>
      </c>
      <c r="D1219" s="29" t="s">
        <v>3872</v>
      </c>
      <c r="E1219" s="29" t="s">
        <v>89</v>
      </c>
      <c r="F1219" s="29" t="s">
        <v>5599</v>
      </c>
      <c r="G1219" s="29" t="s">
        <v>5599</v>
      </c>
      <c r="H1219" s="29" t="s">
        <v>5600</v>
      </c>
      <c r="I1219" s="29" t="s">
        <v>3808</v>
      </c>
      <c r="J1219" s="29" t="s">
        <v>2512</v>
      </c>
      <c r="K1219" s="30" t="s">
        <v>44</v>
      </c>
      <c r="L1219" s="31"/>
      <c r="M1219" s="32"/>
    </row>
    <row r="1220" customFormat="false" ht="51" hidden="false" customHeight="true" outlineLevel="0" collapsed="false">
      <c r="B1220" s="29" t="s">
        <v>5601</v>
      </c>
      <c r="C1220" s="29" t="s">
        <v>213</v>
      </c>
      <c r="D1220" s="29" t="s">
        <v>3876</v>
      </c>
      <c r="E1220" s="29" t="s">
        <v>538</v>
      </c>
      <c r="F1220" s="29" t="s">
        <v>5602</v>
      </c>
      <c r="G1220" s="29" t="s">
        <v>5602</v>
      </c>
      <c r="H1220" s="29" t="s">
        <v>5603</v>
      </c>
      <c r="I1220" s="29" t="s">
        <v>467</v>
      </c>
      <c r="J1220" s="29" t="s">
        <v>467</v>
      </c>
      <c r="K1220" s="30" t="s">
        <v>44</v>
      </c>
      <c r="L1220" s="31"/>
      <c r="M1220" s="32"/>
    </row>
    <row r="1221" customFormat="false" ht="51" hidden="false" customHeight="true" outlineLevel="0" collapsed="false">
      <c r="B1221" s="29" t="s">
        <v>5604</v>
      </c>
      <c r="C1221" s="29" t="s">
        <v>213</v>
      </c>
      <c r="D1221" s="29" t="s">
        <v>3881</v>
      </c>
      <c r="E1221" s="29" t="s">
        <v>538</v>
      </c>
      <c r="F1221" s="29" t="s">
        <v>5605</v>
      </c>
      <c r="G1221" s="29" t="s">
        <v>5605</v>
      </c>
      <c r="H1221" s="29" t="s">
        <v>5603</v>
      </c>
      <c r="I1221" s="29" t="s">
        <v>467</v>
      </c>
      <c r="J1221" s="29" t="s">
        <v>467</v>
      </c>
      <c r="K1221" s="30" t="s">
        <v>44</v>
      </c>
      <c r="L1221" s="31"/>
      <c r="M1221" s="32"/>
    </row>
    <row r="1222" customFormat="false" ht="51" hidden="false" customHeight="true" outlineLevel="0" collapsed="false">
      <c r="B1222" s="29" t="s">
        <v>5606</v>
      </c>
      <c r="C1222" s="29" t="s">
        <v>213</v>
      </c>
      <c r="D1222" s="29" t="s">
        <v>3885</v>
      </c>
      <c r="E1222" s="29" t="s">
        <v>89</v>
      </c>
      <c r="F1222" s="29" t="s">
        <v>5607</v>
      </c>
      <c r="G1222" s="29" t="s">
        <v>5608</v>
      </c>
      <c r="H1222" s="29" t="s">
        <v>5600</v>
      </c>
      <c r="I1222" s="29" t="s">
        <v>3939</v>
      </c>
      <c r="J1222" s="29" t="s">
        <v>5609</v>
      </c>
      <c r="K1222" s="30" t="s">
        <v>44</v>
      </c>
      <c r="L1222" s="31"/>
      <c r="M1222" s="32"/>
    </row>
    <row r="1223" customFormat="false" ht="51" hidden="false" customHeight="true" outlineLevel="0" collapsed="false">
      <c r="B1223" s="29" t="s">
        <v>5610</v>
      </c>
      <c r="C1223" s="29" t="s">
        <v>213</v>
      </c>
      <c r="D1223" s="29" t="s">
        <v>3888</v>
      </c>
      <c r="E1223" s="29" t="s">
        <v>538</v>
      </c>
      <c r="F1223" s="29" t="s">
        <v>5611</v>
      </c>
      <c r="G1223" s="29" t="s">
        <v>5611</v>
      </c>
      <c r="H1223" s="29" t="s">
        <v>5603</v>
      </c>
      <c r="I1223" s="29" t="s">
        <v>467</v>
      </c>
      <c r="J1223" s="29" t="s">
        <v>467</v>
      </c>
      <c r="K1223" s="30" t="s">
        <v>44</v>
      </c>
      <c r="L1223" s="31"/>
      <c r="M1223" s="32"/>
    </row>
    <row r="1224" customFormat="false" ht="51" hidden="false" customHeight="true" outlineLevel="0" collapsed="false">
      <c r="B1224" s="29" t="s">
        <v>5612</v>
      </c>
      <c r="C1224" s="29" t="s">
        <v>213</v>
      </c>
      <c r="D1224" s="29" t="s">
        <v>3892</v>
      </c>
      <c r="E1224" s="29" t="s">
        <v>595</v>
      </c>
      <c r="F1224" s="29" t="s">
        <v>5613</v>
      </c>
      <c r="G1224" s="29" t="s">
        <v>5613</v>
      </c>
      <c r="H1224" s="29" t="s">
        <v>5600</v>
      </c>
      <c r="I1224" s="29" t="s">
        <v>3662</v>
      </c>
      <c r="J1224" s="29" t="s">
        <v>154</v>
      </c>
      <c r="K1224" s="30" t="s">
        <v>44</v>
      </c>
      <c r="L1224" s="31"/>
      <c r="M1224" s="32"/>
    </row>
    <row r="1225" customFormat="false" ht="51" hidden="false" customHeight="true" outlineLevel="0" collapsed="false">
      <c r="B1225" s="29" t="s">
        <v>5614</v>
      </c>
      <c r="C1225" s="29" t="s">
        <v>213</v>
      </c>
      <c r="D1225" s="29" t="s">
        <v>3916</v>
      </c>
      <c r="E1225" s="29" t="s">
        <v>89</v>
      </c>
      <c r="F1225" s="29" t="s">
        <v>5615</v>
      </c>
      <c r="G1225" s="29" t="s">
        <v>5615</v>
      </c>
      <c r="H1225" s="29" t="s">
        <v>5616</v>
      </c>
      <c r="I1225" s="29" t="s">
        <v>42</v>
      </c>
      <c r="J1225" s="29" t="s">
        <v>260</v>
      </c>
      <c r="K1225" s="30" t="s">
        <v>44</v>
      </c>
      <c r="L1225" s="31"/>
      <c r="M1225" s="32"/>
    </row>
    <row r="1226" customFormat="false" ht="51" hidden="false" customHeight="true" outlineLevel="0" collapsed="false">
      <c r="B1226" s="29" t="s">
        <v>5617</v>
      </c>
      <c r="C1226" s="29" t="s">
        <v>213</v>
      </c>
      <c r="D1226" s="29" t="s">
        <v>3921</v>
      </c>
      <c r="E1226" s="29" t="s">
        <v>89</v>
      </c>
      <c r="F1226" s="29" t="s">
        <v>5618</v>
      </c>
      <c r="G1226" s="29" t="s">
        <v>5618</v>
      </c>
      <c r="H1226" s="29" t="s">
        <v>5616</v>
      </c>
      <c r="I1226" s="29" t="s">
        <v>42</v>
      </c>
      <c r="J1226" s="29" t="s">
        <v>260</v>
      </c>
      <c r="K1226" s="30" t="s">
        <v>44</v>
      </c>
      <c r="L1226" s="31"/>
      <c r="M1226" s="32"/>
    </row>
    <row r="1227" customFormat="false" ht="51" hidden="false" customHeight="true" outlineLevel="0" collapsed="false">
      <c r="B1227" s="29" t="s">
        <v>5619</v>
      </c>
      <c r="C1227" s="29" t="s">
        <v>213</v>
      </c>
      <c r="D1227" s="29" t="s">
        <v>3925</v>
      </c>
      <c r="E1227" s="29" t="s">
        <v>89</v>
      </c>
      <c r="F1227" s="29" t="s">
        <v>5620</v>
      </c>
      <c r="G1227" s="29" t="s">
        <v>5620</v>
      </c>
      <c r="H1227" s="29" t="s">
        <v>5616</v>
      </c>
      <c r="I1227" s="29" t="s">
        <v>42</v>
      </c>
      <c r="J1227" s="29" t="s">
        <v>260</v>
      </c>
      <c r="K1227" s="30" t="s">
        <v>44</v>
      </c>
      <c r="L1227" s="31"/>
      <c r="M1227" s="32"/>
    </row>
    <row r="1228" customFormat="false" ht="51" hidden="false" customHeight="true" outlineLevel="0" collapsed="false">
      <c r="B1228" s="29" t="s">
        <v>5621</v>
      </c>
      <c r="C1228" s="29" t="s">
        <v>213</v>
      </c>
      <c r="D1228" s="29" t="s">
        <v>5622</v>
      </c>
      <c r="E1228" s="29" t="s">
        <v>76</v>
      </c>
      <c r="F1228" s="29" t="s">
        <v>5623</v>
      </c>
      <c r="G1228" s="29" t="s">
        <v>5624</v>
      </c>
      <c r="H1228" s="29" t="s">
        <v>5616</v>
      </c>
      <c r="I1228" s="29" t="s">
        <v>2726</v>
      </c>
      <c r="J1228" s="29" t="s">
        <v>2727</v>
      </c>
      <c r="K1228" s="30" t="s">
        <v>44</v>
      </c>
      <c r="L1228" s="31"/>
      <c r="M1228" s="32"/>
    </row>
    <row r="1229" customFormat="false" ht="51" hidden="false" customHeight="true" outlineLevel="0" collapsed="false">
      <c r="B1229" s="29" t="s">
        <v>5625</v>
      </c>
      <c r="C1229" s="29" t="s">
        <v>213</v>
      </c>
      <c r="D1229" s="29" t="s">
        <v>238</v>
      </c>
      <c r="E1229" s="29" t="s">
        <v>76</v>
      </c>
      <c r="F1229" s="29" t="s">
        <v>5626</v>
      </c>
      <c r="G1229" s="29" t="s">
        <v>5627</v>
      </c>
      <c r="H1229" s="29" t="s">
        <v>5628</v>
      </c>
      <c r="I1229" s="29" t="s">
        <v>93</v>
      </c>
      <c r="J1229" s="29" t="s">
        <v>5629</v>
      </c>
      <c r="K1229" s="30" t="s">
        <v>44</v>
      </c>
      <c r="L1229" s="31"/>
      <c r="M1229" s="32"/>
    </row>
    <row r="1230" customFormat="false" ht="51" hidden="false" customHeight="true" outlineLevel="0" collapsed="false">
      <c r="B1230" s="29" t="s">
        <v>5630</v>
      </c>
      <c r="C1230" s="29" t="s">
        <v>213</v>
      </c>
      <c r="D1230" s="29" t="s">
        <v>244</v>
      </c>
      <c r="E1230" s="29" t="s">
        <v>538</v>
      </c>
      <c r="F1230" s="29" t="s">
        <v>5631</v>
      </c>
      <c r="G1230" s="29" t="s">
        <v>5632</v>
      </c>
      <c r="H1230" s="29" t="s">
        <v>5628</v>
      </c>
      <c r="I1230" s="29" t="s">
        <v>285</v>
      </c>
      <c r="J1230" s="29" t="s">
        <v>79</v>
      </c>
      <c r="K1230" s="30" t="s">
        <v>44</v>
      </c>
      <c r="L1230" s="31"/>
      <c r="M1230" s="32"/>
    </row>
    <row r="1231" customFormat="false" ht="51" hidden="false" customHeight="true" outlineLevel="0" collapsed="false">
      <c r="B1231" s="29" t="s">
        <v>5633</v>
      </c>
      <c r="C1231" s="29" t="s">
        <v>213</v>
      </c>
      <c r="D1231" s="29" t="s">
        <v>250</v>
      </c>
      <c r="E1231" s="29" t="s">
        <v>538</v>
      </c>
      <c r="F1231" s="29" t="s">
        <v>5634</v>
      </c>
      <c r="G1231" s="29" t="s">
        <v>5634</v>
      </c>
      <c r="H1231" s="29" t="s">
        <v>5628</v>
      </c>
      <c r="I1231" s="29" t="s">
        <v>285</v>
      </c>
      <c r="J1231" s="29" t="s">
        <v>79</v>
      </c>
      <c r="K1231" s="30" t="s">
        <v>44</v>
      </c>
      <c r="L1231" s="31"/>
      <c r="M1231" s="32"/>
    </row>
    <row r="1232" customFormat="false" ht="51" hidden="false" customHeight="true" outlineLevel="0" collapsed="false">
      <c r="B1232" s="29" t="s">
        <v>5635</v>
      </c>
      <c r="C1232" s="29" t="s">
        <v>213</v>
      </c>
      <c r="D1232" s="29" t="s">
        <v>5636</v>
      </c>
      <c r="E1232" s="29" t="s">
        <v>538</v>
      </c>
      <c r="F1232" s="29" t="s">
        <v>5637</v>
      </c>
      <c r="G1232" s="29" t="s">
        <v>5637</v>
      </c>
      <c r="H1232" s="29" t="s">
        <v>5638</v>
      </c>
      <c r="I1232" s="29" t="s">
        <v>285</v>
      </c>
      <c r="J1232" s="29" t="s">
        <v>79</v>
      </c>
      <c r="K1232" s="30" t="s">
        <v>44</v>
      </c>
      <c r="L1232" s="31"/>
      <c r="M1232" s="32"/>
    </row>
    <row r="1233" customFormat="false" ht="51" hidden="false" customHeight="true" outlineLevel="0" collapsed="false">
      <c r="B1233" s="29" t="s">
        <v>5639</v>
      </c>
      <c r="C1233" s="29" t="s">
        <v>263</v>
      </c>
      <c r="D1233" s="29" t="s">
        <v>3610</v>
      </c>
      <c r="E1233" s="29" t="s">
        <v>538</v>
      </c>
      <c r="F1233" s="29" t="s">
        <v>5640</v>
      </c>
      <c r="G1233" s="29" t="s">
        <v>5641</v>
      </c>
      <c r="H1233" s="29" t="s">
        <v>5642</v>
      </c>
      <c r="I1233" s="29" t="s">
        <v>467</v>
      </c>
      <c r="J1233" s="29" t="s">
        <v>467</v>
      </c>
      <c r="K1233" s="30" t="s">
        <v>44</v>
      </c>
      <c r="L1233" s="31"/>
      <c r="M1233" s="32"/>
    </row>
    <row r="1234" customFormat="false" ht="51" hidden="false" customHeight="true" outlineLevel="0" collapsed="false">
      <c r="B1234" s="29" t="s">
        <v>5643</v>
      </c>
      <c r="C1234" s="29" t="s">
        <v>263</v>
      </c>
      <c r="D1234" s="29" t="s">
        <v>3624</v>
      </c>
      <c r="E1234" s="29" t="s">
        <v>205</v>
      </c>
      <c r="F1234" s="29" t="s">
        <v>5644</v>
      </c>
      <c r="G1234" s="29" t="s">
        <v>5645</v>
      </c>
      <c r="H1234" s="29" t="s">
        <v>5646</v>
      </c>
      <c r="I1234" s="29" t="s">
        <v>301</v>
      </c>
      <c r="J1234" s="29" t="s">
        <v>201</v>
      </c>
      <c r="K1234" s="30" t="s">
        <v>44</v>
      </c>
      <c r="L1234" s="31"/>
      <c r="M1234" s="32"/>
    </row>
    <row r="1235" customFormat="false" ht="51" hidden="false" customHeight="true" outlineLevel="0" collapsed="false">
      <c r="B1235" s="29" t="s">
        <v>5647</v>
      </c>
      <c r="C1235" s="29" t="s">
        <v>263</v>
      </c>
      <c r="D1235" s="29" t="s">
        <v>5398</v>
      </c>
      <c r="E1235" s="29" t="s">
        <v>339</v>
      </c>
      <c r="F1235" s="29" t="s">
        <v>5648</v>
      </c>
      <c r="G1235" s="29" t="s">
        <v>5649</v>
      </c>
      <c r="H1235" s="29" t="s">
        <v>5646</v>
      </c>
      <c r="I1235" s="29" t="s">
        <v>301</v>
      </c>
      <c r="J1235" s="29" t="s">
        <v>201</v>
      </c>
      <c r="K1235" s="30" t="s">
        <v>44</v>
      </c>
      <c r="L1235" s="31"/>
      <c r="M1235" s="32"/>
    </row>
    <row r="1236" customFormat="false" ht="51" hidden="false" customHeight="true" outlineLevel="0" collapsed="false">
      <c r="B1236" s="29" t="s">
        <v>5650</v>
      </c>
      <c r="C1236" s="29" t="s">
        <v>263</v>
      </c>
      <c r="D1236" s="29" t="s">
        <v>5401</v>
      </c>
      <c r="E1236" s="29" t="s">
        <v>39</v>
      </c>
      <c r="F1236" s="29" t="s">
        <v>5651</v>
      </c>
      <c r="G1236" s="29" t="s">
        <v>5652</v>
      </c>
      <c r="H1236" s="29" t="s">
        <v>5646</v>
      </c>
      <c r="I1236" s="29" t="s">
        <v>42</v>
      </c>
      <c r="J1236" s="29" t="s">
        <v>43</v>
      </c>
      <c r="K1236" s="30" t="s">
        <v>44</v>
      </c>
      <c r="L1236" s="31"/>
      <c r="M1236" s="32"/>
    </row>
    <row r="1237" customFormat="false" ht="51" hidden="false" customHeight="true" outlineLevel="0" collapsed="false">
      <c r="B1237" s="29" t="s">
        <v>5653</v>
      </c>
      <c r="C1237" s="29" t="s">
        <v>263</v>
      </c>
      <c r="D1237" s="29" t="s">
        <v>5405</v>
      </c>
      <c r="E1237" s="29" t="s">
        <v>39</v>
      </c>
      <c r="F1237" s="29" t="s">
        <v>5654</v>
      </c>
      <c r="G1237" s="29" t="s">
        <v>5654</v>
      </c>
      <c r="H1237" s="29" t="s">
        <v>5646</v>
      </c>
      <c r="I1237" s="29" t="s">
        <v>42</v>
      </c>
      <c r="J1237" s="29" t="s">
        <v>43</v>
      </c>
      <c r="K1237" s="30" t="s">
        <v>44</v>
      </c>
      <c r="L1237" s="31"/>
      <c r="M1237" s="32"/>
    </row>
    <row r="1238" customFormat="false" ht="51" hidden="false" customHeight="true" outlineLevel="0" collapsed="false">
      <c r="B1238" s="29" t="s">
        <v>5655</v>
      </c>
      <c r="C1238" s="29" t="s">
        <v>263</v>
      </c>
      <c r="D1238" s="29" t="s">
        <v>5408</v>
      </c>
      <c r="E1238" s="29" t="s">
        <v>538</v>
      </c>
      <c r="F1238" s="29" t="s">
        <v>5656</v>
      </c>
      <c r="G1238" s="29" t="s">
        <v>5656</v>
      </c>
      <c r="H1238" s="29" t="s">
        <v>5642</v>
      </c>
      <c r="I1238" s="29" t="s">
        <v>467</v>
      </c>
      <c r="J1238" s="29" t="s">
        <v>467</v>
      </c>
      <c r="K1238" s="30" t="s">
        <v>44</v>
      </c>
      <c r="L1238" s="31"/>
      <c r="M1238" s="32"/>
    </row>
    <row r="1239" customFormat="false" ht="51" hidden="false" customHeight="true" outlineLevel="0" collapsed="false">
      <c r="B1239" s="29" t="s">
        <v>5657</v>
      </c>
      <c r="C1239" s="29" t="s">
        <v>263</v>
      </c>
      <c r="D1239" s="29" t="s">
        <v>5411</v>
      </c>
      <c r="E1239" s="29" t="s">
        <v>538</v>
      </c>
      <c r="F1239" s="29" t="s">
        <v>5658</v>
      </c>
      <c r="G1239" s="29" t="s">
        <v>5659</v>
      </c>
      <c r="H1239" s="29" t="s">
        <v>5642</v>
      </c>
      <c r="I1239" s="29" t="s">
        <v>467</v>
      </c>
      <c r="J1239" s="29" t="s">
        <v>467</v>
      </c>
      <c r="K1239" s="30" t="s">
        <v>44</v>
      </c>
      <c r="L1239" s="31"/>
      <c r="M1239" s="32"/>
    </row>
    <row r="1240" customFormat="false" ht="51" hidden="false" customHeight="true" outlineLevel="0" collapsed="false">
      <c r="B1240" s="29" t="s">
        <v>5660</v>
      </c>
      <c r="C1240" s="29" t="s">
        <v>263</v>
      </c>
      <c r="D1240" s="29" t="s">
        <v>5414</v>
      </c>
      <c r="E1240" s="29" t="s">
        <v>89</v>
      </c>
      <c r="F1240" s="29" t="s">
        <v>5661</v>
      </c>
      <c r="G1240" s="29" t="s">
        <v>5662</v>
      </c>
      <c r="H1240" s="29" t="s">
        <v>5646</v>
      </c>
      <c r="I1240" s="29" t="s">
        <v>42</v>
      </c>
      <c r="J1240" s="29" t="s">
        <v>260</v>
      </c>
      <c r="K1240" s="30" t="s">
        <v>44</v>
      </c>
      <c r="L1240" s="31"/>
      <c r="M1240" s="32"/>
    </row>
    <row r="1241" customFormat="false" ht="51" hidden="false" customHeight="true" outlineLevel="0" collapsed="false">
      <c r="B1241" s="29" t="s">
        <v>5663</v>
      </c>
      <c r="C1241" s="29" t="s">
        <v>263</v>
      </c>
      <c r="D1241" s="29" t="s">
        <v>5664</v>
      </c>
      <c r="E1241" s="29" t="s">
        <v>538</v>
      </c>
      <c r="F1241" s="29" t="s">
        <v>5665</v>
      </c>
      <c r="G1241" s="29" t="s">
        <v>5665</v>
      </c>
      <c r="H1241" s="29" t="s">
        <v>5642</v>
      </c>
      <c r="I1241" s="29" t="s">
        <v>467</v>
      </c>
      <c r="J1241" s="29" t="s">
        <v>467</v>
      </c>
      <c r="K1241" s="30" t="s">
        <v>44</v>
      </c>
      <c r="L1241" s="31"/>
      <c r="M1241" s="32"/>
    </row>
    <row r="1242" customFormat="false" ht="51" hidden="false" customHeight="true" outlineLevel="0" collapsed="false">
      <c r="B1242" s="29" t="s">
        <v>5666</v>
      </c>
      <c r="C1242" s="29" t="s">
        <v>263</v>
      </c>
      <c r="D1242" s="29" t="s">
        <v>5667</v>
      </c>
      <c r="E1242" s="29" t="s">
        <v>538</v>
      </c>
      <c r="F1242" s="29" t="s">
        <v>5668</v>
      </c>
      <c r="G1242" s="29" t="s">
        <v>5668</v>
      </c>
      <c r="H1242" s="29" t="s">
        <v>5669</v>
      </c>
      <c r="I1242" s="29" t="s">
        <v>467</v>
      </c>
      <c r="J1242" s="29" t="s">
        <v>467</v>
      </c>
      <c r="K1242" s="30" t="s">
        <v>44</v>
      </c>
      <c r="L1242" s="31"/>
      <c r="M1242" s="32"/>
    </row>
    <row r="1243" customFormat="false" ht="51" hidden="false" customHeight="true" outlineLevel="0" collapsed="false">
      <c r="B1243" s="29" t="s">
        <v>5670</v>
      </c>
      <c r="C1243" s="29" t="s">
        <v>263</v>
      </c>
      <c r="D1243" s="29" t="s">
        <v>5671</v>
      </c>
      <c r="E1243" s="29" t="s">
        <v>205</v>
      </c>
      <c r="F1243" s="29" t="s">
        <v>5672</v>
      </c>
      <c r="G1243" s="29" t="s">
        <v>5673</v>
      </c>
      <c r="H1243" s="29" t="s">
        <v>5674</v>
      </c>
      <c r="I1243" s="29" t="s">
        <v>3662</v>
      </c>
      <c r="J1243" s="29" t="s">
        <v>154</v>
      </c>
      <c r="K1243" s="30" t="s">
        <v>44</v>
      </c>
      <c r="L1243" s="31"/>
      <c r="M1243" s="32"/>
    </row>
    <row r="1244" customFormat="false" ht="51" hidden="false" customHeight="true" outlineLevel="0" collapsed="false">
      <c r="B1244" s="29" t="s">
        <v>5675</v>
      </c>
      <c r="C1244" s="29" t="s">
        <v>263</v>
      </c>
      <c r="D1244" s="29" t="s">
        <v>5492</v>
      </c>
      <c r="E1244" s="29" t="s">
        <v>538</v>
      </c>
      <c r="F1244" s="29" t="s">
        <v>5676</v>
      </c>
      <c r="G1244" s="29" t="s">
        <v>5676</v>
      </c>
      <c r="H1244" s="29" t="s">
        <v>5677</v>
      </c>
      <c r="I1244" s="29" t="s">
        <v>467</v>
      </c>
      <c r="J1244" s="29" t="s">
        <v>467</v>
      </c>
      <c r="K1244" s="30" t="s">
        <v>44</v>
      </c>
      <c r="L1244" s="31"/>
      <c r="M1244" s="32"/>
    </row>
    <row r="1245" customFormat="false" ht="51" hidden="false" customHeight="true" outlineLevel="0" collapsed="false">
      <c r="B1245" s="29" t="s">
        <v>5678</v>
      </c>
      <c r="C1245" s="29" t="s">
        <v>263</v>
      </c>
      <c r="D1245" s="29" t="s">
        <v>5497</v>
      </c>
      <c r="E1245" s="29" t="s">
        <v>538</v>
      </c>
      <c r="F1245" s="29" t="s">
        <v>5679</v>
      </c>
      <c r="G1245" s="29" t="s">
        <v>5679</v>
      </c>
      <c r="H1245" s="29" t="s">
        <v>5677</v>
      </c>
      <c r="I1245" s="29" t="s">
        <v>467</v>
      </c>
      <c r="J1245" s="29" t="s">
        <v>467</v>
      </c>
      <c r="K1245" s="30" t="s">
        <v>44</v>
      </c>
      <c r="L1245" s="31"/>
      <c r="M1245" s="32"/>
    </row>
    <row r="1246" customFormat="false" ht="51" hidden="false" customHeight="true" outlineLevel="0" collapsed="false">
      <c r="B1246" s="29" t="s">
        <v>5680</v>
      </c>
      <c r="C1246" s="29" t="s">
        <v>263</v>
      </c>
      <c r="D1246" s="29" t="s">
        <v>5502</v>
      </c>
      <c r="E1246" s="29" t="s">
        <v>538</v>
      </c>
      <c r="F1246" s="29" t="s">
        <v>5681</v>
      </c>
      <c r="G1246" s="29" t="s">
        <v>5681</v>
      </c>
      <c r="H1246" s="29" t="s">
        <v>5677</v>
      </c>
      <c r="I1246" s="29" t="s">
        <v>467</v>
      </c>
      <c r="J1246" s="29" t="s">
        <v>467</v>
      </c>
      <c r="K1246" s="30" t="s">
        <v>44</v>
      </c>
      <c r="L1246" s="31"/>
      <c r="M1246" s="32"/>
    </row>
    <row r="1247" customFormat="false" ht="51" hidden="false" customHeight="true" outlineLevel="0" collapsed="false">
      <c r="B1247" s="29" t="s">
        <v>5682</v>
      </c>
      <c r="C1247" s="29" t="s">
        <v>263</v>
      </c>
      <c r="D1247" s="29" t="s">
        <v>5505</v>
      </c>
      <c r="E1247" s="29" t="s">
        <v>538</v>
      </c>
      <c r="F1247" s="29" t="s">
        <v>5683</v>
      </c>
      <c r="G1247" s="29" t="s">
        <v>5683</v>
      </c>
      <c r="H1247" s="29" t="s">
        <v>5677</v>
      </c>
      <c r="I1247" s="29" t="s">
        <v>467</v>
      </c>
      <c r="J1247" s="29" t="s">
        <v>467</v>
      </c>
      <c r="K1247" s="30" t="s">
        <v>44</v>
      </c>
      <c r="L1247" s="31"/>
      <c r="M1247" s="32"/>
    </row>
    <row r="1248" customFormat="false" ht="51" hidden="false" customHeight="true" outlineLevel="0" collapsed="false">
      <c r="B1248" s="29" t="s">
        <v>5684</v>
      </c>
      <c r="C1248" s="29" t="s">
        <v>263</v>
      </c>
      <c r="D1248" s="29" t="s">
        <v>3633</v>
      </c>
      <c r="E1248" s="29" t="s">
        <v>265</v>
      </c>
      <c r="F1248" s="29" t="s">
        <v>5685</v>
      </c>
      <c r="G1248" s="29" t="s">
        <v>5686</v>
      </c>
      <c r="H1248" s="29" t="s">
        <v>5687</v>
      </c>
      <c r="I1248" s="29" t="s">
        <v>42</v>
      </c>
      <c r="J1248" s="29" t="s">
        <v>269</v>
      </c>
      <c r="K1248" s="30" t="s">
        <v>44</v>
      </c>
      <c r="L1248" s="31"/>
      <c r="M1248" s="32"/>
    </row>
    <row r="1249" customFormat="false" ht="51" hidden="false" customHeight="true" outlineLevel="0" collapsed="false">
      <c r="B1249" s="29" t="s">
        <v>5688</v>
      </c>
      <c r="C1249" s="29" t="s">
        <v>263</v>
      </c>
      <c r="D1249" s="29" t="s">
        <v>5689</v>
      </c>
      <c r="E1249" s="29" t="s">
        <v>265</v>
      </c>
      <c r="F1249" s="29" t="s">
        <v>5690</v>
      </c>
      <c r="G1249" s="29" t="s">
        <v>5690</v>
      </c>
      <c r="H1249" s="29" t="s">
        <v>5687</v>
      </c>
      <c r="I1249" s="29" t="s">
        <v>42</v>
      </c>
      <c r="J1249" s="29" t="s">
        <v>269</v>
      </c>
      <c r="K1249" s="30" t="s">
        <v>44</v>
      </c>
      <c r="L1249" s="31"/>
      <c r="M1249" s="32"/>
    </row>
    <row r="1250" customFormat="false" ht="51" hidden="false" customHeight="true" outlineLevel="0" collapsed="false">
      <c r="B1250" s="29" t="s">
        <v>5691</v>
      </c>
      <c r="C1250" s="29" t="s">
        <v>263</v>
      </c>
      <c r="D1250" s="29" t="s">
        <v>5521</v>
      </c>
      <c r="E1250" s="29" t="s">
        <v>265</v>
      </c>
      <c r="F1250" s="29" t="s">
        <v>5692</v>
      </c>
      <c r="G1250" s="29" t="s">
        <v>5692</v>
      </c>
      <c r="H1250" s="29" t="s">
        <v>5693</v>
      </c>
      <c r="I1250" s="29" t="s">
        <v>42</v>
      </c>
      <c r="J1250" s="29" t="s">
        <v>269</v>
      </c>
      <c r="K1250" s="30" t="s">
        <v>44</v>
      </c>
      <c r="L1250" s="31"/>
      <c r="M1250" s="32"/>
    </row>
    <row r="1251" customFormat="false" ht="51" hidden="false" customHeight="true" outlineLevel="0" collapsed="false">
      <c r="B1251" s="29" t="s">
        <v>5694</v>
      </c>
      <c r="C1251" s="29" t="s">
        <v>263</v>
      </c>
      <c r="D1251" s="29" t="s">
        <v>5525</v>
      </c>
      <c r="E1251" s="29" t="s">
        <v>265</v>
      </c>
      <c r="F1251" s="29" t="s">
        <v>5695</v>
      </c>
      <c r="G1251" s="29" t="s">
        <v>5695</v>
      </c>
      <c r="H1251" s="29" t="s">
        <v>5693</v>
      </c>
      <c r="I1251" s="29" t="s">
        <v>42</v>
      </c>
      <c r="J1251" s="29" t="s">
        <v>269</v>
      </c>
      <c r="K1251" s="30" t="s">
        <v>44</v>
      </c>
      <c r="L1251" s="31"/>
      <c r="M1251" s="32"/>
    </row>
    <row r="1252" customFormat="false" ht="51" hidden="false" customHeight="true" outlineLevel="0" collapsed="false">
      <c r="B1252" s="29" t="s">
        <v>5696</v>
      </c>
      <c r="C1252" s="29" t="s">
        <v>263</v>
      </c>
      <c r="D1252" s="29" t="s">
        <v>5697</v>
      </c>
      <c r="E1252" s="29" t="s">
        <v>265</v>
      </c>
      <c r="F1252" s="29" t="s">
        <v>5698</v>
      </c>
      <c r="G1252" s="29" t="s">
        <v>5698</v>
      </c>
      <c r="H1252" s="29" t="s">
        <v>5693</v>
      </c>
      <c r="I1252" s="29" t="s">
        <v>42</v>
      </c>
      <c r="J1252" s="29" t="s">
        <v>269</v>
      </c>
      <c r="K1252" s="30" t="s">
        <v>44</v>
      </c>
      <c r="L1252" s="31"/>
      <c r="M1252" s="32"/>
    </row>
    <row r="1253" customFormat="false" ht="51" hidden="false" customHeight="true" outlineLevel="0" collapsed="false">
      <c r="B1253" s="29" t="s">
        <v>5699</v>
      </c>
      <c r="C1253" s="29" t="s">
        <v>263</v>
      </c>
      <c r="D1253" s="29" t="s">
        <v>5700</v>
      </c>
      <c r="E1253" s="29" t="s">
        <v>265</v>
      </c>
      <c r="F1253" s="29" t="s">
        <v>5701</v>
      </c>
      <c r="G1253" s="29" t="s">
        <v>5701</v>
      </c>
      <c r="H1253" s="29" t="s">
        <v>5693</v>
      </c>
      <c r="I1253" s="29" t="s">
        <v>42</v>
      </c>
      <c r="J1253" s="29" t="s">
        <v>269</v>
      </c>
      <c r="K1253" s="30" t="s">
        <v>44</v>
      </c>
      <c r="L1253" s="31"/>
      <c r="M1253" s="32"/>
    </row>
    <row r="1254" customFormat="false" ht="51" hidden="false" customHeight="true" outlineLevel="0" collapsed="false">
      <c r="B1254" s="29" t="s">
        <v>5702</v>
      </c>
      <c r="C1254" s="29" t="s">
        <v>263</v>
      </c>
      <c r="D1254" s="29" t="s">
        <v>5703</v>
      </c>
      <c r="E1254" s="29" t="s">
        <v>265</v>
      </c>
      <c r="F1254" s="29" t="s">
        <v>5704</v>
      </c>
      <c r="G1254" s="29" t="s">
        <v>5704</v>
      </c>
      <c r="H1254" s="29" t="s">
        <v>5693</v>
      </c>
      <c r="I1254" s="29" t="s">
        <v>42</v>
      </c>
      <c r="J1254" s="29" t="s">
        <v>269</v>
      </c>
      <c r="K1254" s="30" t="s">
        <v>44</v>
      </c>
      <c r="L1254" s="31"/>
      <c r="M1254" s="32"/>
    </row>
    <row r="1255" customFormat="false" ht="51" hidden="false" customHeight="true" outlineLevel="0" collapsed="false">
      <c r="B1255" s="29" t="s">
        <v>5705</v>
      </c>
      <c r="C1255" s="29" t="s">
        <v>263</v>
      </c>
      <c r="D1255" s="29" t="s">
        <v>5706</v>
      </c>
      <c r="E1255" s="29" t="s">
        <v>265</v>
      </c>
      <c r="F1255" s="29" t="s">
        <v>5707</v>
      </c>
      <c r="G1255" s="29" t="s">
        <v>5707</v>
      </c>
      <c r="H1255" s="29" t="s">
        <v>5693</v>
      </c>
      <c r="I1255" s="29" t="s">
        <v>42</v>
      </c>
      <c r="J1255" s="29" t="s">
        <v>269</v>
      </c>
      <c r="K1255" s="30" t="s">
        <v>44</v>
      </c>
      <c r="L1255" s="31"/>
      <c r="M1255" s="32"/>
    </row>
    <row r="1256" customFormat="false" ht="51" hidden="false" customHeight="true" outlineLevel="0" collapsed="false">
      <c r="B1256" s="29" t="s">
        <v>5708</v>
      </c>
      <c r="C1256" s="29" t="s">
        <v>263</v>
      </c>
      <c r="D1256" s="29" t="s">
        <v>5709</v>
      </c>
      <c r="E1256" s="29" t="s">
        <v>265</v>
      </c>
      <c r="F1256" s="29" t="s">
        <v>5710</v>
      </c>
      <c r="G1256" s="29" t="s">
        <v>5710</v>
      </c>
      <c r="H1256" s="29" t="s">
        <v>5693</v>
      </c>
      <c r="I1256" s="29" t="s">
        <v>42</v>
      </c>
      <c r="J1256" s="29" t="s">
        <v>269</v>
      </c>
      <c r="K1256" s="30" t="s">
        <v>44</v>
      </c>
      <c r="L1256" s="31"/>
      <c r="M1256" s="32"/>
    </row>
    <row r="1257" customFormat="false" ht="51" hidden="false" customHeight="true" outlineLevel="0" collapsed="false">
      <c r="B1257" s="29" t="s">
        <v>5711</v>
      </c>
      <c r="C1257" s="29" t="s">
        <v>263</v>
      </c>
      <c r="D1257" s="29" t="s">
        <v>5712</v>
      </c>
      <c r="E1257" s="29" t="s">
        <v>265</v>
      </c>
      <c r="F1257" s="29" t="s">
        <v>5713</v>
      </c>
      <c r="G1257" s="29" t="s">
        <v>5713</v>
      </c>
      <c r="H1257" s="29" t="s">
        <v>5693</v>
      </c>
      <c r="I1257" s="29" t="s">
        <v>42</v>
      </c>
      <c r="J1257" s="29" t="s">
        <v>269</v>
      </c>
      <c r="K1257" s="30" t="s">
        <v>44</v>
      </c>
      <c r="L1257" s="31"/>
      <c r="M1257" s="32"/>
    </row>
    <row r="1258" customFormat="false" ht="51" hidden="false" customHeight="true" outlineLevel="0" collapsed="false">
      <c r="B1258" s="29" t="s">
        <v>5714</v>
      </c>
      <c r="C1258" s="29" t="s">
        <v>263</v>
      </c>
      <c r="D1258" s="29" t="s">
        <v>5715</v>
      </c>
      <c r="E1258" s="29" t="s">
        <v>39</v>
      </c>
      <c r="F1258" s="29" t="s">
        <v>5716</v>
      </c>
      <c r="G1258" s="29" t="s">
        <v>5717</v>
      </c>
      <c r="H1258" s="29" t="s">
        <v>5693</v>
      </c>
      <c r="I1258" s="29" t="s">
        <v>3808</v>
      </c>
      <c r="J1258" s="29" t="s">
        <v>5718</v>
      </c>
      <c r="K1258" s="30" t="s">
        <v>44</v>
      </c>
      <c r="L1258" s="31"/>
      <c r="M1258" s="32"/>
    </row>
    <row r="1259" customFormat="false" ht="51" hidden="false" customHeight="true" outlineLevel="0" collapsed="false">
      <c r="B1259" s="29" t="s">
        <v>5719</v>
      </c>
      <c r="C1259" s="29" t="s">
        <v>263</v>
      </c>
      <c r="D1259" s="29" t="s">
        <v>5528</v>
      </c>
      <c r="E1259" s="29" t="s">
        <v>265</v>
      </c>
      <c r="F1259" s="29" t="s">
        <v>5720</v>
      </c>
      <c r="G1259" s="29" t="s">
        <v>5720</v>
      </c>
      <c r="H1259" s="29" t="s">
        <v>5721</v>
      </c>
      <c r="I1259" s="29" t="s">
        <v>42</v>
      </c>
      <c r="J1259" s="29" t="s">
        <v>269</v>
      </c>
      <c r="K1259" s="30" t="s">
        <v>44</v>
      </c>
      <c r="L1259" s="31"/>
      <c r="M1259" s="32"/>
    </row>
    <row r="1260" customFormat="false" ht="51" hidden="false" customHeight="true" outlineLevel="0" collapsed="false">
      <c r="B1260" s="29" t="s">
        <v>5722</v>
      </c>
      <c r="C1260" s="29" t="s">
        <v>263</v>
      </c>
      <c r="D1260" s="29" t="s">
        <v>5532</v>
      </c>
      <c r="E1260" s="29" t="s">
        <v>265</v>
      </c>
      <c r="F1260" s="29" t="s">
        <v>5723</v>
      </c>
      <c r="G1260" s="29" t="s">
        <v>5723</v>
      </c>
      <c r="H1260" s="29" t="s">
        <v>5721</v>
      </c>
      <c r="I1260" s="29" t="s">
        <v>42</v>
      </c>
      <c r="J1260" s="29" t="s">
        <v>269</v>
      </c>
      <c r="K1260" s="30" t="s">
        <v>44</v>
      </c>
      <c r="L1260" s="31"/>
      <c r="M1260" s="32"/>
    </row>
    <row r="1261" customFormat="false" ht="51" hidden="false" customHeight="true" outlineLevel="0" collapsed="false">
      <c r="B1261" s="29" t="s">
        <v>5724</v>
      </c>
      <c r="C1261" s="29" t="s">
        <v>263</v>
      </c>
      <c r="D1261" s="29" t="s">
        <v>5535</v>
      </c>
      <c r="E1261" s="29" t="s">
        <v>265</v>
      </c>
      <c r="F1261" s="29" t="s">
        <v>5725</v>
      </c>
      <c r="G1261" s="29" t="s">
        <v>5725</v>
      </c>
      <c r="H1261" s="29" t="s">
        <v>5721</v>
      </c>
      <c r="I1261" s="29" t="s">
        <v>42</v>
      </c>
      <c r="J1261" s="29" t="s">
        <v>269</v>
      </c>
      <c r="K1261" s="30" t="s">
        <v>44</v>
      </c>
      <c r="L1261" s="31"/>
      <c r="M1261" s="32"/>
    </row>
    <row r="1262" customFormat="false" ht="51" hidden="false" customHeight="true" outlineLevel="0" collapsed="false">
      <c r="B1262" s="29" t="s">
        <v>5726</v>
      </c>
      <c r="C1262" s="29" t="s">
        <v>263</v>
      </c>
      <c r="D1262" s="29" t="s">
        <v>5539</v>
      </c>
      <c r="E1262" s="29" t="s">
        <v>265</v>
      </c>
      <c r="F1262" s="29" t="s">
        <v>5727</v>
      </c>
      <c r="G1262" s="29" t="s">
        <v>5727</v>
      </c>
      <c r="H1262" s="29" t="s">
        <v>5721</v>
      </c>
      <c r="I1262" s="29" t="s">
        <v>42</v>
      </c>
      <c r="J1262" s="29" t="s">
        <v>269</v>
      </c>
      <c r="K1262" s="30" t="s">
        <v>44</v>
      </c>
      <c r="L1262" s="31"/>
      <c r="M1262" s="32"/>
    </row>
    <row r="1263" customFormat="false" ht="51" hidden="false" customHeight="true" outlineLevel="0" collapsed="false">
      <c r="B1263" s="29" t="s">
        <v>5728</v>
      </c>
      <c r="C1263" s="29" t="s">
        <v>263</v>
      </c>
      <c r="D1263" s="29" t="s">
        <v>5542</v>
      </c>
      <c r="E1263" s="29" t="s">
        <v>265</v>
      </c>
      <c r="F1263" s="29" t="s">
        <v>5729</v>
      </c>
      <c r="G1263" s="29" t="s">
        <v>5730</v>
      </c>
      <c r="H1263" s="29" t="s">
        <v>5721</v>
      </c>
      <c r="I1263" s="29" t="s">
        <v>42</v>
      </c>
      <c r="J1263" s="29" t="s">
        <v>269</v>
      </c>
      <c r="K1263" s="30" t="s">
        <v>44</v>
      </c>
      <c r="L1263" s="31"/>
      <c r="M1263" s="32"/>
    </row>
    <row r="1264" customFormat="false" ht="51" hidden="false" customHeight="true" outlineLevel="0" collapsed="false">
      <c r="B1264" s="29" t="s">
        <v>5731</v>
      </c>
      <c r="C1264" s="29" t="s">
        <v>263</v>
      </c>
      <c r="D1264" s="29" t="s">
        <v>5732</v>
      </c>
      <c r="E1264" s="29" t="s">
        <v>538</v>
      </c>
      <c r="F1264" s="29" t="s">
        <v>5733</v>
      </c>
      <c r="G1264" s="29" t="s">
        <v>5734</v>
      </c>
      <c r="H1264" s="29" t="s">
        <v>5735</v>
      </c>
      <c r="I1264" s="29" t="s">
        <v>467</v>
      </c>
      <c r="J1264" s="29" t="s">
        <v>467</v>
      </c>
      <c r="K1264" s="30" t="s">
        <v>44</v>
      </c>
      <c r="L1264" s="31"/>
      <c r="M1264" s="32"/>
    </row>
    <row r="1265" customFormat="false" ht="51" hidden="false" customHeight="true" outlineLevel="0" collapsed="false">
      <c r="B1265" s="29" t="s">
        <v>5736</v>
      </c>
      <c r="C1265" s="29" t="s">
        <v>263</v>
      </c>
      <c r="D1265" s="29" t="s">
        <v>5737</v>
      </c>
      <c r="E1265" s="29" t="s">
        <v>538</v>
      </c>
      <c r="F1265" s="29" t="s">
        <v>5738</v>
      </c>
      <c r="G1265" s="29" t="s">
        <v>5738</v>
      </c>
      <c r="H1265" s="29" t="s">
        <v>5735</v>
      </c>
      <c r="I1265" s="29" t="s">
        <v>467</v>
      </c>
      <c r="J1265" s="29" t="s">
        <v>467</v>
      </c>
      <c r="K1265" s="30" t="s">
        <v>44</v>
      </c>
      <c r="L1265" s="31"/>
      <c r="M1265" s="32"/>
    </row>
    <row r="1266" customFormat="false" ht="51" hidden="false" customHeight="true" outlineLevel="0" collapsed="false">
      <c r="B1266" s="29" t="s">
        <v>5739</v>
      </c>
      <c r="C1266" s="29" t="s">
        <v>263</v>
      </c>
      <c r="D1266" s="29" t="s">
        <v>5740</v>
      </c>
      <c r="E1266" s="29" t="s">
        <v>538</v>
      </c>
      <c r="F1266" s="29" t="s">
        <v>5741</v>
      </c>
      <c r="G1266" s="29" t="s">
        <v>5742</v>
      </c>
      <c r="H1266" s="29" t="s">
        <v>5735</v>
      </c>
      <c r="I1266" s="29" t="s">
        <v>467</v>
      </c>
      <c r="J1266" s="29" t="s">
        <v>467</v>
      </c>
      <c r="K1266" s="30" t="s">
        <v>44</v>
      </c>
      <c r="L1266" s="31"/>
      <c r="M1266" s="32"/>
    </row>
    <row r="1267" customFormat="false" ht="51" hidden="false" customHeight="true" outlineLevel="0" collapsed="false">
      <c r="B1267" s="29" t="s">
        <v>5743</v>
      </c>
      <c r="C1267" s="29" t="s">
        <v>263</v>
      </c>
      <c r="D1267" s="29" t="s">
        <v>5744</v>
      </c>
      <c r="E1267" s="29" t="s">
        <v>538</v>
      </c>
      <c r="F1267" s="29" t="s">
        <v>5745</v>
      </c>
      <c r="G1267" s="29" t="s">
        <v>5745</v>
      </c>
      <c r="H1267" s="29" t="s">
        <v>5735</v>
      </c>
      <c r="I1267" s="29" t="s">
        <v>467</v>
      </c>
      <c r="J1267" s="29" t="s">
        <v>467</v>
      </c>
      <c r="K1267" s="30" t="s">
        <v>44</v>
      </c>
      <c r="L1267" s="31"/>
      <c r="M1267" s="32"/>
    </row>
    <row r="1268" customFormat="false" ht="51" hidden="false" customHeight="true" outlineLevel="0" collapsed="false">
      <c r="B1268" s="29" t="s">
        <v>5746</v>
      </c>
      <c r="C1268" s="29" t="s">
        <v>263</v>
      </c>
      <c r="D1268" s="29" t="s">
        <v>5747</v>
      </c>
      <c r="E1268" s="29" t="s">
        <v>538</v>
      </c>
      <c r="F1268" s="29" t="s">
        <v>5748</v>
      </c>
      <c r="G1268" s="29" t="s">
        <v>5748</v>
      </c>
      <c r="H1268" s="29" t="s">
        <v>5735</v>
      </c>
      <c r="I1268" s="29" t="s">
        <v>467</v>
      </c>
      <c r="J1268" s="29" t="s">
        <v>467</v>
      </c>
      <c r="K1268" s="30" t="s">
        <v>44</v>
      </c>
      <c r="L1268" s="31"/>
      <c r="M1268" s="32"/>
    </row>
    <row r="1269" customFormat="false" ht="51" hidden="false" customHeight="true" outlineLevel="0" collapsed="false">
      <c r="B1269" s="29" t="s">
        <v>5749</v>
      </c>
      <c r="C1269" s="29" t="s">
        <v>263</v>
      </c>
      <c r="D1269" s="29" t="s">
        <v>5750</v>
      </c>
      <c r="E1269" s="29" t="s">
        <v>538</v>
      </c>
      <c r="F1269" s="29" t="s">
        <v>5751</v>
      </c>
      <c r="G1269" s="29" t="s">
        <v>5752</v>
      </c>
      <c r="H1269" s="29" t="s">
        <v>5735</v>
      </c>
      <c r="I1269" s="29" t="s">
        <v>467</v>
      </c>
      <c r="J1269" s="29" t="s">
        <v>467</v>
      </c>
      <c r="K1269" s="30" t="s">
        <v>44</v>
      </c>
      <c r="L1269" s="31"/>
      <c r="M1269" s="32"/>
    </row>
    <row r="1270" customFormat="false" ht="51" hidden="false" customHeight="true" outlineLevel="0" collapsed="false">
      <c r="B1270" s="29" t="s">
        <v>5753</v>
      </c>
      <c r="C1270" s="29" t="s">
        <v>263</v>
      </c>
      <c r="D1270" s="29" t="s">
        <v>5754</v>
      </c>
      <c r="E1270" s="29" t="s">
        <v>538</v>
      </c>
      <c r="F1270" s="29" t="s">
        <v>5755</v>
      </c>
      <c r="G1270" s="29" t="s">
        <v>5755</v>
      </c>
      <c r="H1270" s="29" t="s">
        <v>5735</v>
      </c>
      <c r="I1270" s="29" t="s">
        <v>467</v>
      </c>
      <c r="J1270" s="29" t="s">
        <v>467</v>
      </c>
      <c r="K1270" s="30" t="s">
        <v>44</v>
      </c>
      <c r="L1270" s="31"/>
      <c r="M1270" s="32"/>
    </row>
    <row r="1271" customFormat="false" ht="51" hidden="false" customHeight="true" outlineLevel="0" collapsed="false">
      <c r="B1271" s="29" t="s">
        <v>5756</v>
      </c>
      <c r="C1271" s="29" t="s">
        <v>263</v>
      </c>
      <c r="D1271" s="29" t="s">
        <v>5757</v>
      </c>
      <c r="E1271" s="29" t="s">
        <v>538</v>
      </c>
      <c r="F1271" s="29" t="s">
        <v>5758</v>
      </c>
      <c r="G1271" s="29" t="s">
        <v>5758</v>
      </c>
      <c r="H1271" s="29" t="s">
        <v>5735</v>
      </c>
      <c r="I1271" s="29" t="s">
        <v>467</v>
      </c>
      <c r="J1271" s="29" t="s">
        <v>467</v>
      </c>
      <c r="K1271" s="30" t="s">
        <v>44</v>
      </c>
      <c r="L1271" s="31"/>
      <c r="M1271" s="32"/>
    </row>
    <row r="1272" customFormat="false" ht="51" hidden="false" customHeight="true" outlineLevel="0" collapsed="false">
      <c r="B1272" s="29" t="s">
        <v>5759</v>
      </c>
      <c r="C1272" s="29" t="s">
        <v>263</v>
      </c>
      <c r="D1272" s="29" t="s">
        <v>5760</v>
      </c>
      <c r="E1272" s="29" t="s">
        <v>265</v>
      </c>
      <c r="F1272" s="29" t="s">
        <v>5761</v>
      </c>
      <c r="G1272" s="29" t="s">
        <v>5762</v>
      </c>
      <c r="H1272" s="29" t="s">
        <v>5763</v>
      </c>
      <c r="I1272" s="29" t="s">
        <v>42</v>
      </c>
      <c r="J1272" s="29" t="s">
        <v>269</v>
      </c>
      <c r="K1272" s="30" t="s">
        <v>44</v>
      </c>
      <c r="L1272" s="31"/>
      <c r="M1272" s="32"/>
    </row>
    <row r="1273" customFormat="false" ht="51" hidden="false" customHeight="true" outlineLevel="0" collapsed="false">
      <c r="B1273" s="29" t="s">
        <v>5764</v>
      </c>
      <c r="C1273" s="29" t="s">
        <v>263</v>
      </c>
      <c r="D1273" s="29" t="s">
        <v>5765</v>
      </c>
      <c r="E1273" s="29" t="s">
        <v>265</v>
      </c>
      <c r="F1273" s="29" t="s">
        <v>5766</v>
      </c>
      <c r="G1273" s="29" t="s">
        <v>5766</v>
      </c>
      <c r="H1273" s="29" t="s">
        <v>5763</v>
      </c>
      <c r="I1273" s="29" t="s">
        <v>42</v>
      </c>
      <c r="J1273" s="29" t="s">
        <v>269</v>
      </c>
      <c r="K1273" s="30" t="s">
        <v>44</v>
      </c>
      <c r="L1273" s="31"/>
      <c r="M1273" s="32"/>
    </row>
    <row r="1274" customFormat="false" ht="51" hidden="false" customHeight="true" outlineLevel="0" collapsed="false">
      <c r="B1274" s="29" t="s">
        <v>5767</v>
      </c>
      <c r="C1274" s="29" t="s">
        <v>263</v>
      </c>
      <c r="D1274" s="29" t="s">
        <v>5768</v>
      </c>
      <c r="E1274" s="29" t="s">
        <v>265</v>
      </c>
      <c r="F1274" s="29" t="s">
        <v>5769</v>
      </c>
      <c r="G1274" s="29" t="s">
        <v>5769</v>
      </c>
      <c r="H1274" s="29" t="s">
        <v>5763</v>
      </c>
      <c r="I1274" s="29" t="s">
        <v>42</v>
      </c>
      <c r="J1274" s="29" t="s">
        <v>269</v>
      </c>
      <c r="K1274" s="30" t="s">
        <v>44</v>
      </c>
      <c r="L1274" s="31"/>
      <c r="M1274" s="32"/>
    </row>
    <row r="1275" customFormat="false" ht="51" hidden="false" customHeight="true" outlineLevel="0" collapsed="false">
      <c r="B1275" s="29" t="s">
        <v>5770</v>
      </c>
      <c r="C1275" s="29" t="s">
        <v>263</v>
      </c>
      <c r="D1275" s="29" t="s">
        <v>5771</v>
      </c>
      <c r="E1275" s="29" t="s">
        <v>265</v>
      </c>
      <c r="F1275" s="29" t="s">
        <v>5772</v>
      </c>
      <c r="G1275" s="29" t="s">
        <v>5772</v>
      </c>
      <c r="H1275" s="29" t="s">
        <v>5763</v>
      </c>
      <c r="I1275" s="29" t="s">
        <v>42</v>
      </c>
      <c r="J1275" s="29" t="s">
        <v>269</v>
      </c>
      <c r="K1275" s="30" t="s">
        <v>44</v>
      </c>
      <c r="L1275" s="31"/>
      <c r="M1275" s="32"/>
    </row>
    <row r="1276" customFormat="false" ht="51" hidden="false" customHeight="true" outlineLevel="0" collapsed="false">
      <c r="B1276" s="29" t="s">
        <v>5773</v>
      </c>
      <c r="C1276" s="29" t="s">
        <v>263</v>
      </c>
      <c r="D1276" s="29" t="s">
        <v>5774</v>
      </c>
      <c r="E1276" s="29" t="s">
        <v>265</v>
      </c>
      <c r="F1276" s="29" t="s">
        <v>5775</v>
      </c>
      <c r="G1276" s="29" t="s">
        <v>5775</v>
      </c>
      <c r="H1276" s="29" t="s">
        <v>5763</v>
      </c>
      <c r="I1276" s="29" t="s">
        <v>42</v>
      </c>
      <c r="J1276" s="29" t="s">
        <v>1369</v>
      </c>
      <c r="K1276" s="30" t="s">
        <v>44</v>
      </c>
      <c r="L1276" s="31"/>
      <c r="M1276" s="32"/>
    </row>
    <row r="1277" customFormat="false" ht="51" hidden="false" customHeight="true" outlineLevel="0" collapsed="false">
      <c r="B1277" s="29" t="s">
        <v>5776</v>
      </c>
      <c r="C1277" s="29" t="s">
        <v>263</v>
      </c>
      <c r="D1277" s="29" t="s">
        <v>5777</v>
      </c>
      <c r="E1277" s="29" t="s">
        <v>89</v>
      </c>
      <c r="F1277" s="29" t="s">
        <v>5778</v>
      </c>
      <c r="G1277" s="29" t="s">
        <v>5779</v>
      </c>
      <c r="H1277" s="29" t="s">
        <v>5763</v>
      </c>
      <c r="I1277" s="29" t="s">
        <v>42</v>
      </c>
      <c r="J1277" s="29" t="s">
        <v>5780</v>
      </c>
      <c r="K1277" s="30" t="s">
        <v>44</v>
      </c>
      <c r="L1277" s="31"/>
      <c r="M1277" s="32"/>
    </row>
    <row r="1278" customFormat="false" ht="51" hidden="false" customHeight="true" outlineLevel="0" collapsed="false">
      <c r="B1278" s="29" t="s">
        <v>5781</v>
      </c>
      <c r="C1278" s="29" t="s">
        <v>263</v>
      </c>
      <c r="D1278" s="29" t="s">
        <v>5782</v>
      </c>
      <c r="E1278" s="29" t="s">
        <v>265</v>
      </c>
      <c r="F1278" s="29" t="s">
        <v>5783</v>
      </c>
      <c r="G1278" s="29" t="s">
        <v>5783</v>
      </c>
      <c r="H1278" s="29" t="s">
        <v>5763</v>
      </c>
      <c r="I1278" s="29" t="s">
        <v>42</v>
      </c>
      <c r="J1278" s="29" t="s">
        <v>269</v>
      </c>
      <c r="K1278" s="30" t="s">
        <v>44</v>
      </c>
      <c r="L1278" s="31"/>
      <c r="M1278" s="32"/>
    </row>
    <row r="1279" customFormat="false" ht="51" hidden="false" customHeight="true" outlineLevel="0" collapsed="false">
      <c r="B1279" s="29" t="s">
        <v>5784</v>
      </c>
      <c r="C1279" s="29" t="s">
        <v>263</v>
      </c>
      <c r="D1279" s="29" t="s">
        <v>5785</v>
      </c>
      <c r="E1279" s="29" t="s">
        <v>265</v>
      </c>
      <c r="F1279" s="29" t="s">
        <v>5786</v>
      </c>
      <c r="G1279" s="29" t="s">
        <v>5787</v>
      </c>
      <c r="H1279" s="29" t="s">
        <v>5763</v>
      </c>
      <c r="I1279" s="29" t="s">
        <v>42</v>
      </c>
      <c r="J1279" s="29" t="s">
        <v>269</v>
      </c>
      <c r="K1279" s="30" t="s">
        <v>44</v>
      </c>
      <c r="L1279" s="31"/>
      <c r="M1279" s="32"/>
    </row>
    <row r="1280" customFormat="false" ht="51" hidden="false" customHeight="true" outlineLevel="0" collapsed="false">
      <c r="B1280" s="29" t="s">
        <v>5788</v>
      </c>
      <c r="C1280" s="29" t="s">
        <v>263</v>
      </c>
      <c r="D1280" s="29" t="s">
        <v>5789</v>
      </c>
      <c r="E1280" s="29" t="s">
        <v>265</v>
      </c>
      <c r="F1280" s="29" t="s">
        <v>5790</v>
      </c>
      <c r="G1280" s="29" t="s">
        <v>5791</v>
      </c>
      <c r="H1280" s="29" t="s">
        <v>5763</v>
      </c>
      <c r="I1280" s="29" t="s">
        <v>42</v>
      </c>
      <c r="J1280" s="29" t="s">
        <v>269</v>
      </c>
      <c r="K1280" s="30" t="s">
        <v>44</v>
      </c>
      <c r="L1280" s="31"/>
      <c r="M1280" s="32"/>
    </row>
    <row r="1281" customFormat="false" ht="51" hidden="false" customHeight="true" outlineLevel="0" collapsed="false">
      <c r="B1281" s="29" t="s">
        <v>5792</v>
      </c>
      <c r="C1281" s="29" t="s">
        <v>263</v>
      </c>
      <c r="D1281" s="29" t="s">
        <v>5793</v>
      </c>
      <c r="E1281" s="29" t="s">
        <v>265</v>
      </c>
      <c r="F1281" s="29" t="s">
        <v>5794</v>
      </c>
      <c r="G1281" s="29" t="s">
        <v>5794</v>
      </c>
      <c r="H1281" s="29" t="s">
        <v>5763</v>
      </c>
      <c r="I1281" s="29" t="s">
        <v>42</v>
      </c>
      <c r="J1281" s="29" t="s">
        <v>269</v>
      </c>
      <c r="K1281" s="30" t="s">
        <v>44</v>
      </c>
      <c r="L1281" s="31"/>
      <c r="M1281" s="32"/>
    </row>
    <row r="1282" customFormat="false" ht="51" hidden="false" customHeight="true" outlineLevel="0" collapsed="false">
      <c r="B1282" s="29" t="s">
        <v>5795</v>
      </c>
      <c r="C1282" s="29" t="s">
        <v>263</v>
      </c>
      <c r="D1282" s="29" t="s">
        <v>3659</v>
      </c>
      <c r="E1282" s="29" t="s">
        <v>538</v>
      </c>
      <c r="F1282" s="29" t="s">
        <v>5796</v>
      </c>
      <c r="G1282" s="29" t="s">
        <v>5796</v>
      </c>
      <c r="H1282" s="29" t="s">
        <v>5797</v>
      </c>
      <c r="I1282" s="29" t="s">
        <v>467</v>
      </c>
      <c r="J1282" s="29" t="s">
        <v>467</v>
      </c>
      <c r="K1282" s="30" t="s">
        <v>44</v>
      </c>
      <c r="L1282" s="31"/>
      <c r="M1282" s="32"/>
    </row>
    <row r="1283" customFormat="false" ht="51" hidden="false" customHeight="true" outlineLevel="0" collapsed="false">
      <c r="B1283" s="29" t="s">
        <v>5798</v>
      </c>
      <c r="C1283" s="29" t="s">
        <v>263</v>
      </c>
      <c r="D1283" s="29" t="s">
        <v>3664</v>
      </c>
      <c r="E1283" s="29" t="s">
        <v>265</v>
      </c>
      <c r="F1283" s="29" t="s">
        <v>5799</v>
      </c>
      <c r="G1283" s="29" t="s">
        <v>5800</v>
      </c>
      <c r="H1283" s="29" t="s">
        <v>5801</v>
      </c>
      <c r="I1283" s="29" t="s">
        <v>42</v>
      </c>
      <c r="J1283" s="29" t="s">
        <v>269</v>
      </c>
      <c r="K1283" s="30" t="s">
        <v>44</v>
      </c>
      <c r="L1283" s="31"/>
      <c r="M1283" s="32"/>
    </row>
    <row r="1284" customFormat="false" ht="51" hidden="false" customHeight="true" outlineLevel="0" collapsed="false">
      <c r="B1284" s="29" t="s">
        <v>5802</v>
      </c>
      <c r="C1284" s="29" t="s">
        <v>263</v>
      </c>
      <c r="D1284" s="29" t="s">
        <v>5558</v>
      </c>
      <c r="E1284" s="29" t="s">
        <v>350</v>
      </c>
      <c r="F1284" s="29" t="s">
        <v>5803</v>
      </c>
      <c r="G1284" s="29" t="s">
        <v>5804</v>
      </c>
      <c r="H1284" s="29" t="s">
        <v>5805</v>
      </c>
      <c r="I1284" s="29" t="s">
        <v>3662</v>
      </c>
      <c r="J1284" s="29" t="s">
        <v>154</v>
      </c>
      <c r="K1284" s="30" t="s">
        <v>44</v>
      </c>
      <c r="L1284" s="31"/>
      <c r="M1284" s="32"/>
    </row>
    <row r="1285" customFormat="false" ht="51" hidden="false" customHeight="true" outlineLevel="0" collapsed="false">
      <c r="B1285" s="29" t="s">
        <v>5806</v>
      </c>
      <c r="C1285" s="29" t="s">
        <v>263</v>
      </c>
      <c r="D1285" s="29" t="s">
        <v>5569</v>
      </c>
      <c r="E1285" s="29" t="s">
        <v>595</v>
      </c>
      <c r="F1285" s="29" t="s">
        <v>5807</v>
      </c>
      <c r="G1285" s="29" t="s">
        <v>5808</v>
      </c>
      <c r="H1285" s="29" t="s">
        <v>5805</v>
      </c>
      <c r="I1285" s="29" t="s">
        <v>3662</v>
      </c>
      <c r="J1285" s="29" t="s">
        <v>154</v>
      </c>
      <c r="K1285" s="30" t="s">
        <v>44</v>
      </c>
      <c r="L1285" s="31"/>
      <c r="M1285" s="32"/>
    </row>
    <row r="1286" customFormat="false" ht="51" hidden="false" customHeight="true" outlineLevel="0" collapsed="false">
      <c r="B1286" s="29" t="s">
        <v>5809</v>
      </c>
      <c r="C1286" s="29" t="s">
        <v>263</v>
      </c>
      <c r="D1286" s="29" t="s">
        <v>5810</v>
      </c>
      <c r="E1286" s="29" t="s">
        <v>356</v>
      </c>
      <c r="F1286" s="29" t="s">
        <v>5811</v>
      </c>
      <c r="G1286" s="29" t="s">
        <v>5812</v>
      </c>
      <c r="H1286" s="29" t="s">
        <v>5805</v>
      </c>
      <c r="I1286" s="29" t="s">
        <v>301</v>
      </c>
      <c r="J1286" s="29" t="s">
        <v>201</v>
      </c>
      <c r="K1286" s="30" t="s">
        <v>44</v>
      </c>
      <c r="L1286" s="31"/>
      <c r="M1286" s="32"/>
    </row>
    <row r="1287" customFormat="false" ht="51" hidden="false" customHeight="true" outlineLevel="0" collapsed="false">
      <c r="B1287" s="29" t="s">
        <v>5813</v>
      </c>
      <c r="C1287" s="29" t="s">
        <v>263</v>
      </c>
      <c r="D1287" s="29" t="s">
        <v>5814</v>
      </c>
      <c r="E1287" s="29" t="s">
        <v>538</v>
      </c>
      <c r="F1287" s="29" t="s">
        <v>5815</v>
      </c>
      <c r="G1287" s="29" t="s">
        <v>5815</v>
      </c>
      <c r="H1287" s="29" t="s">
        <v>5816</v>
      </c>
      <c r="I1287" s="29" t="s">
        <v>467</v>
      </c>
      <c r="J1287" s="29" t="s">
        <v>467</v>
      </c>
      <c r="K1287" s="30" t="s">
        <v>44</v>
      </c>
      <c r="L1287" s="31"/>
      <c r="M1287" s="32"/>
    </row>
    <row r="1288" customFormat="false" ht="51" hidden="false" customHeight="true" outlineLevel="0" collapsed="false">
      <c r="B1288" s="29" t="s">
        <v>5817</v>
      </c>
      <c r="C1288" s="29" t="s">
        <v>263</v>
      </c>
      <c r="D1288" s="29" t="s">
        <v>5818</v>
      </c>
      <c r="E1288" s="29" t="s">
        <v>538</v>
      </c>
      <c r="F1288" s="29" t="s">
        <v>5819</v>
      </c>
      <c r="G1288" s="29" t="s">
        <v>5820</v>
      </c>
      <c r="H1288" s="29" t="s">
        <v>5816</v>
      </c>
      <c r="I1288" s="29" t="s">
        <v>467</v>
      </c>
      <c r="J1288" s="29" t="s">
        <v>467</v>
      </c>
      <c r="K1288" s="30" t="s">
        <v>44</v>
      </c>
      <c r="L1288" s="31"/>
      <c r="M1288" s="32"/>
    </row>
    <row r="1289" customFormat="false" ht="51" hidden="false" customHeight="true" outlineLevel="0" collapsed="false">
      <c r="B1289" s="29" t="s">
        <v>5821</v>
      </c>
      <c r="C1289" s="29" t="s">
        <v>263</v>
      </c>
      <c r="D1289" s="29" t="s">
        <v>5822</v>
      </c>
      <c r="E1289" s="29" t="s">
        <v>538</v>
      </c>
      <c r="F1289" s="29" t="s">
        <v>5823</v>
      </c>
      <c r="G1289" s="29" t="s">
        <v>5823</v>
      </c>
      <c r="H1289" s="29" t="s">
        <v>5816</v>
      </c>
      <c r="I1289" s="29" t="s">
        <v>467</v>
      </c>
      <c r="J1289" s="29" t="s">
        <v>467</v>
      </c>
      <c r="K1289" s="30" t="s">
        <v>44</v>
      </c>
      <c r="L1289" s="31"/>
      <c r="M1289" s="32"/>
    </row>
    <row r="1290" customFormat="false" ht="51" hidden="false" customHeight="true" outlineLevel="0" collapsed="false">
      <c r="B1290" s="29" t="s">
        <v>5824</v>
      </c>
      <c r="C1290" s="29" t="s">
        <v>263</v>
      </c>
      <c r="D1290" s="29" t="s">
        <v>5825</v>
      </c>
      <c r="E1290" s="29" t="s">
        <v>538</v>
      </c>
      <c r="F1290" s="29" t="s">
        <v>5826</v>
      </c>
      <c r="G1290" s="29" t="s">
        <v>5827</v>
      </c>
      <c r="H1290" s="29" t="s">
        <v>5816</v>
      </c>
      <c r="I1290" s="29" t="s">
        <v>467</v>
      </c>
      <c r="J1290" s="29" t="s">
        <v>467</v>
      </c>
      <c r="K1290" s="30" t="s">
        <v>44</v>
      </c>
      <c r="L1290" s="31"/>
      <c r="M1290" s="32"/>
    </row>
    <row r="1291" customFormat="false" ht="51" hidden="false" customHeight="true" outlineLevel="0" collapsed="false">
      <c r="B1291" s="29" t="s">
        <v>5828</v>
      </c>
      <c r="C1291" s="29" t="s">
        <v>263</v>
      </c>
      <c r="D1291" s="29" t="s">
        <v>5829</v>
      </c>
      <c r="E1291" s="29" t="s">
        <v>39</v>
      </c>
      <c r="F1291" s="29" t="s">
        <v>5830</v>
      </c>
      <c r="G1291" s="29" t="s">
        <v>5831</v>
      </c>
      <c r="H1291" s="29" t="s">
        <v>5805</v>
      </c>
      <c r="I1291" s="29" t="s">
        <v>42</v>
      </c>
      <c r="J1291" s="29" t="s">
        <v>43</v>
      </c>
      <c r="K1291" s="30" t="s">
        <v>44</v>
      </c>
      <c r="L1291" s="31"/>
      <c r="M1291" s="32"/>
    </row>
    <row r="1292" customFormat="false" ht="51" hidden="false" customHeight="true" outlineLevel="0" collapsed="false">
      <c r="B1292" s="29" t="s">
        <v>5832</v>
      </c>
      <c r="C1292" s="29" t="s">
        <v>263</v>
      </c>
      <c r="D1292" s="29" t="s">
        <v>5833</v>
      </c>
      <c r="E1292" s="29" t="s">
        <v>538</v>
      </c>
      <c r="F1292" s="29" t="s">
        <v>5834</v>
      </c>
      <c r="G1292" s="29" t="s">
        <v>5835</v>
      </c>
      <c r="H1292" s="29" t="s">
        <v>5836</v>
      </c>
      <c r="I1292" s="29" t="s">
        <v>467</v>
      </c>
      <c r="J1292" s="29" t="s">
        <v>467</v>
      </c>
      <c r="K1292" s="30" t="s">
        <v>44</v>
      </c>
      <c r="L1292" s="31"/>
      <c r="M1292" s="32"/>
    </row>
    <row r="1293" customFormat="false" ht="51" hidden="false" customHeight="true" outlineLevel="0" collapsed="false">
      <c r="B1293" s="29" t="s">
        <v>5837</v>
      </c>
      <c r="C1293" s="29" t="s">
        <v>263</v>
      </c>
      <c r="D1293" s="29" t="s">
        <v>5838</v>
      </c>
      <c r="E1293" s="29" t="s">
        <v>538</v>
      </c>
      <c r="F1293" s="29" t="s">
        <v>5839</v>
      </c>
      <c r="G1293" s="29" t="s">
        <v>5840</v>
      </c>
      <c r="H1293" s="29" t="s">
        <v>5836</v>
      </c>
      <c r="I1293" s="29" t="s">
        <v>467</v>
      </c>
      <c r="J1293" s="29" t="s">
        <v>467</v>
      </c>
      <c r="K1293" s="30" t="s">
        <v>44</v>
      </c>
      <c r="L1293" s="31"/>
      <c r="M1293" s="32"/>
    </row>
    <row r="1294" customFormat="false" ht="51" hidden="false" customHeight="true" outlineLevel="0" collapsed="false">
      <c r="B1294" s="29" t="s">
        <v>5841</v>
      </c>
      <c r="C1294" s="29" t="s">
        <v>263</v>
      </c>
      <c r="D1294" s="29" t="s">
        <v>5842</v>
      </c>
      <c r="E1294" s="29" t="s">
        <v>150</v>
      </c>
      <c r="F1294" s="29" t="s">
        <v>5843</v>
      </c>
      <c r="G1294" s="29" t="s">
        <v>5844</v>
      </c>
      <c r="H1294" s="29" t="s">
        <v>5836</v>
      </c>
      <c r="I1294" s="29" t="s">
        <v>467</v>
      </c>
      <c r="J1294" s="29" t="s">
        <v>467</v>
      </c>
      <c r="K1294" s="30" t="s">
        <v>44</v>
      </c>
      <c r="L1294" s="31"/>
      <c r="M1294" s="32"/>
    </row>
    <row r="1295" customFormat="false" ht="51" hidden="false" customHeight="true" outlineLevel="0" collapsed="false">
      <c r="B1295" s="29" t="s">
        <v>5845</v>
      </c>
      <c r="C1295" s="29" t="s">
        <v>263</v>
      </c>
      <c r="D1295" s="29" t="s">
        <v>5846</v>
      </c>
      <c r="E1295" s="29" t="s">
        <v>538</v>
      </c>
      <c r="F1295" s="29" t="s">
        <v>5847</v>
      </c>
      <c r="G1295" s="29" t="s">
        <v>5847</v>
      </c>
      <c r="H1295" s="29" t="s">
        <v>5848</v>
      </c>
      <c r="I1295" s="29" t="s">
        <v>467</v>
      </c>
      <c r="J1295" s="29" t="s">
        <v>467</v>
      </c>
      <c r="K1295" s="30" t="s">
        <v>44</v>
      </c>
      <c r="L1295" s="31"/>
      <c r="M1295" s="32"/>
    </row>
    <row r="1296" customFormat="false" ht="51" hidden="false" customHeight="true" outlineLevel="0" collapsed="false">
      <c r="B1296" s="29" t="s">
        <v>5849</v>
      </c>
      <c r="C1296" s="29" t="s">
        <v>263</v>
      </c>
      <c r="D1296" s="29" t="s">
        <v>5850</v>
      </c>
      <c r="E1296" s="29" t="s">
        <v>538</v>
      </c>
      <c r="F1296" s="29" t="s">
        <v>5851</v>
      </c>
      <c r="G1296" s="29" t="s">
        <v>5852</v>
      </c>
      <c r="H1296" s="29" t="s">
        <v>5848</v>
      </c>
      <c r="I1296" s="29" t="s">
        <v>467</v>
      </c>
      <c r="J1296" s="29" t="s">
        <v>467</v>
      </c>
      <c r="K1296" s="30" t="s">
        <v>44</v>
      </c>
      <c r="L1296" s="31"/>
      <c r="M1296" s="32"/>
    </row>
    <row r="1297" customFormat="false" ht="51" hidden="false" customHeight="true" outlineLevel="0" collapsed="false">
      <c r="B1297" s="29" t="s">
        <v>5853</v>
      </c>
      <c r="C1297" s="29" t="s">
        <v>263</v>
      </c>
      <c r="D1297" s="29" t="s">
        <v>5854</v>
      </c>
      <c r="E1297" s="29" t="s">
        <v>339</v>
      </c>
      <c r="F1297" s="29" t="s">
        <v>5855</v>
      </c>
      <c r="G1297" s="29" t="s">
        <v>5856</v>
      </c>
      <c r="H1297" s="29" t="s">
        <v>5857</v>
      </c>
      <c r="I1297" s="29" t="s">
        <v>301</v>
      </c>
      <c r="J1297" s="29" t="s">
        <v>201</v>
      </c>
      <c r="K1297" s="30" t="s">
        <v>44</v>
      </c>
      <c r="L1297" s="31"/>
      <c r="M1297" s="32"/>
    </row>
    <row r="1298" customFormat="false" ht="51" hidden="false" customHeight="true" outlineLevel="0" collapsed="false">
      <c r="B1298" s="29" t="s">
        <v>5858</v>
      </c>
      <c r="C1298" s="29" t="s">
        <v>263</v>
      </c>
      <c r="D1298" s="29" t="s">
        <v>5859</v>
      </c>
      <c r="E1298" s="29" t="s">
        <v>150</v>
      </c>
      <c r="F1298" s="29" t="s">
        <v>5860</v>
      </c>
      <c r="G1298" s="29" t="s">
        <v>5860</v>
      </c>
      <c r="H1298" s="29" t="s">
        <v>5848</v>
      </c>
      <c r="I1298" s="29" t="s">
        <v>467</v>
      </c>
      <c r="J1298" s="29" t="s">
        <v>467</v>
      </c>
      <c r="K1298" s="30" t="s">
        <v>44</v>
      </c>
      <c r="L1298" s="31"/>
      <c r="M1298" s="32"/>
    </row>
    <row r="1299" customFormat="false" ht="51" hidden="false" customHeight="true" outlineLevel="0" collapsed="false">
      <c r="B1299" s="29" t="s">
        <v>5861</v>
      </c>
      <c r="C1299" s="29" t="s">
        <v>263</v>
      </c>
      <c r="D1299" s="29" t="s">
        <v>5862</v>
      </c>
      <c r="E1299" s="29" t="s">
        <v>538</v>
      </c>
      <c r="F1299" s="29" t="s">
        <v>5863</v>
      </c>
      <c r="G1299" s="29" t="s">
        <v>5863</v>
      </c>
      <c r="H1299" s="29" t="s">
        <v>5848</v>
      </c>
      <c r="I1299" s="29" t="s">
        <v>467</v>
      </c>
      <c r="J1299" s="29" t="s">
        <v>467</v>
      </c>
      <c r="K1299" s="30" t="s">
        <v>44</v>
      </c>
      <c r="L1299" s="31"/>
      <c r="M1299" s="32"/>
    </row>
    <row r="1300" customFormat="false" ht="51" hidden="false" customHeight="true" outlineLevel="0" collapsed="false">
      <c r="B1300" s="29" t="s">
        <v>5864</v>
      </c>
      <c r="C1300" s="29" t="s">
        <v>263</v>
      </c>
      <c r="D1300" s="29" t="s">
        <v>5865</v>
      </c>
      <c r="E1300" s="29" t="s">
        <v>538</v>
      </c>
      <c r="F1300" s="29" t="s">
        <v>5866</v>
      </c>
      <c r="G1300" s="29" t="s">
        <v>5866</v>
      </c>
      <c r="H1300" s="29" t="s">
        <v>5848</v>
      </c>
      <c r="I1300" s="29" t="s">
        <v>467</v>
      </c>
      <c r="J1300" s="29" t="s">
        <v>467</v>
      </c>
      <c r="K1300" s="30" t="s">
        <v>44</v>
      </c>
      <c r="L1300" s="31"/>
      <c r="M1300" s="32"/>
    </row>
    <row r="1301" customFormat="false" ht="51" hidden="false" customHeight="true" outlineLevel="0" collapsed="false">
      <c r="B1301" s="29" t="s">
        <v>5867</v>
      </c>
      <c r="C1301" s="29" t="s">
        <v>263</v>
      </c>
      <c r="D1301" s="29" t="s">
        <v>5868</v>
      </c>
      <c r="E1301" s="29" t="s">
        <v>538</v>
      </c>
      <c r="F1301" s="29" t="s">
        <v>5869</v>
      </c>
      <c r="G1301" s="29" t="s">
        <v>5869</v>
      </c>
      <c r="H1301" s="29" t="s">
        <v>5848</v>
      </c>
      <c r="I1301" s="29" t="s">
        <v>467</v>
      </c>
      <c r="J1301" s="29" t="s">
        <v>467</v>
      </c>
      <c r="K1301" s="30" t="s">
        <v>44</v>
      </c>
      <c r="L1301" s="31"/>
      <c r="M1301" s="32"/>
    </row>
    <row r="1302" customFormat="false" ht="51" hidden="false" customHeight="true" outlineLevel="0" collapsed="false">
      <c r="B1302" s="29" t="s">
        <v>5870</v>
      </c>
      <c r="C1302" s="29" t="s">
        <v>263</v>
      </c>
      <c r="D1302" s="29" t="s">
        <v>5871</v>
      </c>
      <c r="E1302" s="29" t="s">
        <v>538</v>
      </c>
      <c r="F1302" s="29" t="s">
        <v>5872</v>
      </c>
      <c r="G1302" s="29" t="s">
        <v>5872</v>
      </c>
      <c r="H1302" s="29" t="s">
        <v>5848</v>
      </c>
      <c r="I1302" s="29" t="s">
        <v>467</v>
      </c>
      <c r="J1302" s="29" t="s">
        <v>467</v>
      </c>
      <c r="K1302" s="30" t="s">
        <v>44</v>
      </c>
      <c r="L1302" s="31"/>
      <c r="M1302" s="32"/>
    </row>
    <row r="1303" customFormat="false" ht="51" hidden="false" customHeight="true" outlineLevel="0" collapsed="false">
      <c r="B1303" s="29" t="s">
        <v>5873</v>
      </c>
      <c r="C1303" s="29" t="s">
        <v>263</v>
      </c>
      <c r="D1303" s="29" t="s">
        <v>5874</v>
      </c>
      <c r="E1303" s="29" t="s">
        <v>356</v>
      </c>
      <c r="F1303" s="29" t="s">
        <v>5875</v>
      </c>
      <c r="G1303" s="29" t="s">
        <v>5875</v>
      </c>
      <c r="H1303" s="29" t="s">
        <v>5857</v>
      </c>
      <c r="I1303" s="29" t="s">
        <v>301</v>
      </c>
      <c r="J1303" s="29" t="s">
        <v>201</v>
      </c>
      <c r="K1303" s="30" t="s">
        <v>44</v>
      </c>
      <c r="L1303" s="31"/>
      <c r="M1303" s="32"/>
    </row>
    <row r="1304" customFormat="false" ht="51" hidden="false" customHeight="true" outlineLevel="0" collapsed="false">
      <c r="B1304" s="29" t="s">
        <v>5876</v>
      </c>
      <c r="C1304" s="29" t="s">
        <v>263</v>
      </c>
      <c r="D1304" s="29" t="s">
        <v>5877</v>
      </c>
      <c r="E1304" s="29" t="s">
        <v>538</v>
      </c>
      <c r="F1304" s="29" t="s">
        <v>5878</v>
      </c>
      <c r="G1304" s="29" t="s">
        <v>5878</v>
      </c>
      <c r="H1304" s="29" t="s">
        <v>5848</v>
      </c>
      <c r="I1304" s="29" t="s">
        <v>467</v>
      </c>
      <c r="J1304" s="29" t="s">
        <v>467</v>
      </c>
      <c r="K1304" s="30" t="s">
        <v>44</v>
      </c>
      <c r="L1304" s="31"/>
      <c r="M1304" s="32"/>
    </row>
    <row r="1305" customFormat="false" ht="51" hidden="false" customHeight="true" outlineLevel="0" collapsed="false">
      <c r="B1305" s="29" t="s">
        <v>5879</v>
      </c>
      <c r="C1305" s="29" t="s">
        <v>263</v>
      </c>
      <c r="D1305" s="29" t="s">
        <v>5880</v>
      </c>
      <c r="E1305" s="29" t="s">
        <v>595</v>
      </c>
      <c r="F1305" s="29" t="s">
        <v>5881</v>
      </c>
      <c r="G1305" s="29" t="s">
        <v>5881</v>
      </c>
      <c r="H1305" s="29" t="s">
        <v>5857</v>
      </c>
      <c r="I1305" s="29" t="s">
        <v>3662</v>
      </c>
      <c r="J1305" s="29" t="s">
        <v>154</v>
      </c>
      <c r="K1305" s="30" t="s">
        <v>44</v>
      </c>
      <c r="L1305" s="31"/>
      <c r="M1305" s="32"/>
    </row>
    <row r="1306" customFormat="false" ht="51" hidden="false" customHeight="true" outlineLevel="0" collapsed="false">
      <c r="B1306" s="29" t="s">
        <v>5882</v>
      </c>
      <c r="C1306" s="29" t="s">
        <v>263</v>
      </c>
      <c r="D1306" s="29" t="s">
        <v>5883</v>
      </c>
      <c r="E1306" s="29" t="s">
        <v>538</v>
      </c>
      <c r="F1306" s="29" t="s">
        <v>5884</v>
      </c>
      <c r="G1306" s="29" t="s">
        <v>5884</v>
      </c>
      <c r="H1306" s="29" t="s">
        <v>5848</v>
      </c>
      <c r="I1306" s="29" t="s">
        <v>467</v>
      </c>
      <c r="J1306" s="29" t="s">
        <v>467</v>
      </c>
      <c r="K1306" s="30" t="s">
        <v>44</v>
      </c>
      <c r="L1306" s="31"/>
      <c r="M1306" s="32"/>
    </row>
    <row r="1307" customFormat="false" ht="51" hidden="false" customHeight="true" outlineLevel="0" collapsed="false">
      <c r="B1307" s="29" t="s">
        <v>5885</v>
      </c>
      <c r="C1307" s="29" t="s">
        <v>263</v>
      </c>
      <c r="D1307" s="29" t="s">
        <v>5886</v>
      </c>
      <c r="E1307" s="29" t="s">
        <v>76</v>
      </c>
      <c r="F1307" s="29" t="s">
        <v>5887</v>
      </c>
      <c r="G1307" s="29" t="s">
        <v>5888</v>
      </c>
      <c r="H1307" s="29" t="s">
        <v>5857</v>
      </c>
      <c r="I1307" s="29" t="s">
        <v>1231</v>
      </c>
      <c r="J1307" s="29" t="s">
        <v>1232</v>
      </c>
      <c r="K1307" s="30" t="s">
        <v>44</v>
      </c>
      <c r="L1307" s="31"/>
      <c r="M1307" s="32"/>
    </row>
    <row r="1308" customFormat="false" ht="51" hidden="false" customHeight="true" outlineLevel="0" collapsed="false">
      <c r="B1308" s="29" t="s">
        <v>5889</v>
      </c>
      <c r="C1308" s="29" t="s">
        <v>263</v>
      </c>
      <c r="D1308" s="29" t="s">
        <v>5890</v>
      </c>
      <c r="E1308" s="29" t="s">
        <v>538</v>
      </c>
      <c r="F1308" s="29" t="s">
        <v>5891</v>
      </c>
      <c r="G1308" s="29" t="s">
        <v>5891</v>
      </c>
      <c r="H1308" s="29" t="s">
        <v>5848</v>
      </c>
      <c r="I1308" s="29" t="s">
        <v>467</v>
      </c>
      <c r="J1308" s="29" t="s">
        <v>467</v>
      </c>
      <c r="K1308" s="30" t="s">
        <v>44</v>
      </c>
      <c r="L1308" s="31"/>
      <c r="M1308" s="32"/>
    </row>
    <row r="1309" customFormat="false" ht="51" hidden="false" customHeight="true" outlineLevel="0" collapsed="false">
      <c r="B1309" s="29" t="s">
        <v>5892</v>
      </c>
      <c r="C1309" s="29" t="s">
        <v>263</v>
      </c>
      <c r="D1309" s="29" t="s">
        <v>5893</v>
      </c>
      <c r="E1309" s="29" t="s">
        <v>538</v>
      </c>
      <c r="F1309" s="29" t="s">
        <v>5894</v>
      </c>
      <c r="G1309" s="29" t="s">
        <v>5895</v>
      </c>
      <c r="H1309" s="29" t="s">
        <v>5848</v>
      </c>
      <c r="I1309" s="29" t="s">
        <v>467</v>
      </c>
      <c r="J1309" s="29" t="s">
        <v>467</v>
      </c>
      <c r="K1309" s="30" t="s">
        <v>44</v>
      </c>
      <c r="L1309" s="31"/>
      <c r="M1309" s="32"/>
    </row>
    <row r="1310" customFormat="false" ht="51" hidden="false" customHeight="true" outlineLevel="0" collapsed="false">
      <c r="B1310" s="29" t="s">
        <v>5896</v>
      </c>
      <c r="C1310" s="29" t="s">
        <v>263</v>
      </c>
      <c r="D1310" s="29" t="s">
        <v>5897</v>
      </c>
      <c r="E1310" s="29" t="s">
        <v>150</v>
      </c>
      <c r="F1310" s="29" t="s">
        <v>5898</v>
      </c>
      <c r="G1310" s="29" t="s">
        <v>5898</v>
      </c>
      <c r="H1310" s="29" t="s">
        <v>5899</v>
      </c>
      <c r="I1310" s="29" t="s">
        <v>467</v>
      </c>
      <c r="J1310" s="29" t="s">
        <v>467</v>
      </c>
      <c r="K1310" s="30" t="s">
        <v>44</v>
      </c>
      <c r="L1310" s="31"/>
      <c r="M1310" s="32"/>
    </row>
    <row r="1311" customFormat="false" ht="51" hidden="false" customHeight="true" outlineLevel="0" collapsed="false">
      <c r="B1311" s="29" t="s">
        <v>5900</v>
      </c>
      <c r="C1311" s="29" t="s">
        <v>263</v>
      </c>
      <c r="D1311" s="29" t="s">
        <v>5901</v>
      </c>
      <c r="E1311" s="29" t="s">
        <v>185</v>
      </c>
      <c r="F1311" s="29" t="s">
        <v>5902</v>
      </c>
      <c r="G1311" s="29" t="s">
        <v>5903</v>
      </c>
      <c r="H1311" s="29" t="s">
        <v>5904</v>
      </c>
      <c r="I1311" s="29" t="s">
        <v>5905</v>
      </c>
      <c r="J1311" s="29" t="s">
        <v>5906</v>
      </c>
      <c r="K1311" s="30" t="s">
        <v>44</v>
      </c>
      <c r="L1311" s="31"/>
      <c r="M1311" s="32"/>
    </row>
    <row r="1312" customFormat="false" ht="51" hidden="false" customHeight="true" outlineLevel="0" collapsed="false">
      <c r="B1312" s="29" t="s">
        <v>5907</v>
      </c>
      <c r="C1312" s="29" t="s">
        <v>263</v>
      </c>
      <c r="D1312" s="29" t="s">
        <v>5908</v>
      </c>
      <c r="E1312" s="29" t="s">
        <v>150</v>
      </c>
      <c r="F1312" s="29" t="s">
        <v>5909</v>
      </c>
      <c r="G1312" s="29" t="s">
        <v>5909</v>
      </c>
      <c r="H1312" s="29" t="s">
        <v>5899</v>
      </c>
      <c r="I1312" s="29" t="s">
        <v>467</v>
      </c>
      <c r="J1312" s="29" t="s">
        <v>467</v>
      </c>
      <c r="K1312" s="30" t="s">
        <v>44</v>
      </c>
      <c r="L1312" s="31"/>
      <c r="M1312" s="32"/>
    </row>
    <row r="1313" customFormat="false" ht="51" hidden="false" customHeight="true" outlineLevel="0" collapsed="false">
      <c r="B1313" s="29" t="s">
        <v>5910</v>
      </c>
      <c r="C1313" s="29" t="s">
        <v>263</v>
      </c>
      <c r="D1313" s="29" t="s">
        <v>5911</v>
      </c>
      <c r="E1313" s="29" t="s">
        <v>150</v>
      </c>
      <c r="F1313" s="29" t="s">
        <v>5912</v>
      </c>
      <c r="G1313" s="29" t="s">
        <v>5913</v>
      </c>
      <c r="H1313" s="29" t="s">
        <v>5899</v>
      </c>
      <c r="I1313" s="29" t="s">
        <v>467</v>
      </c>
      <c r="J1313" s="29" t="s">
        <v>467</v>
      </c>
      <c r="K1313" s="30" t="s">
        <v>44</v>
      </c>
      <c r="L1313" s="31"/>
      <c r="M1313" s="32"/>
    </row>
    <row r="1314" customFormat="false" ht="51" hidden="false" customHeight="true" outlineLevel="0" collapsed="false">
      <c r="B1314" s="29" t="s">
        <v>5914</v>
      </c>
      <c r="C1314" s="29" t="s">
        <v>263</v>
      </c>
      <c r="D1314" s="29" t="s">
        <v>5915</v>
      </c>
      <c r="E1314" s="29" t="s">
        <v>150</v>
      </c>
      <c r="F1314" s="29" t="s">
        <v>5916</v>
      </c>
      <c r="G1314" s="29" t="s">
        <v>5916</v>
      </c>
      <c r="H1314" s="29" t="s">
        <v>5899</v>
      </c>
      <c r="I1314" s="29" t="s">
        <v>467</v>
      </c>
      <c r="J1314" s="29" t="s">
        <v>467</v>
      </c>
      <c r="K1314" s="30" t="s">
        <v>44</v>
      </c>
      <c r="L1314" s="31"/>
      <c r="M1314" s="32"/>
    </row>
    <row r="1315" customFormat="false" ht="51" hidden="false" customHeight="true" outlineLevel="0" collapsed="false">
      <c r="B1315" s="29" t="s">
        <v>5917</v>
      </c>
      <c r="C1315" s="29" t="s">
        <v>263</v>
      </c>
      <c r="D1315" s="29" t="s">
        <v>5918</v>
      </c>
      <c r="E1315" s="29" t="s">
        <v>150</v>
      </c>
      <c r="F1315" s="29" t="s">
        <v>5919</v>
      </c>
      <c r="G1315" s="29" t="s">
        <v>5920</v>
      </c>
      <c r="H1315" s="29" t="s">
        <v>5899</v>
      </c>
      <c r="I1315" s="29" t="s">
        <v>467</v>
      </c>
      <c r="J1315" s="29" t="s">
        <v>467</v>
      </c>
      <c r="K1315" s="30" t="s">
        <v>44</v>
      </c>
      <c r="L1315" s="31"/>
      <c r="M1315" s="32"/>
    </row>
    <row r="1316" customFormat="false" ht="51" hidden="false" customHeight="true" outlineLevel="0" collapsed="false">
      <c r="B1316" s="29" t="s">
        <v>5921</v>
      </c>
      <c r="C1316" s="29" t="s">
        <v>263</v>
      </c>
      <c r="D1316" s="29" t="s">
        <v>5922</v>
      </c>
      <c r="E1316" s="29" t="s">
        <v>150</v>
      </c>
      <c r="F1316" s="29" t="s">
        <v>5923</v>
      </c>
      <c r="G1316" s="29" t="s">
        <v>5924</v>
      </c>
      <c r="H1316" s="29" t="s">
        <v>5899</v>
      </c>
      <c r="I1316" s="29" t="s">
        <v>467</v>
      </c>
      <c r="J1316" s="29" t="s">
        <v>467</v>
      </c>
      <c r="K1316" s="30" t="s">
        <v>44</v>
      </c>
      <c r="L1316" s="31"/>
      <c r="M1316" s="32"/>
    </row>
    <row r="1317" customFormat="false" ht="51" hidden="false" customHeight="true" outlineLevel="0" collapsed="false">
      <c r="B1317" s="29" t="s">
        <v>5925</v>
      </c>
      <c r="C1317" s="29" t="s">
        <v>263</v>
      </c>
      <c r="D1317" s="29" t="s">
        <v>5926</v>
      </c>
      <c r="E1317" s="29" t="s">
        <v>150</v>
      </c>
      <c r="F1317" s="29" t="s">
        <v>5927</v>
      </c>
      <c r="G1317" s="29" t="s">
        <v>5928</v>
      </c>
      <c r="H1317" s="29" t="s">
        <v>5899</v>
      </c>
      <c r="I1317" s="29" t="s">
        <v>467</v>
      </c>
      <c r="J1317" s="29" t="s">
        <v>467</v>
      </c>
      <c r="K1317" s="30" t="s">
        <v>44</v>
      </c>
      <c r="L1317" s="31"/>
      <c r="M1317" s="32"/>
    </row>
    <row r="1318" customFormat="false" ht="51" hidden="false" customHeight="true" outlineLevel="0" collapsed="false">
      <c r="B1318" s="29" t="s">
        <v>5929</v>
      </c>
      <c r="C1318" s="29" t="s">
        <v>263</v>
      </c>
      <c r="D1318" s="29" t="s">
        <v>5930</v>
      </c>
      <c r="E1318" s="29" t="s">
        <v>150</v>
      </c>
      <c r="F1318" s="29" t="s">
        <v>5931</v>
      </c>
      <c r="G1318" s="29" t="s">
        <v>5932</v>
      </c>
      <c r="H1318" s="29" t="s">
        <v>5899</v>
      </c>
      <c r="I1318" s="29" t="s">
        <v>467</v>
      </c>
      <c r="J1318" s="29" t="s">
        <v>467</v>
      </c>
      <c r="K1318" s="30" t="s">
        <v>44</v>
      </c>
      <c r="L1318" s="31"/>
      <c r="M1318" s="32"/>
    </row>
    <row r="1319" customFormat="false" ht="51" hidden="false" customHeight="true" outlineLevel="0" collapsed="false">
      <c r="B1319" s="29" t="s">
        <v>5933</v>
      </c>
      <c r="C1319" s="29" t="s">
        <v>263</v>
      </c>
      <c r="D1319" s="29" t="s">
        <v>5934</v>
      </c>
      <c r="E1319" s="29" t="s">
        <v>150</v>
      </c>
      <c r="F1319" s="29" t="s">
        <v>5935</v>
      </c>
      <c r="G1319" s="29" t="s">
        <v>5935</v>
      </c>
      <c r="H1319" s="29" t="s">
        <v>5899</v>
      </c>
      <c r="I1319" s="29" t="s">
        <v>467</v>
      </c>
      <c r="J1319" s="29" t="s">
        <v>467</v>
      </c>
      <c r="K1319" s="30" t="s">
        <v>44</v>
      </c>
      <c r="L1319" s="31"/>
      <c r="M1319" s="32"/>
    </row>
    <row r="1320" customFormat="false" ht="51" hidden="false" customHeight="true" outlineLevel="0" collapsed="false">
      <c r="B1320" s="29" t="s">
        <v>5936</v>
      </c>
      <c r="C1320" s="29" t="s">
        <v>263</v>
      </c>
      <c r="D1320" s="29" t="s">
        <v>5937</v>
      </c>
      <c r="E1320" s="29" t="s">
        <v>350</v>
      </c>
      <c r="F1320" s="29" t="s">
        <v>5938</v>
      </c>
      <c r="G1320" s="29" t="s">
        <v>5938</v>
      </c>
      <c r="H1320" s="29" t="s">
        <v>5904</v>
      </c>
      <c r="I1320" s="29" t="s">
        <v>301</v>
      </c>
      <c r="J1320" s="29" t="s">
        <v>201</v>
      </c>
      <c r="K1320" s="30" t="s">
        <v>44</v>
      </c>
      <c r="L1320" s="31"/>
      <c r="M1320" s="32"/>
    </row>
    <row r="1321" customFormat="false" ht="51" hidden="false" customHeight="true" outlineLevel="0" collapsed="false">
      <c r="B1321" s="29" t="s">
        <v>5939</v>
      </c>
      <c r="C1321" s="29" t="s">
        <v>263</v>
      </c>
      <c r="D1321" s="29" t="s">
        <v>5940</v>
      </c>
      <c r="E1321" s="29" t="s">
        <v>350</v>
      </c>
      <c r="F1321" s="29" t="s">
        <v>5941</v>
      </c>
      <c r="G1321" s="29" t="s">
        <v>5942</v>
      </c>
      <c r="H1321" s="29" t="s">
        <v>5943</v>
      </c>
      <c r="I1321" s="29" t="s">
        <v>301</v>
      </c>
      <c r="J1321" s="29" t="s">
        <v>201</v>
      </c>
      <c r="K1321" s="30" t="s">
        <v>44</v>
      </c>
      <c r="L1321" s="31"/>
      <c r="M1321" s="32"/>
    </row>
    <row r="1322" customFormat="false" ht="51" hidden="false" customHeight="true" outlineLevel="0" collapsed="false">
      <c r="B1322" s="29" t="s">
        <v>5944</v>
      </c>
      <c r="C1322" s="29" t="s">
        <v>263</v>
      </c>
      <c r="D1322" s="29" t="s">
        <v>5945</v>
      </c>
      <c r="E1322" s="29" t="s">
        <v>350</v>
      </c>
      <c r="F1322" s="29" t="s">
        <v>5946</v>
      </c>
      <c r="G1322" s="29" t="s">
        <v>5947</v>
      </c>
      <c r="H1322" s="29" t="s">
        <v>5943</v>
      </c>
      <c r="I1322" s="29" t="s">
        <v>3662</v>
      </c>
      <c r="J1322" s="29" t="s">
        <v>154</v>
      </c>
      <c r="K1322" s="30" t="s">
        <v>44</v>
      </c>
      <c r="L1322" s="31"/>
      <c r="M1322" s="32"/>
    </row>
    <row r="1323" customFormat="false" ht="51" hidden="false" customHeight="true" outlineLevel="0" collapsed="false">
      <c r="B1323" s="29" t="s">
        <v>5948</v>
      </c>
      <c r="C1323" s="29" t="s">
        <v>263</v>
      </c>
      <c r="D1323" s="29" t="s">
        <v>5949</v>
      </c>
      <c r="E1323" s="29" t="s">
        <v>356</v>
      </c>
      <c r="F1323" s="29" t="s">
        <v>5950</v>
      </c>
      <c r="G1323" s="29" t="s">
        <v>5950</v>
      </c>
      <c r="H1323" s="29" t="s">
        <v>5943</v>
      </c>
      <c r="I1323" s="29" t="s">
        <v>301</v>
      </c>
      <c r="J1323" s="29" t="s">
        <v>201</v>
      </c>
      <c r="K1323" s="30" t="s">
        <v>44</v>
      </c>
      <c r="L1323" s="31"/>
      <c r="M1323" s="32"/>
    </row>
    <row r="1324" customFormat="false" ht="51" hidden="false" customHeight="true" outlineLevel="0" collapsed="false">
      <c r="B1324" s="29" t="s">
        <v>5951</v>
      </c>
      <c r="C1324" s="29" t="s">
        <v>263</v>
      </c>
      <c r="D1324" s="29" t="s">
        <v>5952</v>
      </c>
      <c r="E1324" s="29" t="s">
        <v>150</v>
      </c>
      <c r="F1324" s="29" t="s">
        <v>5953</v>
      </c>
      <c r="G1324" s="29" t="s">
        <v>5953</v>
      </c>
      <c r="H1324" s="29" t="s">
        <v>5954</v>
      </c>
      <c r="I1324" s="29" t="s">
        <v>467</v>
      </c>
      <c r="J1324" s="29" t="s">
        <v>467</v>
      </c>
      <c r="K1324" s="30" t="s">
        <v>44</v>
      </c>
      <c r="L1324" s="31"/>
      <c r="M1324" s="32"/>
    </row>
    <row r="1325" customFormat="false" ht="51" hidden="false" customHeight="true" outlineLevel="0" collapsed="false">
      <c r="B1325" s="29" t="s">
        <v>5955</v>
      </c>
      <c r="C1325" s="29" t="s">
        <v>263</v>
      </c>
      <c r="D1325" s="29" t="s">
        <v>5956</v>
      </c>
      <c r="E1325" s="29" t="s">
        <v>205</v>
      </c>
      <c r="F1325" s="29" t="s">
        <v>5957</v>
      </c>
      <c r="G1325" s="29" t="s">
        <v>5958</v>
      </c>
      <c r="H1325" s="29" t="s">
        <v>5959</v>
      </c>
      <c r="I1325" s="29" t="s">
        <v>301</v>
      </c>
      <c r="J1325" s="29" t="s">
        <v>201</v>
      </c>
      <c r="K1325" s="30" t="s">
        <v>44</v>
      </c>
      <c r="L1325" s="31"/>
      <c r="M1325" s="32"/>
    </row>
    <row r="1326" customFormat="false" ht="51" hidden="false" customHeight="true" outlineLevel="0" collapsed="false">
      <c r="B1326" s="29" t="s">
        <v>5960</v>
      </c>
      <c r="C1326" s="29" t="s">
        <v>263</v>
      </c>
      <c r="D1326" s="29" t="s">
        <v>5961</v>
      </c>
      <c r="E1326" s="29" t="s">
        <v>150</v>
      </c>
      <c r="F1326" s="29" t="s">
        <v>5962</v>
      </c>
      <c r="G1326" s="29" t="s">
        <v>5962</v>
      </c>
      <c r="H1326" s="29" t="s">
        <v>5963</v>
      </c>
      <c r="I1326" s="29" t="s">
        <v>467</v>
      </c>
      <c r="J1326" s="29" t="s">
        <v>467</v>
      </c>
      <c r="K1326" s="30" t="s">
        <v>44</v>
      </c>
      <c r="L1326" s="31"/>
      <c r="M1326" s="32"/>
    </row>
    <row r="1327" customFormat="false" ht="51" hidden="false" customHeight="true" outlineLevel="0" collapsed="false">
      <c r="B1327" s="29" t="s">
        <v>5964</v>
      </c>
      <c r="C1327" s="29" t="s">
        <v>263</v>
      </c>
      <c r="D1327" s="29" t="s">
        <v>5965</v>
      </c>
      <c r="E1327" s="29" t="s">
        <v>185</v>
      </c>
      <c r="F1327" s="29" t="s">
        <v>5966</v>
      </c>
      <c r="G1327" s="29" t="s">
        <v>5967</v>
      </c>
      <c r="H1327" s="29" t="s">
        <v>5959</v>
      </c>
      <c r="I1327" s="29" t="s">
        <v>335</v>
      </c>
      <c r="J1327" s="29" t="s">
        <v>336</v>
      </c>
      <c r="K1327" s="30" t="s">
        <v>44</v>
      </c>
      <c r="L1327" s="31"/>
      <c r="M1327" s="32"/>
    </row>
    <row r="1328" customFormat="false" ht="51" hidden="false" customHeight="true" outlineLevel="0" collapsed="false">
      <c r="B1328" s="29" t="s">
        <v>5968</v>
      </c>
      <c r="C1328" s="29" t="s">
        <v>263</v>
      </c>
      <c r="D1328" s="29" t="s">
        <v>5969</v>
      </c>
      <c r="E1328" s="29" t="s">
        <v>538</v>
      </c>
      <c r="F1328" s="29" t="s">
        <v>5970</v>
      </c>
      <c r="G1328" s="29" t="s">
        <v>5971</v>
      </c>
      <c r="H1328" s="29" t="s">
        <v>5963</v>
      </c>
      <c r="I1328" s="29" t="s">
        <v>467</v>
      </c>
      <c r="J1328" s="29" t="s">
        <v>467</v>
      </c>
      <c r="K1328" s="30" t="s">
        <v>44</v>
      </c>
      <c r="L1328" s="31"/>
      <c r="M1328" s="32"/>
    </row>
    <row r="1329" customFormat="false" ht="51" hidden="false" customHeight="true" outlineLevel="0" collapsed="false">
      <c r="B1329" s="29" t="s">
        <v>5972</v>
      </c>
      <c r="C1329" s="29" t="s">
        <v>263</v>
      </c>
      <c r="D1329" s="29" t="s">
        <v>3872</v>
      </c>
      <c r="E1329" s="29" t="s">
        <v>150</v>
      </c>
      <c r="F1329" s="29" t="s">
        <v>5973</v>
      </c>
      <c r="G1329" s="29" t="s">
        <v>5974</v>
      </c>
      <c r="H1329" s="29" t="s">
        <v>5975</v>
      </c>
      <c r="I1329" s="29" t="s">
        <v>285</v>
      </c>
      <c r="J1329" s="29" t="s">
        <v>795</v>
      </c>
      <c r="K1329" s="30" t="s">
        <v>44</v>
      </c>
      <c r="L1329" s="31"/>
      <c r="M1329" s="32"/>
    </row>
    <row r="1330" customFormat="false" ht="51" hidden="false" customHeight="true" outlineLevel="0" collapsed="false">
      <c r="B1330" s="29" t="s">
        <v>5976</v>
      </c>
      <c r="C1330" s="29" t="s">
        <v>263</v>
      </c>
      <c r="D1330" s="29" t="s">
        <v>3876</v>
      </c>
      <c r="E1330" s="29" t="s">
        <v>265</v>
      </c>
      <c r="F1330" s="29" t="s">
        <v>5977</v>
      </c>
      <c r="G1330" s="29" t="s">
        <v>5977</v>
      </c>
      <c r="H1330" s="29" t="s">
        <v>5975</v>
      </c>
      <c r="I1330" s="29" t="s">
        <v>42</v>
      </c>
      <c r="J1330" s="29" t="s">
        <v>269</v>
      </c>
      <c r="K1330" s="30" t="s">
        <v>44</v>
      </c>
      <c r="L1330" s="31"/>
      <c r="M1330" s="32"/>
    </row>
    <row r="1331" customFormat="false" ht="51" hidden="false" customHeight="true" outlineLevel="0" collapsed="false">
      <c r="B1331" s="29" t="s">
        <v>5978</v>
      </c>
      <c r="C1331" s="29" t="s">
        <v>263</v>
      </c>
      <c r="D1331" s="29" t="s">
        <v>3881</v>
      </c>
      <c r="E1331" s="29" t="s">
        <v>150</v>
      </c>
      <c r="F1331" s="29" t="s">
        <v>5979</v>
      </c>
      <c r="G1331" s="29" t="s">
        <v>5979</v>
      </c>
      <c r="H1331" s="29" t="s">
        <v>5980</v>
      </c>
      <c r="I1331" s="29" t="s">
        <v>467</v>
      </c>
      <c r="J1331" s="29" t="s">
        <v>467</v>
      </c>
      <c r="K1331" s="30" t="s">
        <v>44</v>
      </c>
      <c r="L1331" s="31"/>
      <c r="M1331" s="32"/>
    </row>
    <row r="1332" customFormat="false" ht="51" hidden="false" customHeight="true" outlineLevel="0" collapsed="false">
      <c r="B1332" s="29" t="s">
        <v>5981</v>
      </c>
      <c r="C1332" s="29" t="s">
        <v>263</v>
      </c>
      <c r="D1332" s="29" t="s">
        <v>3885</v>
      </c>
      <c r="E1332" s="29" t="s">
        <v>265</v>
      </c>
      <c r="F1332" s="29" t="s">
        <v>5982</v>
      </c>
      <c r="G1332" s="29" t="s">
        <v>5983</v>
      </c>
      <c r="H1332" s="29" t="s">
        <v>5975</v>
      </c>
      <c r="I1332" s="29" t="s">
        <v>93</v>
      </c>
      <c r="J1332" s="29" t="s">
        <v>5984</v>
      </c>
      <c r="K1332" s="30" t="s">
        <v>44</v>
      </c>
      <c r="L1332" s="31"/>
      <c r="M1332" s="32"/>
    </row>
    <row r="1333" customFormat="false" ht="51" hidden="false" customHeight="true" outlineLevel="0" collapsed="false">
      <c r="B1333" s="29" t="s">
        <v>5985</v>
      </c>
      <c r="C1333" s="29" t="s">
        <v>263</v>
      </c>
      <c r="D1333" s="29" t="s">
        <v>3888</v>
      </c>
      <c r="E1333" s="29" t="s">
        <v>265</v>
      </c>
      <c r="F1333" s="29" t="s">
        <v>5986</v>
      </c>
      <c r="G1333" s="29" t="s">
        <v>5987</v>
      </c>
      <c r="H1333" s="29" t="s">
        <v>5975</v>
      </c>
      <c r="I1333" s="29" t="s">
        <v>93</v>
      </c>
      <c r="J1333" s="29" t="s">
        <v>5984</v>
      </c>
      <c r="K1333" s="30" t="s">
        <v>44</v>
      </c>
      <c r="L1333" s="31"/>
      <c r="M1333" s="32"/>
    </row>
    <row r="1334" customFormat="false" ht="51" hidden="false" customHeight="true" outlineLevel="0" collapsed="false">
      <c r="B1334" s="29" t="s">
        <v>5988</v>
      </c>
      <c r="C1334" s="29" t="s">
        <v>263</v>
      </c>
      <c r="D1334" s="29" t="s">
        <v>3892</v>
      </c>
      <c r="E1334" s="29" t="s">
        <v>265</v>
      </c>
      <c r="F1334" s="29" t="s">
        <v>5989</v>
      </c>
      <c r="G1334" s="29" t="s">
        <v>5990</v>
      </c>
      <c r="H1334" s="29" t="s">
        <v>5975</v>
      </c>
      <c r="I1334" s="29" t="s">
        <v>93</v>
      </c>
      <c r="J1334" s="29" t="s">
        <v>5984</v>
      </c>
      <c r="K1334" s="30" t="s">
        <v>44</v>
      </c>
      <c r="L1334" s="31"/>
      <c r="M1334" s="32"/>
    </row>
    <row r="1335" customFormat="false" ht="51" hidden="false" customHeight="true" outlineLevel="0" collapsed="false">
      <c r="B1335" s="29" t="s">
        <v>5991</v>
      </c>
      <c r="C1335" s="29" t="s">
        <v>263</v>
      </c>
      <c r="D1335" s="29" t="s">
        <v>3896</v>
      </c>
      <c r="E1335" s="29" t="s">
        <v>150</v>
      </c>
      <c r="F1335" s="29" t="s">
        <v>5992</v>
      </c>
      <c r="G1335" s="29" t="s">
        <v>5993</v>
      </c>
      <c r="H1335" s="29" t="s">
        <v>5975</v>
      </c>
      <c r="I1335" s="29" t="s">
        <v>285</v>
      </c>
      <c r="J1335" s="29" t="s">
        <v>795</v>
      </c>
      <c r="K1335" s="30" t="s">
        <v>44</v>
      </c>
      <c r="L1335" s="31"/>
      <c r="M1335" s="32"/>
    </row>
    <row r="1336" customFormat="false" ht="51" hidden="false" customHeight="true" outlineLevel="0" collapsed="false">
      <c r="B1336" s="29" t="s">
        <v>5994</v>
      </c>
      <c r="C1336" s="29" t="s">
        <v>263</v>
      </c>
      <c r="D1336" s="29" t="s">
        <v>3900</v>
      </c>
      <c r="E1336" s="29" t="s">
        <v>150</v>
      </c>
      <c r="F1336" s="29" t="s">
        <v>5995</v>
      </c>
      <c r="G1336" s="29" t="s">
        <v>5996</v>
      </c>
      <c r="H1336" s="29" t="s">
        <v>5980</v>
      </c>
      <c r="I1336" s="29" t="s">
        <v>467</v>
      </c>
      <c r="J1336" s="29" t="s">
        <v>467</v>
      </c>
      <c r="K1336" s="30" t="s">
        <v>44</v>
      </c>
      <c r="L1336" s="31"/>
      <c r="M1336" s="32"/>
    </row>
    <row r="1337" customFormat="false" ht="51" hidden="false" customHeight="true" outlineLevel="0" collapsed="false">
      <c r="B1337" s="29" t="s">
        <v>5997</v>
      </c>
      <c r="C1337" s="29" t="s">
        <v>263</v>
      </c>
      <c r="D1337" s="29" t="s">
        <v>3904</v>
      </c>
      <c r="E1337" s="29" t="s">
        <v>265</v>
      </c>
      <c r="F1337" s="29" t="s">
        <v>5998</v>
      </c>
      <c r="G1337" s="29" t="s">
        <v>5999</v>
      </c>
      <c r="H1337" s="29" t="s">
        <v>5975</v>
      </c>
      <c r="I1337" s="29" t="s">
        <v>93</v>
      </c>
      <c r="J1337" s="29" t="s">
        <v>5984</v>
      </c>
      <c r="K1337" s="30" t="s">
        <v>44</v>
      </c>
      <c r="L1337" s="31"/>
      <c r="M1337" s="32"/>
    </row>
    <row r="1338" customFormat="false" ht="51" hidden="false" customHeight="true" outlineLevel="0" collapsed="false">
      <c r="B1338" s="29" t="s">
        <v>6000</v>
      </c>
      <c r="C1338" s="29" t="s">
        <v>275</v>
      </c>
      <c r="D1338" s="29" t="s">
        <v>3610</v>
      </c>
      <c r="E1338" s="29" t="s">
        <v>356</v>
      </c>
      <c r="F1338" s="29" t="s">
        <v>6001</v>
      </c>
      <c r="G1338" s="29" t="s">
        <v>6002</v>
      </c>
      <c r="H1338" s="29" t="s">
        <v>6003</v>
      </c>
      <c r="I1338" s="29" t="s">
        <v>301</v>
      </c>
      <c r="J1338" s="29" t="s">
        <v>201</v>
      </c>
      <c r="K1338" s="30" t="s">
        <v>44</v>
      </c>
      <c r="L1338" s="31"/>
      <c r="M1338" s="32"/>
    </row>
    <row r="1339" customFormat="false" ht="51" hidden="false" customHeight="true" outlineLevel="0" collapsed="false">
      <c r="B1339" s="29" t="s">
        <v>6004</v>
      </c>
      <c r="C1339" s="29" t="s">
        <v>275</v>
      </c>
      <c r="D1339" s="29" t="s">
        <v>3624</v>
      </c>
      <c r="E1339" s="29" t="s">
        <v>339</v>
      </c>
      <c r="F1339" s="29" t="s">
        <v>6005</v>
      </c>
      <c r="G1339" s="29" t="s">
        <v>6005</v>
      </c>
      <c r="H1339" s="29" t="s">
        <v>6003</v>
      </c>
      <c r="I1339" s="29" t="s">
        <v>301</v>
      </c>
      <c r="J1339" s="29" t="s">
        <v>201</v>
      </c>
      <c r="K1339" s="30" t="s">
        <v>44</v>
      </c>
      <c r="L1339" s="31"/>
      <c r="M1339" s="32"/>
    </row>
    <row r="1340" customFormat="false" ht="51" hidden="false" customHeight="true" outlineLevel="0" collapsed="false">
      <c r="B1340" s="29" t="s">
        <v>6006</v>
      </c>
      <c r="C1340" s="29" t="s">
        <v>275</v>
      </c>
      <c r="D1340" s="29" t="s">
        <v>5667</v>
      </c>
      <c r="E1340" s="29" t="s">
        <v>356</v>
      </c>
      <c r="F1340" s="29" t="s">
        <v>6007</v>
      </c>
      <c r="G1340" s="29" t="s">
        <v>6008</v>
      </c>
      <c r="H1340" s="29" t="s">
        <v>6009</v>
      </c>
      <c r="I1340" s="29" t="s">
        <v>301</v>
      </c>
      <c r="J1340" s="29" t="s">
        <v>201</v>
      </c>
      <c r="K1340" s="30" t="s">
        <v>44</v>
      </c>
      <c r="L1340" s="31"/>
      <c r="M1340" s="32"/>
    </row>
    <row r="1341" customFormat="false" ht="51" hidden="false" customHeight="true" outlineLevel="0" collapsed="false">
      <c r="B1341" s="29" t="s">
        <v>6010</v>
      </c>
      <c r="C1341" s="29" t="s">
        <v>275</v>
      </c>
      <c r="D1341" s="29" t="s">
        <v>5671</v>
      </c>
      <c r="E1341" s="29" t="s">
        <v>595</v>
      </c>
      <c r="F1341" s="29" t="s">
        <v>6011</v>
      </c>
      <c r="G1341" s="29" t="s">
        <v>6012</v>
      </c>
      <c r="H1341" s="29" t="s">
        <v>6009</v>
      </c>
      <c r="I1341" s="29" t="s">
        <v>3808</v>
      </c>
      <c r="J1341" s="29" t="s">
        <v>2089</v>
      </c>
      <c r="K1341" s="30" t="s">
        <v>44</v>
      </c>
      <c r="L1341" s="31"/>
      <c r="M1341" s="32"/>
    </row>
    <row r="1342" customFormat="false" ht="51" hidden="false" customHeight="true" outlineLevel="0" collapsed="false">
      <c r="B1342" s="29" t="s">
        <v>6013</v>
      </c>
      <c r="C1342" s="29" t="s">
        <v>275</v>
      </c>
      <c r="D1342" s="29" t="s">
        <v>6014</v>
      </c>
      <c r="E1342" s="29" t="s">
        <v>356</v>
      </c>
      <c r="F1342" s="29" t="s">
        <v>6015</v>
      </c>
      <c r="G1342" s="29" t="s">
        <v>6016</v>
      </c>
      <c r="H1342" s="29" t="s">
        <v>6009</v>
      </c>
      <c r="I1342" s="29" t="s">
        <v>3662</v>
      </c>
      <c r="J1342" s="29" t="s">
        <v>154</v>
      </c>
      <c r="K1342" s="30" t="s">
        <v>44</v>
      </c>
      <c r="L1342" s="31"/>
      <c r="M1342" s="32"/>
    </row>
    <row r="1343" customFormat="false" ht="51" hidden="false" customHeight="true" outlineLevel="0" collapsed="false">
      <c r="B1343" s="29" t="s">
        <v>6017</v>
      </c>
      <c r="C1343" s="29" t="s">
        <v>275</v>
      </c>
      <c r="D1343" s="29" t="s">
        <v>6018</v>
      </c>
      <c r="E1343" s="29" t="s">
        <v>356</v>
      </c>
      <c r="F1343" s="29" t="s">
        <v>6019</v>
      </c>
      <c r="G1343" s="29" t="s">
        <v>6020</v>
      </c>
      <c r="H1343" s="29" t="s">
        <v>6009</v>
      </c>
      <c r="I1343" s="29" t="s">
        <v>301</v>
      </c>
      <c r="J1343" s="29" t="s">
        <v>201</v>
      </c>
      <c r="K1343" s="30" t="s">
        <v>44</v>
      </c>
      <c r="L1343" s="31"/>
      <c r="M1343" s="32"/>
    </row>
    <row r="1344" customFormat="false" ht="51" hidden="false" customHeight="true" outlineLevel="0" collapsed="false">
      <c r="B1344" s="29" t="s">
        <v>6021</v>
      </c>
      <c r="C1344" s="29" t="s">
        <v>275</v>
      </c>
      <c r="D1344" s="29" t="s">
        <v>6022</v>
      </c>
      <c r="E1344" s="29" t="s">
        <v>356</v>
      </c>
      <c r="F1344" s="29" t="s">
        <v>6023</v>
      </c>
      <c r="G1344" s="29" t="s">
        <v>6024</v>
      </c>
      <c r="H1344" s="29" t="s">
        <v>6009</v>
      </c>
      <c r="I1344" s="29" t="s">
        <v>3662</v>
      </c>
      <c r="J1344" s="29" t="s">
        <v>154</v>
      </c>
      <c r="K1344" s="30" t="s">
        <v>44</v>
      </c>
      <c r="L1344" s="31"/>
      <c r="M1344" s="32"/>
    </row>
    <row r="1345" customFormat="false" ht="51" hidden="false" customHeight="true" outlineLevel="0" collapsed="false">
      <c r="B1345" s="29" t="s">
        <v>6025</v>
      </c>
      <c r="C1345" s="29" t="s">
        <v>275</v>
      </c>
      <c r="D1345" s="29" t="s">
        <v>3633</v>
      </c>
      <c r="E1345" s="29" t="s">
        <v>356</v>
      </c>
      <c r="F1345" s="29" t="s">
        <v>6026</v>
      </c>
      <c r="G1345" s="29" t="s">
        <v>6027</v>
      </c>
      <c r="H1345" s="29" t="s">
        <v>6028</v>
      </c>
      <c r="I1345" s="29" t="s">
        <v>301</v>
      </c>
      <c r="J1345" s="29" t="s">
        <v>201</v>
      </c>
      <c r="K1345" s="30" t="s">
        <v>44</v>
      </c>
      <c r="L1345" s="31"/>
      <c r="M1345" s="32"/>
    </row>
    <row r="1346" customFormat="false" ht="51" hidden="false" customHeight="true" outlineLevel="0" collapsed="false">
      <c r="B1346" s="29" t="s">
        <v>6029</v>
      </c>
      <c r="C1346" s="29" t="s">
        <v>275</v>
      </c>
      <c r="D1346" s="29" t="s">
        <v>3655</v>
      </c>
      <c r="E1346" s="29" t="s">
        <v>595</v>
      </c>
      <c r="F1346" s="29" t="s">
        <v>6030</v>
      </c>
      <c r="G1346" s="29" t="s">
        <v>6031</v>
      </c>
      <c r="H1346" s="29" t="s">
        <v>6032</v>
      </c>
      <c r="I1346" s="29" t="s">
        <v>467</v>
      </c>
      <c r="J1346" s="29" t="s">
        <v>467</v>
      </c>
      <c r="K1346" s="30" t="s">
        <v>44</v>
      </c>
      <c r="L1346" s="31"/>
      <c r="M1346" s="32"/>
    </row>
    <row r="1347" customFormat="false" ht="51" hidden="false" customHeight="true" outlineLevel="0" collapsed="false">
      <c r="B1347" s="29" t="s">
        <v>6033</v>
      </c>
      <c r="C1347" s="29" t="s">
        <v>275</v>
      </c>
      <c r="D1347" s="29" t="s">
        <v>5689</v>
      </c>
      <c r="E1347" s="29" t="s">
        <v>538</v>
      </c>
      <c r="F1347" s="29" t="s">
        <v>6034</v>
      </c>
      <c r="G1347" s="29" t="s">
        <v>6035</v>
      </c>
      <c r="H1347" s="29" t="s">
        <v>6032</v>
      </c>
      <c r="I1347" s="29" t="s">
        <v>467</v>
      </c>
      <c r="J1347" s="29" t="s">
        <v>467</v>
      </c>
      <c r="K1347" s="30" t="s">
        <v>44</v>
      </c>
      <c r="L1347" s="31"/>
      <c r="M1347" s="32"/>
    </row>
    <row r="1348" customFormat="false" ht="51" hidden="false" customHeight="true" outlineLevel="0" collapsed="false">
      <c r="B1348" s="29" t="s">
        <v>6036</v>
      </c>
      <c r="C1348" s="29" t="s">
        <v>275</v>
      </c>
      <c r="D1348" s="29" t="s">
        <v>6037</v>
      </c>
      <c r="E1348" s="29" t="s">
        <v>356</v>
      </c>
      <c r="F1348" s="29" t="s">
        <v>6038</v>
      </c>
      <c r="G1348" s="29" t="s">
        <v>6039</v>
      </c>
      <c r="H1348" s="29" t="s">
        <v>6028</v>
      </c>
      <c r="I1348" s="29" t="s">
        <v>301</v>
      </c>
      <c r="J1348" s="29" t="s">
        <v>201</v>
      </c>
      <c r="K1348" s="30" t="s">
        <v>44</v>
      </c>
      <c r="L1348" s="31"/>
      <c r="M1348" s="32"/>
    </row>
    <row r="1349" customFormat="false" ht="51" hidden="false" customHeight="true" outlineLevel="0" collapsed="false">
      <c r="B1349" s="29" t="s">
        <v>6040</v>
      </c>
      <c r="C1349" s="29" t="s">
        <v>275</v>
      </c>
      <c r="D1349" s="29" t="s">
        <v>6041</v>
      </c>
      <c r="E1349" s="29" t="s">
        <v>595</v>
      </c>
      <c r="F1349" s="29" t="s">
        <v>6042</v>
      </c>
      <c r="G1349" s="29" t="s">
        <v>6043</v>
      </c>
      <c r="H1349" s="29" t="s">
        <v>6032</v>
      </c>
      <c r="I1349" s="29" t="s">
        <v>467</v>
      </c>
      <c r="J1349" s="29" t="s">
        <v>467</v>
      </c>
      <c r="K1349" s="30" t="s">
        <v>44</v>
      </c>
      <c r="L1349" s="31"/>
      <c r="M1349" s="32"/>
    </row>
    <row r="1350" customFormat="false" ht="51" hidden="false" customHeight="true" outlineLevel="0" collapsed="false">
      <c r="B1350" s="29" t="s">
        <v>6044</v>
      </c>
      <c r="C1350" s="29" t="s">
        <v>275</v>
      </c>
      <c r="D1350" s="29" t="s">
        <v>6045</v>
      </c>
      <c r="E1350" s="29" t="s">
        <v>595</v>
      </c>
      <c r="F1350" s="29" t="s">
        <v>6046</v>
      </c>
      <c r="G1350" s="29" t="s">
        <v>6046</v>
      </c>
      <c r="H1350" s="29" t="s">
        <v>6032</v>
      </c>
      <c r="I1350" s="29" t="s">
        <v>467</v>
      </c>
      <c r="J1350" s="29" t="s">
        <v>467</v>
      </c>
      <c r="K1350" s="30" t="s">
        <v>44</v>
      </c>
      <c r="L1350" s="31"/>
      <c r="M1350" s="32"/>
    </row>
    <row r="1351" customFormat="false" ht="51" hidden="false" customHeight="true" outlineLevel="0" collapsed="false">
      <c r="B1351" s="29" t="s">
        <v>6047</v>
      </c>
      <c r="C1351" s="29" t="s">
        <v>275</v>
      </c>
      <c r="D1351" s="29" t="s">
        <v>3659</v>
      </c>
      <c r="E1351" s="29" t="s">
        <v>356</v>
      </c>
      <c r="F1351" s="29" t="s">
        <v>6048</v>
      </c>
      <c r="G1351" s="29" t="s">
        <v>6049</v>
      </c>
      <c r="H1351" s="29" t="s">
        <v>6050</v>
      </c>
      <c r="I1351" s="29" t="s">
        <v>301</v>
      </c>
      <c r="J1351" s="29" t="s">
        <v>201</v>
      </c>
      <c r="K1351" s="30" t="s">
        <v>44</v>
      </c>
      <c r="L1351" s="31"/>
      <c r="M1351" s="32"/>
    </row>
    <row r="1352" customFormat="false" ht="51" hidden="false" customHeight="true" outlineLevel="0" collapsed="false">
      <c r="B1352" s="29" t="s">
        <v>6051</v>
      </c>
      <c r="C1352" s="29" t="s">
        <v>275</v>
      </c>
      <c r="D1352" s="29" t="s">
        <v>3664</v>
      </c>
      <c r="E1352" s="29" t="s">
        <v>595</v>
      </c>
      <c r="F1352" s="29" t="s">
        <v>6052</v>
      </c>
      <c r="G1352" s="29" t="s">
        <v>6053</v>
      </c>
      <c r="H1352" s="29" t="s">
        <v>6054</v>
      </c>
      <c r="I1352" s="29" t="s">
        <v>467</v>
      </c>
      <c r="J1352" s="29" t="s">
        <v>467</v>
      </c>
      <c r="K1352" s="30" t="s">
        <v>44</v>
      </c>
      <c r="L1352" s="31"/>
      <c r="M1352" s="32"/>
    </row>
    <row r="1353" customFormat="false" ht="51" hidden="false" customHeight="true" outlineLevel="0" collapsed="false">
      <c r="B1353" s="29" t="s">
        <v>6055</v>
      </c>
      <c r="C1353" s="29" t="s">
        <v>275</v>
      </c>
      <c r="D1353" s="29" t="s">
        <v>3847</v>
      </c>
      <c r="E1353" s="29" t="s">
        <v>595</v>
      </c>
      <c r="F1353" s="29" t="s">
        <v>6056</v>
      </c>
      <c r="G1353" s="29" t="s">
        <v>6057</v>
      </c>
      <c r="H1353" s="29" t="s">
        <v>6058</v>
      </c>
      <c r="I1353" s="29" t="s">
        <v>467</v>
      </c>
      <c r="J1353" s="29" t="s">
        <v>467</v>
      </c>
      <c r="K1353" s="30" t="s">
        <v>44</v>
      </c>
      <c r="L1353" s="31"/>
      <c r="M1353" s="32"/>
    </row>
    <row r="1354" customFormat="false" ht="51" hidden="false" customHeight="true" outlineLevel="0" collapsed="false">
      <c r="B1354" s="29" t="s">
        <v>6059</v>
      </c>
      <c r="C1354" s="29" t="s">
        <v>275</v>
      </c>
      <c r="D1354" s="29" t="s">
        <v>3852</v>
      </c>
      <c r="E1354" s="29" t="s">
        <v>595</v>
      </c>
      <c r="F1354" s="29" t="s">
        <v>6060</v>
      </c>
      <c r="G1354" s="29" t="s">
        <v>6061</v>
      </c>
      <c r="H1354" s="29" t="s">
        <v>6062</v>
      </c>
      <c r="I1354" s="29" t="s">
        <v>467</v>
      </c>
      <c r="J1354" s="29" t="s">
        <v>467</v>
      </c>
      <c r="K1354" s="30" t="s">
        <v>44</v>
      </c>
      <c r="L1354" s="31"/>
      <c r="M1354" s="32"/>
    </row>
    <row r="1355" customFormat="false" ht="51" hidden="false" customHeight="true" outlineLevel="0" collapsed="false">
      <c r="B1355" s="29" t="s">
        <v>6063</v>
      </c>
      <c r="C1355" s="29" t="s">
        <v>275</v>
      </c>
      <c r="D1355" s="29" t="s">
        <v>3856</v>
      </c>
      <c r="E1355" s="29" t="s">
        <v>89</v>
      </c>
      <c r="F1355" s="29" t="s">
        <v>6064</v>
      </c>
      <c r="G1355" s="29" t="s">
        <v>6065</v>
      </c>
      <c r="H1355" s="29" t="s">
        <v>6066</v>
      </c>
      <c r="I1355" s="29" t="s">
        <v>42</v>
      </c>
      <c r="J1355" s="29" t="s">
        <v>260</v>
      </c>
      <c r="K1355" s="30" t="s">
        <v>44</v>
      </c>
      <c r="L1355" s="31"/>
      <c r="M1355" s="32"/>
    </row>
    <row r="1356" customFormat="false" ht="51" hidden="false" customHeight="true" outlineLevel="0" collapsed="false">
      <c r="B1356" s="29" t="s">
        <v>6067</v>
      </c>
      <c r="C1356" s="29" t="s">
        <v>275</v>
      </c>
      <c r="D1356" s="29" t="s">
        <v>6068</v>
      </c>
      <c r="E1356" s="29" t="s">
        <v>538</v>
      </c>
      <c r="F1356" s="29" t="s">
        <v>6069</v>
      </c>
      <c r="G1356" s="29" t="s">
        <v>6069</v>
      </c>
      <c r="H1356" s="29" t="s">
        <v>6062</v>
      </c>
      <c r="I1356" s="29" t="s">
        <v>467</v>
      </c>
      <c r="J1356" s="29" t="s">
        <v>467</v>
      </c>
      <c r="K1356" s="30" t="s">
        <v>44</v>
      </c>
      <c r="L1356" s="31"/>
      <c r="M1356" s="32"/>
    </row>
    <row r="1357" customFormat="false" ht="51" hidden="false" customHeight="true" outlineLevel="0" collapsed="false">
      <c r="B1357" s="29" t="s">
        <v>6070</v>
      </c>
      <c r="C1357" s="29" t="s">
        <v>275</v>
      </c>
      <c r="D1357" s="29" t="s">
        <v>3872</v>
      </c>
      <c r="E1357" s="29" t="s">
        <v>356</v>
      </c>
      <c r="F1357" s="29" t="s">
        <v>6071</v>
      </c>
      <c r="G1357" s="29" t="s">
        <v>6072</v>
      </c>
      <c r="H1357" s="29" t="s">
        <v>6073</v>
      </c>
      <c r="I1357" s="29" t="s">
        <v>301</v>
      </c>
      <c r="J1357" s="29" t="s">
        <v>201</v>
      </c>
      <c r="K1357" s="30" t="s">
        <v>44</v>
      </c>
      <c r="L1357" s="31"/>
      <c r="M1357" s="32"/>
    </row>
    <row r="1358" customFormat="false" ht="51" hidden="false" customHeight="true" outlineLevel="0" collapsed="false">
      <c r="B1358" s="29" t="s">
        <v>6074</v>
      </c>
      <c r="C1358" s="29" t="s">
        <v>275</v>
      </c>
      <c r="D1358" s="29" t="s">
        <v>3881</v>
      </c>
      <c r="E1358" s="29" t="s">
        <v>595</v>
      </c>
      <c r="F1358" s="29" t="s">
        <v>6075</v>
      </c>
      <c r="G1358" s="29" t="s">
        <v>6076</v>
      </c>
      <c r="H1358" s="29" t="s">
        <v>6077</v>
      </c>
      <c r="I1358" s="29" t="s">
        <v>467</v>
      </c>
      <c r="J1358" s="29" t="s">
        <v>467</v>
      </c>
      <c r="K1358" s="30" t="s">
        <v>44</v>
      </c>
      <c r="L1358" s="31"/>
      <c r="M1358" s="32"/>
    </row>
    <row r="1359" customFormat="false" ht="51" hidden="false" customHeight="true" outlineLevel="0" collapsed="false">
      <c r="B1359" s="29" t="s">
        <v>6078</v>
      </c>
      <c r="C1359" s="29" t="s">
        <v>275</v>
      </c>
      <c r="D1359" s="29" t="s">
        <v>3885</v>
      </c>
      <c r="E1359" s="29" t="s">
        <v>595</v>
      </c>
      <c r="F1359" s="29" t="s">
        <v>6079</v>
      </c>
      <c r="G1359" s="29" t="s">
        <v>6080</v>
      </c>
      <c r="H1359" s="29" t="s">
        <v>6077</v>
      </c>
      <c r="I1359" s="29" t="s">
        <v>467</v>
      </c>
      <c r="J1359" s="29" t="s">
        <v>467</v>
      </c>
      <c r="K1359" s="30" t="s">
        <v>44</v>
      </c>
      <c r="L1359" s="31"/>
      <c r="M1359" s="32"/>
    </row>
    <row r="1360" customFormat="false" ht="51" hidden="false" customHeight="true" outlineLevel="0" collapsed="false">
      <c r="B1360" s="29" t="s">
        <v>6081</v>
      </c>
      <c r="C1360" s="29" t="s">
        <v>275</v>
      </c>
      <c r="D1360" s="29" t="s">
        <v>3888</v>
      </c>
      <c r="E1360" s="29" t="s">
        <v>339</v>
      </c>
      <c r="F1360" s="29" t="s">
        <v>6082</v>
      </c>
      <c r="G1360" s="29" t="s">
        <v>6082</v>
      </c>
      <c r="H1360" s="29" t="s">
        <v>6073</v>
      </c>
      <c r="I1360" s="29" t="s">
        <v>301</v>
      </c>
      <c r="J1360" s="29" t="s">
        <v>201</v>
      </c>
      <c r="K1360" s="30" t="s">
        <v>44</v>
      </c>
      <c r="L1360" s="31"/>
      <c r="M1360" s="32"/>
    </row>
    <row r="1361" customFormat="false" ht="51" hidden="false" customHeight="true" outlineLevel="0" collapsed="false">
      <c r="B1361" s="29" t="s">
        <v>6083</v>
      </c>
      <c r="C1361" s="29" t="s">
        <v>275</v>
      </c>
      <c r="D1361" s="29" t="s">
        <v>3892</v>
      </c>
      <c r="E1361" s="29" t="s">
        <v>595</v>
      </c>
      <c r="F1361" s="29" t="s">
        <v>6084</v>
      </c>
      <c r="G1361" s="29" t="s">
        <v>6084</v>
      </c>
      <c r="H1361" s="29" t="s">
        <v>6077</v>
      </c>
      <c r="I1361" s="29" t="s">
        <v>467</v>
      </c>
      <c r="J1361" s="29" t="s">
        <v>467</v>
      </c>
      <c r="K1361" s="30" t="s">
        <v>44</v>
      </c>
      <c r="L1361" s="31"/>
      <c r="M1361" s="32"/>
    </row>
    <row r="1362" customFormat="false" ht="51" hidden="false" customHeight="true" outlineLevel="0" collapsed="false">
      <c r="B1362" s="29" t="s">
        <v>6085</v>
      </c>
      <c r="C1362" s="29" t="s">
        <v>275</v>
      </c>
      <c r="D1362" s="29" t="s">
        <v>3896</v>
      </c>
      <c r="E1362" s="29" t="s">
        <v>595</v>
      </c>
      <c r="F1362" s="29" t="s">
        <v>6086</v>
      </c>
      <c r="G1362" s="29" t="s">
        <v>6087</v>
      </c>
      <c r="H1362" s="29" t="s">
        <v>6077</v>
      </c>
      <c r="I1362" s="29" t="s">
        <v>467</v>
      </c>
      <c r="J1362" s="29" t="s">
        <v>467</v>
      </c>
      <c r="K1362" s="30" t="s">
        <v>44</v>
      </c>
      <c r="L1362" s="31"/>
      <c r="M1362" s="32"/>
    </row>
    <row r="1363" customFormat="false" ht="51" hidden="false" customHeight="true" outlineLevel="0" collapsed="false">
      <c r="B1363" s="29" t="s">
        <v>6088</v>
      </c>
      <c r="C1363" s="29" t="s">
        <v>275</v>
      </c>
      <c r="D1363" s="29" t="s">
        <v>276</v>
      </c>
      <c r="E1363" s="29" t="s">
        <v>97</v>
      </c>
      <c r="F1363" s="29" t="s">
        <v>6089</v>
      </c>
      <c r="G1363" s="29" t="s">
        <v>6090</v>
      </c>
      <c r="H1363" s="29" t="s">
        <v>6091</v>
      </c>
      <c r="I1363" s="29" t="s">
        <v>42</v>
      </c>
      <c r="J1363" s="29" t="s">
        <v>65</v>
      </c>
      <c r="K1363" s="30" t="s">
        <v>44</v>
      </c>
      <c r="L1363" s="31"/>
      <c r="M1363" s="32"/>
    </row>
    <row r="1364" customFormat="false" ht="51" hidden="false" customHeight="true" outlineLevel="0" collapsed="false">
      <c r="B1364" s="29" t="s">
        <v>6092</v>
      </c>
      <c r="C1364" s="29" t="s">
        <v>275</v>
      </c>
      <c r="D1364" s="29" t="s">
        <v>3916</v>
      </c>
      <c r="E1364" s="29" t="s">
        <v>39</v>
      </c>
      <c r="F1364" s="29" t="s">
        <v>6093</v>
      </c>
      <c r="G1364" s="29" t="s">
        <v>6094</v>
      </c>
      <c r="H1364" s="29" t="s">
        <v>6095</v>
      </c>
      <c r="I1364" s="29" t="s">
        <v>42</v>
      </c>
      <c r="J1364" s="29" t="s">
        <v>1525</v>
      </c>
      <c r="K1364" s="30" t="s">
        <v>44</v>
      </c>
      <c r="L1364" s="31"/>
      <c r="M1364" s="32"/>
    </row>
    <row r="1365" customFormat="false" ht="51" hidden="false" customHeight="true" outlineLevel="0" collapsed="false">
      <c r="B1365" s="29" t="s">
        <v>6096</v>
      </c>
      <c r="C1365" s="29" t="s">
        <v>275</v>
      </c>
      <c r="D1365" s="29" t="s">
        <v>3921</v>
      </c>
      <c r="E1365" s="29" t="s">
        <v>39</v>
      </c>
      <c r="F1365" s="29" t="s">
        <v>6097</v>
      </c>
      <c r="G1365" s="29" t="s">
        <v>6098</v>
      </c>
      <c r="H1365" s="29" t="s">
        <v>6095</v>
      </c>
      <c r="I1365" s="29" t="s">
        <v>42</v>
      </c>
      <c r="J1365" s="29" t="s">
        <v>1525</v>
      </c>
      <c r="K1365" s="30" t="s">
        <v>44</v>
      </c>
      <c r="L1365" s="31"/>
      <c r="M1365" s="32"/>
    </row>
    <row r="1366" customFormat="false" ht="51" hidden="false" customHeight="true" outlineLevel="0" collapsed="false">
      <c r="B1366" s="29" t="s">
        <v>6099</v>
      </c>
      <c r="C1366" s="29" t="s">
        <v>275</v>
      </c>
      <c r="D1366" s="29" t="s">
        <v>6100</v>
      </c>
      <c r="E1366" s="29" t="s">
        <v>97</v>
      </c>
      <c r="F1366" s="29" t="s">
        <v>6101</v>
      </c>
      <c r="G1366" s="29" t="s">
        <v>6102</v>
      </c>
      <c r="H1366" s="29" t="s">
        <v>6095</v>
      </c>
      <c r="I1366" s="29" t="s">
        <v>42</v>
      </c>
      <c r="J1366" s="29" t="s">
        <v>65</v>
      </c>
      <c r="K1366" s="30" t="s">
        <v>44</v>
      </c>
      <c r="L1366" s="31"/>
      <c r="M1366" s="32"/>
    </row>
    <row r="1367" customFormat="false" ht="51" hidden="false" customHeight="true" outlineLevel="0" collapsed="false">
      <c r="B1367" s="29" t="s">
        <v>6103</v>
      </c>
      <c r="C1367" s="29" t="s">
        <v>275</v>
      </c>
      <c r="D1367" s="29" t="s">
        <v>6104</v>
      </c>
      <c r="E1367" s="29" t="s">
        <v>97</v>
      </c>
      <c r="F1367" s="29" t="s">
        <v>6105</v>
      </c>
      <c r="G1367" s="29" t="s">
        <v>6106</v>
      </c>
      <c r="H1367" s="29" t="s">
        <v>6095</v>
      </c>
      <c r="I1367" s="29" t="s">
        <v>42</v>
      </c>
      <c r="J1367" s="29" t="s">
        <v>65</v>
      </c>
      <c r="K1367" s="30" t="s">
        <v>44</v>
      </c>
      <c r="L1367" s="31"/>
      <c r="M1367" s="32"/>
    </row>
    <row r="1368" customFormat="false" ht="51" hidden="false" customHeight="true" outlineLevel="0" collapsed="false">
      <c r="B1368" s="29" t="s">
        <v>6107</v>
      </c>
      <c r="C1368" s="29" t="s">
        <v>275</v>
      </c>
      <c r="D1368" s="29" t="s">
        <v>6108</v>
      </c>
      <c r="E1368" s="29" t="s">
        <v>97</v>
      </c>
      <c r="F1368" s="29" t="s">
        <v>6109</v>
      </c>
      <c r="G1368" s="29" t="s">
        <v>6110</v>
      </c>
      <c r="H1368" s="29" t="s">
        <v>6095</v>
      </c>
      <c r="I1368" s="29" t="s">
        <v>42</v>
      </c>
      <c r="J1368" s="29" t="s">
        <v>65</v>
      </c>
      <c r="K1368" s="30" t="s">
        <v>44</v>
      </c>
      <c r="L1368" s="31"/>
      <c r="M1368" s="32"/>
    </row>
    <row r="1369" customFormat="false" ht="51" hidden="false" customHeight="true" outlineLevel="0" collapsed="false">
      <c r="B1369" s="29" t="s">
        <v>6111</v>
      </c>
      <c r="C1369" s="29" t="s">
        <v>275</v>
      </c>
      <c r="D1369" s="29" t="s">
        <v>6112</v>
      </c>
      <c r="E1369" s="29" t="s">
        <v>97</v>
      </c>
      <c r="F1369" s="29" t="s">
        <v>6113</v>
      </c>
      <c r="G1369" s="29" t="s">
        <v>6114</v>
      </c>
      <c r="H1369" s="29" t="s">
        <v>6095</v>
      </c>
      <c r="I1369" s="29" t="s">
        <v>42</v>
      </c>
      <c r="J1369" s="29" t="s">
        <v>65</v>
      </c>
      <c r="K1369" s="30" t="s">
        <v>44</v>
      </c>
      <c r="L1369" s="31"/>
      <c r="M1369" s="32"/>
    </row>
    <row r="1370" customFormat="false" ht="51" hidden="false" customHeight="true" outlineLevel="0" collapsed="false">
      <c r="B1370" s="29" t="s">
        <v>6115</v>
      </c>
      <c r="C1370" s="29" t="s">
        <v>275</v>
      </c>
      <c r="D1370" s="29" t="s">
        <v>219</v>
      </c>
      <c r="E1370" s="29" t="s">
        <v>339</v>
      </c>
      <c r="F1370" s="29" t="s">
        <v>6116</v>
      </c>
      <c r="G1370" s="29" t="s">
        <v>6116</v>
      </c>
      <c r="H1370" s="29" t="s">
        <v>6117</v>
      </c>
      <c r="I1370" s="29" t="s">
        <v>301</v>
      </c>
      <c r="J1370" s="29" t="s">
        <v>201</v>
      </c>
      <c r="K1370" s="30" t="s">
        <v>44</v>
      </c>
      <c r="L1370" s="31"/>
      <c r="M1370" s="32"/>
    </row>
    <row r="1371" customFormat="false" ht="51" hidden="false" customHeight="true" outlineLevel="0" collapsed="false">
      <c r="B1371" s="29" t="s">
        <v>6118</v>
      </c>
      <c r="C1371" s="29" t="s">
        <v>275</v>
      </c>
      <c r="D1371" s="29" t="s">
        <v>227</v>
      </c>
      <c r="E1371" s="29" t="s">
        <v>595</v>
      </c>
      <c r="F1371" s="29" t="s">
        <v>6119</v>
      </c>
      <c r="G1371" s="29" t="s">
        <v>6120</v>
      </c>
      <c r="H1371" s="29" t="s">
        <v>6121</v>
      </c>
      <c r="I1371" s="29" t="s">
        <v>467</v>
      </c>
      <c r="J1371" s="29" t="s">
        <v>467</v>
      </c>
      <c r="K1371" s="30" t="s">
        <v>44</v>
      </c>
      <c r="L1371" s="31"/>
      <c r="M1371" s="32"/>
    </row>
    <row r="1372" customFormat="false" ht="51" hidden="false" customHeight="true" outlineLevel="0" collapsed="false">
      <c r="B1372" s="29" t="s">
        <v>6122</v>
      </c>
      <c r="C1372" s="29" t="s">
        <v>275</v>
      </c>
      <c r="D1372" s="29" t="s">
        <v>3936</v>
      </c>
      <c r="E1372" s="29" t="s">
        <v>339</v>
      </c>
      <c r="F1372" s="29" t="s">
        <v>6123</v>
      </c>
      <c r="G1372" s="29" t="s">
        <v>6124</v>
      </c>
      <c r="H1372" s="29" t="s">
        <v>6117</v>
      </c>
      <c r="I1372" s="29" t="s">
        <v>301</v>
      </c>
      <c r="J1372" s="29" t="s">
        <v>201</v>
      </c>
      <c r="K1372" s="30" t="s">
        <v>44</v>
      </c>
      <c r="L1372" s="31"/>
      <c r="M1372" s="32"/>
    </row>
    <row r="1373" customFormat="false" ht="51" hidden="false" customHeight="true" outlineLevel="0" collapsed="false">
      <c r="B1373" s="29" t="s">
        <v>6125</v>
      </c>
      <c r="C1373" s="29" t="s">
        <v>275</v>
      </c>
      <c r="D1373" s="29" t="s">
        <v>3941</v>
      </c>
      <c r="E1373" s="29" t="s">
        <v>595</v>
      </c>
      <c r="F1373" s="29" t="s">
        <v>6126</v>
      </c>
      <c r="G1373" s="29" t="s">
        <v>6127</v>
      </c>
      <c r="H1373" s="29" t="s">
        <v>6121</v>
      </c>
      <c r="I1373" s="29" t="s">
        <v>467</v>
      </c>
      <c r="J1373" s="29" t="s">
        <v>467</v>
      </c>
      <c r="K1373" s="30" t="s">
        <v>44</v>
      </c>
      <c r="L1373" s="31"/>
      <c r="M1373" s="32"/>
    </row>
    <row r="1374" customFormat="false" ht="51" hidden="false" customHeight="true" outlineLevel="0" collapsed="false">
      <c r="B1374" s="29" t="s">
        <v>6128</v>
      </c>
      <c r="C1374" s="29" t="s">
        <v>275</v>
      </c>
      <c r="D1374" s="29" t="s">
        <v>3944</v>
      </c>
      <c r="E1374" s="29" t="s">
        <v>339</v>
      </c>
      <c r="F1374" s="29" t="s">
        <v>6129</v>
      </c>
      <c r="G1374" s="29" t="s">
        <v>6129</v>
      </c>
      <c r="H1374" s="29" t="s">
        <v>6117</v>
      </c>
      <c r="I1374" s="29" t="s">
        <v>301</v>
      </c>
      <c r="J1374" s="29" t="s">
        <v>201</v>
      </c>
      <c r="K1374" s="30" t="s">
        <v>44</v>
      </c>
      <c r="L1374" s="31"/>
      <c r="M1374" s="32"/>
    </row>
    <row r="1375" customFormat="false" ht="51" hidden="false" customHeight="true" outlineLevel="0" collapsed="false">
      <c r="B1375" s="29" t="s">
        <v>6130</v>
      </c>
      <c r="C1375" s="29" t="s">
        <v>275</v>
      </c>
      <c r="D1375" s="29" t="s">
        <v>233</v>
      </c>
      <c r="E1375" s="29" t="s">
        <v>339</v>
      </c>
      <c r="F1375" s="29" t="s">
        <v>6131</v>
      </c>
      <c r="G1375" s="29" t="s">
        <v>6132</v>
      </c>
      <c r="H1375" s="29" t="s">
        <v>6133</v>
      </c>
      <c r="I1375" s="29" t="s">
        <v>301</v>
      </c>
      <c r="J1375" s="29" t="s">
        <v>201</v>
      </c>
      <c r="K1375" s="30" t="s">
        <v>44</v>
      </c>
      <c r="L1375" s="31"/>
      <c r="M1375" s="32"/>
    </row>
    <row r="1376" customFormat="false" ht="51" hidden="false" customHeight="true" outlineLevel="0" collapsed="false">
      <c r="B1376" s="29" t="s">
        <v>6134</v>
      </c>
      <c r="C1376" s="29" t="s">
        <v>275</v>
      </c>
      <c r="D1376" s="29" t="s">
        <v>238</v>
      </c>
      <c r="E1376" s="29" t="s">
        <v>595</v>
      </c>
      <c r="F1376" s="29" t="s">
        <v>6135</v>
      </c>
      <c r="G1376" s="29" t="s">
        <v>6136</v>
      </c>
      <c r="H1376" s="29" t="s">
        <v>6137</v>
      </c>
      <c r="I1376" s="29" t="s">
        <v>467</v>
      </c>
      <c r="J1376" s="29" t="s">
        <v>467</v>
      </c>
      <c r="K1376" s="30" t="s">
        <v>44</v>
      </c>
      <c r="L1376" s="31"/>
      <c r="M1376" s="32"/>
    </row>
    <row r="1377" customFormat="false" ht="51" hidden="false" customHeight="true" outlineLevel="0" collapsed="false">
      <c r="B1377" s="29" t="s">
        <v>6138</v>
      </c>
      <c r="C1377" s="29" t="s">
        <v>275</v>
      </c>
      <c r="D1377" s="29" t="s">
        <v>244</v>
      </c>
      <c r="E1377" s="29" t="s">
        <v>595</v>
      </c>
      <c r="F1377" s="29" t="s">
        <v>6139</v>
      </c>
      <c r="G1377" s="29" t="s">
        <v>6140</v>
      </c>
      <c r="H1377" s="29" t="s">
        <v>6137</v>
      </c>
      <c r="I1377" s="29" t="s">
        <v>467</v>
      </c>
      <c r="J1377" s="29" t="s">
        <v>467</v>
      </c>
      <c r="K1377" s="30" t="s">
        <v>44</v>
      </c>
      <c r="L1377" s="31"/>
      <c r="M1377" s="32"/>
    </row>
    <row r="1378" customFormat="false" ht="51" hidden="false" customHeight="true" outlineLevel="0" collapsed="false">
      <c r="B1378" s="29" t="s">
        <v>6141</v>
      </c>
      <c r="C1378" s="29" t="s">
        <v>275</v>
      </c>
      <c r="D1378" s="29" t="s">
        <v>6142</v>
      </c>
      <c r="E1378" s="29" t="s">
        <v>595</v>
      </c>
      <c r="F1378" s="29" t="s">
        <v>6143</v>
      </c>
      <c r="G1378" s="29" t="s">
        <v>6144</v>
      </c>
      <c r="H1378" s="29" t="s">
        <v>6145</v>
      </c>
      <c r="I1378" s="29" t="s">
        <v>467</v>
      </c>
      <c r="J1378" s="29" t="s">
        <v>467</v>
      </c>
      <c r="K1378" s="30" t="s">
        <v>44</v>
      </c>
      <c r="L1378" s="31"/>
      <c r="M1378" s="32"/>
    </row>
    <row r="1379" customFormat="false" ht="51" hidden="false" customHeight="true" outlineLevel="0" collapsed="false">
      <c r="B1379" s="29" t="s">
        <v>6146</v>
      </c>
      <c r="C1379" s="29" t="s">
        <v>275</v>
      </c>
      <c r="D1379" s="29" t="s">
        <v>6147</v>
      </c>
      <c r="E1379" s="29" t="s">
        <v>339</v>
      </c>
      <c r="F1379" s="29" t="s">
        <v>6148</v>
      </c>
      <c r="G1379" s="29" t="s">
        <v>6149</v>
      </c>
      <c r="H1379" s="29" t="s">
        <v>6150</v>
      </c>
      <c r="I1379" s="29" t="s">
        <v>301</v>
      </c>
      <c r="J1379" s="29" t="s">
        <v>201</v>
      </c>
      <c r="K1379" s="30" t="s">
        <v>44</v>
      </c>
      <c r="L1379" s="31"/>
      <c r="M1379" s="32"/>
    </row>
    <row r="1380" customFormat="false" ht="51" hidden="false" customHeight="true" outlineLevel="0" collapsed="false">
      <c r="B1380" s="29" t="s">
        <v>6151</v>
      </c>
      <c r="C1380" s="29" t="s">
        <v>275</v>
      </c>
      <c r="D1380" s="29" t="s">
        <v>6152</v>
      </c>
      <c r="E1380" s="29" t="s">
        <v>595</v>
      </c>
      <c r="F1380" s="29" t="s">
        <v>6153</v>
      </c>
      <c r="G1380" s="29" t="s">
        <v>6153</v>
      </c>
      <c r="H1380" s="29" t="s">
        <v>6154</v>
      </c>
      <c r="I1380" s="29" t="s">
        <v>467</v>
      </c>
      <c r="J1380" s="29" t="s">
        <v>467</v>
      </c>
      <c r="K1380" s="30" t="s">
        <v>44</v>
      </c>
      <c r="L1380" s="31"/>
      <c r="M1380" s="32"/>
    </row>
    <row r="1381" customFormat="false" ht="51" hidden="false" customHeight="true" outlineLevel="0" collapsed="false">
      <c r="B1381" s="29" t="s">
        <v>6155</v>
      </c>
      <c r="C1381" s="29" t="s">
        <v>275</v>
      </c>
      <c r="D1381" s="29" t="s">
        <v>6156</v>
      </c>
      <c r="E1381" s="29" t="s">
        <v>339</v>
      </c>
      <c r="F1381" s="29" t="s">
        <v>6157</v>
      </c>
      <c r="G1381" s="29" t="s">
        <v>6158</v>
      </c>
      <c r="H1381" s="29" t="s">
        <v>6159</v>
      </c>
      <c r="I1381" s="29" t="s">
        <v>301</v>
      </c>
      <c r="J1381" s="29" t="s">
        <v>201</v>
      </c>
      <c r="K1381" s="30" t="s">
        <v>44</v>
      </c>
      <c r="L1381" s="31"/>
      <c r="M1381" s="32"/>
    </row>
    <row r="1382" customFormat="false" ht="51" hidden="false" customHeight="true" outlineLevel="0" collapsed="false">
      <c r="B1382" s="29" t="s">
        <v>6160</v>
      </c>
      <c r="C1382" s="29" t="s">
        <v>275</v>
      </c>
      <c r="D1382" s="29" t="s">
        <v>6161</v>
      </c>
      <c r="E1382" s="29" t="s">
        <v>339</v>
      </c>
      <c r="F1382" s="29" t="s">
        <v>6162</v>
      </c>
      <c r="G1382" s="29" t="s">
        <v>6162</v>
      </c>
      <c r="H1382" s="29" t="s">
        <v>6159</v>
      </c>
      <c r="I1382" s="29" t="s">
        <v>301</v>
      </c>
      <c r="J1382" s="29" t="s">
        <v>201</v>
      </c>
      <c r="K1382" s="30" t="s">
        <v>44</v>
      </c>
      <c r="L1382" s="31"/>
      <c r="M1382" s="32"/>
    </row>
    <row r="1383" customFormat="false" ht="51" hidden="false" customHeight="true" outlineLevel="0" collapsed="false">
      <c r="B1383" s="29" t="s">
        <v>6163</v>
      </c>
      <c r="C1383" s="29" t="s">
        <v>275</v>
      </c>
      <c r="D1383" s="29" t="s">
        <v>4048</v>
      </c>
      <c r="E1383" s="29" t="s">
        <v>356</v>
      </c>
      <c r="F1383" s="29" t="s">
        <v>6164</v>
      </c>
      <c r="G1383" s="29" t="s">
        <v>6165</v>
      </c>
      <c r="H1383" s="29" t="s">
        <v>6166</v>
      </c>
      <c r="I1383" s="29" t="s">
        <v>301</v>
      </c>
      <c r="J1383" s="29" t="s">
        <v>201</v>
      </c>
      <c r="K1383" s="30" t="s">
        <v>44</v>
      </c>
      <c r="L1383" s="31"/>
      <c r="M1383" s="32"/>
    </row>
    <row r="1384" customFormat="false" ht="51" hidden="false" customHeight="true" outlineLevel="0" collapsed="false">
      <c r="B1384" s="29" t="s">
        <v>6167</v>
      </c>
      <c r="C1384" s="29" t="s">
        <v>275</v>
      </c>
      <c r="D1384" s="29" t="s">
        <v>4053</v>
      </c>
      <c r="E1384" s="29" t="s">
        <v>595</v>
      </c>
      <c r="F1384" s="29" t="s">
        <v>6168</v>
      </c>
      <c r="G1384" s="29" t="s">
        <v>6169</v>
      </c>
      <c r="H1384" s="29" t="s">
        <v>6170</v>
      </c>
      <c r="I1384" s="29" t="s">
        <v>467</v>
      </c>
      <c r="J1384" s="29" t="s">
        <v>467</v>
      </c>
      <c r="K1384" s="30" t="s">
        <v>44</v>
      </c>
      <c r="L1384" s="31"/>
      <c r="M1384" s="32"/>
    </row>
    <row r="1385" customFormat="false" ht="51" hidden="false" customHeight="true" outlineLevel="0" collapsed="false">
      <c r="B1385" s="29" t="s">
        <v>6171</v>
      </c>
      <c r="C1385" s="29" t="s">
        <v>275</v>
      </c>
      <c r="D1385" s="29" t="s">
        <v>4057</v>
      </c>
      <c r="E1385" s="29" t="s">
        <v>356</v>
      </c>
      <c r="F1385" s="29" t="s">
        <v>6172</v>
      </c>
      <c r="G1385" s="29" t="s">
        <v>6173</v>
      </c>
      <c r="H1385" s="29" t="s">
        <v>6166</v>
      </c>
      <c r="I1385" s="29" t="s">
        <v>301</v>
      </c>
      <c r="J1385" s="29" t="s">
        <v>201</v>
      </c>
      <c r="K1385" s="30" t="s">
        <v>44</v>
      </c>
      <c r="L1385" s="31"/>
      <c r="M1385" s="32"/>
    </row>
    <row r="1386" customFormat="false" ht="51" hidden="false" customHeight="true" outlineLevel="0" collapsed="false">
      <c r="B1386" s="29" t="s">
        <v>6174</v>
      </c>
      <c r="C1386" s="29" t="s">
        <v>275</v>
      </c>
      <c r="D1386" s="29" t="s">
        <v>6175</v>
      </c>
      <c r="E1386" s="29" t="s">
        <v>595</v>
      </c>
      <c r="F1386" s="29" t="s">
        <v>6176</v>
      </c>
      <c r="G1386" s="29" t="s">
        <v>6177</v>
      </c>
      <c r="H1386" s="29" t="s">
        <v>6170</v>
      </c>
      <c r="I1386" s="29" t="s">
        <v>467</v>
      </c>
      <c r="J1386" s="29" t="s">
        <v>467</v>
      </c>
      <c r="K1386" s="30" t="s">
        <v>44</v>
      </c>
      <c r="L1386" s="31"/>
      <c r="M1386" s="32"/>
    </row>
    <row r="1387" customFormat="false" ht="51" hidden="false" customHeight="true" outlineLevel="0" collapsed="false">
      <c r="B1387" s="29" t="s">
        <v>6178</v>
      </c>
      <c r="C1387" s="29" t="s">
        <v>275</v>
      </c>
      <c r="D1387" s="29" t="s">
        <v>6179</v>
      </c>
      <c r="E1387" s="29" t="s">
        <v>595</v>
      </c>
      <c r="F1387" s="29" t="s">
        <v>6180</v>
      </c>
      <c r="G1387" s="29" t="s">
        <v>6181</v>
      </c>
      <c r="H1387" s="29" t="s">
        <v>6170</v>
      </c>
      <c r="I1387" s="29" t="s">
        <v>467</v>
      </c>
      <c r="J1387" s="29" t="s">
        <v>467</v>
      </c>
      <c r="K1387" s="30" t="s">
        <v>44</v>
      </c>
      <c r="L1387" s="31"/>
      <c r="M1387" s="32"/>
    </row>
    <row r="1388" customFormat="false" ht="51" hidden="false" customHeight="true" outlineLevel="0" collapsed="false">
      <c r="B1388" s="29" t="s">
        <v>6182</v>
      </c>
      <c r="C1388" s="29" t="s">
        <v>275</v>
      </c>
      <c r="D1388" s="29" t="s">
        <v>6183</v>
      </c>
      <c r="E1388" s="29" t="s">
        <v>595</v>
      </c>
      <c r="F1388" s="29" t="s">
        <v>6184</v>
      </c>
      <c r="G1388" s="29" t="s">
        <v>6185</v>
      </c>
      <c r="H1388" s="29" t="s">
        <v>6170</v>
      </c>
      <c r="I1388" s="29" t="s">
        <v>467</v>
      </c>
      <c r="J1388" s="29" t="s">
        <v>467</v>
      </c>
      <c r="K1388" s="30" t="s">
        <v>44</v>
      </c>
      <c r="L1388" s="31"/>
      <c r="M1388" s="32"/>
    </row>
  </sheetData>
  <mergeCells count="2">
    <mergeCell ref="B5:J5"/>
    <mergeCell ref="K5:M5"/>
  </mergeCells>
  <conditionalFormatting sqref="K7:K2000">
    <cfRule type="expression" priority="2" aboveAverage="0" equalAverage="0" bottom="0" percent="0" rank="0" text="" dxfId="14">
      <formula>K7="erfasst"</formula>
    </cfRule>
    <cfRule type="expression" priority="3" aboveAverage="0" equalAverage="0" bottom="0" percent="0" rank="0" text="" dxfId="15">
      <formula>K7="bewertet"</formula>
    </cfRule>
    <cfRule type="expression" priority="4" aboveAverage="0" equalAverage="0" bottom="0" percent="0" rank="0" text="" dxfId="16">
      <formula>K7="erfüllt"</formula>
    </cfRule>
    <cfRule type="expression" priority="5" aboveAverage="0" equalAverage="0" bottom="0" percent="0" rank="0" text="" dxfId="17">
      <formula>K7="trifft nicht zu"</formula>
    </cfRule>
  </conditionalFormatting>
  <conditionalFormatting sqref="L7:L2000">
    <cfRule type="expression" priority="6" aboveAverage="0" equalAverage="0" bottom="0" percent="0" rank="0" text="" dxfId="18">
      <formula>AND($K7="erfüllt",$L7="")</formula>
    </cfRule>
    <cfRule type="expression" priority="7" aboveAverage="0" equalAverage="0" bottom="0" percent="0" rank="0" text="" dxfId="19">
      <formula>AND($K7="erfüllt",$L7&lt;&gt;"")</formula>
    </cfRule>
    <cfRule type="expression" priority="8" aboveAverage="0" equalAverage="0" bottom="0" percent="0" rank="0" text="" dxfId="20">
      <formula>AND($K7&lt;&gt;"erfüllt",$L7&lt;&gt;"")</formula>
    </cfRule>
  </conditionalFormatting>
  <conditionalFormatting sqref="M7:M2000">
    <cfRule type="expression" priority="9" aboveAverage="0" equalAverage="0" bottom="0" percent="0" rank="0" text="" dxfId="18">
      <formula>AND($K7="erfüllt",$M7="")</formula>
    </cfRule>
    <cfRule type="expression" priority="10" aboveAverage="0" equalAverage="0" bottom="0" percent="0" rank="0" text="" dxfId="19">
      <formula>AND($K7="erfüllt",$M7&lt;&gt;"")</formula>
    </cfRule>
    <cfRule type="expression" priority="11" aboveAverage="0" equalAverage="0" bottom="0" percent="0" rank="0" text="" dxfId="18">
      <formula>AND($K7="trifft nicht zu",$M7="")</formula>
    </cfRule>
    <cfRule type="expression" priority="12" aboveAverage="0" equalAverage="0" bottom="0" percent="0" rank="0" text="" dxfId="14">
      <formula>AND($K7="trifft nicht zu",$M7&lt;&gt;"")</formula>
    </cfRule>
  </conditionalFormatting>
  <conditionalFormatting sqref="I7:J2000">
    <cfRule type="expression" priority="13" aboveAverage="0" equalAverage="0" bottom="0" percent="0" rank="0" text="" dxfId="21">
      <formula>I7="Zuordnung prüfen"</formula>
    </cfRule>
  </conditionalFormatting>
  <dataValidations count="2">
    <dataValidation allowBlank="false" error="Bitte einen der vier Status auswählen." errorStyle="stop" errorTitle="Ungültiger Status" operator="between" prompt="erfasst → bewertet → erfüllt oder trifft nicht zu" promptTitle="Status" showDropDown="false" showErrorMessage="true" showInputMessage="true" sqref="K7:K2000" type="list">
      <formula1>"erfasst,bewertet,erfüllt,trifft nicht zu"</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L7:L2000" type="date">
      <formula1>DATE(2020,1,1)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61" activeCellId="0" sqref="A61"/>
    </sheetView>
  </sheetViews>
  <sheetFormatPr defaultColWidth="9.14453125" defaultRowHeight="15" zeroHeight="false" outlineLevelRow="0" outlineLevelCol="0"/>
  <cols>
    <col collapsed="false" customWidth="true" hidden="false" outlineLevel="0" max="1" min="1" style="1" width="34"/>
    <col collapsed="false" customWidth="true" hidden="false" outlineLevel="0" max="5" min="2" style="1" width="14"/>
    <col collapsed="false" customWidth="true" hidden="false" outlineLevel="0" max="7" min="6" style="1" width="15"/>
  </cols>
  <sheetData>
    <row r="1" customFormat="false" ht="21.75" hidden="false" customHeight="true" outlineLevel="0" collapsed="false">
      <c r="A1" s="33" t="s">
        <v>6186</v>
      </c>
      <c r="B1" s="33"/>
      <c r="C1" s="33"/>
      <c r="D1" s="33"/>
      <c r="E1" s="33"/>
      <c r="F1" s="33"/>
      <c r="G1" s="33"/>
    </row>
    <row r="2" customFormat="false" ht="15" hidden="false" customHeight="true" outlineLevel="0" collapsed="false">
      <c r="A2" s="3" t="s">
        <v>6187</v>
      </c>
      <c r="B2" s="3"/>
      <c r="C2" s="3"/>
      <c r="D2" s="3"/>
      <c r="E2" s="3"/>
      <c r="F2" s="3"/>
      <c r="G2" s="3"/>
    </row>
    <row r="3" customFormat="false" ht="15" hidden="false" customHeight="true" outlineLevel="0" collapsed="false">
      <c r="A3" s="3" t="s">
        <v>6188</v>
      </c>
      <c r="B3" s="3"/>
      <c r="C3" s="3"/>
      <c r="D3" s="3"/>
      <c r="E3" s="3"/>
      <c r="F3" s="3"/>
      <c r="G3" s="3"/>
    </row>
    <row r="4" customFormat="false" ht="15" hidden="false" customHeight="true" outlineLevel="0" collapsed="false">
      <c r="A4" s="34"/>
      <c r="B4" s="34"/>
      <c r="C4" s="34"/>
      <c r="D4" s="34"/>
      <c r="E4" s="34"/>
      <c r="F4" s="34"/>
      <c r="G4" s="34"/>
    </row>
    <row r="5" customFormat="false" ht="15" hidden="false" customHeight="true" outlineLevel="0" collapsed="false">
      <c r="A5" s="35" t="s">
        <v>6189</v>
      </c>
      <c r="B5" s="35"/>
      <c r="C5" s="35"/>
      <c r="D5" s="35"/>
      <c r="E5" s="35"/>
      <c r="F5" s="35"/>
      <c r="G5" s="35"/>
    </row>
    <row r="6" customFormat="false" ht="15" hidden="false" customHeight="true" outlineLevel="0" collapsed="false">
      <c r="A6" s="36" t="s">
        <v>6190</v>
      </c>
      <c r="B6" s="36" t="s">
        <v>6191</v>
      </c>
      <c r="C6" s="36" t="s">
        <v>6</v>
      </c>
      <c r="D6" s="36" t="s">
        <v>7</v>
      </c>
      <c r="E6" s="36" t="s">
        <v>8</v>
      </c>
      <c r="F6" s="36" t="s">
        <v>10</v>
      </c>
      <c r="G6" s="36" t="s">
        <v>14</v>
      </c>
    </row>
    <row r="7" customFormat="false" ht="15" hidden="false" customHeight="true" outlineLevel="0" collapsed="false">
      <c r="A7" s="37" t="s">
        <v>185</v>
      </c>
      <c r="B7" s="38" t="n">
        <f aca="false">COUNTIF(Anforderungen!$E$7:$E$2000,$A7)</f>
        <v>14</v>
      </c>
      <c r="C7" s="38" t="n">
        <f aca="false">COUNTIFS(Anforderungen!$E$7:$E$2000,$A7,Anforderungen!$K$7:$K$2000,"erfasst")</f>
        <v>12</v>
      </c>
      <c r="D7" s="38" t="n">
        <f aca="false">COUNTIFS(Anforderungen!$E$7:$E$2000,$A7,Anforderungen!$K$7:$K$2000,"bewertet")</f>
        <v>0</v>
      </c>
      <c r="E7" s="38" t="n">
        <f aca="false">COUNTIFS(Anforderungen!$E$7:$E$2000,$A7,Anforderungen!$K$7:$K$2000,"erfüllt")</f>
        <v>2</v>
      </c>
      <c r="F7" s="38" t="n">
        <f aca="false">COUNTIFS(Anforderungen!$E$7:$E$2000,$A7,Anforderungen!$K$7:$K$2000,"trifft nicht zu")</f>
        <v>0</v>
      </c>
      <c r="G7" s="39" t="n">
        <f aca="false">IFERROR(E7/(B7-F7),0)</f>
        <v>0.142857142857143</v>
      </c>
    </row>
    <row r="8" customFormat="false" ht="15" hidden="false" customHeight="true" outlineLevel="0" collapsed="false">
      <c r="A8" s="37" t="s">
        <v>89</v>
      </c>
      <c r="B8" s="38" t="n">
        <f aca="false">COUNTIF(Anforderungen!$E$7:$E$2000,$A8)</f>
        <v>51</v>
      </c>
      <c r="C8" s="38" t="n">
        <f aca="false">COUNTIFS(Anforderungen!$E$7:$E$2000,$A8,Anforderungen!$K$7:$K$2000,"erfasst")</f>
        <v>51</v>
      </c>
      <c r="D8" s="38" t="n">
        <f aca="false">COUNTIFS(Anforderungen!$E$7:$E$2000,$A8,Anforderungen!$K$7:$K$2000,"bewertet")</f>
        <v>0</v>
      </c>
      <c r="E8" s="38" t="n">
        <f aca="false">COUNTIFS(Anforderungen!$E$7:$E$2000,$A8,Anforderungen!$K$7:$K$2000,"erfüllt")</f>
        <v>0</v>
      </c>
      <c r="F8" s="38" t="n">
        <f aca="false">COUNTIFS(Anforderungen!$E$7:$E$2000,$A8,Anforderungen!$K$7:$K$2000,"trifft nicht zu")</f>
        <v>0</v>
      </c>
      <c r="G8" s="39" t="n">
        <f aca="false">IFERROR(E8/(B8-F8),0)</f>
        <v>0</v>
      </c>
    </row>
    <row r="9" customFormat="false" ht="15" hidden="false" customHeight="true" outlineLevel="0" collapsed="false">
      <c r="A9" s="37" t="s">
        <v>205</v>
      </c>
      <c r="B9" s="38" t="n">
        <f aca="false">COUNTIF(Anforderungen!$E$7:$E$2000,$A9)</f>
        <v>98</v>
      </c>
      <c r="C9" s="38" t="n">
        <f aca="false">COUNTIFS(Anforderungen!$E$7:$E$2000,$A9,Anforderungen!$K$7:$K$2000,"erfasst")</f>
        <v>96</v>
      </c>
      <c r="D9" s="38" t="n">
        <f aca="false">COUNTIFS(Anforderungen!$E$7:$E$2000,$A9,Anforderungen!$K$7:$K$2000,"bewertet")</f>
        <v>2</v>
      </c>
      <c r="E9" s="38" t="n">
        <f aca="false">COUNTIFS(Anforderungen!$E$7:$E$2000,$A9,Anforderungen!$K$7:$K$2000,"erfüllt")</f>
        <v>0</v>
      </c>
      <c r="F9" s="38" t="n">
        <f aca="false">COUNTIFS(Anforderungen!$E$7:$E$2000,$A9,Anforderungen!$K$7:$K$2000,"trifft nicht zu")</f>
        <v>0</v>
      </c>
      <c r="G9" s="39" t="n">
        <f aca="false">IFERROR(E9/(B9-F9),0)</f>
        <v>0</v>
      </c>
    </row>
    <row r="10" customFormat="false" ht="15" hidden="false" customHeight="true" outlineLevel="0" collapsed="false">
      <c r="A10" s="37" t="s">
        <v>220</v>
      </c>
      <c r="B10" s="38" t="n">
        <f aca="false">COUNTIF(Anforderungen!$E$7:$E$2000,$A10)</f>
        <v>4</v>
      </c>
      <c r="C10" s="38" t="n">
        <f aca="false">COUNTIFS(Anforderungen!$E$7:$E$2000,$A10,Anforderungen!$K$7:$K$2000,"erfasst")</f>
        <v>3</v>
      </c>
      <c r="D10" s="38" t="n">
        <f aca="false">COUNTIFS(Anforderungen!$E$7:$E$2000,$A10,Anforderungen!$K$7:$K$2000,"bewertet")</f>
        <v>0</v>
      </c>
      <c r="E10" s="38" t="n">
        <f aca="false">COUNTIFS(Anforderungen!$E$7:$E$2000,$A10,Anforderungen!$K$7:$K$2000,"erfüllt")</f>
        <v>1</v>
      </c>
      <c r="F10" s="38" t="n">
        <f aca="false">COUNTIFS(Anforderungen!$E$7:$E$2000,$A10,Anforderungen!$K$7:$K$2000,"trifft nicht zu")</f>
        <v>0</v>
      </c>
      <c r="G10" s="39" t="n">
        <f aca="false">IFERROR(E10/(B10-F10),0)</f>
        <v>0.25</v>
      </c>
    </row>
    <row r="11" customFormat="false" ht="15" hidden="false" customHeight="true" outlineLevel="0" collapsed="false">
      <c r="A11" s="37" t="s">
        <v>150</v>
      </c>
      <c r="B11" s="38" t="n">
        <f aca="false">COUNTIF(Anforderungen!$E$7:$E$2000,$A11)</f>
        <v>76</v>
      </c>
      <c r="C11" s="38" t="n">
        <f aca="false">COUNTIFS(Anforderungen!$E$7:$E$2000,$A11,Anforderungen!$K$7:$K$2000,"erfasst")</f>
        <v>74</v>
      </c>
      <c r="D11" s="38" t="n">
        <f aca="false">COUNTIFS(Anforderungen!$E$7:$E$2000,$A11,Anforderungen!$K$7:$K$2000,"bewertet")</f>
        <v>0</v>
      </c>
      <c r="E11" s="38" t="n">
        <f aca="false">COUNTIFS(Anforderungen!$E$7:$E$2000,$A11,Anforderungen!$K$7:$K$2000,"erfüllt")</f>
        <v>1</v>
      </c>
      <c r="F11" s="38" t="n">
        <f aca="false">COUNTIFS(Anforderungen!$E$7:$E$2000,$A11,Anforderungen!$K$7:$K$2000,"trifft nicht zu")</f>
        <v>1</v>
      </c>
      <c r="G11" s="39" t="n">
        <f aca="false">IFERROR(E11/(B11-F11),0)</f>
        <v>0.0133333333333333</v>
      </c>
    </row>
    <row r="12" customFormat="false" ht="15" hidden="false" customHeight="true" outlineLevel="0" collapsed="false">
      <c r="A12" s="37" t="s">
        <v>350</v>
      </c>
      <c r="B12" s="38" t="n">
        <f aca="false">COUNTIF(Anforderungen!$E$7:$E$2000,$A12)</f>
        <v>94</v>
      </c>
      <c r="C12" s="38" t="n">
        <f aca="false">COUNTIFS(Anforderungen!$E$7:$E$2000,$A12,Anforderungen!$K$7:$K$2000,"erfasst")</f>
        <v>94</v>
      </c>
      <c r="D12" s="38" t="n">
        <f aca="false">COUNTIFS(Anforderungen!$E$7:$E$2000,$A12,Anforderungen!$K$7:$K$2000,"bewertet")</f>
        <v>0</v>
      </c>
      <c r="E12" s="38" t="n">
        <f aca="false">COUNTIFS(Anforderungen!$E$7:$E$2000,$A12,Anforderungen!$K$7:$K$2000,"erfüllt")</f>
        <v>0</v>
      </c>
      <c r="F12" s="38" t="n">
        <f aca="false">COUNTIFS(Anforderungen!$E$7:$E$2000,$A12,Anforderungen!$K$7:$K$2000,"trifft nicht zu")</f>
        <v>0</v>
      </c>
      <c r="G12" s="39" t="n">
        <f aca="false">IFERROR(E12/(B12-F12),0)</f>
        <v>0</v>
      </c>
    </row>
    <row r="13" customFormat="false" ht="15" hidden="false" customHeight="true" outlineLevel="0" collapsed="false">
      <c r="A13" s="37" t="s">
        <v>265</v>
      </c>
      <c r="B13" s="38" t="n">
        <f aca="false">COUNTIF(Anforderungen!$E$7:$E$2000,$A13)</f>
        <v>34</v>
      </c>
      <c r="C13" s="38" t="n">
        <f aca="false">COUNTIFS(Anforderungen!$E$7:$E$2000,$A13,Anforderungen!$K$7:$K$2000,"erfasst")</f>
        <v>34</v>
      </c>
      <c r="D13" s="38" t="n">
        <f aca="false">COUNTIFS(Anforderungen!$E$7:$E$2000,$A13,Anforderungen!$K$7:$K$2000,"bewertet")</f>
        <v>0</v>
      </c>
      <c r="E13" s="38" t="n">
        <f aca="false">COUNTIFS(Anforderungen!$E$7:$E$2000,$A13,Anforderungen!$K$7:$K$2000,"erfüllt")</f>
        <v>0</v>
      </c>
      <c r="F13" s="38" t="n">
        <f aca="false">COUNTIFS(Anforderungen!$E$7:$E$2000,$A13,Anforderungen!$K$7:$K$2000,"trifft nicht zu")</f>
        <v>0</v>
      </c>
      <c r="G13" s="39" t="n">
        <f aca="false">IFERROR(E13/(B13-F13),0)</f>
        <v>0</v>
      </c>
    </row>
    <row r="14" customFormat="false" ht="15" hidden="false" customHeight="true" outlineLevel="0" collapsed="false">
      <c r="A14" s="37" t="s">
        <v>356</v>
      </c>
      <c r="B14" s="38" t="n">
        <f aca="false">COUNTIF(Anforderungen!$E$7:$E$2000,$A14)</f>
        <v>228</v>
      </c>
      <c r="C14" s="38" t="n">
        <f aca="false">COUNTIFS(Anforderungen!$E$7:$E$2000,$A14,Anforderungen!$K$7:$K$2000,"erfasst")</f>
        <v>227</v>
      </c>
      <c r="D14" s="38" t="n">
        <f aca="false">COUNTIFS(Anforderungen!$E$7:$E$2000,$A14,Anforderungen!$K$7:$K$2000,"bewertet")</f>
        <v>0</v>
      </c>
      <c r="E14" s="38" t="n">
        <f aca="false">COUNTIFS(Anforderungen!$E$7:$E$2000,$A14,Anforderungen!$K$7:$K$2000,"erfüllt")</f>
        <v>0</v>
      </c>
      <c r="F14" s="38" t="n">
        <f aca="false">COUNTIFS(Anforderungen!$E$7:$E$2000,$A14,Anforderungen!$K$7:$K$2000,"trifft nicht zu")</f>
        <v>1</v>
      </c>
      <c r="G14" s="39" t="n">
        <f aca="false">IFERROR(E14/(B14-F14),0)</f>
        <v>0</v>
      </c>
    </row>
    <row r="15" customFormat="false" ht="15" hidden="false" customHeight="true" outlineLevel="0" collapsed="false">
      <c r="A15" s="37" t="s">
        <v>97</v>
      </c>
      <c r="B15" s="38" t="n">
        <f aca="false">COUNTIF(Anforderungen!$E$7:$E$2000,$A15)</f>
        <v>44</v>
      </c>
      <c r="C15" s="38" t="n">
        <f aca="false">COUNTIFS(Anforderungen!$E$7:$E$2000,$A15,Anforderungen!$K$7:$K$2000,"erfasst")</f>
        <v>43</v>
      </c>
      <c r="D15" s="38" t="n">
        <f aca="false">COUNTIFS(Anforderungen!$E$7:$E$2000,$A15,Anforderungen!$K$7:$K$2000,"bewertet")</f>
        <v>0</v>
      </c>
      <c r="E15" s="38" t="n">
        <f aca="false">COUNTIFS(Anforderungen!$E$7:$E$2000,$A15,Anforderungen!$K$7:$K$2000,"erfüllt")</f>
        <v>0</v>
      </c>
      <c r="F15" s="38" t="n">
        <f aca="false">COUNTIFS(Anforderungen!$E$7:$E$2000,$A15,Anforderungen!$K$7:$K$2000,"trifft nicht zu")</f>
        <v>1</v>
      </c>
      <c r="G15" s="39" t="n">
        <f aca="false">IFERROR(E15/(B15-F15),0)</f>
        <v>0</v>
      </c>
    </row>
    <row r="16" customFormat="false" ht="15" hidden="false" customHeight="true" outlineLevel="0" collapsed="false">
      <c r="A16" s="37" t="s">
        <v>39</v>
      </c>
      <c r="B16" s="38" t="n">
        <f aca="false">COUNTIF(Anforderungen!$E$7:$E$2000,$A16)</f>
        <v>74</v>
      </c>
      <c r="C16" s="38" t="n">
        <f aca="false">COUNTIFS(Anforderungen!$E$7:$E$2000,$A16,Anforderungen!$K$7:$K$2000,"erfasst")</f>
        <v>73</v>
      </c>
      <c r="D16" s="38" t="n">
        <f aca="false">COUNTIFS(Anforderungen!$E$7:$E$2000,$A16,Anforderungen!$K$7:$K$2000,"bewertet")</f>
        <v>1</v>
      </c>
      <c r="E16" s="38" t="n">
        <f aca="false">COUNTIFS(Anforderungen!$E$7:$E$2000,$A16,Anforderungen!$K$7:$K$2000,"erfüllt")</f>
        <v>0</v>
      </c>
      <c r="F16" s="38" t="n">
        <f aca="false">COUNTIFS(Anforderungen!$E$7:$E$2000,$A16,Anforderungen!$K$7:$K$2000,"trifft nicht zu")</f>
        <v>0</v>
      </c>
      <c r="G16" s="39" t="n">
        <f aca="false">IFERROR(E16/(B16-F16),0)</f>
        <v>0</v>
      </c>
    </row>
    <row r="17" customFormat="false" ht="15" hidden="false" customHeight="true" outlineLevel="0" collapsed="false">
      <c r="A17" s="37" t="s">
        <v>538</v>
      </c>
      <c r="B17" s="38" t="n">
        <f aca="false">COUNTIF(Anforderungen!$E$7:$E$2000,$A17)</f>
        <v>98</v>
      </c>
      <c r="C17" s="38" t="n">
        <f aca="false">COUNTIFS(Anforderungen!$E$7:$E$2000,$A17,Anforderungen!$K$7:$K$2000,"erfasst")</f>
        <v>98</v>
      </c>
      <c r="D17" s="38" t="n">
        <f aca="false">COUNTIFS(Anforderungen!$E$7:$E$2000,$A17,Anforderungen!$K$7:$K$2000,"bewertet")</f>
        <v>0</v>
      </c>
      <c r="E17" s="38" t="n">
        <f aca="false">COUNTIFS(Anforderungen!$E$7:$E$2000,$A17,Anforderungen!$K$7:$K$2000,"erfüllt")</f>
        <v>0</v>
      </c>
      <c r="F17" s="38" t="n">
        <f aca="false">COUNTIFS(Anforderungen!$E$7:$E$2000,$A17,Anforderungen!$K$7:$K$2000,"trifft nicht zu")</f>
        <v>0</v>
      </c>
      <c r="G17" s="39" t="n">
        <f aca="false">IFERROR(E17/(B17-F17),0)</f>
        <v>0</v>
      </c>
    </row>
    <row r="18" customFormat="false" ht="15" hidden="false" customHeight="true" outlineLevel="0" collapsed="false">
      <c r="A18" s="37" t="s">
        <v>595</v>
      </c>
      <c r="B18" s="38" t="n">
        <f aca="false">COUNTIF(Anforderungen!$E$7:$E$2000,$A18)</f>
        <v>153</v>
      </c>
      <c r="C18" s="38" t="n">
        <f aca="false">COUNTIFS(Anforderungen!$E$7:$E$2000,$A18,Anforderungen!$K$7:$K$2000,"erfasst")</f>
        <v>153</v>
      </c>
      <c r="D18" s="38" t="n">
        <f aca="false">COUNTIFS(Anforderungen!$E$7:$E$2000,$A18,Anforderungen!$K$7:$K$2000,"bewertet")</f>
        <v>0</v>
      </c>
      <c r="E18" s="38" t="n">
        <f aca="false">COUNTIFS(Anforderungen!$E$7:$E$2000,$A18,Anforderungen!$K$7:$K$2000,"erfüllt")</f>
        <v>0</v>
      </c>
      <c r="F18" s="38" t="n">
        <f aca="false">COUNTIFS(Anforderungen!$E$7:$E$2000,$A18,Anforderungen!$K$7:$K$2000,"trifft nicht zu")</f>
        <v>0</v>
      </c>
      <c r="G18" s="39" t="n">
        <f aca="false">IFERROR(E18/(B18-F18),0)</f>
        <v>0</v>
      </c>
    </row>
    <row r="19" customFormat="false" ht="15" hidden="false" customHeight="true" outlineLevel="0" collapsed="false">
      <c r="A19" s="37" t="s">
        <v>326</v>
      </c>
      <c r="B19" s="38" t="n">
        <f aca="false">COUNTIF(Anforderungen!$E$7:$E$2000,$A19)</f>
        <v>70</v>
      </c>
      <c r="C19" s="38" t="n">
        <f aca="false">COUNTIFS(Anforderungen!$E$7:$E$2000,$A19,Anforderungen!$K$7:$K$2000,"erfasst")</f>
        <v>69</v>
      </c>
      <c r="D19" s="38" t="n">
        <f aca="false">COUNTIFS(Anforderungen!$E$7:$E$2000,$A19,Anforderungen!$K$7:$K$2000,"bewertet")</f>
        <v>0</v>
      </c>
      <c r="E19" s="38" t="n">
        <f aca="false">COUNTIFS(Anforderungen!$E$7:$E$2000,$A19,Anforderungen!$K$7:$K$2000,"erfüllt")</f>
        <v>0</v>
      </c>
      <c r="F19" s="38" t="n">
        <f aca="false">COUNTIFS(Anforderungen!$E$7:$E$2000,$A19,Anforderungen!$K$7:$K$2000,"trifft nicht zu")</f>
        <v>1</v>
      </c>
      <c r="G19" s="39" t="n">
        <f aca="false">IFERROR(E19/(B19-F19),0)</f>
        <v>0</v>
      </c>
    </row>
    <row r="20" customFormat="false" ht="15" hidden="false" customHeight="true" outlineLevel="0" collapsed="false">
      <c r="A20" s="37" t="s">
        <v>339</v>
      </c>
      <c r="B20" s="38" t="n">
        <f aca="false">COUNTIF(Anforderungen!$E$7:$E$2000,$A20)</f>
        <v>314</v>
      </c>
      <c r="C20" s="38" t="n">
        <f aca="false">COUNTIFS(Anforderungen!$E$7:$E$2000,$A20,Anforderungen!$K$7:$K$2000,"erfasst")</f>
        <v>314</v>
      </c>
      <c r="D20" s="38" t="n">
        <f aca="false">COUNTIFS(Anforderungen!$E$7:$E$2000,$A20,Anforderungen!$K$7:$K$2000,"bewertet")</f>
        <v>0</v>
      </c>
      <c r="E20" s="38" t="n">
        <f aca="false">COUNTIFS(Anforderungen!$E$7:$E$2000,$A20,Anforderungen!$K$7:$K$2000,"erfüllt")</f>
        <v>0</v>
      </c>
      <c r="F20" s="38" t="n">
        <f aca="false">COUNTIFS(Anforderungen!$E$7:$E$2000,$A20,Anforderungen!$K$7:$K$2000,"trifft nicht zu")</f>
        <v>0</v>
      </c>
      <c r="G20" s="39" t="n">
        <f aca="false">IFERROR(E20/(B20-F20),0)</f>
        <v>0</v>
      </c>
    </row>
    <row r="21" customFormat="false" ht="15" hidden="false" customHeight="true" outlineLevel="0" collapsed="false">
      <c r="A21" s="37" t="s">
        <v>76</v>
      </c>
      <c r="B21" s="38" t="n">
        <f aca="false">COUNTIF(Anforderungen!$E$7:$E$2000,$A21)</f>
        <v>30</v>
      </c>
      <c r="C21" s="38" t="n">
        <f aca="false">COUNTIFS(Anforderungen!$E$7:$E$2000,$A21,Anforderungen!$K$7:$K$2000,"erfasst")</f>
        <v>23</v>
      </c>
      <c r="D21" s="38" t="n">
        <f aca="false">COUNTIFS(Anforderungen!$E$7:$E$2000,$A21,Anforderungen!$K$7:$K$2000,"bewertet")</f>
        <v>0</v>
      </c>
      <c r="E21" s="38" t="n">
        <f aca="false">COUNTIFS(Anforderungen!$E$7:$E$2000,$A21,Anforderungen!$K$7:$K$2000,"erfüllt")</f>
        <v>6</v>
      </c>
      <c r="F21" s="38" t="n">
        <f aca="false">COUNTIFS(Anforderungen!$E$7:$E$2000,$A21,Anforderungen!$K$7:$K$2000,"trifft nicht zu")</f>
        <v>1</v>
      </c>
      <c r="G21" s="39" t="n">
        <f aca="false">IFERROR(E21/(B21-F21),0)</f>
        <v>0.206896551724138</v>
      </c>
    </row>
    <row r="22" customFormat="false" ht="15" hidden="false" customHeight="true" outlineLevel="0" collapsed="false">
      <c r="A22" s="37"/>
      <c r="B22" s="38"/>
      <c r="C22" s="40"/>
      <c r="D22" s="41"/>
      <c r="E22" s="34"/>
      <c r="F22" s="34"/>
      <c r="G22" s="42"/>
    </row>
    <row r="23" customFormat="false" ht="15" hidden="false" customHeight="true" outlineLevel="0" collapsed="false">
      <c r="A23" s="37"/>
      <c r="B23" s="38"/>
      <c r="C23" s="40"/>
      <c r="D23" s="41"/>
      <c r="E23" s="34"/>
      <c r="F23" s="34"/>
      <c r="G23" s="42"/>
    </row>
    <row r="24" customFormat="false" ht="15" hidden="false" customHeight="true" outlineLevel="0" collapsed="false">
      <c r="A24" s="35" t="s">
        <v>6192</v>
      </c>
      <c r="B24" s="35"/>
      <c r="C24" s="35"/>
      <c r="D24" s="35"/>
      <c r="E24" s="35"/>
      <c r="F24" s="35"/>
      <c r="G24" s="35"/>
    </row>
    <row r="25" customFormat="false" ht="15" hidden="false" customHeight="true" outlineLevel="0" collapsed="false">
      <c r="A25" s="36" t="s">
        <v>6190</v>
      </c>
      <c r="B25" s="36" t="s">
        <v>6191</v>
      </c>
      <c r="C25" s="36" t="s">
        <v>6</v>
      </c>
      <c r="D25" s="36" t="s">
        <v>7</v>
      </c>
      <c r="E25" s="36" t="s">
        <v>8</v>
      </c>
      <c r="F25" s="36" t="s">
        <v>10</v>
      </c>
      <c r="G25" s="36" t="s">
        <v>14</v>
      </c>
    </row>
    <row r="26" customFormat="false" ht="15" hidden="false" customHeight="true" outlineLevel="0" collapsed="false">
      <c r="A26" s="37" t="s">
        <v>3662</v>
      </c>
      <c r="B26" s="38" t="n">
        <f aca="false">SUMPRODUCT(ISNUMBER(SEARCH($A26,Anforderungen!$I$7:$I$2000))*(Anforderungen!$B$7:$B$2000&lt;&gt;""))</f>
        <v>104</v>
      </c>
      <c r="C26" s="38" t="n">
        <f aca="false">SUMPRODUCT(ISNUMBER(SEARCH($A26,Anforderungen!$I$7:$I$2000))*(Anforderungen!$K$7:$K$2000="erfasst"))</f>
        <v>104</v>
      </c>
      <c r="D26" s="38" t="n">
        <f aca="false">SUMPRODUCT(ISNUMBER(SEARCH($A26,Anforderungen!$I$7:$I$2000))*(Anforderungen!$K$7:$K$2000="bewertet"))</f>
        <v>0</v>
      </c>
      <c r="E26" s="38" t="n">
        <f aca="false">SUMPRODUCT(ISNUMBER(SEARCH($A26,Anforderungen!$I$7:$I$2000))*(Anforderungen!$K$7:$K$2000="erfüllt"))</f>
        <v>0</v>
      </c>
      <c r="F26" s="38" t="n">
        <f aca="false">SUMPRODUCT(ISNUMBER(SEARCH($A26,Anforderungen!$I$7:$I$2000))*(Anforderungen!$K$7:$K$2000="trifft nicht zu"))</f>
        <v>0</v>
      </c>
      <c r="G26" s="39" t="n">
        <f aca="false">IFERROR(E26/(B26-F26),0)</f>
        <v>0</v>
      </c>
    </row>
    <row r="27" customFormat="false" ht="15" hidden="false" customHeight="true" outlineLevel="0" collapsed="false">
      <c r="A27" s="37" t="s">
        <v>42</v>
      </c>
      <c r="B27" s="38" t="n">
        <f aca="false">SUMPRODUCT(ISNUMBER(SEARCH($A27,Anforderungen!$I$7:$I$2000))*(Anforderungen!$B$7:$B$2000&lt;&gt;""))</f>
        <v>225</v>
      </c>
      <c r="C27" s="38" t="n">
        <f aca="false">SUMPRODUCT(ISNUMBER(SEARCH($A27,Anforderungen!$I$7:$I$2000))*(Anforderungen!$K$7:$K$2000="erfasst"))</f>
        <v>219</v>
      </c>
      <c r="D27" s="38" t="n">
        <f aca="false">SUMPRODUCT(ISNUMBER(SEARCH($A27,Anforderungen!$I$7:$I$2000))*(Anforderungen!$K$7:$K$2000="bewertet"))</f>
        <v>0</v>
      </c>
      <c r="E27" s="38" t="n">
        <f aca="false">SUMPRODUCT(ISNUMBER(SEARCH($A27,Anforderungen!$I$7:$I$2000))*(Anforderungen!$K$7:$K$2000="erfüllt"))</f>
        <v>5</v>
      </c>
      <c r="F27" s="38" t="n">
        <f aca="false">SUMPRODUCT(ISNUMBER(SEARCH($A27,Anforderungen!$I$7:$I$2000))*(Anforderungen!$K$7:$K$2000="trifft nicht zu"))</f>
        <v>1</v>
      </c>
      <c r="G27" s="39" t="n">
        <f aca="false">IFERROR(E27/(B27-F27),0)</f>
        <v>0.0223214285714286</v>
      </c>
    </row>
    <row r="28" customFormat="false" ht="15" hidden="false" customHeight="true" outlineLevel="0" collapsed="false">
      <c r="A28" s="37" t="s">
        <v>285</v>
      </c>
      <c r="B28" s="38" t="n">
        <f aca="false">SUMPRODUCT(ISNUMBER(SEARCH($A28,Anforderungen!$I$7:$I$2000))*(Anforderungen!$B$7:$B$2000&lt;&gt;""))</f>
        <v>76</v>
      </c>
      <c r="C28" s="38" t="n">
        <f aca="false">SUMPRODUCT(ISNUMBER(SEARCH($A28,Anforderungen!$I$7:$I$2000))*(Anforderungen!$K$7:$K$2000="erfasst"))</f>
        <v>70</v>
      </c>
      <c r="D28" s="38" t="n">
        <f aca="false">SUMPRODUCT(ISNUMBER(SEARCH($A28,Anforderungen!$I$7:$I$2000))*(Anforderungen!$K$7:$K$2000="bewertet"))</f>
        <v>0</v>
      </c>
      <c r="E28" s="38" t="n">
        <f aca="false">SUMPRODUCT(ISNUMBER(SEARCH($A28,Anforderungen!$I$7:$I$2000))*(Anforderungen!$K$7:$K$2000="erfüllt"))</f>
        <v>6</v>
      </c>
      <c r="F28" s="38" t="n">
        <f aca="false">SUMPRODUCT(ISNUMBER(SEARCH($A28,Anforderungen!$I$7:$I$2000))*(Anforderungen!$K$7:$K$2000="trifft nicht zu"))</f>
        <v>0</v>
      </c>
      <c r="G28" s="39" t="n">
        <f aca="false">IFERROR(E28/(B28-F28),0)</f>
        <v>0.0789473684210526</v>
      </c>
    </row>
    <row r="29" customFormat="false" ht="15" hidden="false" customHeight="true" outlineLevel="0" collapsed="false">
      <c r="A29" s="37" t="s">
        <v>296</v>
      </c>
      <c r="B29" s="38" t="n">
        <f aca="false">SUMPRODUCT(ISNUMBER(SEARCH($A29,Anforderungen!$I$7:$I$2000))*(Anforderungen!$B$7:$B$2000&lt;&gt;""))</f>
        <v>13</v>
      </c>
      <c r="C29" s="38" t="n">
        <f aca="false">SUMPRODUCT(ISNUMBER(SEARCH($A29,Anforderungen!$I$7:$I$2000))*(Anforderungen!$K$7:$K$2000="erfasst"))</f>
        <v>13</v>
      </c>
      <c r="D29" s="38" t="n">
        <f aca="false">SUMPRODUCT(ISNUMBER(SEARCH($A29,Anforderungen!$I$7:$I$2000))*(Anforderungen!$K$7:$K$2000="bewertet"))</f>
        <v>0</v>
      </c>
      <c r="E29" s="38" t="n">
        <f aca="false">SUMPRODUCT(ISNUMBER(SEARCH($A29,Anforderungen!$I$7:$I$2000))*(Anforderungen!$K$7:$K$2000="erfüllt"))</f>
        <v>0</v>
      </c>
      <c r="F29" s="38" t="n">
        <f aca="false">SUMPRODUCT(ISNUMBER(SEARCH($A29,Anforderungen!$I$7:$I$2000))*(Anforderungen!$K$7:$K$2000="trifft nicht zu"))</f>
        <v>0</v>
      </c>
      <c r="G29" s="39" t="n">
        <f aca="false">IFERROR(E29/(B29-F29),0)</f>
        <v>0</v>
      </c>
    </row>
    <row r="30" customFormat="false" ht="15" hidden="false" customHeight="true" outlineLevel="0" collapsed="false">
      <c r="A30" s="37" t="s">
        <v>335</v>
      </c>
      <c r="B30" s="38" t="n">
        <f aca="false">SUMPRODUCT(ISNUMBER(SEARCH($A30,Anforderungen!$I$7:$I$2000))*(Anforderungen!$B$7:$B$2000&lt;&gt;""))</f>
        <v>29</v>
      </c>
      <c r="C30" s="38" t="n">
        <f aca="false">SUMPRODUCT(ISNUMBER(SEARCH($A30,Anforderungen!$I$7:$I$2000))*(Anforderungen!$K$7:$K$2000="erfasst"))</f>
        <v>29</v>
      </c>
      <c r="D30" s="38" t="n">
        <f aca="false">SUMPRODUCT(ISNUMBER(SEARCH($A30,Anforderungen!$I$7:$I$2000))*(Anforderungen!$K$7:$K$2000="bewertet"))</f>
        <v>0</v>
      </c>
      <c r="E30" s="38" t="n">
        <f aca="false">SUMPRODUCT(ISNUMBER(SEARCH($A30,Anforderungen!$I$7:$I$2000))*(Anforderungen!$K$7:$K$2000="erfüllt"))</f>
        <v>0</v>
      </c>
      <c r="F30" s="38" t="n">
        <f aca="false">SUMPRODUCT(ISNUMBER(SEARCH($A30,Anforderungen!$I$7:$I$2000))*(Anforderungen!$K$7:$K$2000="trifft nicht zu"))</f>
        <v>0</v>
      </c>
      <c r="G30" s="39" t="n">
        <f aca="false">IFERROR(E30/(B30-F30),0)</f>
        <v>0</v>
      </c>
    </row>
    <row r="31" customFormat="false" ht="15" hidden="false" customHeight="true" outlineLevel="0" collapsed="false">
      <c r="A31" s="37" t="s">
        <v>301</v>
      </c>
      <c r="B31" s="38" t="n">
        <f aca="false">SUMPRODUCT(ISNUMBER(SEARCH($A31,Anforderungen!$I$7:$I$2000))*(Anforderungen!$B$7:$B$2000&lt;&gt;""))</f>
        <v>731</v>
      </c>
      <c r="C31" s="38" t="n">
        <f aca="false">SUMPRODUCT(ISNUMBER(SEARCH($A31,Anforderungen!$I$7:$I$2000))*(Anforderungen!$K$7:$K$2000="erfasst"))</f>
        <v>730</v>
      </c>
      <c r="D31" s="38" t="n">
        <f aca="false">SUMPRODUCT(ISNUMBER(SEARCH($A31,Anforderungen!$I$7:$I$2000))*(Anforderungen!$K$7:$K$2000="bewertet"))</f>
        <v>0</v>
      </c>
      <c r="E31" s="38" t="n">
        <f aca="false">SUMPRODUCT(ISNUMBER(SEARCH($A31,Anforderungen!$I$7:$I$2000))*(Anforderungen!$K$7:$K$2000="erfüllt"))</f>
        <v>0</v>
      </c>
      <c r="F31" s="38" t="n">
        <f aca="false">SUMPRODUCT(ISNUMBER(SEARCH($A31,Anforderungen!$I$7:$I$2000))*(Anforderungen!$K$7:$K$2000="trifft nicht zu"))</f>
        <v>1</v>
      </c>
      <c r="G31" s="39" t="n">
        <f aca="false">IFERROR(E31/(B31-F31),0)</f>
        <v>0</v>
      </c>
    </row>
    <row r="32" customFormat="false" ht="15" hidden="false" customHeight="true" outlineLevel="0" collapsed="false">
      <c r="A32" s="37" t="s">
        <v>467</v>
      </c>
      <c r="B32" s="38" t="n">
        <f aca="false">SUMPRODUCT(ISNUMBER(SEARCH($A32,Anforderungen!$I$7:$I$2000))*(Anforderungen!$B$7:$B$2000&lt;&gt;""))</f>
        <v>230</v>
      </c>
      <c r="C32" s="38" t="n">
        <f aca="false">SUMPRODUCT(ISNUMBER(SEARCH($A32,Anforderungen!$I$7:$I$2000))*(Anforderungen!$K$7:$K$2000="erfasst"))</f>
        <v>230</v>
      </c>
      <c r="D32" s="38" t="n">
        <f aca="false">SUMPRODUCT(ISNUMBER(SEARCH($A32,Anforderungen!$I$7:$I$2000))*(Anforderungen!$K$7:$K$2000="bewertet"))</f>
        <v>0</v>
      </c>
      <c r="E32" s="38" t="n">
        <f aca="false">SUMPRODUCT(ISNUMBER(SEARCH($A32,Anforderungen!$I$7:$I$2000))*(Anforderungen!$K$7:$K$2000="erfüllt"))</f>
        <v>0</v>
      </c>
      <c r="F32" s="38" t="n">
        <f aca="false">SUMPRODUCT(ISNUMBER(SEARCH($A32,Anforderungen!$I$7:$I$2000))*(Anforderungen!$K$7:$K$2000="trifft nicht zu"))</f>
        <v>0</v>
      </c>
      <c r="G32" s="39" t="n">
        <f aca="false">IFERROR(E32/(B32-F32),0)</f>
        <v>0</v>
      </c>
    </row>
    <row r="33" customFormat="false" ht="15" hidden="false" customHeight="true" outlineLevel="0" collapsed="false">
      <c r="A33" s="37"/>
      <c r="B33" s="38"/>
      <c r="C33" s="40"/>
      <c r="D33" s="41"/>
      <c r="E33" s="34"/>
      <c r="F33" s="34"/>
      <c r="G33" s="42"/>
    </row>
    <row r="34" customFormat="false" ht="15" hidden="false" customHeight="true" outlineLevel="0" collapsed="false">
      <c r="A34" s="37"/>
      <c r="B34" s="38"/>
      <c r="C34" s="40"/>
      <c r="D34" s="41"/>
      <c r="E34" s="34"/>
      <c r="F34" s="34"/>
      <c r="G34" s="42"/>
    </row>
    <row r="35" customFormat="false" ht="15" hidden="false" customHeight="true" outlineLevel="0" collapsed="false">
      <c r="A35" s="35" t="s">
        <v>6193</v>
      </c>
      <c r="B35" s="35"/>
      <c r="C35" s="35"/>
      <c r="D35" s="35"/>
      <c r="E35" s="35"/>
      <c r="F35" s="35"/>
      <c r="G35" s="35"/>
    </row>
    <row r="36" customFormat="false" ht="15" hidden="false" customHeight="true" outlineLevel="0" collapsed="false">
      <c r="A36" s="36" t="s">
        <v>6190</v>
      </c>
      <c r="B36" s="36" t="s">
        <v>6191</v>
      </c>
      <c r="C36" s="36" t="s">
        <v>6</v>
      </c>
      <c r="D36" s="36" t="s">
        <v>7</v>
      </c>
      <c r="E36" s="36" t="s">
        <v>8</v>
      </c>
      <c r="F36" s="36" t="s">
        <v>10</v>
      </c>
      <c r="G36" s="36" t="s">
        <v>14</v>
      </c>
    </row>
    <row r="37" customFormat="false" ht="15" hidden="false" customHeight="true" outlineLevel="0" collapsed="false">
      <c r="A37" s="37" t="s">
        <v>154</v>
      </c>
      <c r="B37" s="38" t="n">
        <f aca="false">SUMPRODUCT(ISNUMBER(SEARCH($A37,Anforderungen!$J$7:$J$2000))*(Anforderungen!$B$7:$B$2000&lt;&gt;""))</f>
        <v>171</v>
      </c>
      <c r="C37" s="38" t="n">
        <f aca="false">SUMPRODUCT(ISNUMBER(SEARCH($A37,Anforderungen!$J$7:$J$2000))*(Anforderungen!$K$7:$K$2000="erfasst"))</f>
        <v>170</v>
      </c>
      <c r="D37" s="38" t="n">
        <f aca="false">SUMPRODUCT(ISNUMBER(SEARCH($A37,Anforderungen!$J$7:$J$2000))*(Anforderungen!$K$7:$K$2000="bewertet"))</f>
        <v>0</v>
      </c>
      <c r="E37" s="38" t="n">
        <f aca="false">SUMPRODUCT(ISNUMBER(SEARCH($A37,Anforderungen!$J$7:$J$2000))*(Anforderungen!$K$7:$K$2000="erfüllt"))</f>
        <v>0</v>
      </c>
      <c r="F37" s="38" t="n">
        <f aca="false">SUMPRODUCT(ISNUMBER(SEARCH($A37,Anforderungen!$J$7:$J$2000))*(Anforderungen!$K$7:$K$2000="trifft nicht zu"))</f>
        <v>1</v>
      </c>
      <c r="G37" s="39" t="n">
        <f aca="false">IFERROR(E37/(B37-F37),0)</f>
        <v>0</v>
      </c>
    </row>
    <row r="38" customFormat="false" ht="15" hidden="false" customHeight="true" outlineLevel="0" collapsed="false">
      <c r="A38" s="37" t="s">
        <v>65</v>
      </c>
      <c r="B38" s="38" t="n">
        <f aca="false">SUMPRODUCT(ISNUMBER(SEARCH($A38,Anforderungen!$J$7:$J$2000))*(Anforderungen!$B$7:$B$2000&lt;&gt;""))</f>
        <v>50</v>
      </c>
      <c r="C38" s="38" t="n">
        <f aca="false">SUMPRODUCT(ISNUMBER(SEARCH($A38,Anforderungen!$J$7:$J$2000))*(Anforderungen!$K$7:$K$2000="erfasst"))</f>
        <v>49</v>
      </c>
      <c r="D38" s="38" t="n">
        <f aca="false">SUMPRODUCT(ISNUMBER(SEARCH($A38,Anforderungen!$J$7:$J$2000))*(Anforderungen!$K$7:$K$2000="bewertet"))</f>
        <v>0</v>
      </c>
      <c r="E38" s="38" t="n">
        <f aca="false">SUMPRODUCT(ISNUMBER(SEARCH($A38,Anforderungen!$J$7:$J$2000))*(Anforderungen!$K$7:$K$2000="erfüllt"))</f>
        <v>0</v>
      </c>
      <c r="F38" s="38" t="n">
        <f aca="false">SUMPRODUCT(ISNUMBER(SEARCH($A38,Anforderungen!$J$7:$J$2000))*(Anforderungen!$K$7:$K$2000="trifft nicht zu"))</f>
        <v>1</v>
      </c>
      <c r="G38" s="39" t="n">
        <f aca="false">IFERROR(E38/(B38-F38),0)</f>
        <v>0</v>
      </c>
    </row>
    <row r="39" customFormat="false" ht="15" hidden="false" customHeight="true" outlineLevel="0" collapsed="false">
      <c r="A39" s="37" t="s">
        <v>260</v>
      </c>
      <c r="B39" s="38" t="n">
        <f aca="false">SUMPRODUCT(ISNUMBER(SEARCH($A39,Anforderungen!$J$7:$J$2000))*(Anforderungen!$B$7:$B$2000&lt;&gt;""))</f>
        <v>66</v>
      </c>
      <c r="C39" s="38" t="n">
        <f aca="false">SUMPRODUCT(ISNUMBER(SEARCH($A39,Anforderungen!$J$7:$J$2000))*(Anforderungen!$K$7:$K$2000="erfasst"))</f>
        <v>64</v>
      </c>
      <c r="D39" s="38" t="n">
        <f aca="false">SUMPRODUCT(ISNUMBER(SEARCH($A39,Anforderungen!$J$7:$J$2000))*(Anforderungen!$K$7:$K$2000="bewertet"))</f>
        <v>0</v>
      </c>
      <c r="E39" s="38" t="n">
        <f aca="false">SUMPRODUCT(ISNUMBER(SEARCH($A39,Anforderungen!$J$7:$J$2000))*(Anforderungen!$K$7:$K$2000="erfüllt"))</f>
        <v>2</v>
      </c>
      <c r="F39" s="38" t="n">
        <f aca="false">SUMPRODUCT(ISNUMBER(SEARCH($A39,Anforderungen!$J$7:$J$2000))*(Anforderungen!$K$7:$K$2000="trifft nicht zu"))</f>
        <v>0</v>
      </c>
      <c r="G39" s="39" t="n">
        <f aca="false">IFERROR(E39/(B39-F39),0)</f>
        <v>0.0303030303030303</v>
      </c>
    </row>
    <row r="40" customFormat="false" ht="15" hidden="false" customHeight="true" outlineLevel="0" collapsed="false">
      <c r="A40" s="37" t="s">
        <v>269</v>
      </c>
      <c r="B40" s="38" t="n">
        <f aca="false">SUMPRODUCT(ISNUMBER(SEARCH($A40,Anforderungen!$J$7:$J$2000))*(Anforderungen!$B$7:$B$2000&lt;&gt;""))</f>
        <v>44</v>
      </c>
      <c r="C40" s="38" t="n">
        <f aca="false">SUMPRODUCT(ISNUMBER(SEARCH($A40,Anforderungen!$J$7:$J$2000))*(Anforderungen!$K$7:$K$2000="erfasst"))</f>
        <v>44</v>
      </c>
      <c r="D40" s="38" t="n">
        <f aca="false">SUMPRODUCT(ISNUMBER(SEARCH($A40,Anforderungen!$J$7:$J$2000))*(Anforderungen!$K$7:$K$2000="bewertet"))</f>
        <v>0</v>
      </c>
      <c r="E40" s="38" t="n">
        <f aca="false">SUMPRODUCT(ISNUMBER(SEARCH($A40,Anforderungen!$J$7:$J$2000))*(Anforderungen!$K$7:$K$2000="erfüllt"))</f>
        <v>0</v>
      </c>
      <c r="F40" s="38" t="n">
        <f aca="false">SUMPRODUCT(ISNUMBER(SEARCH($A40,Anforderungen!$J$7:$J$2000))*(Anforderungen!$K$7:$K$2000="trifft nicht zu"))</f>
        <v>0</v>
      </c>
      <c r="G40" s="39" t="n">
        <f aca="false">IFERROR(E40/(B40-F40),0)</f>
        <v>0</v>
      </c>
    </row>
    <row r="41" customFormat="false" ht="15" hidden="false" customHeight="true" outlineLevel="0" collapsed="false">
      <c r="A41" s="37" t="s">
        <v>43</v>
      </c>
      <c r="B41" s="38" t="n">
        <f aca="false">SUMPRODUCT(ISNUMBER(SEARCH($A41,Anforderungen!$J$7:$J$2000))*(Anforderungen!$B$7:$B$2000&lt;&gt;""))</f>
        <v>102</v>
      </c>
      <c r="C41" s="38" t="n">
        <f aca="false">SUMPRODUCT(ISNUMBER(SEARCH($A41,Anforderungen!$J$7:$J$2000))*(Anforderungen!$K$7:$K$2000="erfasst"))</f>
        <v>101</v>
      </c>
      <c r="D41" s="38" t="n">
        <f aca="false">SUMPRODUCT(ISNUMBER(SEARCH($A41,Anforderungen!$J$7:$J$2000))*(Anforderungen!$K$7:$K$2000="bewertet"))</f>
        <v>0</v>
      </c>
      <c r="E41" s="38" t="n">
        <f aca="false">SUMPRODUCT(ISNUMBER(SEARCH($A41,Anforderungen!$J$7:$J$2000))*(Anforderungen!$K$7:$K$2000="erfüllt"))</f>
        <v>1</v>
      </c>
      <c r="F41" s="38" t="n">
        <f aca="false">SUMPRODUCT(ISNUMBER(SEARCH($A41,Anforderungen!$J$7:$J$2000))*(Anforderungen!$K$7:$K$2000="trifft nicht zu"))</f>
        <v>0</v>
      </c>
      <c r="G41" s="39" t="n">
        <f aca="false">IFERROR(E41/(B41-F41),0)</f>
        <v>0.00980392156862745</v>
      </c>
    </row>
    <row r="42" customFormat="false" ht="15" hidden="false" customHeight="true" outlineLevel="0" collapsed="false">
      <c r="A42" s="37" t="s">
        <v>52</v>
      </c>
      <c r="B42" s="38" t="n">
        <f aca="false">SUMPRODUCT(ISNUMBER(SEARCH($A42,Anforderungen!$J$7:$J$2000))*(Anforderungen!$B$7:$B$2000&lt;&gt;""))</f>
        <v>3</v>
      </c>
      <c r="C42" s="38" t="n">
        <f aca="false">SUMPRODUCT(ISNUMBER(SEARCH($A42,Anforderungen!$J$7:$J$2000))*(Anforderungen!$K$7:$K$2000="erfasst"))</f>
        <v>2</v>
      </c>
      <c r="D42" s="38" t="n">
        <f aca="false">SUMPRODUCT(ISNUMBER(SEARCH($A42,Anforderungen!$J$7:$J$2000))*(Anforderungen!$K$7:$K$2000="bewertet"))</f>
        <v>1</v>
      </c>
      <c r="E42" s="38" t="n">
        <f aca="false">SUMPRODUCT(ISNUMBER(SEARCH($A42,Anforderungen!$J$7:$J$2000))*(Anforderungen!$K$7:$K$2000="erfüllt"))</f>
        <v>0</v>
      </c>
      <c r="F42" s="38" t="n">
        <f aca="false">SUMPRODUCT(ISNUMBER(SEARCH($A42,Anforderungen!$J$7:$J$2000))*(Anforderungen!$K$7:$K$2000="trifft nicht zu"))</f>
        <v>0</v>
      </c>
      <c r="G42" s="39" t="n">
        <f aca="false">IFERROR(E42/(B42-F42),0)</f>
        <v>0</v>
      </c>
    </row>
    <row r="43" customFormat="false" ht="15" hidden="false" customHeight="true" outlineLevel="0" collapsed="false">
      <c r="A43" s="37" t="s">
        <v>296</v>
      </c>
      <c r="B43" s="38" t="n">
        <f aca="false">SUMPRODUCT(ISNUMBER(SEARCH($A43,Anforderungen!$J$7:$J$2000))*(Anforderungen!$B$7:$B$2000&lt;&gt;""))</f>
        <v>12</v>
      </c>
      <c r="C43" s="38" t="n">
        <f aca="false">SUMPRODUCT(ISNUMBER(SEARCH($A43,Anforderungen!$J$7:$J$2000))*(Anforderungen!$K$7:$K$2000="erfasst"))</f>
        <v>12</v>
      </c>
      <c r="D43" s="38" t="n">
        <f aca="false">SUMPRODUCT(ISNUMBER(SEARCH($A43,Anforderungen!$J$7:$J$2000))*(Anforderungen!$K$7:$K$2000="bewertet"))</f>
        <v>0</v>
      </c>
      <c r="E43" s="38" t="n">
        <f aca="false">SUMPRODUCT(ISNUMBER(SEARCH($A43,Anforderungen!$J$7:$J$2000))*(Anforderungen!$K$7:$K$2000="erfüllt"))</f>
        <v>0</v>
      </c>
      <c r="F43" s="38" t="n">
        <f aca="false">SUMPRODUCT(ISNUMBER(SEARCH($A43,Anforderungen!$J$7:$J$2000))*(Anforderungen!$K$7:$K$2000="trifft nicht zu"))</f>
        <v>0</v>
      </c>
      <c r="G43" s="39" t="n">
        <f aca="false">IFERROR(E43/(B43-F43),0)</f>
        <v>0</v>
      </c>
    </row>
    <row r="44" customFormat="false" ht="15" hidden="false" customHeight="true" outlineLevel="0" collapsed="false">
      <c r="A44" s="37" t="s">
        <v>220</v>
      </c>
      <c r="B44" s="38" t="n">
        <f aca="false">SUMPRODUCT(ISNUMBER(SEARCH($A44,Anforderungen!$J$7:$J$2000))*(Anforderungen!$B$7:$B$2000&lt;&gt;""))</f>
        <v>5</v>
      </c>
      <c r="C44" s="38" t="n">
        <f aca="false">SUMPRODUCT(ISNUMBER(SEARCH($A44,Anforderungen!$J$7:$J$2000))*(Anforderungen!$K$7:$K$2000="erfasst"))</f>
        <v>4</v>
      </c>
      <c r="D44" s="38" t="n">
        <f aca="false">SUMPRODUCT(ISNUMBER(SEARCH($A44,Anforderungen!$J$7:$J$2000))*(Anforderungen!$K$7:$K$2000="bewertet"))</f>
        <v>0</v>
      </c>
      <c r="E44" s="38" t="n">
        <f aca="false">SUMPRODUCT(ISNUMBER(SEARCH($A44,Anforderungen!$J$7:$J$2000))*(Anforderungen!$K$7:$K$2000="erfüllt"))</f>
        <v>1</v>
      </c>
      <c r="F44" s="38" t="n">
        <f aca="false">SUMPRODUCT(ISNUMBER(SEARCH($A44,Anforderungen!$J$7:$J$2000))*(Anforderungen!$K$7:$K$2000="trifft nicht zu"))</f>
        <v>0</v>
      </c>
      <c r="G44" s="39" t="n">
        <f aca="false">IFERROR(E44/(B44-F44),0)</f>
        <v>0.2</v>
      </c>
    </row>
    <row r="45" customFormat="false" ht="15" hidden="false" customHeight="true" outlineLevel="0" collapsed="false">
      <c r="A45" s="37" t="s">
        <v>189</v>
      </c>
      <c r="B45" s="38" t="n">
        <f aca="false">SUMPRODUCT(ISNUMBER(SEARCH($A45,Anforderungen!$J$7:$J$2000))*(Anforderungen!$B$7:$B$2000&lt;&gt;""))</f>
        <v>12</v>
      </c>
      <c r="C45" s="38" t="n">
        <f aca="false">SUMPRODUCT(ISNUMBER(SEARCH($A45,Anforderungen!$J$7:$J$2000))*(Anforderungen!$K$7:$K$2000="erfasst"))</f>
        <v>10</v>
      </c>
      <c r="D45" s="38" t="n">
        <f aca="false">SUMPRODUCT(ISNUMBER(SEARCH($A45,Anforderungen!$J$7:$J$2000))*(Anforderungen!$K$7:$K$2000="bewertet"))</f>
        <v>0</v>
      </c>
      <c r="E45" s="38" t="n">
        <f aca="false">SUMPRODUCT(ISNUMBER(SEARCH($A45,Anforderungen!$J$7:$J$2000))*(Anforderungen!$K$7:$K$2000="erfüllt"))</f>
        <v>2</v>
      </c>
      <c r="F45" s="38" t="n">
        <f aca="false">SUMPRODUCT(ISNUMBER(SEARCH($A45,Anforderungen!$J$7:$J$2000))*(Anforderungen!$K$7:$K$2000="trifft nicht zu"))</f>
        <v>0</v>
      </c>
      <c r="G45" s="39" t="n">
        <f aca="false">IFERROR(E45/(B45-F45),0)</f>
        <v>0.166666666666667</v>
      </c>
    </row>
    <row r="46" customFormat="false" ht="15" hidden="false" customHeight="true" outlineLevel="0" collapsed="false">
      <c r="A46" s="37" t="s">
        <v>3370</v>
      </c>
      <c r="B46" s="38" t="n">
        <f aca="false">SUMPRODUCT(ISNUMBER(SEARCH($A46,Anforderungen!$J$7:$J$2000))*(Anforderungen!$B$7:$B$2000&lt;&gt;""))</f>
        <v>8</v>
      </c>
      <c r="C46" s="38" t="n">
        <f aca="false">SUMPRODUCT(ISNUMBER(SEARCH($A46,Anforderungen!$J$7:$J$2000))*(Anforderungen!$K$7:$K$2000="erfasst"))</f>
        <v>8</v>
      </c>
      <c r="D46" s="38" t="n">
        <f aca="false">SUMPRODUCT(ISNUMBER(SEARCH($A46,Anforderungen!$J$7:$J$2000))*(Anforderungen!$K$7:$K$2000="bewertet"))</f>
        <v>0</v>
      </c>
      <c r="E46" s="38" t="n">
        <f aca="false">SUMPRODUCT(ISNUMBER(SEARCH($A46,Anforderungen!$J$7:$J$2000))*(Anforderungen!$K$7:$K$2000="erfüllt"))</f>
        <v>0</v>
      </c>
      <c r="F46" s="38" t="n">
        <f aca="false">SUMPRODUCT(ISNUMBER(SEARCH($A46,Anforderungen!$J$7:$J$2000))*(Anforderungen!$K$7:$K$2000="trifft nicht zu"))</f>
        <v>0</v>
      </c>
      <c r="G46" s="39" t="n">
        <f aca="false">IFERROR(E46/(B46-F46),0)</f>
        <v>0</v>
      </c>
    </row>
    <row r="47" customFormat="false" ht="15" hidden="false" customHeight="true" outlineLevel="0" collapsed="false">
      <c r="A47" s="37" t="s">
        <v>795</v>
      </c>
      <c r="B47" s="38" t="n">
        <f aca="false">SUMPRODUCT(ISNUMBER(SEARCH($A47,Anforderungen!$J$7:$J$2000))*(Anforderungen!$B$7:$B$2000&lt;&gt;""))</f>
        <v>35</v>
      </c>
      <c r="C47" s="38" t="n">
        <f aca="false">SUMPRODUCT(ISNUMBER(SEARCH($A47,Anforderungen!$J$7:$J$2000))*(Anforderungen!$K$7:$K$2000="erfasst"))</f>
        <v>35</v>
      </c>
      <c r="D47" s="38" t="n">
        <f aca="false">SUMPRODUCT(ISNUMBER(SEARCH($A47,Anforderungen!$J$7:$J$2000))*(Anforderungen!$K$7:$K$2000="bewertet"))</f>
        <v>0</v>
      </c>
      <c r="E47" s="38" t="n">
        <f aca="false">SUMPRODUCT(ISNUMBER(SEARCH($A47,Anforderungen!$J$7:$J$2000))*(Anforderungen!$K$7:$K$2000="erfüllt"))</f>
        <v>0</v>
      </c>
      <c r="F47" s="38" t="n">
        <f aca="false">SUMPRODUCT(ISNUMBER(SEARCH($A47,Anforderungen!$J$7:$J$2000))*(Anforderungen!$K$7:$K$2000="trifft nicht zu"))</f>
        <v>0</v>
      </c>
      <c r="G47" s="39" t="n">
        <f aca="false">IFERROR(E47/(B47-F47),0)</f>
        <v>0</v>
      </c>
    </row>
    <row r="48" customFormat="false" ht="15" hidden="false" customHeight="true" outlineLevel="0" collapsed="false">
      <c r="A48" s="37" t="s">
        <v>79</v>
      </c>
      <c r="B48" s="38" t="n">
        <f aca="false">SUMPRODUCT(ISNUMBER(SEARCH($A48,Anforderungen!$J$7:$J$2000))*(Anforderungen!$B$7:$B$2000&lt;&gt;""))</f>
        <v>25</v>
      </c>
      <c r="C48" s="38" t="n">
        <f aca="false">SUMPRODUCT(ISNUMBER(SEARCH($A48,Anforderungen!$J$7:$J$2000))*(Anforderungen!$K$7:$K$2000="erfasst"))</f>
        <v>21</v>
      </c>
      <c r="D48" s="38" t="n">
        <f aca="false">SUMPRODUCT(ISNUMBER(SEARCH($A48,Anforderungen!$J$7:$J$2000))*(Anforderungen!$K$7:$K$2000="bewertet"))</f>
        <v>0</v>
      </c>
      <c r="E48" s="38" t="n">
        <f aca="false">SUMPRODUCT(ISNUMBER(SEARCH($A48,Anforderungen!$J$7:$J$2000))*(Anforderungen!$K$7:$K$2000="erfüllt"))</f>
        <v>4</v>
      </c>
      <c r="F48" s="38" t="n">
        <f aca="false">SUMPRODUCT(ISNUMBER(SEARCH($A48,Anforderungen!$J$7:$J$2000))*(Anforderungen!$K$7:$K$2000="trifft nicht zu"))</f>
        <v>0</v>
      </c>
      <c r="G48" s="39" t="n">
        <f aca="false">IFERROR(E48/(B48-F48),0)</f>
        <v>0.16</v>
      </c>
    </row>
    <row r="49" customFormat="false" ht="15" hidden="false" customHeight="true" outlineLevel="0" collapsed="false">
      <c r="A49" s="37" t="s">
        <v>336</v>
      </c>
      <c r="B49" s="38" t="n">
        <f aca="false">SUMPRODUCT(ISNUMBER(SEARCH($A49,Anforderungen!$J$7:$J$2000))*(Anforderungen!$B$7:$B$2000&lt;&gt;""))</f>
        <v>11</v>
      </c>
      <c r="C49" s="38" t="n">
        <f aca="false">SUMPRODUCT(ISNUMBER(SEARCH($A49,Anforderungen!$J$7:$J$2000))*(Anforderungen!$K$7:$K$2000="erfasst"))</f>
        <v>10</v>
      </c>
      <c r="D49" s="38" t="n">
        <f aca="false">SUMPRODUCT(ISNUMBER(SEARCH($A49,Anforderungen!$J$7:$J$2000))*(Anforderungen!$K$7:$K$2000="bewertet"))</f>
        <v>0</v>
      </c>
      <c r="E49" s="38" t="n">
        <f aca="false">SUMPRODUCT(ISNUMBER(SEARCH($A49,Anforderungen!$J$7:$J$2000))*(Anforderungen!$K$7:$K$2000="erfüllt"))</f>
        <v>0</v>
      </c>
      <c r="F49" s="38" t="n">
        <f aca="false">SUMPRODUCT(ISNUMBER(SEARCH($A49,Anforderungen!$J$7:$J$2000))*(Anforderungen!$K$7:$K$2000="trifft nicht zu"))</f>
        <v>1</v>
      </c>
      <c r="G49" s="39" t="n">
        <f aca="false">IFERROR(E49/(B49-F49),0)</f>
        <v>0</v>
      </c>
    </row>
    <row r="50" customFormat="false" ht="15" hidden="false" customHeight="true" outlineLevel="0" collapsed="false">
      <c r="A50" s="37" t="s">
        <v>81</v>
      </c>
      <c r="B50" s="38" t="n">
        <f aca="false">SUMPRODUCT(ISNUMBER(SEARCH($A50,Anforderungen!$J$7:$J$2000))*(Anforderungen!$B$7:$B$2000&lt;&gt;""))</f>
        <v>23</v>
      </c>
      <c r="C50" s="38" t="n">
        <f aca="false">SUMPRODUCT(ISNUMBER(SEARCH($A50,Anforderungen!$J$7:$J$2000))*(Anforderungen!$K$7:$K$2000="erfasst"))</f>
        <v>21</v>
      </c>
      <c r="D50" s="38" t="n">
        <f aca="false">SUMPRODUCT(ISNUMBER(SEARCH($A50,Anforderungen!$J$7:$J$2000))*(Anforderungen!$K$7:$K$2000="bewertet"))</f>
        <v>0</v>
      </c>
      <c r="E50" s="38" t="n">
        <f aca="false">SUMPRODUCT(ISNUMBER(SEARCH($A50,Anforderungen!$J$7:$J$2000))*(Anforderungen!$K$7:$K$2000="erfüllt"))</f>
        <v>2</v>
      </c>
      <c r="F50" s="38" t="n">
        <f aca="false">SUMPRODUCT(ISNUMBER(SEARCH($A50,Anforderungen!$J$7:$J$2000))*(Anforderungen!$K$7:$K$2000="trifft nicht zu"))</f>
        <v>0</v>
      </c>
      <c r="G50" s="39" t="n">
        <f aca="false">IFERROR(E50/(B50-F50),0)</f>
        <v>0.0869565217391304</v>
      </c>
    </row>
    <row r="51" customFormat="false" ht="15" hidden="false" customHeight="true" outlineLevel="0" collapsed="false">
      <c r="A51" s="37" t="s">
        <v>467</v>
      </c>
      <c r="B51" s="38" t="n">
        <f aca="false">SUMPRODUCT(ISNUMBER(SEARCH($A51,Anforderungen!$J$7:$J$2000))*(Anforderungen!$B$7:$B$2000&lt;&gt;""))</f>
        <v>230</v>
      </c>
      <c r="C51" s="38" t="n">
        <f aca="false">SUMPRODUCT(ISNUMBER(SEARCH($A51,Anforderungen!$J$7:$J$2000))*(Anforderungen!$K$7:$K$2000="erfasst"))</f>
        <v>230</v>
      </c>
      <c r="D51" s="38" t="n">
        <f aca="false">SUMPRODUCT(ISNUMBER(SEARCH($A51,Anforderungen!$J$7:$J$2000))*(Anforderungen!$K$7:$K$2000="bewertet"))</f>
        <v>0</v>
      </c>
      <c r="E51" s="38" t="n">
        <f aca="false">SUMPRODUCT(ISNUMBER(SEARCH($A51,Anforderungen!$J$7:$J$2000))*(Anforderungen!$K$7:$K$2000="erfüllt"))</f>
        <v>0</v>
      </c>
      <c r="F51" s="38" t="n">
        <f aca="false">SUMPRODUCT(ISNUMBER(SEARCH($A51,Anforderungen!$J$7:$J$2000))*(Anforderungen!$K$7:$K$2000="trifft nicht zu"))</f>
        <v>0</v>
      </c>
      <c r="G51" s="39" t="n">
        <f aca="false">IFERROR(E51/(B51-F51),0)</f>
        <v>0</v>
      </c>
    </row>
    <row r="52" customFormat="false" ht="15" hidden="false" customHeight="true" outlineLevel="0" collapsed="false">
      <c r="A52" s="37"/>
      <c r="B52" s="38"/>
      <c r="C52" s="40"/>
      <c r="D52" s="41"/>
      <c r="E52" s="34"/>
      <c r="F52" s="34"/>
      <c r="G52" s="42"/>
    </row>
    <row r="53" customFormat="false" ht="15" hidden="false" customHeight="true" outlineLevel="0" collapsed="false">
      <c r="A53" s="37"/>
      <c r="B53" s="38"/>
      <c r="C53" s="40"/>
      <c r="D53" s="41"/>
      <c r="E53" s="34"/>
      <c r="F53" s="34"/>
      <c r="G53" s="42"/>
    </row>
    <row r="54" customFormat="false" ht="15" hidden="false" customHeight="true" outlineLevel="0" collapsed="false">
      <c r="A54" s="35" t="s">
        <v>6194</v>
      </c>
      <c r="B54" s="35"/>
      <c r="C54" s="35"/>
      <c r="D54" s="35"/>
      <c r="E54" s="35"/>
      <c r="F54" s="35"/>
      <c r="G54" s="35"/>
    </row>
    <row r="55" customFormat="false" ht="15" hidden="false" customHeight="true" outlineLevel="0" collapsed="false">
      <c r="A55" s="36" t="s">
        <v>6190</v>
      </c>
      <c r="B55" s="36" t="s">
        <v>6191</v>
      </c>
      <c r="C55" s="36" t="s">
        <v>6</v>
      </c>
      <c r="D55" s="36" t="s">
        <v>7</v>
      </c>
      <c r="E55" s="36" t="s">
        <v>8</v>
      </c>
      <c r="F55" s="36" t="s">
        <v>10</v>
      </c>
      <c r="G55" s="36" t="s">
        <v>14</v>
      </c>
    </row>
    <row r="56" customFormat="false" ht="15" hidden="false" customHeight="true" outlineLevel="0" collapsed="false">
      <c r="A56" s="37" t="s">
        <v>275</v>
      </c>
      <c r="B56" s="38" t="n">
        <f aca="false">COUNTIF(Anforderungen!$C$7:$C$2000,$A56)</f>
        <v>52</v>
      </c>
      <c r="C56" s="38" t="n">
        <f aca="false">COUNTIFS(Anforderungen!$C$7:$C$2000,$A56,Anforderungen!$K$7:$K$2000,"erfasst")</f>
        <v>52</v>
      </c>
      <c r="D56" s="38" t="n">
        <f aca="false">COUNTIFS(Anforderungen!$C$7:$C$2000,$A56,Anforderungen!$K$7:$K$2000,"bewertet")</f>
        <v>0</v>
      </c>
      <c r="E56" s="38" t="n">
        <f aca="false">COUNTIFS(Anforderungen!$C$7:$C$2000,$A56,Anforderungen!$K$7:$K$2000,"erfüllt")</f>
        <v>0</v>
      </c>
      <c r="F56" s="38" t="n">
        <f aca="false">COUNTIFS(Anforderungen!$C$7:$C$2000,$A56,Anforderungen!$K$7:$K$2000,"trifft nicht zu")</f>
        <v>0</v>
      </c>
      <c r="G56" s="39" t="n">
        <f aca="false">IFERROR(E56/(B56-F56),0)</f>
        <v>0</v>
      </c>
    </row>
    <row r="57" customFormat="false" ht="15" hidden="false" customHeight="true" outlineLevel="0" collapsed="false">
      <c r="A57" s="37" t="s">
        <v>37</v>
      </c>
      <c r="B57" s="38" t="n">
        <f aca="false">COUNTIF(Anforderungen!$C$7:$C$2000,$A57)</f>
        <v>471</v>
      </c>
      <c r="C57" s="38" t="n">
        <f aca="false">COUNTIFS(Anforderungen!$C$7:$C$2000,$A57,Anforderungen!$K$7:$K$2000,"erfasst")</f>
        <v>467</v>
      </c>
      <c r="D57" s="38" t="n">
        <f aca="false">COUNTIFS(Anforderungen!$C$7:$C$2000,$A57,Anforderungen!$K$7:$K$2000,"bewertet")</f>
        <v>1</v>
      </c>
      <c r="E57" s="38" t="n">
        <f aca="false">COUNTIFS(Anforderungen!$C$7:$C$2000,$A57,Anforderungen!$K$7:$K$2000,"erfüllt")</f>
        <v>1</v>
      </c>
      <c r="F57" s="38" t="n">
        <f aca="false">COUNTIFS(Anforderungen!$C$7:$C$2000,$A57,Anforderungen!$K$7:$K$2000,"trifft nicht zu")</f>
        <v>2</v>
      </c>
      <c r="G57" s="39" t="n">
        <f aca="false">IFERROR(E57/(B57-F57),0)</f>
        <v>0.00213219616204691</v>
      </c>
    </row>
    <row r="58" customFormat="false" ht="15" hidden="false" customHeight="true" outlineLevel="0" collapsed="false">
      <c r="A58" s="37" t="s">
        <v>281</v>
      </c>
      <c r="B58" s="38" t="n">
        <f aca="false">COUNTIF(Anforderungen!$C$7:$C$2000,$A58)</f>
        <v>663</v>
      </c>
      <c r="C58" s="38" t="n">
        <f aca="false">COUNTIFS(Anforderungen!$C$7:$C$2000,$A58,Anforderungen!$K$7:$K$2000,"erfasst")</f>
        <v>661</v>
      </c>
      <c r="D58" s="38" t="n">
        <f aca="false">COUNTIFS(Anforderungen!$C$7:$C$2000,$A58,Anforderungen!$K$7:$K$2000,"bewertet")</f>
        <v>0</v>
      </c>
      <c r="E58" s="38" t="n">
        <f aca="false">COUNTIFS(Anforderungen!$C$7:$C$2000,$A58,Anforderungen!$K$7:$K$2000,"erfüllt")</f>
        <v>0</v>
      </c>
      <c r="F58" s="38" t="n">
        <f aca="false">COUNTIFS(Anforderungen!$C$7:$C$2000,$A58,Anforderungen!$K$7:$K$2000,"trifft nicht zu")</f>
        <v>2</v>
      </c>
      <c r="G58" s="39" t="n">
        <f aca="false">IFERROR(E58/(B58-F58),0)</f>
        <v>0</v>
      </c>
    </row>
    <row r="59" customFormat="false" ht="15" hidden="false" customHeight="true" outlineLevel="0" collapsed="false">
      <c r="A59" s="37" t="s">
        <v>263</v>
      </c>
      <c r="B59" s="38" t="n">
        <f aca="false">COUNTIF(Anforderungen!$C$7:$C$2000,$A59)</f>
        <v>107</v>
      </c>
      <c r="C59" s="38" t="n">
        <f aca="false">COUNTIFS(Anforderungen!$C$7:$C$2000,$A59,Anforderungen!$K$7:$K$2000,"erfasst")</f>
        <v>107</v>
      </c>
      <c r="D59" s="38" t="n">
        <f aca="false">COUNTIFS(Anforderungen!$C$7:$C$2000,$A59,Anforderungen!$K$7:$K$2000,"bewertet")</f>
        <v>0</v>
      </c>
      <c r="E59" s="38" t="n">
        <f aca="false">COUNTIFS(Anforderungen!$C$7:$C$2000,$A59,Anforderungen!$K$7:$K$2000,"erfüllt")</f>
        <v>0</v>
      </c>
      <c r="F59" s="38" t="n">
        <f aca="false">COUNTIFS(Anforderungen!$C$7:$C$2000,$A59,Anforderungen!$K$7:$K$2000,"trifft nicht zu")</f>
        <v>0</v>
      </c>
      <c r="G59" s="39" t="n">
        <f aca="false">IFERROR(E59/(B59-F59),0)</f>
        <v>0</v>
      </c>
    </row>
    <row r="60" customFormat="false" ht="15" hidden="false" customHeight="true" outlineLevel="0" collapsed="false">
      <c r="A60" s="37" t="s">
        <v>172</v>
      </c>
      <c r="B60" s="38" t="n">
        <f aca="false">COUNTIF(Anforderungen!$C$7:$C$2000,$A60)</f>
        <v>7</v>
      </c>
      <c r="C60" s="38" t="n">
        <f aca="false">COUNTIFS(Anforderungen!$C$7:$C$2000,$A60,Anforderungen!$K$7:$K$2000,"erfasst")</f>
        <v>1</v>
      </c>
      <c r="D60" s="38" t="n">
        <f aca="false">COUNTIFS(Anforderungen!$C$7:$C$2000,$A60,Anforderungen!$K$7:$K$2000,"bewertet")</f>
        <v>2</v>
      </c>
      <c r="E60" s="38" t="n">
        <f aca="false">COUNTIFS(Anforderungen!$C$7:$C$2000,$A60,Anforderungen!$K$7:$K$2000,"erfüllt")</f>
        <v>3</v>
      </c>
      <c r="F60" s="38" t="n">
        <f aca="false">COUNTIFS(Anforderungen!$C$7:$C$2000,$A60,Anforderungen!$K$7:$K$2000,"trifft nicht zu")</f>
        <v>1</v>
      </c>
      <c r="G60" s="39" t="n">
        <f aca="false">IFERROR(E60/(B60-F60),0)</f>
        <v>0.5</v>
      </c>
    </row>
    <row r="61" customFormat="false" ht="15" hidden="false" customHeight="true" outlineLevel="0" collapsed="false">
      <c r="A61" s="37" t="s">
        <v>213</v>
      </c>
      <c r="B61" s="38" t="n">
        <f aca="false">COUNTIF(Anforderungen!$C$7:$C$2000,$A61)</f>
        <v>82</v>
      </c>
      <c r="C61" s="38" t="n">
        <f aca="false">COUNTIFS(Anforderungen!$C$7:$C$2000,$A61,Anforderungen!$K$7:$K$2000,"erfasst")</f>
        <v>76</v>
      </c>
      <c r="D61" s="38" t="n">
        <f aca="false">COUNTIFS(Anforderungen!$C$7:$C$2000,$A61,Anforderungen!$K$7:$K$2000,"bewertet")</f>
        <v>0</v>
      </c>
      <c r="E61" s="38" t="n">
        <f aca="false">COUNTIFS(Anforderungen!$C$7:$C$2000,$A61,Anforderungen!$K$7:$K$2000,"erfüllt")</f>
        <v>6</v>
      </c>
      <c r="F61" s="38" t="n">
        <f aca="false">COUNTIFS(Anforderungen!$C$7:$C$2000,$A61,Anforderungen!$K$7:$K$2000,"trifft nicht zu")</f>
        <v>0</v>
      </c>
      <c r="G61" s="39" t="n">
        <f aca="false">IFERROR(E61/(B61-F61),0)</f>
        <v>0.0731707317073171</v>
      </c>
    </row>
    <row r="62" customFormat="false" ht="15" hidden="false" customHeight="true" outlineLevel="0" collapsed="false">
      <c r="A62" s="34"/>
      <c r="B62" s="34"/>
      <c r="C62" s="42"/>
      <c r="D62" s="34"/>
      <c r="E62" s="34"/>
      <c r="F62" s="34"/>
      <c r="G62" s="34"/>
    </row>
    <row r="63" customFormat="false" ht="15" hidden="false" customHeight="true" outlineLevel="0" collapsed="false">
      <c r="A63" s="34"/>
      <c r="B63" s="34"/>
      <c r="C63" s="34"/>
      <c r="D63" s="34"/>
      <c r="E63" s="34"/>
      <c r="F63" s="34"/>
      <c r="G63" s="34"/>
    </row>
    <row r="64" customFormat="false" ht="15" hidden="false" customHeight="true" outlineLevel="0" collapsed="false">
      <c r="A64" s="35" t="s">
        <v>6195</v>
      </c>
      <c r="B64" s="35"/>
      <c r="C64" s="35"/>
      <c r="D64" s="35"/>
      <c r="E64" s="35"/>
      <c r="F64" s="35"/>
      <c r="G64" s="35"/>
    </row>
    <row r="65" customFormat="false" ht="26.25" hidden="false" customHeight="true" outlineLevel="0" collapsed="false">
      <c r="A65" s="36" t="s">
        <v>33</v>
      </c>
      <c r="B65" s="36" t="s">
        <v>6196</v>
      </c>
      <c r="C65" s="36" t="s">
        <v>6197</v>
      </c>
      <c r="D65" s="43"/>
      <c r="E65" s="34"/>
      <c r="F65" s="34"/>
      <c r="G65" s="34"/>
    </row>
    <row r="66" customFormat="false" ht="15" hidden="false" customHeight="true" outlineLevel="0" collapsed="false">
      <c r="A66" s="37" t="s">
        <v>44</v>
      </c>
      <c r="B66" s="38" t="n">
        <f aca="false">COUNTIF(Anforderungen!$K$7:$K$2000,A66)</f>
        <v>1364</v>
      </c>
      <c r="C66" s="39" t="n">
        <f aca="false">IFERROR(B66/COUNTA(Anforderungen!$B$7:$B$2000),0)</f>
        <v>0.986975397973951</v>
      </c>
      <c r="D66" s="34"/>
      <c r="E66" s="34"/>
      <c r="F66" s="34"/>
      <c r="G66" s="34"/>
    </row>
    <row r="67" customFormat="false" ht="15" hidden="false" customHeight="true" outlineLevel="0" collapsed="false">
      <c r="A67" s="37" t="s">
        <v>170</v>
      </c>
      <c r="B67" s="38" t="n">
        <f aca="false">COUNTIF(Anforderungen!$K$7:$K$2000,A67)</f>
        <v>3</v>
      </c>
      <c r="C67" s="39" t="n">
        <f aca="false">IFERROR(B67/COUNTA(Anforderungen!$B$7:$B$2000),0)</f>
        <v>0.00217076700434153</v>
      </c>
      <c r="D67" s="34"/>
      <c r="E67" s="34"/>
      <c r="F67" s="34"/>
      <c r="G67" s="34"/>
    </row>
    <row r="68" customFormat="false" ht="15" hidden="false" customHeight="true" outlineLevel="0" collapsed="false">
      <c r="A68" s="37" t="s">
        <v>162</v>
      </c>
      <c r="B68" s="38" t="n">
        <f aca="false">COUNTIF(Anforderungen!$K$7:$K$2000,A68)</f>
        <v>10</v>
      </c>
      <c r="C68" s="39" t="n">
        <f aca="false">IFERROR(B68/COUNTA(Anforderungen!$B$7:$B$2000),0)</f>
        <v>0.00723589001447178</v>
      </c>
      <c r="D68" s="34"/>
      <c r="E68" s="34"/>
      <c r="F68" s="34"/>
      <c r="G68" s="34"/>
    </row>
    <row r="69" customFormat="false" ht="15" hidden="false" customHeight="true" outlineLevel="0" collapsed="false">
      <c r="A69" s="37" t="s">
        <v>146</v>
      </c>
      <c r="B69" s="38" t="n">
        <f aca="false">COUNTIF(Anforderungen!$K$7:$K$2000,A69)</f>
        <v>5</v>
      </c>
      <c r="C69" s="39" t="n">
        <f aca="false">IFERROR(B69/COUNTA(Anforderungen!$B$7:$B$2000),0)</f>
        <v>0.00361794500723589</v>
      </c>
      <c r="D69" s="34"/>
      <c r="E69" s="34"/>
      <c r="F69" s="34"/>
      <c r="G69" s="34"/>
    </row>
    <row r="70" customFormat="false" ht="15" hidden="false" customHeight="true" outlineLevel="0" collapsed="false">
      <c r="A70" s="34"/>
      <c r="B70" s="34"/>
      <c r="C70" s="42"/>
      <c r="D70" s="34"/>
      <c r="E70" s="34"/>
      <c r="F70" s="34"/>
      <c r="G70" s="34"/>
    </row>
    <row r="71" customFormat="false" ht="15" hidden="false" customHeight="true" outlineLevel="0" collapsed="false">
      <c r="A71" s="35" t="s">
        <v>6198</v>
      </c>
      <c r="B71" s="35"/>
      <c r="C71" s="35"/>
      <c r="D71" s="35"/>
      <c r="E71" s="35"/>
      <c r="F71" s="35"/>
      <c r="G71" s="35"/>
    </row>
    <row r="72" customFormat="false" ht="26.25" hidden="false" customHeight="true" outlineLevel="0" collapsed="false">
      <c r="A72" s="36" t="s">
        <v>6199</v>
      </c>
      <c r="B72" s="36" t="s">
        <v>6196</v>
      </c>
      <c r="C72" s="36" t="s">
        <v>6200</v>
      </c>
      <c r="D72" s="34"/>
      <c r="E72" s="34"/>
      <c r="F72" s="34"/>
      <c r="G72" s="34"/>
    </row>
    <row r="73" customFormat="false" ht="26.25" hidden="false" customHeight="true" outlineLevel="0" collapsed="false">
      <c r="A73" s="37" t="s">
        <v>6201</v>
      </c>
      <c r="B73" s="38" t="n">
        <f aca="false">COUNTIFS(Anforderungen!$K$7:$K$2000,"erfüllt",Anforderungen!$L$7:$L$2000,"&lt;&gt;",Anforderungen!$M$7:$M$2000,"&lt;&gt;")</f>
        <v>10</v>
      </c>
      <c r="C73" s="37" t="s">
        <v>6202</v>
      </c>
      <c r="D73" s="43"/>
      <c r="E73" s="34"/>
      <c r="F73" s="34"/>
      <c r="G73" s="34"/>
    </row>
    <row r="74" customFormat="false" ht="39" hidden="false" customHeight="true" outlineLevel="0" collapsed="false">
      <c r="A74" s="37" t="s">
        <v>11</v>
      </c>
      <c r="B74" s="38" t="n">
        <f aca="false">COUNTIFS(Anforderungen!$K$7:$K$2000,"erfüllt",Anforderungen!$L$7:$L$2000,"")</f>
        <v>0</v>
      </c>
      <c r="C74" s="37" t="s">
        <v>6203</v>
      </c>
      <c r="D74" s="34"/>
      <c r="E74" s="34"/>
      <c r="F74" s="34"/>
      <c r="G74" s="34"/>
    </row>
    <row r="75" customFormat="false" ht="39" hidden="false" customHeight="true" outlineLevel="0" collapsed="false">
      <c r="A75" s="37" t="s">
        <v>12</v>
      </c>
      <c r="B75" s="38" t="n">
        <f aca="false">COUNTIFS(Anforderungen!$K$7:$K$2000,"erfüllt",Anforderungen!$M$7:$M$2000,"")</f>
        <v>0</v>
      </c>
      <c r="C75" s="37" t="s">
        <v>6204</v>
      </c>
      <c r="D75" s="34"/>
      <c r="E75" s="34"/>
      <c r="F75" s="34"/>
      <c r="G75" s="34"/>
    </row>
    <row r="76" customFormat="false" ht="39" hidden="false" customHeight="true" outlineLevel="0" collapsed="false">
      <c r="A76" s="37" t="s">
        <v>13</v>
      </c>
      <c r="B76" s="38" t="n">
        <f aca="false">COUNTIFS(Anforderungen!$K$7:$K$2000,"trifft nicht zu",Anforderungen!$M$7:$M$2000,"")</f>
        <v>2</v>
      </c>
      <c r="C76" s="37" t="s">
        <v>6205</v>
      </c>
      <c r="D76" s="34"/>
      <c r="E76" s="34"/>
      <c r="F76" s="34"/>
      <c r="G76" s="34"/>
    </row>
    <row r="77" customFormat="false" ht="39" hidden="false" customHeight="true" outlineLevel="0" collapsed="false">
      <c r="A77" s="37" t="s">
        <v>6206</v>
      </c>
      <c r="B77" s="38" t="n">
        <f aca="false">COUNTA(Anforderungen!$B$7:$B$2000)-COUNTIF(Anforderungen!$K$7:$K$2000,"trifft nicht zu")</f>
        <v>1377</v>
      </c>
      <c r="C77" s="37" t="s">
        <v>6207</v>
      </c>
      <c r="D77" s="34"/>
      <c r="E77" s="34"/>
      <c r="F77" s="34"/>
      <c r="G77" s="34"/>
    </row>
    <row r="78" customFormat="false" ht="39" hidden="false" customHeight="true" outlineLevel="0" collapsed="false">
      <c r="A78" s="37" t="s">
        <v>6208</v>
      </c>
      <c r="B78" s="38" t="n">
        <f aca="false">COUNTIF(Anforderungen!$J$7:$J$2000,"Zuordnung prüfen")</f>
        <v>230</v>
      </c>
      <c r="C78" s="37" t="s">
        <v>6209</v>
      </c>
      <c r="D78" s="34"/>
      <c r="E78" s="34"/>
      <c r="F78" s="34"/>
      <c r="G78" s="34"/>
    </row>
    <row r="79" customFormat="false" ht="26.25" hidden="false" customHeight="true" outlineLevel="0" collapsed="false">
      <c r="A79" s="37" t="s">
        <v>6210</v>
      </c>
      <c r="B79" s="38" t="n">
        <f aca="false">COUNTIF(Anforderungen!$I$7:$I$2000,"Zuordnung prüfen")</f>
        <v>230</v>
      </c>
      <c r="C79" s="37" t="s">
        <v>6211</v>
      </c>
      <c r="D79" s="34"/>
      <c r="E79" s="34"/>
      <c r="F79" s="34"/>
      <c r="G79" s="34"/>
    </row>
    <row r="80" customFormat="false" ht="15" hidden="false" customHeight="true" outlineLevel="0" collapsed="false">
      <c r="A80" s="34"/>
      <c r="B80" s="34"/>
      <c r="C80" s="42"/>
      <c r="D80" s="34"/>
      <c r="E80" s="34"/>
      <c r="F80" s="34"/>
      <c r="G80" s="34"/>
    </row>
    <row r="81" customFormat="false" ht="15" hidden="false" customHeight="true" outlineLevel="0" collapsed="false">
      <c r="A81" s="34"/>
      <c r="B81" s="34"/>
      <c r="C81" s="34"/>
      <c r="D81" s="34"/>
      <c r="E81" s="34"/>
      <c r="F81" s="34"/>
      <c r="G81" s="34"/>
    </row>
    <row r="82" customFormat="false" ht="15" hidden="false" customHeight="true" outlineLevel="0" collapsed="false">
      <c r="A82" s="34"/>
      <c r="B82" s="34"/>
      <c r="C82" s="34"/>
      <c r="D82" s="34"/>
      <c r="E82" s="34"/>
      <c r="F82" s="34"/>
      <c r="G82" s="34"/>
    </row>
    <row r="83" customFormat="false" ht="15" hidden="false" customHeight="true" outlineLevel="0" collapsed="false">
      <c r="A83" s="43"/>
      <c r="B83" s="43"/>
      <c r="C83" s="43"/>
      <c r="D83" s="43"/>
      <c r="E83" s="34"/>
      <c r="F83" s="34"/>
      <c r="G83" s="34"/>
    </row>
    <row r="84" customFormat="false" ht="15" hidden="false" customHeight="true" outlineLevel="0" collapsed="false">
      <c r="A84" s="44"/>
      <c r="B84" s="44"/>
      <c r="C84" s="44"/>
      <c r="D84" s="34"/>
      <c r="E84" s="34"/>
      <c r="F84" s="34"/>
      <c r="G84" s="34"/>
    </row>
    <row r="85" customFormat="false" ht="15" hidden="false" customHeight="true" outlineLevel="0" collapsed="false">
      <c r="A85" s="34"/>
      <c r="B85" s="34"/>
      <c r="C85" s="42"/>
      <c r="D85" s="34"/>
      <c r="E85" s="34"/>
      <c r="F85" s="34"/>
      <c r="G85" s="34"/>
    </row>
    <row r="86" customFormat="false" ht="15" hidden="false" customHeight="true" outlineLevel="0" collapsed="false">
      <c r="A86" s="34"/>
      <c r="B86" s="34"/>
      <c r="C86" s="42"/>
      <c r="D86" s="34"/>
      <c r="E86" s="34"/>
      <c r="F86" s="34"/>
      <c r="G86" s="34"/>
    </row>
    <row r="87" customFormat="false" ht="15" hidden="false" customHeight="true" outlineLevel="0" collapsed="false">
      <c r="A87" s="34"/>
      <c r="B87" s="34"/>
      <c r="C87" s="42"/>
      <c r="D87" s="34"/>
      <c r="E87" s="34"/>
      <c r="F87" s="34"/>
      <c r="G87" s="34"/>
    </row>
    <row r="88" customFormat="false" ht="15" hidden="false" customHeight="true" outlineLevel="0" collapsed="false">
      <c r="A88" s="34"/>
      <c r="B88" s="34"/>
      <c r="C88" s="42"/>
      <c r="D88" s="34"/>
      <c r="E88" s="34"/>
      <c r="F88" s="34"/>
      <c r="G88" s="34"/>
    </row>
    <row r="89" customFormat="false" ht="15" hidden="false" customHeight="true" outlineLevel="0" collapsed="false">
      <c r="A89" s="34"/>
      <c r="B89" s="34"/>
      <c r="C89" s="42"/>
      <c r="D89" s="34"/>
      <c r="E89" s="34"/>
      <c r="F89" s="34"/>
      <c r="G89" s="34"/>
    </row>
    <row r="90" customFormat="false" ht="15" hidden="false" customHeight="true" outlineLevel="0" collapsed="false">
      <c r="A90" s="34"/>
      <c r="B90" s="34"/>
      <c r="C90" s="42"/>
      <c r="D90" s="34"/>
      <c r="E90" s="34"/>
      <c r="F90" s="34"/>
      <c r="G90" s="34"/>
    </row>
    <row r="91" customFormat="false" ht="15" hidden="false" customHeight="true" outlineLevel="0" collapsed="false">
      <c r="C91" s="45"/>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{9814A39B-6771-4CD2-A4E0-A3B7D26E37E5}</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{18A31718-B5C4-4B6F-9BA9-BA41AC3268AD}</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{D1203E41-32D0-448E-9929-8B2D2DBB1684}</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{4F8C4CC6-61A0-42A3-A370-34E26D746E48}</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9814A39B-6771-4CD2-A4E0-A3B7D26E37E5}">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18A31718-B5C4-4B6F-9BA9-BA41AC3268AD}">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D1203E41-32D0-448E-9929-8B2D2DBB1684}">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4F8C4CC6-61A0-42A3-A370-34E26D746E48}">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false" showRowColHeaders="true" showZeros="true" rightToLeft="false" tabSelected="false" showOutlineSymbols="true" defaultGridColor="true" view="normal" topLeftCell="A78" colorId="64" zoomScale="100" zoomScaleNormal="100" zoomScalePageLayoutView="100" workbookViewId="0">
      <selection pane="topLeft" activeCell="N16" activeCellId="0" sqref="N16"/>
    </sheetView>
  </sheetViews>
  <sheetFormatPr defaultColWidth="9.14453125" defaultRowHeight="15" zeroHeight="false" outlineLevelRow="0" outlineLevelCol="0"/>
  <cols>
    <col collapsed="false" customWidth="true" hidden="false" outlineLevel="0" max="2" min="1" style="1" width="20"/>
    <col collapsed="false" customWidth="true" hidden="false" outlineLevel="0" max="3" min="3" style="1" width="14"/>
    <col collapsed="false" customWidth="true" hidden="false" outlineLevel="0" max="4" min="4" style="1" width="34"/>
    <col collapsed="false" customWidth="true" hidden="false" outlineLevel="0" max="5" min="5" style="1" width="13"/>
    <col collapsed="false" customWidth="true" hidden="false" outlineLevel="0" max="8" min="6" style="1" width="10"/>
    <col collapsed="false" customWidth="true" hidden="false" outlineLevel="0" max="9" min="9" style="1" width="13"/>
    <col collapsed="false" customWidth="true" hidden="false" outlineLevel="0" max="10" min="10" style="1" width="18"/>
    <col collapsed="false" customWidth="true" hidden="false" outlineLevel="0" max="11" min="11" style="1" width="40"/>
    <col collapsed="false" customWidth="true" hidden="false" outlineLevel="0" max="13" min="13" style="1" width="14.57"/>
    <col collapsed="false" customWidth="true" hidden="false" outlineLevel="0" max="14" min="14" style="1" width="26.14"/>
  </cols>
  <sheetData>
    <row r="1" customFormat="false" ht="21.75" hidden="false" customHeight="true" outlineLevel="0" collapsed="false">
      <c r="A1" s="46" t="s">
        <v>6212</v>
      </c>
      <c r="B1" s="34"/>
      <c r="C1" s="34"/>
      <c r="D1" s="34"/>
      <c r="E1" s="34"/>
      <c r="F1" s="34"/>
      <c r="G1" s="34"/>
      <c r="H1" s="34"/>
      <c r="I1" s="34"/>
      <c r="J1" s="34"/>
      <c r="K1" s="34"/>
    </row>
    <row r="2" customFormat="false" ht="27.75" hidden="false" customHeight="true" outlineLevel="0" collapsed="false">
      <c r="A2" s="47" t="s">
        <v>6213</v>
      </c>
      <c r="B2" s="47"/>
      <c r="C2" s="47"/>
      <c r="D2" s="47"/>
      <c r="E2" s="47"/>
      <c r="F2" s="47"/>
      <c r="G2" s="47"/>
      <c r="H2" s="47"/>
      <c r="I2" s="47"/>
      <c r="J2" s="47"/>
      <c r="K2" s="47"/>
    </row>
    <row r="3" customFormat="false" ht="27.75" hidden="false" customHeight="true" outlineLevel="0" collapsed="false">
      <c r="A3" s="48" t="s">
        <v>6214</v>
      </c>
      <c r="B3" s="48"/>
      <c r="C3" s="48"/>
      <c r="D3" s="48"/>
      <c r="E3" s="48"/>
      <c r="F3" s="48"/>
      <c r="G3" s="48"/>
      <c r="H3" s="48"/>
      <c r="I3" s="48"/>
      <c r="J3" s="48"/>
      <c r="K3" s="48"/>
    </row>
    <row r="4" customFormat="false" ht="15" hidden="false" customHeight="true" outlineLevel="0" collapsed="false">
      <c r="A4" s="34"/>
      <c r="B4" s="34"/>
      <c r="C4" s="34"/>
      <c r="D4" s="34"/>
      <c r="E4" s="34"/>
      <c r="F4" s="34"/>
      <c r="G4" s="34"/>
      <c r="H4" s="34"/>
      <c r="I4" s="34"/>
      <c r="J4" s="34"/>
      <c r="K4" s="34"/>
    </row>
    <row r="5" customFormat="false" ht="31.5" hidden="false" customHeight="true" outlineLevel="0" collapsed="false">
      <c r="A5" s="49" t="s">
        <v>6215</v>
      </c>
      <c r="B5" s="49" t="s">
        <v>31</v>
      </c>
      <c r="C5" s="49" t="s">
        <v>6216</v>
      </c>
      <c r="D5" s="49" t="s">
        <v>6217</v>
      </c>
      <c r="E5" s="49" t="s">
        <v>6196</v>
      </c>
      <c r="F5" s="49" t="s">
        <v>44</v>
      </c>
      <c r="G5" s="49" t="s">
        <v>170</v>
      </c>
      <c r="H5" s="49" t="s">
        <v>162</v>
      </c>
      <c r="I5" s="49" t="s">
        <v>146</v>
      </c>
      <c r="J5" s="49" t="s">
        <v>33</v>
      </c>
      <c r="K5" s="49" t="s">
        <v>6218</v>
      </c>
      <c r="N5" s="50" t="s">
        <v>31</v>
      </c>
    </row>
    <row r="6" customFormat="false" ht="30" hidden="false" customHeight="true" outlineLevel="0" collapsed="false">
      <c r="A6" s="51" t="s">
        <v>6219</v>
      </c>
      <c r="B6" s="51" t="s">
        <v>153</v>
      </c>
      <c r="C6" s="51" t="s">
        <v>6217</v>
      </c>
      <c r="D6" s="51" t="s">
        <v>154</v>
      </c>
      <c r="E6" s="52" t="n">
        <f aca="false">IF($D6="","",SUMPRODUCT(ISNUMBER(SEARCH($D6,Anforderungen!$J$7:$J$2000))*(Anforderungen!$B$7:$B$2000&lt;&gt;"")))</f>
        <v>171</v>
      </c>
      <c r="F6" s="52" t="n">
        <f aca="false">IF($D6="","",SUMPRODUCT(ISNUMBER(SEARCH($D6,Anforderungen!$J$7:$J$2000))*(Anforderungen!$K$7:$K$2000="erfasst")))</f>
        <v>170</v>
      </c>
      <c r="G6" s="52" t="n">
        <f aca="false">IF($D6="","",SUMPRODUCT(ISNUMBER(SEARCH($D6,Anforderungen!$J$7:$J$2000))*(Anforderungen!$K$7:$K$2000="bewertet")))</f>
        <v>0</v>
      </c>
      <c r="H6" s="52" t="n">
        <f aca="false">IF($D6="","",SUMPRODUCT(ISNUMBER(SEARCH($D6,Anforderungen!$J$7:$J$2000))*(Anforderungen!$K$7:$K$2000="erfüllt")))</f>
        <v>0</v>
      </c>
      <c r="I6" s="52" t="n">
        <f aca="false">IF($D6="","",SUMPRODUCT(ISNUMBER(SEARCH($D6,Anforderungen!$J$7:$J$2000))*(Anforderungen!$K$7:$K$2000="trifft nicht zu")))</f>
        <v>1</v>
      </c>
      <c r="J6" s="53" t="str">
        <f aca="false">IF($D6="","",IF($E6=0,"keine Anforderungen",IF($F6&gt;0,"erfasst",IF($G6&gt;0,"bewertet",IF($H6&gt;0,"erfüllt","trifft nicht zu")))))</f>
        <v>erfasst</v>
      </c>
      <c r="K6" s="54"/>
      <c r="N6" s="55" t="s">
        <v>153</v>
      </c>
    </row>
    <row r="7" customFormat="false" ht="30" hidden="false" customHeight="true" outlineLevel="0" collapsed="false">
      <c r="A7" s="51" t="s">
        <v>6220</v>
      </c>
      <c r="B7" s="51" t="s">
        <v>42</v>
      </c>
      <c r="C7" s="51" t="s">
        <v>6217</v>
      </c>
      <c r="D7" s="51" t="s">
        <v>65</v>
      </c>
      <c r="E7" s="52" t="n">
        <f aca="false">IF($D7="","",SUMPRODUCT(ISNUMBER(SEARCH($D7,Anforderungen!$J$7:$J$2000))*(Anforderungen!$B$7:$B$2000&lt;&gt;"")))</f>
        <v>50</v>
      </c>
      <c r="F7" s="52" t="n">
        <f aca="false">IF($D7="","",SUMPRODUCT(ISNUMBER(SEARCH($D7,Anforderungen!$J$7:$J$2000))*(Anforderungen!$K$7:$K$2000="erfasst")))</f>
        <v>49</v>
      </c>
      <c r="G7" s="52" t="n">
        <f aca="false">IF($D7="","",SUMPRODUCT(ISNUMBER(SEARCH($D7,Anforderungen!$J$7:$J$2000))*(Anforderungen!$K$7:$K$2000="bewertet")))</f>
        <v>0</v>
      </c>
      <c r="H7" s="52" t="n">
        <f aca="false">IF($D7="","",SUMPRODUCT(ISNUMBER(SEARCH($D7,Anforderungen!$J$7:$J$2000))*(Anforderungen!$K$7:$K$2000="erfüllt")))</f>
        <v>0</v>
      </c>
      <c r="I7" s="52" t="n">
        <f aca="false">IF($D7="","",SUMPRODUCT(ISNUMBER(SEARCH($D7,Anforderungen!$J$7:$J$2000))*(Anforderungen!$K$7:$K$2000="trifft nicht zu")))</f>
        <v>1</v>
      </c>
      <c r="J7" s="53" t="str">
        <f aca="false">IF($D7="","",IF($E7=0,"keine Anforderungen",IF($F7&gt;0,"erfasst",IF($G7&gt;0,"bewertet",IF($H7&gt;0,"erfüllt","trifft nicht zu")))))</f>
        <v>erfasst</v>
      </c>
      <c r="K7" s="54"/>
      <c r="N7" s="55" t="s">
        <v>42</v>
      </c>
    </row>
    <row r="8" customFormat="false" ht="30" hidden="false" customHeight="true" outlineLevel="0" collapsed="false">
      <c r="A8" s="51" t="s">
        <v>6220</v>
      </c>
      <c r="B8" s="51" t="s">
        <v>42</v>
      </c>
      <c r="C8" s="51" t="s">
        <v>6217</v>
      </c>
      <c r="D8" s="51" t="s">
        <v>260</v>
      </c>
      <c r="E8" s="52" t="n">
        <f aca="false">IF($D8="","",SUMPRODUCT(ISNUMBER(SEARCH($D8,Anforderungen!$J$7:$J$2000))*(Anforderungen!$B$7:$B$2000&lt;&gt;"")))</f>
        <v>66</v>
      </c>
      <c r="F8" s="52" t="n">
        <f aca="false">IF($D8="","",SUMPRODUCT(ISNUMBER(SEARCH($D8,Anforderungen!$J$7:$J$2000))*(Anforderungen!$K$7:$K$2000="erfasst")))</f>
        <v>64</v>
      </c>
      <c r="G8" s="52" t="n">
        <f aca="false">IF($D8="","",SUMPRODUCT(ISNUMBER(SEARCH($D8,Anforderungen!$J$7:$J$2000))*(Anforderungen!$K$7:$K$2000="bewertet")))</f>
        <v>0</v>
      </c>
      <c r="H8" s="52" t="n">
        <f aca="false">IF($D8="","",SUMPRODUCT(ISNUMBER(SEARCH($D8,Anforderungen!$J$7:$J$2000))*(Anforderungen!$K$7:$K$2000="erfüllt")))</f>
        <v>2</v>
      </c>
      <c r="I8" s="52" t="n">
        <f aca="false">IF($D8="","",SUMPRODUCT(ISNUMBER(SEARCH($D8,Anforderungen!$J$7:$J$2000))*(Anforderungen!$K$7:$K$2000="trifft nicht zu")))</f>
        <v>0</v>
      </c>
      <c r="J8" s="53" t="str">
        <f aca="false">IF($D8="","",IF($E8=0,"keine Anforderungen",IF($F8&gt;0,"erfasst",IF($G8&gt;0,"bewertet",IF($H8&gt;0,"erfüllt","trifft nicht zu")))))</f>
        <v>erfasst</v>
      </c>
      <c r="K8" s="54"/>
      <c r="N8" s="55" t="s">
        <v>296</v>
      </c>
    </row>
    <row r="9" customFormat="false" ht="30" hidden="false" customHeight="true" outlineLevel="0" collapsed="false">
      <c r="A9" s="51" t="s">
        <v>6220</v>
      </c>
      <c r="B9" s="51" t="s">
        <v>42</v>
      </c>
      <c r="C9" s="51" t="s">
        <v>6217</v>
      </c>
      <c r="D9" s="51" t="s">
        <v>269</v>
      </c>
      <c r="E9" s="52" t="n">
        <f aca="false">IF($D9="","",SUMPRODUCT(ISNUMBER(SEARCH($D9,Anforderungen!$J$7:$J$2000))*(Anforderungen!$B$7:$B$2000&lt;&gt;"")))</f>
        <v>44</v>
      </c>
      <c r="F9" s="52" t="n">
        <f aca="false">IF($D9="","",SUMPRODUCT(ISNUMBER(SEARCH($D9,Anforderungen!$J$7:$J$2000))*(Anforderungen!$K$7:$K$2000="erfasst")))</f>
        <v>44</v>
      </c>
      <c r="G9" s="52" t="n">
        <f aca="false">IF($D9="","",SUMPRODUCT(ISNUMBER(SEARCH($D9,Anforderungen!$J$7:$J$2000))*(Anforderungen!$K$7:$K$2000="bewertet")))</f>
        <v>0</v>
      </c>
      <c r="H9" s="52" t="n">
        <f aca="false">IF($D9="","",SUMPRODUCT(ISNUMBER(SEARCH($D9,Anforderungen!$J$7:$J$2000))*(Anforderungen!$K$7:$K$2000="erfüllt")))</f>
        <v>0</v>
      </c>
      <c r="I9" s="52" t="n">
        <f aca="false">IF($D9="","",SUMPRODUCT(ISNUMBER(SEARCH($D9,Anforderungen!$J$7:$J$2000))*(Anforderungen!$K$7:$K$2000="trifft nicht zu")))</f>
        <v>0</v>
      </c>
      <c r="J9" s="53" t="str">
        <f aca="false">IF($D9="","",IF($E9=0,"keine Anforderungen",IF($F9&gt;0,"erfasst",IF($G9&gt;0,"bewertet",IF($H9&gt;0,"erfüllt","trifft nicht zu")))))</f>
        <v>erfasst</v>
      </c>
      <c r="K9" s="54"/>
      <c r="N9" s="55" t="s">
        <v>285</v>
      </c>
    </row>
    <row r="10" customFormat="false" ht="30" hidden="false" customHeight="true" outlineLevel="0" collapsed="false">
      <c r="A10" s="51" t="s">
        <v>6220</v>
      </c>
      <c r="B10" s="51" t="s">
        <v>42</v>
      </c>
      <c r="C10" s="51" t="s">
        <v>6217</v>
      </c>
      <c r="D10" s="51" t="s">
        <v>43</v>
      </c>
      <c r="E10" s="52" t="n">
        <f aca="false">IF($D10="","",SUMPRODUCT(ISNUMBER(SEARCH($D10,Anforderungen!$J$7:$J$2000))*(Anforderungen!$B$7:$B$2000&lt;&gt;"")))</f>
        <v>102</v>
      </c>
      <c r="F10" s="52" t="n">
        <f aca="false">IF($D10="","",SUMPRODUCT(ISNUMBER(SEARCH($D10,Anforderungen!$J$7:$J$2000))*(Anforderungen!$K$7:$K$2000="erfasst")))</f>
        <v>101</v>
      </c>
      <c r="G10" s="52" t="n">
        <f aca="false">IF($D10="","",SUMPRODUCT(ISNUMBER(SEARCH($D10,Anforderungen!$J$7:$J$2000))*(Anforderungen!$K$7:$K$2000="bewertet")))</f>
        <v>0</v>
      </c>
      <c r="H10" s="52" t="n">
        <f aca="false">IF($D10="","",SUMPRODUCT(ISNUMBER(SEARCH($D10,Anforderungen!$J$7:$J$2000))*(Anforderungen!$K$7:$K$2000="erfüllt")))</f>
        <v>1</v>
      </c>
      <c r="I10" s="52" t="n">
        <f aca="false">IF($D10="","",SUMPRODUCT(ISNUMBER(SEARCH($D10,Anforderungen!$J$7:$J$2000))*(Anforderungen!$K$7:$K$2000="trifft nicht zu")))</f>
        <v>0</v>
      </c>
      <c r="J10" s="53" t="str">
        <f aca="false">IF($D10="","",IF($E10=0,"keine Anforderungen",IF($F10&gt;0,"erfasst",IF($G10&gt;0,"bewertet",IF($H10&gt;0,"erfüllt","trifft nicht zu")))))</f>
        <v>erfasst</v>
      </c>
      <c r="K10" s="54"/>
      <c r="N10" s="55" t="s">
        <v>80</v>
      </c>
    </row>
    <row r="11" customFormat="false" ht="30" hidden="false" customHeight="true" outlineLevel="0" collapsed="false">
      <c r="A11" s="51" t="s">
        <v>6221</v>
      </c>
      <c r="B11" s="51" t="s">
        <v>296</v>
      </c>
      <c r="C11" s="51" t="s">
        <v>6217</v>
      </c>
      <c r="D11" s="51" t="s">
        <v>52</v>
      </c>
      <c r="E11" s="52" t="n">
        <f aca="false">IF($D11="","",SUMPRODUCT(ISNUMBER(SEARCH($D11,Anforderungen!$J$7:$J$2000))*(Anforderungen!$B$7:$B$2000&lt;&gt;"")))</f>
        <v>3</v>
      </c>
      <c r="F11" s="52" t="n">
        <f aca="false">IF($D11="","",SUMPRODUCT(ISNUMBER(SEARCH($D11,Anforderungen!$J$7:$J$2000))*(Anforderungen!$K$7:$K$2000="erfasst")))</f>
        <v>2</v>
      </c>
      <c r="G11" s="52" t="n">
        <f aca="false">IF($D11="","",SUMPRODUCT(ISNUMBER(SEARCH($D11,Anforderungen!$J$7:$J$2000))*(Anforderungen!$K$7:$K$2000="bewertet")))</f>
        <v>1</v>
      </c>
      <c r="H11" s="52" t="n">
        <f aca="false">IF($D11="","",SUMPRODUCT(ISNUMBER(SEARCH($D11,Anforderungen!$J$7:$J$2000))*(Anforderungen!$K$7:$K$2000="erfüllt")))</f>
        <v>0</v>
      </c>
      <c r="I11" s="52" t="n">
        <f aca="false">IF($D11="","",SUMPRODUCT(ISNUMBER(SEARCH($D11,Anforderungen!$J$7:$J$2000))*(Anforderungen!$K$7:$K$2000="trifft nicht zu")))</f>
        <v>0</v>
      </c>
      <c r="J11" s="53" t="str">
        <f aca="false">IF($D11="","",IF($E11=0,"keine Anforderungen",IF($F11&gt;0,"erfasst",IF($G11&gt;0,"bewertet",IF($H11&gt;0,"erfüllt","trifft nicht zu")))))</f>
        <v>erfasst</v>
      </c>
      <c r="K11" s="54"/>
      <c r="N11" s="56" t="s">
        <v>6220</v>
      </c>
    </row>
    <row r="12" customFormat="false" ht="30" hidden="false" customHeight="true" outlineLevel="0" collapsed="false">
      <c r="A12" s="51" t="s">
        <v>6221</v>
      </c>
      <c r="B12" s="51" t="s">
        <v>296</v>
      </c>
      <c r="C12" s="51" t="s">
        <v>6217</v>
      </c>
      <c r="D12" s="51" t="s">
        <v>296</v>
      </c>
      <c r="E12" s="52" t="n">
        <f aca="false">IF($D12="","",SUMPRODUCT(ISNUMBER(SEARCH($D12,Anforderungen!$J$7:$J$2000))*(Anforderungen!$B$7:$B$2000&lt;&gt;"")))</f>
        <v>12</v>
      </c>
      <c r="F12" s="52" t="n">
        <f aca="false">IF($D12="","",SUMPRODUCT(ISNUMBER(SEARCH($D12,Anforderungen!$J$7:$J$2000))*(Anforderungen!$K$7:$K$2000="erfasst")))</f>
        <v>12</v>
      </c>
      <c r="G12" s="52" t="n">
        <f aca="false">IF($D12="","",SUMPRODUCT(ISNUMBER(SEARCH($D12,Anforderungen!$J$7:$J$2000))*(Anforderungen!$K$7:$K$2000="bewertet")))</f>
        <v>0</v>
      </c>
      <c r="H12" s="52" t="n">
        <f aca="false">IF($D12="","",SUMPRODUCT(ISNUMBER(SEARCH($D12,Anforderungen!$J$7:$J$2000))*(Anforderungen!$K$7:$K$2000="erfüllt")))</f>
        <v>0</v>
      </c>
      <c r="I12" s="52" t="n">
        <f aca="false">IF($D12="","",SUMPRODUCT(ISNUMBER(SEARCH($D12,Anforderungen!$J$7:$J$2000))*(Anforderungen!$K$7:$K$2000="trifft nicht zu")))</f>
        <v>0</v>
      </c>
      <c r="J12" s="53" t="str">
        <f aca="false">IF($D12="","",IF($E12=0,"keine Anforderungen",IF($F12&gt;0,"erfasst",IF($G12&gt;0,"bewertet",IF($H12&gt;0,"erfüllt","trifft nicht zu")))))</f>
        <v>erfasst</v>
      </c>
      <c r="K12" s="54"/>
      <c r="N12" s="55" t="s">
        <v>169</v>
      </c>
    </row>
    <row r="13" customFormat="false" ht="30" hidden="false" customHeight="true" outlineLevel="0" collapsed="false">
      <c r="A13" s="51" t="s">
        <v>6221</v>
      </c>
      <c r="B13" s="51" t="s">
        <v>285</v>
      </c>
      <c r="C13" s="51" t="s">
        <v>6217</v>
      </c>
      <c r="D13" s="51" t="s">
        <v>220</v>
      </c>
      <c r="E13" s="52" t="n">
        <f aca="false">IF($D13="","",SUMPRODUCT(ISNUMBER(SEARCH($D13,Anforderungen!$J$7:$J$2000))*(Anforderungen!$B$7:$B$2000&lt;&gt;"")))</f>
        <v>5</v>
      </c>
      <c r="F13" s="52" t="n">
        <f aca="false">IF($D13="","",SUMPRODUCT(ISNUMBER(SEARCH($D13,Anforderungen!$J$7:$J$2000))*(Anforderungen!$K$7:$K$2000="erfasst")))</f>
        <v>4</v>
      </c>
      <c r="G13" s="52" t="n">
        <f aca="false">IF($D13="","",SUMPRODUCT(ISNUMBER(SEARCH($D13,Anforderungen!$J$7:$J$2000))*(Anforderungen!$K$7:$K$2000="bewertet")))</f>
        <v>0</v>
      </c>
      <c r="H13" s="52" t="n">
        <f aca="false">IF($D13="","",SUMPRODUCT(ISNUMBER(SEARCH($D13,Anforderungen!$J$7:$J$2000))*(Anforderungen!$K$7:$K$2000="erfüllt")))</f>
        <v>1</v>
      </c>
      <c r="I13" s="52" t="n">
        <f aca="false">IF($D13="","",SUMPRODUCT(ISNUMBER(SEARCH($D13,Anforderungen!$J$7:$J$2000))*(Anforderungen!$K$7:$K$2000="trifft nicht zu")))</f>
        <v>0</v>
      </c>
      <c r="J13" s="53" t="str">
        <f aca="false">IF($D13="","",IF($E13=0,"keine Anforderungen",IF($F13&gt;0,"erfasst",IF($G13&gt;0,"bewertet",IF($H13&gt;0,"erfüllt","trifft nicht zu")))))</f>
        <v>erfasst</v>
      </c>
      <c r="K13" s="54"/>
      <c r="N13" s="57" t="s">
        <v>93</v>
      </c>
    </row>
    <row r="14" customFormat="false" ht="30" hidden="false" customHeight="true" outlineLevel="0" collapsed="false">
      <c r="A14" s="51" t="s">
        <v>6221</v>
      </c>
      <c r="B14" s="51" t="s">
        <v>285</v>
      </c>
      <c r="C14" s="51" t="s">
        <v>6217</v>
      </c>
      <c r="D14" s="51" t="s">
        <v>189</v>
      </c>
      <c r="E14" s="52" t="n">
        <f aca="false">IF($D14="","",SUMPRODUCT(ISNUMBER(SEARCH($D14,Anforderungen!$J$7:$J$2000))*(Anforderungen!$B$7:$B$2000&lt;&gt;"")))</f>
        <v>12</v>
      </c>
      <c r="F14" s="52" t="n">
        <f aca="false">IF($D14="","",SUMPRODUCT(ISNUMBER(SEARCH($D14,Anforderungen!$J$7:$J$2000))*(Anforderungen!$K$7:$K$2000="erfasst")))</f>
        <v>10</v>
      </c>
      <c r="G14" s="52" t="n">
        <f aca="false">IF($D14="","",SUMPRODUCT(ISNUMBER(SEARCH($D14,Anforderungen!$J$7:$J$2000))*(Anforderungen!$K$7:$K$2000="bewertet")))</f>
        <v>0</v>
      </c>
      <c r="H14" s="52" t="n">
        <f aca="false">IF($D14="","",SUMPRODUCT(ISNUMBER(SEARCH($D14,Anforderungen!$J$7:$J$2000))*(Anforderungen!$K$7:$K$2000="erfüllt")))</f>
        <v>2</v>
      </c>
      <c r="I14" s="52" t="n">
        <f aca="false">IF($D14="","",SUMPRODUCT(ISNUMBER(SEARCH($D14,Anforderungen!$J$7:$J$2000))*(Anforderungen!$K$7:$K$2000="trifft nicht zu")))</f>
        <v>0</v>
      </c>
      <c r="J14" s="53" t="str">
        <f aca="false">IF($D14="","",IF($E14=0,"keine Anforderungen",IF($F14&gt;0,"erfasst",IF($G14&gt;0,"bewertet",IF($H14&gt;0,"erfüllt","trifft nicht zu")))))</f>
        <v>erfasst</v>
      </c>
      <c r="K14" s="54"/>
      <c r="N14" s="55" t="s">
        <v>224</v>
      </c>
    </row>
    <row r="15" customFormat="false" ht="30" hidden="false" customHeight="true" outlineLevel="0" collapsed="false">
      <c r="A15" s="51" t="s">
        <v>6221</v>
      </c>
      <c r="B15" s="51" t="s">
        <v>285</v>
      </c>
      <c r="C15" s="51" t="s">
        <v>6217</v>
      </c>
      <c r="D15" s="51" t="s">
        <v>3370</v>
      </c>
      <c r="E15" s="52" t="n">
        <f aca="false">IF($D15="","",SUMPRODUCT(ISNUMBER(SEARCH($D15,Anforderungen!$J$7:$J$2000))*(Anforderungen!$B$7:$B$2000&lt;&gt;"")))</f>
        <v>8</v>
      </c>
      <c r="F15" s="52" t="n">
        <f aca="false">IF($D15="","",SUMPRODUCT(ISNUMBER(SEARCH($D15,Anforderungen!$J$7:$J$2000))*(Anforderungen!$K$7:$K$2000="erfasst")))</f>
        <v>8</v>
      </c>
      <c r="G15" s="52" t="n">
        <f aca="false">IF($D15="","",SUMPRODUCT(ISNUMBER(SEARCH($D15,Anforderungen!$J$7:$J$2000))*(Anforderungen!$K$7:$K$2000="bewertet")))</f>
        <v>0</v>
      </c>
      <c r="H15" s="52" t="n">
        <f aca="false">IF($D15="","",SUMPRODUCT(ISNUMBER(SEARCH($D15,Anforderungen!$J$7:$J$2000))*(Anforderungen!$K$7:$K$2000="erfüllt")))</f>
        <v>0</v>
      </c>
      <c r="I15" s="52" t="n">
        <f aca="false">IF($D15="","",SUMPRODUCT(ISNUMBER(SEARCH($D15,Anforderungen!$J$7:$J$2000))*(Anforderungen!$K$7:$K$2000="trifft nicht zu")))</f>
        <v>0</v>
      </c>
      <c r="J15" s="53" t="str">
        <f aca="false">IF($D15="","",IF($E15=0,"keine Anforderungen",IF($F15&gt;0,"erfasst",IF($G15&gt;0,"bewertet",IF($H15&gt;0,"erfüllt","trifft nicht zu")))))</f>
        <v>erfasst</v>
      </c>
      <c r="K15" s="54"/>
      <c r="N15" s="55" t="s">
        <v>195</v>
      </c>
    </row>
    <row r="16" customFormat="false" ht="30" hidden="false" customHeight="true" outlineLevel="0" collapsed="false">
      <c r="A16" s="51" t="s">
        <v>6221</v>
      </c>
      <c r="B16" s="51" t="s">
        <v>285</v>
      </c>
      <c r="C16" s="51" t="s">
        <v>6217</v>
      </c>
      <c r="D16" s="51" t="s">
        <v>795</v>
      </c>
      <c r="E16" s="52" t="n">
        <f aca="false">IF($D16="","",SUMPRODUCT(ISNUMBER(SEARCH($D16,Anforderungen!$J$7:$J$2000))*(Anforderungen!$B$7:$B$2000&lt;&gt;"")))</f>
        <v>35</v>
      </c>
      <c r="F16" s="52" t="n">
        <f aca="false">IF($D16="","",SUMPRODUCT(ISNUMBER(SEARCH($D16,Anforderungen!$J$7:$J$2000))*(Anforderungen!$K$7:$K$2000="erfasst")))</f>
        <v>35</v>
      </c>
      <c r="G16" s="52" t="n">
        <f aca="false">IF($D16="","",SUMPRODUCT(ISNUMBER(SEARCH($D16,Anforderungen!$J$7:$J$2000))*(Anforderungen!$K$7:$K$2000="bewertet")))</f>
        <v>0</v>
      </c>
      <c r="H16" s="52" t="n">
        <f aca="false">IF($D16="","",SUMPRODUCT(ISNUMBER(SEARCH($D16,Anforderungen!$J$7:$J$2000))*(Anforderungen!$K$7:$K$2000="erfüllt")))</f>
        <v>0</v>
      </c>
      <c r="I16" s="52" t="n">
        <f aca="false">IF($D16="","",SUMPRODUCT(ISNUMBER(SEARCH($D16,Anforderungen!$J$7:$J$2000))*(Anforderungen!$K$7:$K$2000="trifft nicht zu")))</f>
        <v>0</v>
      </c>
      <c r="J16" s="53" t="str">
        <f aca="false">IF($D16="","",IF($E16=0,"keine Anforderungen",IF($F16&gt;0,"erfasst",IF($G16&gt;0,"bewertet",IF($H16&gt;0,"erfüllt","trifft nicht zu")))))</f>
        <v>erfasst</v>
      </c>
      <c r="K16" s="54"/>
      <c r="N16" s="55"/>
    </row>
    <row r="17" customFormat="false" ht="30" hidden="false" customHeight="true" outlineLevel="0" collapsed="false">
      <c r="A17" s="51" t="s">
        <v>6221</v>
      </c>
      <c r="B17" s="51" t="s">
        <v>285</v>
      </c>
      <c r="C17" s="51" t="s">
        <v>6217</v>
      </c>
      <c r="D17" s="51" t="s">
        <v>79</v>
      </c>
      <c r="E17" s="52" t="n">
        <f aca="false">IF($D17="","",SUMPRODUCT(ISNUMBER(SEARCH($D17,Anforderungen!$J$7:$J$2000))*(Anforderungen!$B$7:$B$2000&lt;&gt;"")))</f>
        <v>25</v>
      </c>
      <c r="F17" s="52" t="n">
        <f aca="false">IF($D17="","",SUMPRODUCT(ISNUMBER(SEARCH($D17,Anforderungen!$J$7:$J$2000))*(Anforderungen!$K$7:$K$2000="erfasst")))</f>
        <v>21</v>
      </c>
      <c r="G17" s="52" t="n">
        <f aca="false">IF($D17="","",SUMPRODUCT(ISNUMBER(SEARCH($D17,Anforderungen!$J$7:$J$2000))*(Anforderungen!$K$7:$K$2000="bewertet")))</f>
        <v>0</v>
      </c>
      <c r="H17" s="52" t="n">
        <f aca="false">IF($D17="","",SUMPRODUCT(ISNUMBER(SEARCH($D17,Anforderungen!$J$7:$J$2000))*(Anforderungen!$K$7:$K$2000="erfüllt")))</f>
        <v>4</v>
      </c>
      <c r="I17" s="52" t="n">
        <f aca="false">IF($D17="","",SUMPRODUCT(ISNUMBER(SEARCH($D17,Anforderungen!$J$7:$J$2000))*(Anforderungen!$K$7:$K$2000="trifft nicht zu")))</f>
        <v>0</v>
      </c>
      <c r="J17" s="53" t="str">
        <f aca="false">IF($D17="","",IF($E17=0,"keine Anforderungen",IF($F17&gt;0,"erfasst",IF($G17&gt;0,"bewertet",IF($H17&gt;0,"erfüllt","trifft nicht zu")))))</f>
        <v>erfasst</v>
      </c>
      <c r="K17" s="54"/>
      <c r="N17" s="57"/>
    </row>
    <row r="18" customFormat="false" ht="30" hidden="false" customHeight="true" outlineLevel="0" collapsed="false">
      <c r="A18" s="51" t="s">
        <v>6222</v>
      </c>
      <c r="B18" s="51" t="s">
        <v>335</v>
      </c>
      <c r="C18" s="51" t="s">
        <v>6217</v>
      </c>
      <c r="D18" s="51" t="s">
        <v>336</v>
      </c>
      <c r="E18" s="52" t="n">
        <f aca="false">IF($D18="","",SUMPRODUCT(ISNUMBER(SEARCH($D18,Anforderungen!$J$7:$J$2000))*(Anforderungen!$B$7:$B$2000&lt;&gt;"")))</f>
        <v>11</v>
      </c>
      <c r="F18" s="52" t="n">
        <f aca="false">IF($D18="","",SUMPRODUCT(ISNUMBER(SEARCH($D18,Anforderungen!$J$7:$J$2000))*(Anforderungen!$K$7:$K$2000="erfasst")))</f>
        <v>10</v>
      </c>
      <c r="G18" s="52" t="n">
        <f aca="false">IF($D18="","",SUMPRODUCT(ISNUMBER(SEARCH($D18,Anforderungen!$J$7:$J$2000))*(Anforderungen!$K$7:$K$2000="bewertet")))</f>
        <v>0</v>
      </c>
      <c r="H18" s="52" t="n">
        <f aca="false">IF($D18="","",SUMPRODUCT(ISNUMBER(SEARCH($D18,Anforderungen!$J$7:$J$2000))*(Anforderungen!$K$7:$K$2000="erfüllt")))</f>
        <v>0</v>
      </c>
      <c r="I18" s="52" t="n">
        <f aca="false">IF($D18="","",SUMPRODUCT(ISNUMBER(SEARCH($D18,Anforderungen!$J$7:$J$2000))*(Anforderungen!$K$7:$K$2000="trifft nicht zu")))</f>
        <v>1</v>
      </c>
      <c r="J18" s="53" t="str">
        <f aca="false">IF($D18="","",IF($E18=0,"keine Anforderungen",IF($F18&gt;0,"erfasst",IF($G18&gt;0,"bewertet",IF($H18&gt;0,"erfüllt","trifft nicht zu")))))</f>
        <v>erfasst</v>
      </c>
      <c r="K18" s="54"/>
      <c r="N18" s="57"/>
    </row>
    <row r="19" customFormat="false" ht="30" hidden="false" customHeight="true" outlineLevel="0" collapsed="false">
      <c r="A19" s="51" t="s">
        <v>6221</v>
      </c>
      <c r="B19" s="51" t="s">
        <v>6223</v>
      </c>
      <c r="C19" s="51" t="s">
        <v>6217</v>
      </c>
      <c r="D19" s="51" t="s">
        <v>81</v>
      </c>
      <c r="E19" s="52" t="n">
        <f aca="false">IF($D19="","",SUMPRODUCT(ISNUMBER(SEARCH($D19,Anforderungen!$J$7:$J$2000))*(Anforderungen!$B$7:$B$2000&lt;&gt;"")))</f>
        <v>23</v>
      </c>
      <c r="F19" s="52" t="n">
        <f aca="false">IF($D19="","",SUMPRODUCT(ISNUMBER(SEARCH($D19,Anforderungen!$J$7:$J$2000))*(Anforderungen!$K$7:$K$2000="erfasst")))</f>
        <v>21</v>
      </c>
      <c r="G19" s="52" t="n">
        <f aca="false">IF($D19="","",SUMPRODUCT(ISNUMBER(SEARCH($D19,Anforderungen!$J$7:$J$2000))*(Anforderungen!$K$7:$K$2000="bewertet")))</f>
        <v>0</v>
      </c>
      <c r="H19" s="52" t="n">
        <f aca="false">IF($D19="","",SUMPRODUCT(ISNUMBER(SEARCH($D19,Anforderungen!$J$7:$J$2000))*(Anforderungen!$K$7:$K$2000="erfüllt")))</f>
        <v>2</v>
      </c>
      <c r="I19" s="52" t="n">
        <f aca="false">IF($D19="","",SUMPRODUCT(ISNUMBER(SEARCH($D19,Anforderungen!$J$7:$J$2000))*(Anforderungen!$K$7:$K$2000="trifft nicht zu")))</f>
        <v>0</v>
      </c>
      <c r="J19" s="53" t="str">
        <f aca="false">IF($D19="","",IF($E19=0,"keine Anforderungen",IF($F19&gt;0,"erfasst",IF($G19&gt;0,"bewertet",IF($H19&gt;0,"erfüllt","trifft nicht zu")))))</f>
        <v>erfasst</v>
      </c>
      <c r="K19" s="54"/>
      <c r="N19" s="57"/>
    </row>
    <row r="20" customFormat="false" ht="30" hidden="false" customHeight="true" outlineLevel="0" collapsed="false">
      <c r="A20" s="51" t="s">
        <v>467</v>
      </c>
      <c r="B20" s="51" t="s">
        <v>93</v>
      </c>
      <c r="C20" s="51" t="s">
        <v>6224</v>
      </c>
      <c r="D20" s="51" t="s">
        <v>122</v>
      </c>
      <c r="E20" s="52" t="n">
        <f aca="false">IF($D20="","",SUMPRODUCT(ISNUMBER(SEARCH("OCPI Buchungskalender",Anforderungen!$J$7:$J$2000))*ISNUMBER(SEARCH("Abrechnungskomponente",Anforderungen!$J$7:$J$2000))*ISNUMBER(SEARCH("Belegungsdetektion",Anforderungen!$J$7:$J$2000))*ISNUMBER(SEARCH("Pönalisierungssystem",Anforderungen!$J$7:$J$2000))*(Anforderungen!$B$7:$B$2000&lt;&gt;"")))</f>
        <v>1</v>
      </c>
      <c r="F20" s="52" t="n">
        <f aca="false">IF($D20="","",SUMPRODUCT(ISNUMBER(SEARCH("OCPI Buchungskalender",Anforderungen!$J$7:$J$2000))*ISNUMBER(SEARCH("Abrechnungskomponente",Anforderungen!$J$7:$J$2000))*ISNUMBER(SEARCH("Belegungsdetektion",Anforderungen!$J$7:$J$2000))*ISNUMBER(SEARCH("Pönalisierungssystem",Anforderungen!$J$7:$J$2000))*(Anforderungen!$K$7:$K$2000="erfasst")))</f>
        <v>1</v>
      </c>
      <c r="G20" s="52" t="n">
        <f aca="false">IF($D20="","",SUMPRODUCT(ISNUMBER(SEARCH("OCPI Buchungskalender",Anforderungen!$J$7:$J$2000))*ISNUMBER(SEARCH("Abrechnungskomponente",Anforderungen!$J$7:$J$2000))*ISNUMBER(SEARCH("Belegungsdetektion",Anforderungen!$J$7:$J$2000))*ISNUMBER(SEARCH("Pönalisierungssystem",Anforderungen!$J$7:$J$2000))*(Anforderungen!$K$7:$K$2000="bewertet")))</f>
        <v>0</v>
      </c>
      <c r="H20" s="52" t="n">
        <f aca="false">IF($D20="","",SUMPRODUCT(ISNUMBER(SEARCH("OCPI Buchungskalender",Anforderungen!$J$7:$J$2000))*ISNUMBER(SEARCH("Abrechnungskomponente",Anforderungen!$J$7:$J$2000))*ISNUMBER(SEARCH("Belegungsdetektion",Anforderungen!$J$7:$J$2000))*ISNUMBER(SEARCH("Pönalisierungssystem",Anforderungen!$J$7:$J$2000))*(Anforderungen!$K$7:$K$2000="erfüllt")))</f>
        <v>0</v>
      </c>
      <c r="I20" s="52" t="n">
        <f aca="false">IF($D20="","",SUMPRODUCT(ISNUMBER(SEARCH("OCPI Buchungskalender",Anforderungen!$J$7:$J$2000))*ISNUMBER(SEARCH("Abrechnungskomponente",Anforderungen!$J$7:$J$2000))*ISNUMBER(SEARCH("Belegungsdetektion",Anforderungen!$J$7:$J$2000))*ISNUMBER(SEARCH("Pönalisierungssystem",Anforderungen!$J$7:$J$2000))*(Anforderungen!$K$7:$K$2000="trifft nicht zu")))</f>
        <v>0</v>
      </c>
      <c r="J20" s="53" t="str">
        <f aca="false">IF($D20="","",IF($E20=0,"keine Anforderungen",IF($F20&gt;0,"erfasst",IF($G20&gt;0,"bewertet",IF($H20&gt;0,"erfüllt","trifft nicht zu")))))</f>
        <v>erfasst</v>
      </c>
      <c r="K20" s="54" t="s">
        <v>6225</v>
      </c>
      <c r="N20" s="57"/>
    </row>
    <row r="21" customFormat="false" ht="30" hidden="false" customHeight="true" outlineLevel="0" collapsed="false">
      <c r="A21" s="51" t="s">
        <v>467</v>
      </c>
      <c r="B21" s="51" t="s">
        <v>93</v>
      </c>
      <c r="C21" s="51" t="s">
        <v>6224</v>
      </c>
      <c r="D21" s="51" t="s">
        <v>161</v>
      </c>
      <c r="E21" s="52" t="n">
        <f aca="false">IF($D21="","",SUMPRODUCT(ISNUMBER(SEARCH("OCPI Buchungskalender",Anforderungen!$J$7:$J$2000))*ISNUMBER(SEARCH("Dynamische Anzeige",Anforderungen!$J$7:$J$2000))*(Anforderungen!$B$7:$B$2000&lt;&gt;"")))</f>
        <v>5</v>
      </c>
      <c r="F21" s="52" t="n">
        <f aca="false">IF($D21="","",SUMPRODUCT(ISNUMBER(SEARCH("OCPI Buchungskalender",Anforderungen!$J$7:$J$2000))*ISNUMBER(SEARCH("Dynamische Anzeige",Anforderungen!$J$7:$J$2000))*(Anforderungen!$K$7:$K$2000="erfasst")))</f>
        <v>4</v>
      </c>
      <c r="G21" s="52" t="n">
        <f aca="false">IF($D21="","",SUMPRODUCT(ISNUMBER(SEARCH("OCPI Buchungskalender",Anforderungen!$J$7:$J$2000))*ISNUMBER(SEARCH("Dynamische Anzeige",Anforderungen!$J$7:$J$2000))*(Anforderungen!$K$7:$K$2000="bewertet")))</f>
        <v>0</v>
      </c>
      <c r="H21" s="52" t="n">
        <f aca="false">IF($D21="","",SUMPRODUCT(ISNUMBER(SEARCH("OCPI Buchungskalender",Anforderungen!$J$7:$J$2000))*ISNUMBER(SEARCH("Dynamische Anzeige",Anforderungen!$J$7:$J$2000))*(Anforderungen!$K$7:$K$2000="erfüllt")))</f>
        <v>1</v>
      </c>
      <c r="I21" s="52" t="n">
        <f aca="false">IF($D21="","",SUMPRODUCT(ISNUMBER(SEARCH("OCPI Buchungskalender",Anforderungen!$J$7:$J$2000))*ISNUMBER(SEARCH("Dynamische Anzeige",Anforderungen!$J$7:$J$2000))*(Anforderungen!$K$7:$K$2000="trifft nicht zu")))</f>
        <v>0</v>
      </c>
      <c r="J21" s="53" t="str">
        <f aca="false">IF($D21="","",IF($E21=0,"keine Anforderungen",IF($F21&gt;0,"erfasst",IF($G21&gt;0,"bewertet",IF($H21&gt;0,"erfüllt","trifft nicht zu")))))</f>
        <v>erfasst</v>
      </c>
      <c r="K21" s="54" t="s">
        <v>6225</v>
      </c>
      <c r="N21" s="57"/>
    </row>
    <row r="22" customFormat="false" ht="30" hidden="false" customHeight="true" outlineLevel="0" collapsed="false">
      <c r="A22" s="51" t="s">
        <v>467</v>
      </c>
      <c r="B22" s="51" t="s">
        <v>93</v>
      </c>
      <c r="C22" s="51" t="s">
        <v>6224</v>
      </c>
      <c r="D22" s="51" t="s">
        <v>231</v>
      </c>
      <c r="E22" s="52" t="n">
        <f aca="false">IF($D22="","",SUMPRODUCT(ISNUMBER(SEARCH("OCPI Buchungskalender",Anforderungen!$J$7:$J$2000))*ISNUMBER(SEARCH("Kennzeichenerfassung",Anforderungen!$J$7:$J$2000))*ISNUMBER(SEARCH("Pönalisierungssystem",Anforderungen!$J$7:$J$2000))*(Anforderungen!$B$7:$B$2000&lt;&gt;"")))</f>
        <v>2</v>
      </c>
      <c r="F22" s="52" t="n">
        <f aca="false">IF($D22="","",SUMPRODUCT(ISNUMBER(SEARCH("OCPI Buchungskalender",Anforderungen!$J$7:$J$2000))*ISNUMBER(SEARCH("Kennzeichenerfassung",Anforderungen!$J$7:$J$2000))*ISNUMBER(SEARCH("Pönalisierungssystem",Anforderungen!$J$7:$J$2000))*(Anforderungen!$K$7:$K$2000="erfasst")))</f>
        <v>2</v>
      </c>
      <c r="G22" s="52" t="n">
        <f aca="false">IF($D22="","",SUMPRODUCT(ISNUMBER(SEARCH("OCPI Buchungskalender",Anforderungen!$J$7:$J$2000))*ISNUMBER(SEARCH("Kennzeichenerfassung",Anforderungen!$J$7:$J$2000))*ISNUMBER(SEARCH("Pönalisierungssystem",Anforderungen!$J$7:$J$2000))*(Anforderungen!$K$7:$K$2000="bewertet")))</f>
        <v>0</v>
      </c>
      <c r="H22" s="52" t="n">
        <f aca="false">IF($D22="","",SUMPRODUCT(ISNUMBER(SEARCH("OCPI Buchungskalender",Anforderungen!$J$7:$J$2000))*ISNUMBER(SEARCH("Kennzeichenerfassung",Anforderungen!$J$7:$J$2000))*ISNUMBER(SEARCH("Pönalisierungssystem",Anforderungen!$J$7:$J$2000))*(Anforderungen!$K$7:$K$2000="erfüllt")))</f>
        <v>0</v>
      </c>
      <c r="I22" s="52" t="n">
        <f aca="false">IF($D22="","",SUMPRODUCT(ISNUMBER(SEARCH("OCPI Buchungskalender",Anforderungen!$J$7:$J$2000))*ISNUMBER(SEARCH("Kennzeichenerfassung",Anforderungen!$J$7:$J$2000))*ISNUMBER(SEARCH("Pönalisierungssystem",Anforderungen!$J$7:$J$2000))*(Anforderungen!$K$7:$K$2000="trifft nicht zu")))</f>
        <v>0</v>
      </c>
      <c r="J22" s="53" t="str">
        <f aca="false">IF($D22="","",IF($E22=0,"keine Anforderungen",IF($F22&gt;0,"erfasst",IF($G22&gt;0,"bewertet",IF($H22&gt;0,"erfüllt","trifft nicht zu")))))</f>
        <v>erfasst</v>
      </c>
      <c r="K22" s="54" t="s">
        <v>6225</v>
      </c>
      <c r="N22" s="55"/>
    </row>
    <row r="23" customFormat="false" ht="30" hidden="false" customHeight="true" outlineLevel="0" collapsed="false">
      <c r="A23" s="51" t="s">
        <v>467</v>
      </c>
      <c r="B23" s="51" t="s">
        <v>93</v>
      </c>
      <c r="C23" s="51" t="s">
        <v>6224</v>
      </c>
      <c r="D23" s="51" t="s">
        <v>94</v>
      </c>
      <c r="E23" s="52" t="n">
        <f aca="false">IF($D23="","",SUMPRODUCT(ISNUMBER(SEARCH("Authentifizierungskomponente",Anforderungen!$J$7:$J$2000))*ISNUMBER(SEARCH("Schrankensteuerung",Anforderungen!$J$7:$J$2000))*(Anforderungen!$B$7:$B$2000&lt;&gt;"")))</f>
        <v>8</v>
      </c>
      <c r="F23" s="52" t="n">
        <f aca="false">IF($D23="","",SUMPRODUCT(ISNUMBER(SEARCH("Authentifizierungskomponente",Anforderungen!$J$7:$J$2000))*ISNUMBER(SEARCH("Schrankensteuerung",Anforderungen!$J$7:$J$2000))*(Anforderungen!$K$7:$K$2000="erfasst")))</f>
        <v>7</v>
      </c>
      <c r="G23" s="52" t="n">
        <f aca="false">IF($D23="","",SUMPRODUCT(ISNUMBER(SEARCH("Authentifizierungskomponente",Anforderungen!$J$7:$J$2000))*ISNUMBER(SEARCH("Schrankensteuerung",Anforderungen!$J$7:$J$2000))*(Anforderungen!$K$7:$K$2000="bewertet")))</f>
        <v>0</v>
      </c>
      <c r="H23" s="52" t="n">
        <f aca="false">IF($D23="","",SUMPRODUCT(ISNUMBER(SEARCH("Authentifizierungskomponente",Anforderungen!$J$7:$J$2000))*ISNUMBER(SEARCH("Schrankensteuerung",Anforderungen!$J$7:$J$2000))*(Anforderungen!$K$7:$K$2000="erfüllt")))</f>
        <v>1</v>
      </c>
      <c r="I23" s="52" t="n">
        <f aca="false">IF($D23="","",SUMPRODUCT(ISNUMBER(SEARCH("Authentifizierungskomponente",Anforderungen!$J$7:$J$2000))*ISNUMBER(SEARCH("Schrankensteuerung",Anforderungen!$J$7:$J$2000))*(Anforderungen!$K$7:$K$2000="trifft nicht zu")))</f>
        <v>0</v>
      </c>
      <c r="J23" s="53" t="str">
        <f aca="false">IF($D23="","",IF($E23=0,"keine Anforderungen",IF($F23&gt;0,"erfasst",IF($G23&gt;0,"bewertet",IF($H23&gt;0,"erfüllt","trifft nicht zu")))))</f>
        <v>erfasst</v>
      </c>
      <c r="K23" s="54" t="s">
        <v>6225</v>
      </c>
      <c r="N23" s="57"/>
    </row>
    <row r="24" customFormat="false" ht="30" hidden="false" customHeight="true" outlineLevel="0" collapsed="false">
      <c r="A24" s="51"/>
      <c r="B24" s="51"/>
      <c r="C24" s="51"/>
      <c r="D24" s="51"/>
      <c r="E24" s="52" t="str">
        <f aca="false">IF($D24="","",SUMPRODUCT(ISNUMBER(SEARCH($D24,Anforderungen!$J$7:$J$2000))*(Anforderungen!$B$7:$B$2000&lt;&gt;"")))</f>
        <v/>
      </c>
      <c r="F24" s="52" t="str">
        <f aca="false">IF($D24="","",SUMPRODUCT(ISNUMBER(SEARCH($D24,Anforderungen!$J$7:$J$2000))*(Anforderungen!$K$7:$K$2000="erfasst")))</f>
        <v/>
      </c>
      <c r="G24" s="52" t="str">
        <f aca="false">IF($D24="","",SUMPRODUCT(ISNUMBER(SEARCH($D24,Anforderungen!$J$7:$J$2000))*(Anforderungen!$K$7:$K$2000="bewertet")))</f>
        <v/>
      </c>
      <c r="H24" s="52" t="str">
        <f aca="false">IF($D24="","",SUMPRODUCT(ISNUMBER(SEARCH($D24,Anforderungen!$J$7:$J$2000))*(Anforderungen!$K$7:$K$2000="erfüllt")))</f>
        <v/>
      </c>
      <c r="I24" s="52" t="str">
        <f aca="false">IF($D24="","",SUMPRODUCT(ISNUMBER(SEARCH($D24,Anforderungen!$J$7:$J$2000))*(Anforderungen!$K$7:$K$2000="trifft nicht zu")))</f>
        <v/>
      </c>
      <c r="J24" s="53" t="str">
        <f aca="false">IF($D24="","",IF($E24=0,"keine Anforderungen",IF($F24&gt;0,"erfasst",IF($G24&gt;0,"bewertet",IF($H24&gt;0,"erfüllt","trifft nicht zu")))))</f>
        <v/>
      </c>
      <c r="K24" s="54"/>
      <c r="N24" s="57"/>
    </row>
    <row r="25" customFormat="false" ht="30" hidden="false" customHeight="true" outlineLevel="0" collapsed="false">
      <c r="A25" s="51"/>
      <c r="B25" s="51"/>
      <c r="C25" s="51"/>
      <c r="D25" s="51"/>
      <c r="E25" s="52" t="str">
        <f aca="false">IF($D25="","",SUMPRODUCT(ISNUMBER(SEARCH($D25,Anforderungen!$J$7:$J$2000))*(Anforderungen!$B$7:$B$2000&lt;&gt;"")))</f>
        <v/>
      </c>
      <c r="F25" s="52" t="str">
        <f aca="false">IF($D25="","",SUMPRODUCT(ISNUMBER(SEARCH($D25,Anforderungen!$J$7:$J$2000))*(Anforderungen!$K$7:$K$2000="erfasst")))</f>
        <v/>
      </c>
      <c r="G25" s="52" t="str">
        <f aca="false">IF($D25="","",SUMPRODUCT(ISNUMBER(SEARCH($D25,Anforderungen!$J$7:$J$2000))*(Anforderungen!$K$7:$K$2000="bewertet")))</f>
        <v/>
      </c>
      <c r="H25" s="52" t="str">
        <f aca="false">IF($D25="","",SUMPRODUCT(ISNUMBER(SEARCH($D25,Anforderungen!$J$7:$J$2000))*(Anforderungen!$K$7:$K$2000="erfüllt")))</f>
        <v/>
      </c>
      <c r="I25" s="52" t="str">
        <f aca="false">IF($D25="","",SUMPRODUCT(ISNUMBER(SEARCH($D25,Anforderungen!$J$7:$J$2000))*(Anforderungen!$K$7:$K$2000="trifft nicht zu")))</f>
        <v/>
      </c>
      <c r="J25" s="53" t="str">
        <f aca="false">IF($D25="","",IF($E25=0,"keine Anforderungen",IF($F25&gt;0,"erfasst",IF($G25&gt;0,"bewertet",IF($H25&gt;0,"erfüllt","trifft nicht zu")))))</f>
        <v/>
      </c>
      <c r="K25" s="54"/>
      <c r="N25" s="57"/>
    </row>
    <row r="26" customFormat="false" ht="30" hidden="false" customHeight="true" outlineLevel="0" collapsed="false">
      <c r="A26" s="51"/>
      <c r="B26" s="51"/>
      <c r="C26" s="51"/>
      <c r="D26" s="51"/>
      <c r="E26" s="52" t="str">
        <f aca="false">IF($D26="","",SUMPRODUCT(ISNUMBER(SEARCH($D26,Anforderungen!$J$7:$J$2000))*(Anforderungen!$B$7:$B$2000&lt;&gt;"")))</f>
        <v/>
      </c>
      <c r="F26" s="52" t="str">
        <f aca="false">IF($D26="","",SUMPRODUCT(ISNUMBER(SEARCH($D26,Anforderungen!$J$7:$J$2000))*(Anforderungen!$K$7:$K$2000="erfasst")))</f>
        <v/>
      </c>
      <c r="G26" s="52" t="str">
        <f aca="false">IF($D26="","",SUMPRODUCT(ISNUMBER(SEARCH($D26,Anforderungen!$J$7:$J$2000))*(Anforderungen!$K$7:$K$2000="bewertet")))</f>
        <v/>
      </c>
      <c r="H26" s="52" t="str">
        <f aca="false">IF($D26="","",SUMPRODUCT(ISNUMBER(SEARCH($D26,Anforderungen!$J$7:$J$2000))*(Anforderungen!$K$7:$K$2000="erfüllt")))</f>
        <v/>
      </c>
      <c r="I26" s="52" t="str">
        <f aca="false">IF($D26="","",SUMPRODUCT(ISNUMBER(SEARCH($D26,Anforderungen!$J$7:$J$2000))*(Anforderungen!$K$7:$K$2000="trifft nicht zu")))</f>
        <v/>
      </c>
      <c r="J26" s="53" t="str">
        <f aca="false">IF($D26="","",IF($E26=0,"keine Anforderungen",IF($F26&gt;0,"erfasst",IF($G26&gt;0,"bewertet",IF($H26&gt;0,"erfüllt","trifft nicht zu")))))</f>
        <v/>
      </c>
      <c r="K26" s="54"/>
      <c r="N26" s="57"/>
    </row>
    <row r="27" customFormat="false" ht="30" hidden="false" customHeight="true" outlineLevel="0" collapsed="false">
      <c r="A27" s="51"/>
      <c r="B27" s="51"/>
      <c r="C27" s="51"/>
      <c r="D27" s="51"/>
      <c r="E27" s="52" t="str">
        <f aca="false">IF($D27="","",SUMPRODUCT(ISNUMBER(SEARCH($D27,Anforderungen!$J$7:$J$2000))*(Anforderungen!$B$7:$B$2000&lt;&gt;"")))</f>
        <v/>
      </c>
      <c r="F27" s="52" t="str">
        <f aca="false">IF($D27="","",SUMPRODUCT(ISNUMBER(SEARCH($D27,Anforderungen!$J$7:$J$2000))*(Anforderungen!$K$7:$K$2000="erfasst")))</f>
        <v/>
      </c>
      <c r="G27" s="52" t="str">
        <f aca="false">IF($D27="","",SUMPRODUCT(ISNUMBER(SEARCH($D27,Anforderungen!$J$7:$J$2000))*(Anforderungen!$K$7:$K$2000="bewertet")))</f>
        <v/>
      </c>
      <c r="H27" s="52" t="str">
        <f aca="false">IF($D27="","",SUMPRODUCT(ISNUMBER(SEARCH($D27,Anforderungen!$J$7:$J$2000))*(Anforderungen!$K$7:$K$2000="erfüllt")))</f>
        <v/>
      </c>
      <c r="I27" s="52" t="str">
        <f aca="false">IF($D27="","",SUMPRODUCT(ISNUMBER(SEARCH($D27,Anforderungen!$J$7:$J$2000))*(Anforderungen!$K$7:$K$2000="trifft nicht zu")))</f>
        <v/>
      </c>
      <c r="J27" s="53" t="str">
        <f aca="false">IF($D27="","",IF($E27=0,"keine Anforderungen",IF($F27&gt;0,"erfasst",IF($G27&gt;0,"bewertet",IF($H27&gt;0,"erfüllt","trifft nicht zu")))))</f>
        <v/>
      </c>
      <c r="K27" s="54"/>
      <c r="N27" s="57"/>
    </row>
    <row r="28" customFormat="false" ht="30" hidden="false" customHeight="true" outlineLevel="0" collapsed="false">
      <c r="A28" s="51"/>
      <c r="B28" s="51"/>
      <c r="C28" s="51"/>
      <c r="D28" s="51"/>
      <c r="E28" s="52" t="str">
        <f aca="false">IF($D28="","",SUMPRODUCT(ISNUMBER(SEARCH($D28,Anforderungen!$J$7:$J$2000))*(Anforderungen!$B$7:$B$2000&lt;&gt;"")))</f>
        <v/>
      </c>
      <c r="F28" s="52" t="str">
        <f aca="false">IF($D28="","",SUMPRODUCT(ISNUMBER(SEARCH($D28,Anforderungen!$J$7:$J$2000))*(Anforderungen!$K$7:$K$2000="erfasst")))</f>
        <v/>
      </c>
      <c r="G28" s="52" t="str">
        <f aca="false">IF($D28="","",SUMPRODUCT(ISNUMBER(SEARCH($D28,Anforderungen!$J$7:$J$2000))*(Anforderungen!$K$7:$K$2000="bewertet")))</f>
        <v/>
      </c>
      <c r="H28" s="52" t="str">
        <f aca="false">IF($D28="","",SUMPRODUCT(ISNUMBER(SEARCH($D28,Anforderungen!$J$7:$J$2000))*(Anforderungen!$K$7:$K$2000="erfüllt")))</f>
        <v/>
      </c>
      <c r="I28" s="52" t="str">
        <f aca="false">IF($D28="","",SUMPRODUCT(ISNUMBER(SEARCH($D28,Anforderungen!$J$7:$J$2000))*(Anforderungen!$K$7:$K$2000="trifft nicht zu")))</f>
        <v/>
      </c>
      <c r="J28" s="53" t="str">
        <f aca="false">IF($D28="","",IF($E28=0,"keine Anforderungen",IF($F28&gt;0,"erfasst",IF($G28&gt;0,"bewertet",IF($H28&gt;0,"erfüllt","trifft nicht zu")))))</f>
        <v/>
      </c>
      <c r="K28" s="54"/>
      <c r="N28" s="57"/>
    </row>
    <row r="29" customFormat="false" ht="30" hidden="false" customHeight="true" outlineLevel="0" collapsed="false">
      <c r="A29" s="51"/>
      <c r="B29" s="51"/>
      <c r="C29" s="51"/>
      <c r="D29" s="51"/>
      <c r="E29" s="52" t="str">
        <f aca="false">IF($D29="","",SUMPRODUCT(ISNUMBER(SEARCH($D29,Anforderungen!$J$7:$J$2000))*(Anforderungen!$B$7:$B$2000&lt;&gt;"")))</f>
        <v/>
      </c>
      <c r="F29" s="52" t="str">
        <f aca="false">IF($D29="","",SUMPRODUCT(ISNUMBER(SEARCH($D29,Anforderungen!$J$7:$J$2000))*(Anforderungen!$K$7:$K$2000="erfasst")))</f>
        <v/>
      </c>
      <c r="G29" s="52" t="str">
        <f aca="false">IF($D29="","",SUMPRODUCT(ISNUMBER(SEARCH($D29,Anforderungen!$J$7:$J$2000))*(Anforderungen!$K$7:$K$2000="bewertet")))</f>
        <v/>
      </c>
      <c r="H29" s="52" t="str">
        <f aca="false">IF($D29="","",SUMPRODUCT(ISNUMBER(SEARCH($D29,Anforderungen!$J$7:$J$2000))*(Anforderungen!$K$7:$K$2000="erfüllt")))</f>
        <v/>
      </c>
      <c r="I29" s="52" t="str">
        <f aca="false">IF($D29="","",SUMPRODUCT(ISNUMBER(SEARCH($D29,Anforderungen!$J$7:$J$2000))*(Anforderungen!$K$7:$K$2000="trifft nicht zu")))</f>
        <v/>
      </c>
      <c r="J29" s="53" t="str">
        <f aca="false">IF($D29="","",IF($E29=0,"keine Anforderungen",IF($F29&gt;0,"erfasst",IF($G29&gt;0,"bewertet",IF($H29&gt;0,"erfüllt","trifft nicht zu")))))</f>
        <v/>
      </c>
      <c r="K29" s="54"/>
      <c r="N29" s="55" t="s">
        <v>335</v>
      </c>
    </row>
    <row r="30" customFormat="false" ht="15" hidden="false" customHeight="true" outlineLevel="0" collapsed="false"/>
    <row r="31" customFormat="false" ht="24" hidden="false" customHeight="true" outlineLevel="0" collapsed="false">
      <c r="A31" s="58" t="s">
        <v>6226</v>
      </c>
      <c r="M31" s="59" t="s">
        <v>6227</v>
      </c>
    </row>
    <row r="32" customFormat="false" ht="27.75" hidden="false" customHeight="true" outlineLevel="0" collapsed="false">
      <c r="A32" s="48" t="s">
        <v>6228</v>
      </c>
      <c r="B32" s="48"/>
      <c r="C32" s="48"/>
      <c r="D32" s="48"/>
      <c r="E32" s="48"/>
      <c r="F32" s="48"/>
      <c r="G32" s="48"/>
      <c r="H32" s="48"/>
      <c r="I32" s="48"/>
      <c r="J32" s="48"/>
      <c r="K32" s="48"/>
    </row>
    <row r="33" customFormat="false" ht="15" hidden="false" customHeight="true" outlineLevel="0" collapsed="false"/>
    <row r="34" customFormat="false" ht="18" hidden="false" customHeight="true" outlineLevel="0" collapsed="false">
      <c r="M34" s="60" t="str">
        <f aca="false">"SMARTINFRA"&amp;CHAR(10)&amp;COUNTA($D$6:$D$29)&amp;" Komponenten / Schnittstellen"</f>
        <v>SMARTINFRA
18 Komponenten / Schnittstellen</v>
      </c>
    </row>
    <row r="35" customFormat="false" ht="18" hidden="false" customHeight="true" outlineLevel="0" collapsed="false">
      <c r="M35" s="60" t="str">
        <f aca="false">$A6&amp;CHAR(10)&amp;COUNTIF($A$6:$A$29,$A6)&amp;IF(COUNTIF($A$6:$A$29,$A6)=1," Komponente"," Komponenten")</f>
        <v>LIS
1 Komponente</v>
      </c>
    </row>
    <row r="36" customFormat="false" ht="18" hidden="false" customHeight="true" outlineLevel="0" collapsed="false">
      <c r="M36" s="60" t="str">
        <f aca="false">$A7&amp;CHAR(10)&amp;COUNTIF($A$6:$A$29,$A7)&amp;IF(COUNTIF($A$6:$A$29,$A7)=1," Komponente"," Komponenten")</f>
        <v>WWL
4 Komponenten</v>
      </c>
    </row>
    <row r="37" customFormat="false" ht="18" hidden="false" customHeight="true" outlineLevel="0" collapsed="false">
      <c r="M37" s="60" t="str">
        <f aca="false">$A11&amp;CHAR(10)&amp;COUNTIF($A$6:$A$29,$A11)&amp;IF(COUNTIF($A$6:$A$29,$A11)=1," Komponente"," Komponenten")</f>
        <v>SmartInfra
8 Komponenten</v>
      </c>
    </row>
    <row r="38" customFormat="false" ht="18" hidden="false" customHeight="true" outlineLevel="0" collapsed="false">
      <c r="M38" s="60" t="str">
        <f aca="false">$A18&amp;CHAR(10)&amp;COUNTIF($A$6:$A$29,$A18)&amp;IF(COUNTIF($A$6:$A$29,$A18)=1," Komponente"," Komponenten")</f>
        <v>AUP
1 Komponente</v>
      </c>
    </row>
    <row r="39" customFormat="false" ht="18" hidden="false" customHeight="true" outlineLevel="0" collapsed="false">
      <c r="M39" s="60" t="str">
        <f aca="false">$A20&amp;CHAR(10)&amp;COUNTIF($A$6:$A$29,$A20)&amp;IF(COUNTIF($A$6:$A$29,$A20)=1," Komponente"," Komponenten")</f>
        <v>Zuordnung prüfen
4 Komponenten</v>
      </c>
    </row>
    <row r="40" customFormat="false" ht="18" hidden="false" customHeight="true" outlineLevel="0" collapsed="false">
      <c r="M40" s="60" t="str">
        <f aca="false">$B6&amp;CHAR(10)&amp;COUNTIFS($A$6:$A$29,$A6,$B$6:$B$29,$B6)&amp;IF(COUNTIFS($A$6:$A$29,$A6,$B$6:$B$29,$B6)=1," Komponente"," Komponenten")</f>
        <v>Alpitronic
1 Komponente</v>
      </c>
    </row>
    <row r="41" customFormat="false" ht="18" hidden="false" customHeight="true" outlineLevel="0" collapsed="false">
      <c r="M41" s="60" t="str">
        <f aca="false">$B7&amp;CHAR(10)&amp;COUNTIFS($A$6:$A$29,$A7,$B$6:$B$29,$B7)&amp;IF(COUNTIFS($A$6:$A$29,$A7,$B$6:$B$29,$B7)=1," Komponente"," Komponenten")</f>
        <v>eRound
4 Komponenten</v>
      </c>
    </row>
    <row r="42" customFormat="false" ht="18" hidden="false" customHeight="true" outlineLevel="0" collapsed="false">
      <c r="M42" s="60" t="str">
        <f aca="false">$B11&amp;CHAR(10)&amp;COUNTIFS($A$6:$A$29,$A11,$B$6:$B$29,$B11)&amp;IF(COUNTIFS($A$6:$A$29,$A11,$B$6:$B$29,$B11)=1," Komponente"," Komponenten")</f>
        <v>Reservierungsplattform
2 Komponenten</v>
      </c>
    </row>
    <row r="43" customFormat="false" ht="18" hidden="false" customHeight="true" outlineLevel="0" collapsed="false">
      <c r="M43" s="60" t="str">
        <f aca="false">$B13&amp;CHAR(10)&amp;COUNTIFS($A$6:$A$29,$A13,$B$6:$B$29,$B13)&amp;IF(COUNTIFS($A$6:$A$29,$A13,$B$6:$B$29,$B13)=1," Komponente"," Komponenten")</f>
        <v>SCS
5 Komponenten</v>
      </c>
    </row>
    <row r="44" customFormat="false" ht="18" hidden="false" customHeight="true" outlineLevel="0" collapsed="false">
      <c r="M44" s="60" t="str">
        <f aca="false">$B19&amp;CHAR(10)&amp;COUNTIFS($A$6:$A$29,$A19,$B$6:$B$29,$B19)&amp;IF(COUNTIFS($A$6:$A$29,$A19,$B$6:$B$29,$B19)=1," Komponente"," Komponenten")</f>
        <v>CAME
1 Komponente</v>
      </c>
    </row>
    <row r="45" customFormat="false" ht="18" hidden="false" customHeight="true" outlineLevel="0" collapsed="false">
      <c r="M45" s="60" t="str">
        <f aca="false">$B18&amp;CHAR(10)&amp;COUNTIFS($A$6:$A$29,$A18,$B$6:$B$29,$B18)&amp;IF(COUNTIFS($A$6:$A$29,$A18,$B$6:$B$29,$B18)=1," Komponente"," Komponenten")</f>
        <v>tbd
1 Komponente</v>
      </c>
    </row>
    <row r="46" customFormat="false" ht="18" hidden="false" customHeight="true" outlineLevel="0" collapsed="false">
      <c r="M46" s="60" t="str">
        <f aca="false">$B20&amp;CHAR(10)&amp;COUNTIFS($A$6:$A$29,$A20,$B$6:$B$29,$B20)&amp;IF(COUNTIFS($A$6:$A$29,$A20,$B$6:$B$29,$B20)=1," Komponente"," Komponenten")</f>
        <v>eRound / SCS
4 Komponenten</v>
      </c>
    </row>
    <row r="47" customFormat="false" ht="18" hidden="false" customHeight="true" outlineLevel="0" collapsed="false">
      <c r="M47" s="60" t="str">
        <f aca="false">$C6&amp;CHAR(10)&amp;COUNTIFS($A$6:$A$29,$A6,$B$6:$B$29,$B6,$C$6:$C$29,$C6)&amp;IF(COUNTIFS($A$6:$A$29,$A6,$B$6:$B$29,$B6,$C$6:$C$29,$C6)=1," Eintrag"," Einträge")</f>
        <v>Komponente
1 Eintrag</v>
      </c>
    </row>
    <row r="48" customFormat="false" ht="18" hidden="false" customHeight="true" outlineLevel="0" collapsed="false">
      <c r="M48" s="60" t="str">
        <f aca="false">$C7&amp;CHAR(10)&amp;COUNTIFS($A$6:$A$29,$A7,$B$6:$B$29,$B7,$C$6:$C$29,$C7)&amp;IF(COUNTIFS($A$6:$A$29,$A7,$B$6:$B$29,$B7,$C$6:$C$29,$C7)=1," Eintrag"," Einträge")</f>
        <v>Komponente
4 Einträge</v>
      </c>
    </row>
    <row r="49" customFormat="false" ht="18" hidden="false" customHeight="true" outlineLevel="0" collapsed="false">
      <c r="M49" s="60" t="str">
        <f aca="false">$C11&amp;CHAR(10)&amp;COUNTIFS($A$6:$A$29,$A11,$B$6:$B$29,$B11,$C$6:$C$29,$C11)&amp;IF(COUNTIFS($A$6:$A$29,$A11,$B$6:$B$29,$B11,$C$6:$C$29,$C11)=1," Eintrag"," Einträge")</f>
        <v>Komponente
2 Einträge</v>
      </c>
    </row>
    <row r="50" customFormat="false" ht="18" hidden="false" customHeight="true" outlineLevel="0" collapsed="false">
      <c r="M50" s="60" t="str">
        <f aca="false">$C13&amp;CHAR(10)&amp;COUNTIFS($A$6:$A$29,$A13,$B$6:$B$29,$B13,$C$6:$C$29,$C13)&amp;IF(COUNTIFS($A$6:$A$29,$A13,$B$6:$B$29,$B13,$C$6:$C$29,$C13)=1," Eintrag"," Einträge")</f>
        <v>Komponente
5 Einträge</v>
      </c>
    </row>
    <row r="51" customFormat="false" ht="18" hidden="false" customHeight="true" outlineLevel="0" collapsed="false">
      <c r="M51" s="60" t="str">
        <f aca="false">$C19&amp;CHAR(10)&amp;COUNTIFS($A$6:$A$29,$A19,$B$6:$B$29,$B19,$C$6:$C$29,$C19)&amp;IF(COUNTIFS($A$6:$A$29,$A19,$B$6:$B$29,$B19,$C$6:$C$29,$C19)=1," Eintrag"," Einträge")</f>
        <v>Komponente
1 Eintrag</v>
      </c>
    </row>
    <row r="52" customFormat="false" ht="18" hidden="false" customHeight="true" outlineLevel="0" collapsed="false">
      <c r="M52" s="60" t="str">
        <f aca="false">$C18&amp;CHAR(10)&amp;COUNTIFS($A$6:$A$29,$A18,$B$6:$B$29,$B18,$C$6:$C$29,$C18)&amp;IF(COUNTIFS($A$6:$A$29,$A18,$B$6:$B$29,$B18,$C$6:$C$29,$C18)=1," Eintrag"," Einträge")</f>
        <v>Komponente
1 Eintrag</v>
      </c>
    </row>
    <row r="53" customFormat="false" ht="18" hidden="false" customHeight="true" outlineLevel="0" collapsed="false">
      <c r="M53" s="60" t="str">
        <f aca="false">$C20&amp;CHAR(10)&amp;COUNTIFS($A$6:$A$29,$A20,$B$6:$B$29,$B20,$C$6:$C$29,$C20)&amp;IF(COUNTIFS($A$6:$A$29,$A20,$B$6:$B$29,$B20,$C$6:$C$29,$C20)=1," Eintrag"," Einträge")</f>
        <v>Schnittstelle
4 Einträge</v>
      </c>
    </row>
    <row r="54" customFormat="false" ht="18" hidden="false" customHeight="true" outlineLevel="0" collapsed="false">
      <c r="M54" s="60" t="str">
        <f aca="false">IF($D6="","",$D6&amp;CHAR(10)&amp;$E6&amp;IF($E6=1," Anforderung"," Anforderungen")&amp;" · "&amp;$H6&amp;"/"&amp;$E6&amp;" erfüllt"&amp;CHAR(10)&amp;"Status: "&amp;$J6)</f>
        <v>Ladeeinrichtung
171 Anforderungen · 0/171 erfüllt
Status: erfasst</v>
      </c>
    </row>
    <row r="55" customFormat="false" ht="18" hidden="false" customHeight="true" outlineLevel="0" collapsed="false">
      <c r="M55" s="60" t="str">
        <f aca="false">IF($D7="","",$D7&amp;CHAR(10)&amp;$E7&amp;IF($E7=1," Anforderung"," Anforderungen")&amp;" · "&amp;$H7&amp;"/"&amp;$E7&amp;" erfüllt"&amp;CHAR(10)&amp;"Status: "&amp;$J7)</f>
        <v>Abrechnungskomponente
50 Anforderungen · 0/50 erfüllt
Status: erfasst</v>
      </c>
    </row>
    <row r="56" customFormat="false" ht="18" hidden="false" customHeight="true" outlineLevel="0" collapsed="false">
      <c r="M56" s="60" t="str">
        <f aca="false">IF($D8="","",$D8&amp;CHAR(10)&amp;$E8&amp;IF($E8=1," Anforderung"," Anforderungen")&amp;" · "&amp;$H8&amp;"/"&amp;$E8&amp;" erfüllt"&amp;CHAR(10)&amp;"Status: "&amp;$J8)</f>
        <v>Authentifizierungskomponente
66 Anforderungen · 2/66 erfüllt
Status: erfasst</v>
      </c>
    </row>
    <row r="57" customFormat="false" ht="18" hidden="false" customHeight="true" outlineLevel="0" collapsed="false">
      <c r="M57" s="60" t="str">
        <f aca="false">IF($D9="","",$D9&amp;CHAR(10)&amp;$E9&amp;IF($E9=1," Anforderung"," Anforderungen")&amp;" · "&amp;$H9&amp;"/"&amp;$E9&amp;" erfüllt"&amp;CHAR(10)&amp;"Status: "&amp;$J9)</f>
        <v>Monitoring
44 Anforderungen · 0/44 erfüllt
Status: erfasst</v>
      </c>
    </row>
    <row r="58" customFormat="false" ht="18" hidden="false" customHeight="true" outlineLevel="0" collapsed="false">
      <c r="M58" s="60" t="str">
        <f aca="false">IF($D10="","",$D10&amp;CHAR(10)&amp;$E10&amp;IF($E10=1," Anforderung"," Anforderungen")&amp;" · "&amp;$H10&amp;"/"&amp;$E10&amp;" erfüllt"&amp;CHAR(10)&amp;"Status: "&amp;$J10)</f>
        <v>OCPI Buchungskalender
102 Anforderungen · 1/102 erfüllt
Status: erfasst</v>
      </c>
    </row>
    <row r="59" customFormat="false" ht="18" hidden="false" customHeight="true" outlineLevel="0" collapsed="false">
      <c r="M59" s="60" t="str">
        <f aca="false">IF($D11="","",$D11&amp;CHAR(10)&amp;$E11&amp;IF($E11=1," Anforderung"," Anforderungen")&amp;" · "&amp;$H11&amp;"/"&amp;$E11&amp;" erfüllt"&amp;CHAR(10)&amp;"Status: "&amp;$J11)</f>
        <v>Anbindung
3 Anforderungen · 0/3 erfüllt
Status: erfasst</v>
      </c>
    </row>
    <row r="60" customFormat="false" ht="18" hidden="false" customHeight="true" outlineLevel="0" collapsed="false">
      <c r="M60" s="60" t="str">
        <f aca="false">IF($D12="","",$D12&amp;CHAR(10)&amp;$E12&amp;IF($E12=1," Anforderung"," Anforderungen")&amp;" · "&amp;$H12&amp;"/"&amp;$E12&amp;" erfüllt"&amp;CHAR(10)&amp;"Status: "&amp;$J12)</f>
        <v>Reservierungsplattform
12 Anforderungen · 0/12 erfüllt
Status: erfasst</v>
      </c>
    </row>
    <row r="61" customFormat="false" ht="18" hidden="false" customHeight="true" outlineLevel="0" collapsed="false">
      <c r="M61" s="60" t="str">
        <f aca="false">IF($D13="","",$D13&amp;CHAR(10)&amp;$E13&amp;IF($E13=1," Anforderung"," Anforderungen")&amp;" · "&amp;$H13&amp;"/"&amp;$E13&amp;" erfüllt"&amp;CHAR(10)&amp;"Status: "&amp;$J13)</f>
        <v>Belegungsdetektion
5 Anforderungen · 1/5 erfüllt
Status: erfasst</v>
      </c>
    </row>
    <row r="62" customFormat="false" ht="18" hidden="false" customHeight="true" outlineLevel="0" collapsed="false">
      <c r="M62" s="60" t="str">
        <f aca="false">IF($D14="","",$D14&amp;CHAR(10)&amp;$E14&amp;IF($E14=1," Anforderung"," Anforderungen")&amp;" · "&amp;$H14&amp;"/"&amp;$E14&amp;" erfüllt"&amp;CHAR(10)&amp;"Status: "&amp;$J14)</f>
        <v>Dynamische Anzeige
12 Anforderungen · 2/12 erfüllt
Status: erfasst</v>
      </c>
    </row>
    <row r="63" customFormat="false" ht="18" hidden="false" customHeight="true" outlineLevel="0" collapsed="false">
      <c r="M63" s="60" t="str">
        <f aca="false">IF($D15="","",$D15&amp;CHAR(10)&amp;$E15&amp;IF($E15=1," Anforderung"," Anforderungen")&amp;" · "&amp;$H15&amp;"/"&amp;$E15&amp;" erfüllt"&amp;CHAR(10)&amp;"Status: "&amp;$J15)</f>
        <v>Kennzeichenerfassung
8 Anforderungen · 0/8 erfüllt
Status: erfasst</v>
      </c>
    </row>
    <row r="64" customFormat="false" ht="18" hidden="false" customHeight="true" outlineLevel="0" collapsed="false">
      <c r="M64" s="60" t="str">
        <f aca="false">IF($D16="","",$D16&amp;CHAR(10)&amp;$E16&amp;IF($E16=1," Anforderung"," Anforderungen")&amp;" · "&amp;$H16&amp;"/"&amp;$E16&amp;" erfüllt"&amp;CHAR(10)&amp;"Status: "&amp;$J16)</f>
        <v>Pönalisierungssystem
35 Anforderungen · 0/35 erfüllt
Status: erfasst</v>
      </c>
    </row>
    <row r="65" customFormat="false" ht="112.5" hidden="false" customHeight="true" outlineLevel="0" collapsed="false">
      <c r="M65" s="60" t="str">
        <f aca="false">IF($D17="","",$D17&amp;CHAR(10)&amp;$E17&amp;IF($E17=1," Anforderung"," Anforderungen")&amp;" · "&amp;$H17&amp;"/"&amp;$E17&amp;" erfüllt"&amp;CHAR(10)&amp;"Status: "&amp;$J17)</f>
        <v>Schrankensteuerung
25 Anforderungen · 4/25 erfüllt
Status: erfasst</v>
      </c>
    </row>
    <row r="66" customFormat="false" ht="21.75" hidden="false" customHeight="true" outlineLevel="0" collapsed="false">
      <c r="A66" s="61" t="s">
        <v>6229</v>
      </c>
      <c r="M66" s="60" t="str">
        <f aca="false">IF($D19="","",$D19&amp;CHAR(10)&amp;$E19&amp;IF($E19=1," Anforderung"," Anforderungen")&amp;" · "&amp;$H19&amp;"/"&amp;$E19&amp;" erfüllt"&amp;CHAR(10)&amp;"Status: "&amp;$J19)</f>
        <v>Schrankenanlage
23 Anforderungen · 2/23 erfüllt
Status: erfasst</v>
      </c>
    </row>
    <row r="67" customFormat="false" ht="25.5" hidden="false" customHeight="true" outlineLevel="0" collapsed="false">
      <c r="A67" s="48" t="s">
        <v>6230</v>
      </c>
      <c r="B67" s="48"/>
      <c r="C67" s="48"/>
      <c r="D67" s="48"/>
      <c r="E67" s="48"/>
      <c r="F67" s="48"/>
      <c r="G67" s="48"/>
      <c r="H67" s="48"/>
      <c r="I67" s="48"/>
      <c r="J67" s="48"/>
      <c r="K67" s="48"/>
      <c r="M67" s="60" t="str">
        <f aca="false">IF($D18="","",$D18&amp;CHAR(10)&amp;$E18&amp;IF($E18=1," Anforderung"," Anforderungen")&amp;" · "&amp;$H18&amp;"/"&amp;$E18&amp;" erfüllt"&amp;CHAR(10)&amp;"Status: "&amp;$J18)</f>
        <v>Beschilderung
11 Anforderungen · 0/11 erfüllt
Status: erfasst</v>
      </c>
    </row>
    <row r="68" customFormat="false" ht="45.75" hidden="false" customHeight="true" outlineLevel="0" collapsed="false">
      <c r="A68" s="62" t="str">
        <f aca="false">IF($D6="","",IF($A6=$A5,"",$A6&amp;CHAR(10)&amp;COUNTIF($A$6:$A$29,$A6)&amp;" Komponenten"))</f>
        <v>LIS
1 Komponenten</v>
      </c>
      <c r="B68" s="63" t="str">
        <f aca="false">IF($D6="","",IF(AND($A6=$A5,$B6=$B5),"","└ "&amp;$B6&amp;"  ("&amp;COUNTIFS($A$6:$A$29,$A6,$B$6:$B$29,$B6)&amp;")"))</f>
        <v>└ Alpitronic  (1)</v>
      </c>
      <c r="C68" s="63" t="str">
        <f aca="false">IF($D6="","",IF(AND($A6=$A5,$B6=$B5,$C6=$C5),"","└ "&amp;$C6&amp;"  ("&amp;COUNTIFS($A$6:$A$29,$A6,$B$6:$B$29,$B6,$C$6:$C$29,$C6)&amp;")"))</f>
        <v>└ Komponente  (1)</v>
      </c>
      <c r="D68" s="64" t="str">
        <f aca="false">IF($D6="","","└ "&amp;$D6&amp;CHAR(10)&amp;$E6&amp;" Anforderungen  ·  "&amp;$H6&amp;"/"&amp;$E6&amp;" erfüllt"&amp;CHAR(10)&amp;"Status: "&amp;$J6)</f>
        <v>└ Ladeeinrichtung
171 Anforderungen  ·  0/171 erfüllt
Status: erfasst</v>
      </c>
      <c r="E68" s="64"/>
      <c r="M68" s="60" t="str">
        <f aca="false">IF($D20="","",$D20&amp;CHAR(10)&amp;$E20&amp;IF($E20=1," Anforderung"," Anforderungen")&amp;" · "&amp;$H20&amp;"/"&amp;$E20&amp;" erfüllt"&amp;CHAR(10)&amp;"Status: "&amp;$J20)</f>
        <v>OCPI Buchungskalender / Abrechnungskomponente / Belegungsdetektion / Pönalisierungssystem
1 Anforderung · 0/1 erfüllt
Status: erfasst</v>
      </c>
    </row>
    <row r="69" customFormat="false" ht="45.75" hidden="false" customHeight="true" outlineLevel="0" collapsed="false">
      <c r="A69" s="62" t="str">
        <f aca="false">IF($D7="","",IF($A7=$A6,"",$A7&amp;CHAR(10)&amp;COUNTIF($A$6:$A$29,$A7)&amp;" Komponenten"))</f>
        <v>WWL
4 Komponenten</v>
      </c>
      <c r="B69" s="63" t="str">
        <f aca="false">IF($D7="","",IF(AND($A7=$A6,$B7=$B6),"","└ "&amp;$B7&amp;"  ("&amp;COUNTIFS($A$6:$A$29,$A7,$B$6:$B$29,$B7)&amp;")"))</f>
        <v>└ eRound  (4)</v>
      </c>
      <c r="C69" s="63" t="str">
        <f aca="false">IF($D7="","",IF(AND($A7=$A6,$B7=$B6,$C7=$C6),"","└ "&amp;$C7&amp;"  ("&amp;COUNTIFS($A$6:$A$29,$A7,$B$6:$B$29,$B7,$C$6:$C$29,$C7)&amp;")"))</f>
        <v>└ Komponente  (4)</v>
      </c>
      <c r="D69" s="64" t="str">
        <f aca="false">IF($D7="","","└ "&amp;$D7&amp;CHAR(10)&amp;$E7&amp;" Anforderungen  ·  "&amp;$H7&amp;"/"&amp;$E7&amp;" erfüllt"&amp;CHAR(10)&amp;"Status: "&amp;$J7)</f>
        <v>└ Abrechnungskomponente
50 Anforderungen  ·  0/50 erfüllt
Status: erfasst</v>
      </c>
      <c r="E69" s="64"/>
      <c r="M69" s="60" t="str">
        <f aca="false">IF($D21="","",$D21&amp;CHAR(10)&amp;$E21&amp;IF($E21=1," Anforderung"," Anforderungen")&amp;" · "&amp;$H21&amp;"/"&amp;$E21&amp;" erfüllt"&amp;CHAR(10)&amp;"Status: "&amp;$J21)</f>
        <v>OCPI Buchungskalender / Dynamische Anzeige
5 Anforderungen · 1/5 erfüllt
Status: erfasst</v>
      </c>
    </row>
    <row r="70" customFormat="false" ht="45.75" hidden="false" customHeight="true" outlineLevel="0" collapsed="false">
      <c r="A70" s="62" t="str">
        <f aca="false">IF($D8="","",IF($A8=$A7,"",$A8&amp;CHAR(10)&amp;COUNTIF($A$6:$A$29,$A8)&amp;" Komponenten"))</f>
        <v/>
      </c>
      <c r="B70" s="63" t="str">
        <f aca="false">IF($D8="","",IF(AND($A8=$A7,$B8=$B7),"","└ "&amp;$B8&amp;"  ("&amp;COUNTIFS($A$6:$A$29,$A8,$B$6:$B$29,$B8)&amp;")"))</f>
        <v/>
      </c>
      <c r="C70" s="63" t="str">
        <f aca="false">IF($D8="","",IF(AND($A8=$A7,$B8=$B7,$C8=$C7),"","└ "&amp;$C8&amp;"  ("&amp;COUNTIFS($A$6:$A$29,$A8,$B$6:$B$29,$B8,$C$6:$C$29,$C8)&amp;")"))</f>
        <v/>
      </c>
      <c r="D70" s="64" t="str">
        <f aca="false">IF($D8="","","└ "&amp;$D8&amp;CHAR(10)&amp;$E8&amp;" Anforderungen  ·  "&amp;$H8&amp;"/"&amp;$E8&amp;" erfüllt"&amp;CHAR(10)&amp;"Status: "&amp;$J8)</f>
        <v>└ Authentifizierungskomponente
66 Anforderungen  ·  2/66 erfüllt
Status: erfasst</v>
      </c>
      <c r="E70" s="64"/>
      <c r="M70" s="60" t="str">
        <f aca="false">IF($D22="","",$D22&amp;CHAR(10)&amp;$E22&amp;IF($E22=1," Anforderung"," Anforderungen")&amp;" · "&amp;$H22&amp;"/"&amp;$E22&amp;" erfüllt"&amp;CHAR(10)&amp;"Status: "&amp;$J22)</f>
        <v>OCPI Buchungskalender / Kennzeichenerfassung / Pönalisierungssystem
2 Anforderungen · 0/2 erfüllt
Status: erfasst</v>
      </c>
    </row>
    <row r="71" customFormat="false" ht="45.75" hidden="false" customHeight="true" outlineLevel="0" collapsed="false">
      <c r="A71" s="62" t="str">
        <f aca="false">IF($D9="","",IF($A9=$A8,"",$A9&amp;CHAR(10)&amp;COUNTIF($A$6:$A$29,$A9)&amp;" Komponenten"))</f>
        <v/>
      </c>
      <c r="B71" s="63" t="str">
        <f aca="false">IF($D9="","",IF(AND($A9=$A8,$B9=$B8),"","└ "&amp;$B9&amp;"  ("&amp;COUNTIFS($A$6:$A$29,$A9,$B$6:$B$29,$B9)&amp;")"))</f>
        <v/>
      </c>
      <c r="C71" s="63" t="str">
        <f aca="false">IF($D9="","",IF(AND($A9=$A8,$B9=$B8,$C9=$C8),"","└ "&amp;$C9&amp;"  ("&amp;COUNTIFS($A$6:$A$29,$A9,$B$6:$B$29,$B9,$C$6:$C$29,$C9)&amp;")"))</f>
        <v/>
      </c>
      <c r="D71" s="64" t="str">
        <f aca="false">IF($D9="","","└ "&amp;$D9&amp;CHAR(10)&amp;$E9&amp;" Anforderungen  ·  "&amp;$H9&amp;"/"&amp;$E9&amp;" erfüllt"&amp;CHAR(10)&amp;"Status: "&amp;$J9)</f>
        <v>└ Monitoring
44 Anforderungen  ·  0/44 erfüllt
Status: erfasst</v>
      </c>
      <c r="E71" s="64"/>
      <c r="M71" s="60" t="str">
        <f aca="false">IF($D23="","",$D23&amp;CHAR(10)&amp;$E23&amp;IF($E23=1," Anforderung"," Anforderungen")&amp;" · "&amp;$H23&amp;"/"&amp;$E23&amp;" erfüllt"&amp;CHAR(10)&amp;"Status: "&amp;$J23)</f>
        <v>Authentifizierungskomponente / Schrankensteuerung
8 Anforderungen · 1/8 erfüllt
Status: erfasst</v>
      </c>
    </row>
    <row r="72" customFormat="false" ht="45.75" hidden="false" customHeight="true" outlineLevel="0" collapsed="false">
      <c r="A72" s="62" t="str">
        <f aca="false">IF($D10="","",IF($A10=$A9,"",$A10&amp;CHAR(10)&amp;COUNTIF($A$6:$A$29,$A10)&amp;" Komponenten"))</f>
        <v/>
      </c>
      <c r="B72" s="63" t="str">
        <f aca="false">IF($D10="","",IF(AND($A10=$A9,$B10=$B9),"","└ "&amp;$B10&amp;"  ("&amp;COUNTIFS($A$6:$A$29,$A10,$B$6:$B$29,$B10)&amp;")"))</f>
        <v/>
      </c>
      <c r="C72" s="63" t="str">
        <f aca="false">IF($D10="","",IF(AND($A10=$A9,$B10=$B9,$C10=$C9),"","└ "&amp;$C10&amp;"  ("&amp;COUNTIFS($A$6:$A$29,$A10,$B$6:$B$29,$B10,$C$6:$C$29,$C10)&amp;")"))</f>
        <v/>
      </c>
      <c r="D72" s="64" t="str">
        <f aca="false">IF($D10="","","└ "&amp;$D10&amp;CHAR(10)&amp;$E10&amp;" Anforderungen  ·  "&amp;$H10&amp;"/"&amp;$E10&amp;" erfüllt"&amp;CHAR(10)&amp;"Status: "&amp;$J10)</f>
        <v>└ OCPI Buchungskalender
102 Anforderungen  ·  1/102 erfüllt
Status: erfasst</v>
      </c>
      <c r="E72" s="64"/>
    </row>
    <row r="73" customFormat="false" ht="45.75" hidden="false" customHeight="true" outlineLevel="0" collapsed="false">
      <c r="A73" s="62" t="str">
        <f aca="false">IF($D11="","",IF($A11=$A10,"",$A11&amp;CHAR(10)&amp;COUNTIF($A$6:$A$29,$A11)&amp;" Komponenten"))</f>
        <v>SmartInfra
8 Komponenten</v>
      </c>
      <c r="B73" s="63" t="str">
        <f aca="false">IF($D11="","",IF(AND($A11=$A10,$B11=$B10),"","└ "&amp;$B11&amp;"  ("&amp;COUNTIFS($A$6:$A$29,$A11,$B$6:$B$29,$B11)&amp;")"))</f>
        <v>└ Reservierungsplattform  (2)</v>
      </c>
      <c r="C73" s="63" t="str">
        <f aca="false">IF($D11="","",IF(AND($A11=$A10,$B11=$B10,$C11=$C10),"","└ "&amp;$C11&amp;"  ("&amp;COUNTIFS($A$6:$A$29,$A11,$B$6:$B$29,$B11,$C$6:$C$29,$C11)&amp;")"))</f>
        <v>└ Komponente  (2)</v>
      </c>
      <c r="D73" s="64" t="str">
        <f aca="false">IF($D11="","","└ "&amp;$D11&amp;CHAR(10)&amp;$E11&amp;" Anforderungen  ·  "&amp;$H11&amp;"/"&amp;$E11&amp;" erfüllt"&amp;CHAR(10)&amp;"Status: "&amp;$J11)</f>
        <v>└ Anbindung
3 Anforderungen  ·  0/3 erfüllt
Status: erfasst</v>
      </c>
      <c r="E73" s="64"/>
    </row>
    <row r="74" customFormat="false" ht="45.75" hidden="false" customHeight="true" outlineLevel="0" collapsed="false">
      <c r="A74" s="62" t="str">
        <f aca="false">IF($D12="","",IF($A12=$A11,"",$A12&amp;CHAR(10)&amp;COUNTIF($A$6:$A$29,$A12)&amp;" Komponenten"))</f>
        <v/>
      </c>
      <c r="B74" s="63" t="str">
        <f aca="false">IF($D12="","",IF(AND($A12=$A11,$B12=$B11),"","└ "&amp;$B12&amp;"  ("&amp;COUNTIFS($A$6:$A$29,$A12,$B$6:$B$29,$B12)&amp;")"))</f>
        <v/>
      </c>
      <c r="C74" s="63" t="str">
        <f aca="false">IF($D12="","",IF(AND($A12=$A11,$B12=$B11,$C12=$C11),"","└ "&amp;$C12&amp;"  ("&amp;COUNTIFS($A$6:$A$29,$A12,$B$6:$B$29,$B12,$C$6:$C$29,$C12)&amp;")"))</f>
        <v/>
      </c>
      <c r="D74" s="64" t="str">
        <f aca="false">IF($D12="","","└ "&amp;$D12&amp;CHAR(10)&amp;$E12&amp;" Anforderungen  ·  "&amp;$H12&amp;"/"&amp;$E12&amp;" erfüllt"&amp;CHAR(10)&amp;"Status: "&amp;$J12)</f>
        <v>└ Reservierungsplattform
12 Anforderungen  ·  0/12 erfüllt
Status: erfasst</v>
      </c>
      <c r="E74" s="64"/>
    </row>
    <row r="75" customFormat="false" ht="45.75" hidden="false" customHeight="true" outlineLevel="0" collapsed="false">
      <c r="A75" s="62" t="str">
        <f aca="false">IF($D13="","",IF($A13=$A12,"",$A13&amp;CHAR(10)&amp;COUNTIF($A$6:$A$29,$A13)&amp;" Komponenten"))</f>
        <v/>
      </c>
      <c r="B75" s="63" t="str">
        <f aca="false">IF($D13="","",IF(AND($A13=$A12,$B13=$B12),"","└ "&amp;$B13&amp;"  ("&amp;COUNTIFS($A$6:$A$29,$A13,$B$6:$B$29,$B13)&amp;")"))</f>
        <v>└ SCS  (5)</v>
      </c>
      <c r="C75" s="63" t="str">
        <f aca="false">IF($D13="","",IF(AND($A13=$A12,$B13=$B12,$C13=$C12),"","└ "&amp;$C13&amp;"  ("&amp;COUNTIFS($A$6:$A$29,$A13,$B$6:$B$29,$B13,$C$6:$C$29,$C13)&amp;")"))</f>
        <v>└ Komponente  (5)</v>
      </c>
      <c r="D75" s="64" t="str">
        <f aca="false">IF($D13="","","└ "&amp;$D13&amp;CHAR(10)&amp;$E13&amp;" Anforderungen  ·  "&amp;$H13&amp;"/"&amp;$E13&amp;" erfüllt"&amp;CHAR(10)&amp;"Status: "&amp;$J13)</f>
        <v>└ Belegungsdetektion
5 Anforderungen  ·  1/5 erfüllt
Status: erfasst</v>
      </c>
      <c r="E75" s="64"/>
    </row>
    <row r="76" customFormat="false" ht="45.75" hidden="false" customHeight="true" outlineLevel="0" collapsed="false">
      <c r="A76" s="62" t="str">
        <f aca="false">IF($D14="","",IF($A14=$A13,"",$A14&amp;CHAR(10)&amp;COUNTIF($A$6:$A$29,$A14)&amp;" Komponenten"))</f>
        <v/>
      </c>
      <c r="B76" s="63" t="str">
        <f aca="false">IF($D14="","",IF(AND($A14=$A13,$B14=$B13),"","└ "&amp;$B14&amp;"  ("&amp;COUNTIFS($A$6:$A$29,$A14,$B$6:$B$29,$B14)&amp;")"))</f>
        <v/>
      </c>
      <c r="C76" s="63" t="str">
        <f aca="false">IF($D14="","",IF(AND($A14=$A13,$B14=$B13,$C14=$C13),"","└ "&amp;$C14&amp;"  ("&amp;COUNTIFS($A$6:$A$29,$A14,$B$6:$B$29,$B14,$C$6:$C$29,$C14)&amp;")"))</f>
        <v/>
      </c>
      <c r="D76" s="64" t="str">
        <f aca="false">IF($D14="","","└ "&amp;$D14&amp;CHAR(10)&amp;$E14&amp;" Anforderungen  ·  "&amp;$H14&amp;"/"&amp;$E14&amp;" erfüllt"&amp;CHAR(10)&amp;"Status: "&amp;$J14)</f>
        <v>└ Dynamische Anzeige
12 Anforderungen  ·  2/12 erfüllt
Status: erfasst</v>
      </c>
      <c r="E76" s="64"/>
    </row>
    <row r="77" customFormat="false" ht="45.75" hidden="false" customHeight="true" outlineLevel="0" collapsed="false">
      <c r="A77" s="62" t="str">
        <f aca="false">IF($D15="","",IF($A15=$A14,"",$A15&amp;CHAR(10)&amp;COUNTIF($A$6:$A$29,$A15)&amp;" Komponenten"))</f>
        <v/>
      </c>
      <c r="B77" s="63" t="str">
        <f aca="false">IF($D15="","",IF(AND($A15=$A14,$B15=$B14),"","└ "&amp;$B15&amp;"  ("&amp;COUNTIFS($A$6:$A$29,$A15,$B$6:$B$29,$B15)&amp;")"))</f>
        <v/>
      </c>
      <c r="C77" s="63" t="str">
        <f aca="false">IF($D15="","",IF(AND($A15=$A14,$B15=$B14,$C15=$C14),"","└ "&amp;$C15&amp;"  ("&amp;COUNTIFS($A$6:$A$29,$A15,$B$6:$B$29,$B15,$C$6:$C$29,$C15)&amp;")"))</f>
        <v/>
      </c>
      <c r="D77" s="64" t="str">
        <f aca="false">IF($D15="","","└ "&amp;$D15&amp;CHAR(10)&amp;$E15&amp;" Anforderungen  ·  "&amp;$H15&amp;"/"&amp;$E15&amp;" erfüllt"&amp;CHAR(10)&amp;"Status: "&amp;$J15)</f>
        <v>└ Kennzeichenerfassung
8 Anforderungen  ·  0/8 erfüllt
Status: erfasst</v>
      </c>
      <c r="E77" s="64"/>
    </row>
    <row r="78" customFormat="false" ht="45.75" hidden="false" customHeight="true" outlineLevel="0" collapsed="false">
      <c r="A78" s="62" t="str">
        <f aca="false">IF($D16="","",IF($A16=$A15,"",$A16&amp;CHAR(10)&amp;COUNTIF($A$6:$A$29,$A16)&amp;" Komponenten"))</f>
        <v/>
      </c>
      <c r="B78" s="63" t="str">
        <f aca="false">IF($D16="","",IF(AND($A16=$A15,$B16=$B15),"","└ "&amp;$B16&amp;"  ("&amp;COUNTIFS($A$6:$A$29,$A16,$B$6:$B$29,$B16)&amp;")"))</f>
        <v/>
      </c>
      <c r="C78" s="63" t="str">
        <f aca="false">IF($D16="","",IF(AND($A16=$A15,$B16=$B15,$C16=$C15),"","└ "&amp;$C16&amp;"  ("&amp;COUNTIFS($A$6:$A$29,$A16,$B$6:$B$29,$B16,$C$6:$C$29,$C16)&amp;")"))</f>
        <v/>
      </c>
      <c r="D78" s="64" t="str">
        <f aca="false">IF($D16="","","└ "&amp;$D16&amp;CHAR(10)&amp;$E16&amp;" Anforderungen  ·  "&amp;$H16&amp;"/"&amp;$E16&amp;" erfüllt"&amp;CHAR(10)&amp;"Status: "&amp;$J16)</f>
        <v>└ Pönalisierungssystem
35 Anforderungen  ·  0/35 erfüllt
Status: erfasst</v>
      </c>
      <c r="E78" s="64"/>
    </row>
    <row r="79" customFormat="false" ht="45.75" hidden="false" customHeight="true" outlineLevel="0" collapsed="false">
      <c r="A79" s="62" t="str">
        <f aca="false">IF($D17="","",IF($A17=$A16,"",$A17&amp;CHAR(10)&amp;COUNTIF($A$6:$A$29,$A17)&amp;" Komponenten"))</f>
        <v/>
      </c>
      <c r="B79" s="63" t="str">
        <f aca="false">IF($D17="","",IF(AND($A17=$A16,$B17=$B16),"","└ "&amp;$B17&amp;"  ("&amp;COUNTIFS($A$6:$A$29,$A17,$B$6:$B$29,$B17)&amp;")"))</f>
        <v/>
      </c>
      <c r="C79" s="63" t="str">
        <f aca="false">IF($D17="","",IF(AND($A17=$A16,$B17=$B16,$C17=$C16),"","└ "&amp;$C17&amp;"  ("&amp;COUNTIFS($A$6:$A$29,$A17,$B$6:$B$29,$B17,$C$6:$C$29,$C17)&amp;")"))</f>
        <v/>
      </c>
      <c r="D79" s="64" t="str">
        <f aca="false">IF($D17="","","└ "&amp;$D17&amp;CHAR(10)&amp;$E17&amp;" Anforderungen  ·  "&amp;$H17&amp;"/"&amp;$E17&amp;" erfüllt"&amp;CHAR(10)&amp;"Status: "&amp;$J17)</f>
        <v>└ Schrankensteuerung
25 Anforderungen  ·  4/25 erfüllt
Status: erfasst</v>
      </c>
      <c r="E79" s="64"/>
    </row>
    <row r="80" customFormat="false" ht="45.75" hidden="false" customHeight="true" outlineLevel="0" collapsed="false">
      <c r="A80" s="62" t="str">
        <f aca="false">IF($D18="","",IF($A18=$A17,"",$A18&amp;CHAR(10)&amp;COUNTIF($A$6:$A$29,$A18)&amp;" Komponenten"))</f>
        <v>AUP
1 Komponenten</v>
      </c>
      <c r="B80" s="63" t="str">
        <f aca="false">IF($D18="","",IF(AND($A18=$A17,$B18=$B17),"","└ "&amp;$B18&amp;"  ("&amp;COUNTIFS($A$6:$A$29,$A18,$B$6:$B$29,$B18)&amp;")"))</f>
        <v>└ tbd  (1)</v>
      </c>
      <c r="C80" s="63" t="str">
        <f aca="false">IF($D18="","",IF(AND($A18=$A17,$B18=$B17,$C18=$C17),"","└ "&amp;$C18&amp;"  ("&amp;COUNTIFS($A$6:$A$29,$A18,$B$6:$B$29,$B18,$C$6:$C$29,$C18)&amp;")"))</f>
        <v>└ Komponente  (1)</v>
      </c>
      <c r="D80" s="64" t="str">
        <f aca="false">IF($D18="","","└ "&amp;$D18&amp;CHAR(10)&amp;$E18&amp;" Anforderungen  ·  "&amp;$H18&amp;"/"&amp;$E18&amp;" erfüllt"&amp;CHAR(10)&amp;"Status: "&amp;$J18)</f>
        <v>└ Beschilderung
11 Anforderungen  ·  0/11 erfüllt
Status: erfasst</v>
      </c>
      <c r="E80" s="64"/>
    </row>
    <row r="81" customFormat="false" ht="45.75" hidden="false" customHeight="true" outlineLevel="0" collapsed="false">
      <c r="A81" s="62" t="str">
        <f aca="false">IF($D19="","",IF($A19=$A18,"",$A19&amp;CHAR(10)&amp;COUNTIF($A$6:$A$29,$A19)&amp;" Komponenten"))</f>
        <v>SmartInfra
8 Komponenten</v>
      </c>
      <c r="B81" s="63" t="str">
        <f aca="false">IF($D19="","",IF(AND($A19=$A18,$B19=$B18),"","└ "&amp;$B19&amp;"  ("&amp;COUNTIFS($A$6:$A$29,$A19,$B$6:$B$29,$B19)&amp;")"))</f>
        <v>└ CAME  (1)</v>
      </c>
      <c r="C81" s="63" t="str">
        <f aca="false">IF($D19="","",IF(AND($A19=$A18,$B19=$B18,$C19=$C18),"","└ "&amp;$C19&amp;"  ("&amp;COUNTIFS($A$6:$A$29,$A19,$B$6:$B$29,$B19,$C$6:$C$29,$C19)&amp;")"))</f>
        <v>└ Komponente  (1)</v>
      </c>
      <c r="D81" s="64" t="str">
        <f aca="false">IF($D19="","","└ "&amp;$D19&amp;CHAR(10)&amp;$E19&amp;" Anforderungen  ·  "&amp;$H19&amp;"/"&amp;$E19&amp;" erfüllt"&amp;CHAR(10)&amp;"Status: "&amp;$J19)</f>
        <v>└ Schrankenanlage
23 Anforderungen  ·  2/23 erfüllt
Status: erfasst</v>
      </c>
      <c r="E81" s="64"/>
    </row>
    <row r="82" customFormat="false" ht="45.75" hidden="false" customHeight="true" outlineLevel="0" collapsed="false">
      <c r="A82" s="62" t="str">
        <f aca="false">IF($D20="","",IF($A20=$A19,"",$A20&amp;CHAR(10)&amp;COUNTIF($A$6:$A$29,$A20)&amp;" Komponenten"))</f>
        <v>Zuordnung prüfen
4 Komponenten</v>
      </c>
      <c r="B82" s="63" t="str">
        <f aca="false">IF($D20="","",IF(AND($A20=$A19,$B20=$B19),"","└ "&amp;$B20&amp;"  ("&amp;COUNTIFS($A$6:$A$29,$A20,$B$6:$B$29,$B20)&amp;")"))</f>
        <v>└ eRound / SCS  (4)</v>
      </c>
      <c r="C82" s="63" t="str">
        <f aca="false">IF($D20="","",IF(AND($A20=$A19,$B20=$B19,$C20=$C19),"","└ "&amp;$C20&amp;"  ("&amp;COUNTIFS($A$6:$A$29,$A20,$B$6:$B$29,$B20,$C$6:$C$29,$C20)&amp;")"))</f>
        <v>└ Schnittstelle  (4)</v>
      </c>
      <c r="D82" s="64" t="str">
        <f aca="false">IF($D20="","","└ "&amp;$D20&amp;CHAR(10)&amp;$E20&amp;" Anforderungen  ·  "&amp;$H20&amp;"/"&amp;$E20&amp;" erfüllt"&amp;CHAR(10)&amp;"Status: "&amp;$J20)</f>
        <v>└ OCPI Buchungskalender / Abrechnungskomponente / Belegungsdetektion / Pönalisierungssystem
1 Anforderungen  ·  0/1 erfüllt
Status: erfasst</v>
      </c>
      <c r="E82" s="64"/>
    </row>
    <row r="83" customFormat="false" ht="45.75" hidden="false" customHeight="true" outlineLevel="0" collapsed="false">
      <c r="A83" s="62" t="str">
        <f aca="false">IF($D21="","",IF($A21=$A20,"",$A21&amp;CHAR(10)&amp;COUNTIF($A$6:$A$29,$A21)&amp;" Komponenten"))</f>
        <v/>
      </c>
      <c r="B83" s="63" t="str">
        <f aca="false">IF($D21="","",IF(AND($A21=$A20,$B21=$B20),"","└ "&amp;$B21&amp;"  ("&amp;COUNTIFS($A$6:$A$29,$A21,$B$6:$B$29,$B21)&amp;")"))</f>
        <v/>
      </c>
      <c r="C83" s="63" t="str">
        <f aca="false">IF($D21="","",IF(AND($A21=$A20,$B21=$B20,$C21=$C20),"","└ "&amp;$C21&amp;"  ("&amp;COUNTIFS($A$6:$A$29,$A21,$B$6:$B$29,$B21,$C$6:$C$29,$C21)&amp;")"))</f>
        <v/>
      </c>
      <c r="D83" s="64" t="str">
        <f aca="false">IF($D21="","","└ "&amp;$D21&amp;CHAR(10)&amp;$E21&amp;" Anforderungen  ·  "&amp;$H21&amp;"/"&amp;$E21&amp;" erfüllt"&amp;CHAR(10)&amp;"Status: "&amp;$J21)</f>
        <v>└ OCPI Buchungskalender / Dynamische Anzeige
5 Anforderungen  ·  1/5 erfüllt
Status: erfasst</v>
      </c>
      <c r="E83" s="64"/>
    </row>
    <row r="84" customFormat="false" ht="45.75" hidden="false" customHeight="true" outlineLevel="0" collapsed="false">
      <c r="A84" s="62" t="str">
        <f aca="false">IF($D22="","",IF($A22=$A21,"",$A22&amp;CHAR(10)&amp;COUNTIF($A$6:$A$29,$A22)&amp;" Komponenten"))</f>
        <v/>
      </c>
      <c r="B84" s="63" t="str">
        <f aca="false">IF($D22="","",IF(AND($A22=$A21,$B22=$B21),"","└ "&amp;$B22&amp;"  ("&amp;COUNTIFS($A$6:$A$29,$A22,$B$6:$B$29,$B22)&amp;")"))</f>
        <v/>
      </c>
      <c r="C84" s="63" t="str">
        <f aca="false">IF($D22="","",IF(AND($A22=$A21,$B22=$B21,$C22=$C21),"","└ "&amp;$C22&amp;"  ("&amp;COUNTIFS($A$6:$A$29,$A22,$B$6:$B$29,$B22,$C$6:$C$29,$C22)&amp;")"))</f>
        <v/>
      </c>
      <c r="D84" s="64" t="str">
        <f aca="false">IF($D22="","","└ "&amp;$D22&amp;CHAR(10)&amp;$E22&amp;" Anforderungen  ·  "&amp;$H22&amp;"/"&amp;$E22&amp;" erfüllt"&amp;CHAR(10)&amp;"Status: "&amp;$J22)</f>
        <v>└ OCPI Buchungskalender / Kennzeichenerfassung / Pönalisierungssystem
2 Anforderungen  ·  0/2 erfüllt
Status: erfasst</v>
      </c>
      <c r="E84" s="64"/>
    </row>
    <row r="85" customFormat="false" ht="45.75" hidden="false" customHeight="true" outlineLevel="0" collapsed="false">
      <c r="A85" s="62" t="str">
        <f aca="false">IF($D23="","",IF($A23=$A22,"",$A23&amp;CHAR(10)&amp;COUNTIF($A$6:$A$29,$A23)&amp;" Komponenten"))</f>
        <v/>
      </c>
      <c r="B85" s="63" t="str">
        <f aca="false">IF($D23="","",IF(AND($A23=$A22,$B23=$B22),"","└ "&amp;$B23&amp;"  ("&amp;COUNTIFS($A$6:$A$29,$A23,$B$6:$B$29,$B23)&amp;")"))</f>
        <v/>
      </c>
      <c r="C85" s="63" t="str">
        <f aca="false">IF($D23="","",IF(AND($A23=$A22,$B23=$B22,$C23=$C22),"","└ "&amp;$C23&amp;"  ("&amp;COUNTIFS($A$6:$A$29,$A23,$B$6:$B$29,$B23,$C$6:$C$29,$C23)&amp;")"))</f>
        <v/>
      </c>
      <c r="D85" s="64" t="str">
        <f aca="false">IF($D23="","","└ "&amp;$D23&amp;CHAR(10)&amp;$E23&amp;" Anforderungen  ·  "&amp;$H23&amp;"/"&amp;$E23&amp;" erfüllt"&amp;CHAR(10)&amp;"Status: "&amp;$J23)</f>
        <v>└ Authentifizierungskomponente / Schrankensteuerung
8 Anforderungen  ·  1/8 erfüllt
Status: erfasst</v>
      </c>
      <c r="E85" s="64"/>
    </row>
    <row r="86" customFormat="false" ht="45.75" hidden="false" customHeight="true" outlineLevel="0" collapsed="false">
      <c r="A86" s="62" t="str">
        <f aca="false">IF($D24="","",IF($A24=$A23,"",$A24&amp;CHAR(10)&amp;COUNTIF($A$6:$A$29,$A24)&amp;" Komponenten"))</f>
        <v/>
      </c>
      <c r="B86" s="63" t="str">
        <f aca="false">IF($D24="","",IF(AND($A24=$A23,$B24=$B23),"","└ "&amp;$B24&amp;"  ("&amp;COUNTIFS($A$6:$A$29,$A24,$B$6:$B$29,$B24)&amp;")"))</f>
        <v/>
      </c>
      <c r="C86" s="63" t="str">
        <f aca="false">IF($D24="","",IF(AND($A24=$A23,$B24=$B23,$C24=$C23),"","└ "&amp;$C24&amp;"  ("&amp;COUNTIFS($A$6:$A$29,$A24,$B$6:$B$29,$B24,$C$6:$C$29,$C24)&amp;")"))</f>
        <v/>
      </c>
      <c r="D86" s="64" t="str">
        <f aca="false">IF($D24="","","└ "&amp;$D24&amp;CHAR(10)&amp;$E24&amp;" Anforderungen  ·  "&amp;$H24&amp;"/"&amp;$E24&amp;" erfüllt"&amp;CHAR(10)&amp;"Status: "&amp;$J24)</f>
        <v/>
      </c>
      <c r="E86" s="64"/>
    </row>
    <row r="87" customFormat="false" ht="45.75" hidden="false" customHeight="true" outlineLevel="0" collapsed="false">
      <c r="A87" s="62" t="str">
        <f aca="false">IF($D25="","",IF($A25=$A24,"",$A25&amp;CHAR(10)&amp;COUNTIF($A$6:$A$29,$A25)&amp;" Komponenten"))</f>
        <v/>
      </c>
      <c r="B87" s="63" t="str">
        <f aca="false">IF($D25="","",IF(AND($A25=$A24,$B25=$B24),"","└ "&amp;$B25&amp;"  ("&amp;COUNTIFS($A$6:$A$29,$A25,$B$6:$B$29,$B25)&amp;")"))</f>
        <v/>
      </c>
      <c r="C87" s="63" t="str">
        <f aca="false">IF($D25="","",IF(AND($A25=$A24,$B25=$B24,$C25=$C24),"","└ "&amp;$C25&amp;"  ("&amp;COUNTIFS($A$6:$A$29,$A25,$B$6:$B$29,$B25,$C$6:$C$29,$C25)&amp;")"))</f>
        <v/>
      </c>
      <c r="D87" s="64" t="str">
        <f aca="false">IF($D25="","","└ "&amp;$D25&amp;CHAR(10)&amp;$E25&amp;" Anforderungen  ·  "&amp;$H25&amp;"/"&amp;$E25&amp;" erfüllt"&amp;CHAR(10)&amp;"Status: "&amp;$J25)</f>
        <v/>
      </c>
      <c r="E87" s="64"/>
    </row>
    <row r="88" customFormat="false" ht="45.75" hidden="false" customHeight="true" outlineLevel="0" collapsed="false">
      <c r="A88" s="62" t="str">
        <f aca="false">IF($D26="","",IF($A26=$A25,"",$A26&amp;CHAR(10)&amp;COUNTIF($A$6:$A$29,$A26)&amp;" Komponenten"))</f>
        <v/>
      </c>
      <c r="B88" s="63" t="str">
        <f aca="false">IF($D26="","",IF(AND($A26=$A25,$B26=$B25),"","└ "&amp;$B26&amp;"  ("&amp;COUNTIFS($A$6:$A$29,$A26,$B$6:$B$29,$B26)&amp;")"))</f>
        <v/>
      </c>
      <c r="C88" s="63" t="str">
        <f aca="false">IF($D26="","",IF(AND($A26=$A25,$B26=$B25,$C26=$C25),"","└ "&amp;$C26&amp;"  ("&amp;COUNTIFS($A$6:$A$29,$A26,$B$6:$B$29,$B26,$C$6:$C$29,$C26)&amp;")"))</f>
        <v/>
      </c>
      <c r="D88" s="64" t="str">
        <f aca="false">IF($D26="","","└ "&amp;$D26&amp;CHAR(10)&amp;$E26&amp;" Anforderungen  ·  "&amp;$H26&amp;"/"&amp;$E26&amp;" erfüllt"&amp;CHAR(10)&amp;"Status: "&amp;$J26)</f>
        <v/>
      </c>
      <c r="E88" s="64"/>
    </row>
    <row r="89" customFormat="false" ht="45.75" hidden="false" customHeight="true" outlineLevel="0" collapsed="false">
      <c r="A89" s="62" t="str">
        <f aca="false">IF($D27="","",IF($A27=$A26,"",$A27&amp;CHAR(10)&amp;COUNTIF($A$6:$A$29,$A27)&amp;" Komponenten"))</f>
        <v/>
      </c>
      <c r="B89" s="63" t="str">
        <f aca="false">IF($D27="","",IF(AND($A27=$A26,$B27=$B26),"","└ "&amp;$B27&amp;"  ("&amp;COUNTIFS($A$6:$A$29,$A27,$B$6:$B$29,$B27)&amp;")"))</f>
        <v/>
      </c>
      <c r="C89" s="63" t="str">
        <f aca="false">IF($D27="","",IF(AND($A27=$A26,$B27=$B26,$C27=$C26),"","└ "&amp;$C27&amp;"  ("&amp;COUNTIFS($A$6:$A$29,$A27,$B$6:$B$29,$B27,$C$6:$C$29,$C27)&amp;")"))</f>
        <v/>
      </c>
      <c r="D89" s="64" t="str">
        <f aca="false">IF($D27="","","└ "&amp;$D27&amp;CHAR(10)&amp;$E27&amp;" Anforderungen  ·  "&amp;$H27&amp;"/"&amp;$E27&amp;" erfüllt"&amp;CHAR(10)&amp;"Status: "&amp;$J27)</f>
        <v/>
      </c>
      <c r="E89" s="64"/>
    </row>
    <row r="90" customFormat="false" ht="45.75" hidden="false" customHeight="true" outlineLevel="0" collapsed="false">
      <c r="A90" s="62" t="str">
        <f aca="false">IF($D28="","",IF($A28=$A27,"",$A28&amp;CHAR(10)&amp;COUNTIF($A$6:$A$29,$A28)&amp;" Komponenten"))</f>
        <v/>
      </c>
      <c r="B90" s="63" t="str">
        <f aca="false">IF($D28="","",IF(AND($A28=$A27,$B28=$B27),"","└ "&amp;$B28&amp;"  ("&amp;COUNTIFS($A$6:$A$29,$A28,$B$6:$B$29,$B28)&amp;")"))</f>
        <v/>
      </c>
      <c r="C90" s="63" t="str">
        <f aca="false">IF($D28="","",IF(AND($A28=$A27,$B28=$B27,$C28=$C27),"","└ "&amp;$C28&amp;"  ("&amp;COUNTIFS($A$6:$A$29,$A28,$B$6:$B$29,$B28,$C$6:$C$29,$C28)&amp;")"))</f>
        <v/>
      </c>
      <c r="D90" s="64" t="str">
        <f aca="false">IF($D28="","","└ "&amp;$D28&amp;CHAR(10)&amp;$E28&amp;" Anforderungen  ·  "&amp;$H28&amp;"/"&amp;$E28&amp;" erfüllt"&amp;CHAR(10)&amp;"Status: "&amp;$J28)</f>
        <v/>
      </c>
      <c r="E90" s="64"/>
    </row>
    <row r="91" customFormat="false" ht="45.75" hidden="false" customHeight="true" outlineLevel="0" collapsed="false">
      <c r="A91" s="62" t="str">
        <f aca="false">IF($D29="","",IF($A29=$A28,"",$A29&amp;CHAR(10)&amp;COUNTIF($A$6:$A$29,$A29)&amp;" Komponenten"))</f>
        <v/>
      </c>
      <c r="B91" s="63" t="str">
        <f aca="false">IF($D29="","",IF(AND($A29=$A28,$B29=$B28),"","└ "&amp;$B29&amp;"  ("&amp;COUNTIFS($A$6:$A$29,$A29,$B$6:$B$29,$B29)&amp;")"))</f>
        <v/>
      </c>
      <c r="C91" s="63" t="str">
        <f aca="false">IF($D29="","",IF(AND($A29=$A28,$B29=$B28,$C29=$C28),"","└ "&amp;$C29&amp;"  ("&amp;COUNTIFS($A$6:$A$29,$A29,$B$6:$B$29,$B29,$C$6:$C$29,$C29)&amp;")"))</f>
        <v/>
      </c>
      <c r="D91" s="64" t="str">
        <f aca="false">IF($D29="","","└ "&amp;$D29&amp;CHAR(10)&amp;$E29&amp;" Anforderungen  ·  "&amp;$H29&amp;"/"&amp;$E29&amp;" erfüllt"&amp;CHAR(10)&amp;"Status: "&amp;$J29)</f>
        <v/>
      </c>
      <c r="E91" s="64"/>
    </row>
    <row r="93" customFormat="false" ht="15" hidden="false" customHeight="true" outlineLevel="0" collapsed="false">
      <c r="A93" s="65" t="s">
        <v>6231</v>
      </c>
    </row>
    <row r="94" customFormat="false" ht="19.5" hidden="false" customHeight="true" outlineLevel="0" collapsed="false">
      <c r="A94" s="66" t="s">
        <v>44</v>
      </c>
      <c r="B94" s="67" t="s">
        <v>170</v>
      </c>
      <c r="C94" s="68" t="s">
        <v>162</v>
      </c>
      <c r="D94" s="69" t="s">
        <v>146</v>
      </c>
      <c r="E94" s="70" t="s">
        <v>6232</v>
      </c>
    </row>
    <row r="96" customFormat="false" ht="39.75" hidden="false" customHeight="true" outlineLevel="0" collapsed="false">
      <c r="A96" s="71" t="s">
        <v>6233</v>
      </c>
      <c r="B96" s="71"/>
      <c r="C96" s="71"/>
      <c r="D96" s="71"/>
      <c r="E96" s="71"/>
      <c r="F96" s="71"/>
      <c r="G96" s="71"/>
      <c r="H96" s="71"/>
      <c r="I96" s="71"/>
      <c r="J96" s="71"/>
      <c r="K96" s="71"/>
    </row>
  </sheetData>
  <mergeCells count="29">
    <mergeCell ref="A2:K2"/>
    <mergeCell ref="A3:K3"/>
    <mergeCell ref="A32:K32"/>
    <mergeCell ref="A67:K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A96:K96"/>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{1D884B6D-A0E0-4AB1-B313-FD97C67CE937}</x14:id>
        </ext>
      </extLst>
    </cfRule>
  </conditionalFormatting>
  <conditionalFormatting sqref="J6:J29">
    <cfRule type="expression" priority="3" aboveAverage="0" equalAverage="0" bottom="0" percent="0" rank="0" text="" dxfId="14">
      <formula>J6="erfasst"</formula>
    </cfRule>
    <cfRule type="expression" priority="4" aboveAverage="0" equalAverage="0" bottom="0" percent="0" rank="0" text="" dxfId="15">
      <formula>J6="bewertet"</formula>
    </cfRule>
    <cfRule type="expression" priority="5" aboveAverage="0" equalAverage="0" bottom="0" percent="0" rank="0" text="" dxfId="16">
      <formula>J6="erfüllt"</formula>
    </cfRule>
    <cfRule type="expression" priority="6" aboveAverage="0" equalAverage="0" bottom="0" percent="0" rank="0" text="" dxfId="17">
      <formula>J6="trifft nicht zu"</formula>
    </cfRule>
    <cfRule type="expression" priority="7" aboveAverage="0" equalAverage="0" bottom="0" percent="0" rank="0" text="" dxfId="23">
      <formula>J6="keine Anforderungen"</formula>
    </cfRule>
  </conditionalFormatting>
  <conditionalFormatting sqref="A6:A29">
    <cfRule type="expression" priority="8" aboveAverage="0" equalAverage="0" bottom="0" percent="0" rank="0" text="" dxfId="21">
      <formula>A6="Zuordnung prüfen"</formula>
    </cfRule>
  </conditionalFormatting>
  <conditionalFormatting sqref="A68:A91">
    <cfRule type="expression" priority="9" aboveAverage="0" equalAverage="0" bottom="0" percent="0" rank="0" text="" dxfId="24">
      <formula>$A68&lt;&gt;""</formula>
    </cfRule>
  </conditionalFormatting>
  <conditionalFormatting sqref="B68:B91">
    <cfRule type="expression" priority="10" aboveAverage="0" equalAverage="0" bottom="0" percent="0" rank="0" text="" dxfId="25">
      <formula>$B68&lt;&gt;""</formula>
    </cfRule>
  </conditionalFormatting>
  <conditionalFormatting sqref="C68:C91">
    <cfRule type="expression" priority="11" aboveAverage="0" equalAverage="0" bottom="0" percent="0" rank="0" text="" dxfId="26">
      <formula>$C68&lt;&gt;""</formula>
    </cfRule>
  </conditionalFormatting>
  <conditionalFormatting sqref="D68:E91">
    <cfRule type="expression" priority="12" aboveAverage="0" equalAverage="0" bottom="0" percent="0" rank="0" text="" dxfId="27">
      <formula>$J6="erfasst"</formula>
    </cfRule>
    <cfRule type="expression" priority="13" aboveAverage="0" equalAverage="0" bottom="0" percent="0" rank="0" text="" dxfId="28">
      <formula>$J6="bewertet"</formula>
    </cfRule>
    <cfRule type="expression" priority="14" aboveAverage="0" equalAverage="0" bottom="0" percent="0" rank="0" text="" dxfId="16">
      <formula>$J6="erfüllt"</formula>
    </cfRule>
    <cfRule type="expression" priority="15" aboveAverage="0" equalAverage="0" bottom="0" percent="0" rank="0" text="" dxfId="17">
      <formula>$J6="trifft nicht zu"</formula>
    </cfRule>
    <cfRule type="expression" priority="16" aboveAverage="0" equalAverage="0" bottom="0" percent="0" rank="0" text="" dxfId="23">
      <formula>$J6="keine Anforderungen"</formula>
    </cfRule>
  </conditionalFormatting>
  <dataValidations count="1">
    <dataValidation allowBlank="true" errorStyle="stop" operator="between" showDropDown="false" showErrorMessage="true" showInputMessage="true" sqref="B6:B29" type="list">
      <formula1>$N$6:$N$29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drawing r:id="rIdOrga"/>
  <extLst>
    <ext xmlns:x14="http://schemas.microsoft.com/office/spreadsheetml/2009/9/main" uri="{78C0D931-6437-407d-A8EE-F0AAD7539E65}">
      <x14:conditionalFormattings>
        <x14:conditionalFormatting xmlns:xm="http://schemas.microsoft.com/office/excel/2006/main">
          <x14:cfRule type="dataBar" id="{1D884B6D-A0E0-4AB1-B313-FD97C67CE937}">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5" activeCellId="0" sqref="A5"/>
    </sheetView>
  </sheetViews>
  <sheetFormatPr defaultColWidth="9.14453125" defaultRowHeight="15" zeroHeight="false" outlineLevelRow="0" outlineLevelCol="0"/>
  <cols>
    <col collapsed="false" customWidth="true" hidden="false" outlineLevel="0" max="1" min="1" style="1" width="26"/>
    <col collapsed="false" customWidth="true" hidden="false" outlineLevel="0" max="2" min="2" style="1" width="92"/>
  </cols>
  <sheetData>
    <row r="1" customFormat="false" ht="23.25" hidden="false" customHeight="true" outlineLevel="0" collapsed="false">
      <c r="A1" s="2" t="s">
        <v>6234</v>
      </c>
      <c r="B1" s="2"/>
    </row>
    <row r="2" customFormat="false" ht="15" hidden="false" customHeight="true" outlineLevel="0" collapsed="false">
      <c r="A2" s="72" t="s">
        <v>6235</v>
      </c>
      <c r="B2" s="72"/>
    </row>
    <row r="5" customFormat="false" ht="33.75" hidden="false" customHeight="true" outlineLevel="0" collapsed="false">
      <c r="A5" s="73" t="s">
        <v>6236</v>
      </c>
      <c r="B5" s="74" t="s">
        <v>6237</v>
      </c>
    </row>
    <row r="6" customFormat="false" ht="33.75" hidden="false" customHeight="true" outlineLevel="0" collapsed="false">
      <c r="A6" s="73" t="s">
        <v>6196</v>
      </c>
      <c r="B6" s="74" t="s">
        <v>6238</v>
      </c>
    </row>
    <row r="7" customFormat="false" ht="33.75" hidden="false" customHeight="true" outlineLevel="0" collapsed="false">
      <c r="A7" s="73" t="s">
        <v>6239</v>
      </c>
      <c r="B7" s="74" t="s">
        <v>6240</v>
      </c>
    </row>
    <row r="8" customFormat="false" ht="33.75" hidden="false" customHeight="true" outlineLevel="0" collapsed="false">
      <c r="A8" s="73" t="s">
        <v>6241</v>
      </c>
      <c r="B8" s="74" t="s">
        <v>6242</v>
      </c>
    </row>
    <row r="9" customFormat="false" ht="33.75" hidden="false" customHeight="true" outlineLevel="0" collapsed="false">
      <c r="A9" s="73" t="s">
        <v>6243</v>
      </c>
      <c r="B9" s="74" t="s">
        <v>6244</v>
      </c>
    </row>
    <row r="10" customFormat="false" ht="33.75" hidden="false" customHeight="true" outlineLevel="0" collapsed="false">
      <c r="A10" s="73" t="s">
        <v>6245</v>
      </c>
      <c r="B10" s="74" t="s">
        <v>6246</v>
      </c>
    </row>
    <row r="11" customFormat="false" ht="15" hidden="false" customHeight="true" outlineLevel="0" collapsed="false">
      <c r="A11" s="75"/>
      <c r="B11" s="34"/>
    </row>
    <row r="12" customFormat="false" ht="33.75" hidden="false" customHeight="true" outlineLevel="0" collapsed="false">
      <c r="A12" s="73" t="s">
        <v>6247</v>
      </c>
      <c r="B12" s="74" t="s">
        <v>6248</v>
      </c>
    </row>
    <row r="13" customFormat="false" ht="33.75" hidden="false" customHeight="true" outlineLevel="0" collapsed="false">
      <c r="A13" s="73" t="s">
        <v>6249</v>
      </c>
      <c r="B13" s="74" t="s">
        <v>6250</v>
      </c>
    </row>
    <row r="14" customFormat="false" ht="33.75" hidden="false" customHeight="true" outlineLevel="0" collapsed="false">
      <c r="A14" s="73" t="s">
        <v>6251</v>
      </c>
      <c r="B14" s="74" t="s">
        <v>6252</v>
      </c>
    </row>
    <row r="15" customFormat="false" ht="33.75" hidden="false" customHeight="true" outlineLevel="0" collapsed="false">
      <c r="A15" s="73" t="s">
        <v>6253</v>
      </c>
      <c r="B15" s="74" t="s">
        <v>6254</v>
      </c>
    </row>
    <row r="16" customFormat="false" ht="30" hidden="false" customHeight="true" outlineLevel="0" collapsed="false">
      <c r="A16" s="75" t="s">
        <v>34</v>
      </c>
      <c r="B16" s="34" t="s">
        <v>6255</v>
      </c>
    </row>
    <row r="17" customFormat="false" ht="33.75" hidden="false" customHeight="true" outlineLevel="0" collapsed="false">
      <c r="A17" s="73" t="s">
        <v>35</v>
      </c>
      <c r="B17" s="74" t="s">
        <v>6256</v>
      </c>
    </row>
    <row r="18" customFormat="false" ht="33.75" hidden="false" customHeight="true" outlineLevel="0" collapsed="false">
      <c r="A18" s="73" t="s">
        <v>6257</v>
      </c>
      <c r="B18" s="74" t="s">
        <v>6258</v>
      </c>
    </row>
    <row r="19" customFormat="false" ht="30" hidden="false" customHeight="true" outlineLevel="0" collapsed="false">
      <c r="A19" s="75" t="s">
        <v>14</v>
      </c>
      <c r="B19" s="34" t="s">
        <v>6259</v>
      </c>
    </row>
    <row r="20" customFormat="false" ht="30" hidden="false" customHeight="true" outlineLevel="0" collapsed="false">
      <c r="A20" s="75" t="s">
        <v>6260</v>
      </c>
      <c r="B20" s="34" t="s">
        <v>6261</v>
      </c>
    </row>
    <row r="21" customFormat="false" ht="30" hidden="false" customHeight="true" outlineLevel="0" collapsed="false">
      <c r="A21" s="75" t="s">
        <v>6262</v>
      </c>
      <c r="B21" s="34" t="s">
        <v>6263</v>
      </c>
    </row>
    <row r="22" customFormat="false" ht="15" hidden="false" customHeight="true" outlineLevel="0" collapsed="false">
      <c r="A22" s="76"/>
      <c r="B22" s="34"/>
    </row>
    <row r="23" customFormat="false" ht="42" hidden="false" customHeight="true" outlineLevel="0" collapsed="false">
      <c r="A23" s="75" t="s">
        <v>281</v>
      </c>
      <c r="B23" s="34" t="s">
        <v>6264</v>
      </c>
    </row>
    <row r="24" customFormat="false" ht="42" hidden="false" customHeight="true" outlineLevel="0" collapsed="false">
      <c r="A24" s="75" t="s">
        <v>28</v>
      </c>
      <c r="B24" s="34" t="s">
        <v>6265</v>
      </c>
    </row>
    <row r="25" customFormat="false" ht="42" hidden="false" customHeight="true" outlineLevel="0" collapsed="false">
      <c r="A25" s="75" t="s">
        <v>6266</v>
      </c>
      <c r="B25" s="34" t="s">
        <v>6267</v>
      </c>
    </row>
    <row r="26" customFormat="false" ht="42" hidden="false" customHeight="true" outlineLevel="0" collapsed="false">
      <c r="A26" s="75" t="s">
        <v>467</v>
      </c>
      <c r="B26" s="34" t="s">
        <v>6268</v>
      </c>
    </row>
    <row r="27" customFormat="false" ht="42" hidden="false" customHeight="true" outlineLevel="0" collapsed="false">
      <c r="A27" s="75" t="s">
        <v>6215</v>
      </c>
      <c r="B27" s="34" t="s">
        <v>6269</v>
      </c>
    </row>
    <row r="28" customFormat="false" ht="42" hidden="false" customHeight="true" outlineLevel="0" collapsed="false">
      <c r="A28" s="75" t="s">
        <v>6270</v>
      </c>
      <c r="B28" s="34" t="s">
        <v>6271</v>
      </c>
    </row>
    <row r="29" customFormat="false" ht="42" hidden="false" customHeight="true" outlineLevel="0" collapsed="false">
      <c r="A29" s="75" t="s">
        <v>6272</v>
      </c>
      <c r="B29" s="34" t="s">
        <v>6273</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2026-08-31T06:42:28Z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0x010100475E5B06CDD19045B5EB70BBCE797125</vt:lpwstr>
  </property>
  <property fmtid="{D5CDD505-2E9C-101B-9397-08002B2CF9AE}" pid="3" name="MediaServiceImageTags">
    <vt:lpwstr/>
  </property>
</Properties>
</file>